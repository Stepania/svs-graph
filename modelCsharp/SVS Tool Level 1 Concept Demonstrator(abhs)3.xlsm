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GitHubRepos\SVS\modelCsharp\"/>
    </mc:Choice>
  </mc:AlternateContent>
  <xr:revisionPtr revIDLastSave="0" documentId="13_ncr:1_{6790C172-24B8-43B0-B6EF-8DDF103B979C}" xr6:coauthVersionLast="46" xr6:coauthVersionMax="47" xr10:uidLastSave="{00000000-0000-0000-0000-000000000000}"/>
  <bookViews>
    <workbookView xWindow="-120" yWindow="-120" windowWidth="29040" windowHeight="15225" xr2:uid="{93020D75-334B-4084-BB65-B04FE3C79197}"/>
  </bookViews>
  <sheets>
    <sheet name="ConceptDemo" sheetId="1" r:id="rId1"/>
    <sheet name="Backend" sheetId="2" r:id="rId2"/>
    <sheet name="Model Interface" sheetId="3" r:id="rId3"/>
    <sheet name="ListMembers" sheetId="5" r:id="rId4"/>
    <sheet name="CropCoefficients" sheetId="4" r:id="rId5"/>
    <sheet name="meanT" sheetId="7" r:id="rId6"/>
  </sheets>
  <definedNames>
    <definedName name="Annual_ryegrass">ListMembers!$A$2:$A$4</definedName>
    <definedName name="Barley">ListMembers!$B$2:$B$4</definedName>
    <definedName name="Bean">ListMembers!$C$2:$C$4</definedName>
    <definedName name="Broad_bean">ListMembers!$D$2:$D$4</definedName>
    <definedName name="Broccoli">ListMembers!$E$2:$E$4</definedName>
    <definedName name="Brussel_sprout">ListMembers!$F$2:$F$4</definedName>
    <definedName name="Bulb">ListMembers!$A$8:$A$38</definedName>
    <definedName name="Cabbage">ListMembers!$G$2:$G$4</definedName>
    <definedName name="Canola">ListMembers!$H$2:$H$4</definedName>
    <definedName name="Carrot">ListMembers!$I$2:$I$4</definedName>
    <definedName name="Cauliflower">ListMembers!$J$2:$J$4</definedName>
    <definedName name="Celery">ListMembers!$K$2:$K$4</definedName>
    <definedName name="Chickpea">ListMembers!$L$2:$L$4</definedName>
    <definedName name="Choy_sum">ListMembers!$M$2:$M$4</definedName>
    <definedName name="Cocksfoot">ListMembers!$N$2:$N$4</definedName>
    <definedName name="Coriander">ListMembers!$O$2:$O$4</definedName>
    <definedName name="CropCoefficients">CropCoefficients!$K$2:$AG$78</definedName>
    <definedName name="CurrentCropName">ConceptDemo!$C$13</definedName>
    <definedName name="CurrentCropNameFull">ConceptDemo!$A$11</definedName>
    <definedName name="CurrentCropType">ConceptDemo!$C$12</definedName>
    <definedName name="CurrentCropVariety">ConceptDemo!$C$14</definedName>
    <definedName name="CurrentDressingLoss">ConceptDemo!$G$13</definedName>
    <definedName name="CurrentEstablishDate">ConceptDemo!$C$17</definedName>
    <definedName name="CurrentEstablishStage">ConceptDemo!$G$17</definedName>
    <definedName name="CurrentFieldLoss">ConceptDemo!$G$12</definedName>
    <definedName name="CurrentHarvestDate">ConceptDemo!$C$18</definedName>
    <definedName name="CurrentHarvestStage">ConceptDemo!$G$18</definedName>
    <definedName name="CurrentMoistureContent">ConceptDemo!$G$14</definedName>
    <definedName name="CurrentPopulation">ConceptDemo!$C$16</definedName>
    <definedName name="CurrentUnits">ConceptDemo!$F$19</definedName>
    <definedName name="CurrentYield">ConceptDemo!$C$19</definedName>
    <definedName name="CurrentYieldperArea">ConceptDemo!$A$19</definedName>
    <definedName name="Efficiency">ConceptDemo!$C$70</definedName>
    <definedName name="Fibre">ListMembers!$B$8:$B$38</definedName>
    <definedName name="Fodder">ListMembers!$C$8:$C$38</definedName>
    <definedName name="Fodder_beet">ListMembers!$P$2:$P$4</definedName>
    <definedName name="FollowingCropFullName">ConceptDemo!$A$58</definedName>
    <definedName name="FollowingCropName">ConceptDemo!$D$60</definedName>
    <definedName name="FollowingCropType">ConceptDemo!$D$59</definedName>
    <definedName name="FollowingCropVariety">ConceptDemo!$D$61</definedName>
    <definedName name="FollowingDressingLoss">ConceptDemo!$G$60</definedName>
    <definedName name="FollowingEstablishDate">ConceptDemo!$D$64</definedName>
    <definedName name="FollowingEstablishmentDate">ConceptDemo!$D$64</definedName>
    <definedName name="FollowingEstablishStage">ConceptDemo!$G$64</definedName>
    <definedName name="FollowingFieldLoss">ConceptDemo!$G$59</definedName>
    <definedName name="FollowingHarvestDate">ConceptDemo!$D$65</definedName>
    <definedName name="FollowingHarvestStage">ConceptDemo!$G$65</definedName>
    <definedName name="FollowingMoistureLoss">ConceptDemo!$G$61</definedName>
    <definedName name="FollowingPopulation">ConceptDemo!$D$63</definedName>
    <definedName name="FollowingUnits">ConceptDemo!$G$66</definedName>
    <definedName name="FollowingYIeld">ConceptDemo!$D$66</definedName>
    <definedName name="FollowingYieldPerArea">ConceptDemo!$A$66</definedName>
    <definedName name="Garlic">ListMembers!$Q$2:$Q$4</definedName>
    <definedName name="Grain">ListMembers!$D$8:$D$38</definedName>
    <definedName name="Green_manure">ListMembers!$E$8:$E$38</definedName>
    <definedName name="Hemp">ListMembers!$R$2:$R$4</definedName>
    <definedName name="HWEON">ConceptDemo!$D$55</definedName>
    <definedName name="InitialN">ConceptDemo!$C$68</definedName>
    <definedName name="Kale">ListMembers!$S$2:$S$4</definedName>
    <definedName name="Kumara">ListMembers!$T$2:$T$4</definedName>
    <definedName name="Leek">ListMembers!$U$2:$U$4</definedName>
    <definedName name="Lentil">ListMembers!$V$2:$V$4</definedName>
    <definedName name="Lettuce">ListMembers!$W$2:$W$4</definedName>
    <definedName name="Linseed">ListMembers!$X$2:$X$4</definedName>
    <definedName name="Location">ConceptDemo!$C$11</definedName>
    <definedName name="Lupin">ListMembers!$Y$2:$Y$4</definedName>
    <definedName name="Maize">ListMembers!$Z$2:$Z$4</definedName>
    <definedName name="ModelOutputs">'Model Interface'!$L$6:$T$495</definedName>
    <definedName name="Mustard">ListMembers!$AA$2:$AA$4</definedName>
    <definedName name="Oat">ListMembers!$AB$2:$AB$4</definedName>
    <definedName name="Onion">ListMembers!$AC$2:$AC$4</definedName>
    <definedName name="Pak_choi">ListMembers!$AD$2:$AD$4</definedName>
    <definedName name="Parsnip">ListMembers!$AE$2:$AE$4</definedName>
    <definedName name="Pea">ListMembers!$AF$2:$AF$4</definedName>
    <definedName name="Phacelia">ListMembers!$AG$2:$AG$4</definedName>
    <definedName name="Potato">ListMembers!$AH$2:$AH$4</definedName>
    <definedName name="PriorCropName">ConceptDemo!$D$47</definedName>
    <definedName name="PriorCropNameFull">ConceptDemo!$A$45</definedName>
    <definedName name="PriorCropType">ConceptDemo!$D$46</definedName>
    <definedName name="PriorCropVariety">ConceptDemo!$D$48</definedName>
    <definedName name="PriorDressingLoss">ConceptDemo!$G$47</definedName>
    <definedName name="PriorEstablishDate">ConceptDemo!$D$51</definedName>
    <definedName name="PriorEstablishStage">ConceptDemo!$G$51</definedName>
    <definedName name="PriorFieldLoss">ConceptDemo!$G$46</definedName>
    <definedName name="PriorHarvestDate">ConceptDemo!$D$52</definedName>
    <definedName name="PriorHarvestStage">ConceptDemo!$G$52</definedName>
    <definedName name="PriorMoistureContent">ConceptDemo!$G$48</definedName>
    <definedName name="PriorPopulation">ConceptDemo!$D$50</definedName>
    <definedName name="PriorSaleableYield">ConceptDemo!$A$53</definedName>
    <definedName name="PriorUnits">ConceptDemo!$G$53</definedName>
    <definedName name="PriorYield">ConceptDemo!$D$53</definedName>
    <definedName name="PriorYieldPerArea">ConceptDemo!$A$53</definedName>
    <definedName name="Pumpkin">ListMembers!$AI$2:$AI$4</definedName>
    <definedName name="Radish">ListMembers!$AJ$2:$AJ$4</definedName>
    <definedName name="Rape">ListMembers!$AK$2:$AK$4</definedName>
    <definedName name="Red_beet">ListMembers!$AL$2:$AL$4</definedName>
    <definedName name="Rock_melon">ListMembers!$AM$2:$AM$4</definedName>
    <definedName name="Rye_corn">ListMembers!$AN$2:$AN$4</definedName>
    <definedName name="Ryegrass">ListMembers!$AO$2:$AO$4</definedName>
    <definedName name="Seed">ListMembers!$F$8:$F$38</definedName>
    <definedName name="Silver_beet">ListMembers!$AP$2:$AP$4</definedName>
    <definedName name="Spinach">ListMembers!$AQ$2:$AQ$4</definedName>
    <definedName name="Splits">ConceptDemo!$D$24</definedName>
    <definedName name="Spring_onion">ListMembers!$AR$2:$AR$4</definedName>
    <definedName name="Squash">ListMembers!$AS$2:$AS$4</definedName>
    <definedName name="Sunflower">ListMembers!$AT$2:$AT$4</definedName>
    <definedName name="Swede">ListMembers!$AU$2:$AU$4</definedName>
    <definedName name="Sweetcorn">ListMembers!$AV$2:$AV$4</definedName>
    <definedName name="Teir">ConceptDemo!$C$7</definedName>
    <definedName name="Tomato">ListMembers!$AW$2:$AW$4</definedName>
    <definedName name="Trigger">ConceptDemo!$C$69</definedName>
    <definedName name="Triticale">ListMembers!$AX$2:$AX$4</definedName>
    <definedName name="Tulip">ListMembers!$AY$2:$AY$4</definedName>
    <definedName name="Turnip">ListMembers!$AZ$2:$AZ$4</definedName>
    <definedName name="Vegetable">ListMembers!$G$8:$G$38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5" i="1" l="1"/>
  <c r="D64" i="1"/>
  <c r="B35" i="3" s="1"/>
  <c r="A53" i="1"/>
  <c r="B8" i="3" s="1"/>
  <c r="D63" i="1"/>
  <c r="D66" i="1"/>
  <c r="G66" i="1"/>
  <c r="A66" i="1" s="1"/>
  <c r="G65" i="1"/>
  <c r="G64" i="1"/>
  <c r="G61" i="1"/>
  <c r="G60" i="1"/>
  <c r="G59" i="1"/>
  <c r="D60" i="1"/>
  <c r="D59" i="1"/>
  <c r="D61" i="1"/>
  <c r="G53" i="1"/>
  <c r="D53" i="1"/>
  <c r="D52" i="1"/>
  <c r="D51" i="1"/>
  <c r="D50" i="1"/>
  <c r="D48" i="1"/>
  <c r="D47" i="1"/>
  <c r="D46" i="1"/>
  <c r="D19" i="3"/>
  <c r="E19" i="3"/>
  <c r="B37" i="3"/>
  <c r="A19" i="1"/>
  <c r="B19" i="3" s="1"/>
  <c r="A11" i="1"/>
  <c r="G14" i="1" s="1"/>
  <c r="D55" i="1"/>
  <c r="B37" i="1"/>
  <c r="B26" i="3"/>
  <c r="B24" i="3"/>
  <c r="D24" i="1"/>
  <c r="B6" i="3" s="1"/>
  <c r="B20" i="3"/>
  <c r="E18" i="3"/>
  <c r="D18" i="3"/>
  <c r="E17" i="3"/>
  <c r="D17" i="3"/>
  <c r="E16" i="3"/>
  <c r="D16" i="3"/>
  <c r="E15" i="3"/>
  <c r="D15" i="3"/>
  <c r="E14" i="3"/>
  <c r="E13" i="3"/>
  <c r="D13" i="3"/>
  <c r="D12" i="3"/>
  <c r="E4" i="3"/>
  <c r="D6" i="3"/>
  <c r="E6" i="3"/>
  <c r="D7" i="3"/>
  <c r="E7" i="3"/>
  <c r="D8" i="3"/>
  <c r="E8" i="3"/>
  <c r="D9" i="3"/>
  <c r="E9" i="3"/>
  <c r="E5" i="3"/>
  <c r="D5" i="3"/>
  <c r="D2" i="3"/>
  <c r="D3" i="3"/>
  <c r="E3" i="3"/>
  <c r="B3" i="3"/>
  <c r="B4" i="3"/>
  <c r="B5" i="3"/>
  <c r="B2" i="3"/>
  <c r="L5" i="3" a="1"/>
  <c r="S5" i="3" l="1"/>
  <c r="R6" i="3"/>
  <c r="Q7" i="3"/>
  <c r="P8" i="3"/>
  <c r="O9" i="3"/>
  <c r="N10" i="3"/>
  <c r="M11" i="3"/>
  <c r="L12" i="3"/>
  <c r="T12" i="3"/>
  <c r="S13" i="3"/>
  <c r="R14" i="3"/>
  <c r="Q15" i="3"/>
  <c r="P16" i="3"/>
  <c r="O17" i="3"/>
  <c r="N18" i="3"/>
  <c r="M19" i="3"/>
  <c r="L20" i="3"/>
  <c r="T20" i="3"/>
  <c r="S21" i="3"/>
  <c r="R22" i="3"/>
  <c r="Q23" i="3"/>
  <c r="P24" i="3"/>
  <c r="O25" i="3"/>
  <c r="N26" i="3"/>
  <c r="M27" i="3"/>
  <c r="L28" i="3"/>
  <c r="T28" i="3"/>
  <c r="S29" i="3"/>
  <c r="R30" i="3"/>
  <c r="Q31" i="3"/>
  <c r="P32" i="3"/>
  <c r="O33" i="3"/>
  <c r="N34" i="3"/>
  <c r="M35" i="3"/>
  <c r="L36" i="3"/>
  <c r="T36" i="3"/>
  <c r="S37" i="3"/>
  <c r="R38" i="3"/>
  <c r="Q39" i="3"/>
  <c r="P40" i="3"/>
  <c r="O41" i="3"/>
  <c r="N42" i="3"/>
  <c r="M43" i="3"/>
  <c r="L44" i="3"/>
  <c r="T44" i="3"/>
  <c r="S45" i="3"/>
  <c r="R46" i="3"/>
  <c r="Q47" i="3"/>
  <c r="P48" i="3"/>
  <c r="O49" i="3"/>
  <c r="N50" i="3"/>
  <c r="M51" i="3"/>
  <c r="L52" i="3"/>
  <c r="T52" i="3"/>
  <c r="S53" i="3"/>
  <c r="R54" i="3"/>
  <c r="Q55" i="3"/>
  <c r="P56" i="3"/>
  <c r="O57" i="3"/>
  <c r="N58" i="3"/>
  <c r="M59" i="3"/>
  <c r="L60" i="3"/>
  <c r="T60" i="3"/>
  <c r="S61" i="3"/>
  <c r="R62" i="3"/>
  <c r="Q63" i="3"/>
  <c r="P64" i="3"/>
  <c r="O65" i="3"/>
  <c r="N66" i="3"/>
  <c r="M67" i="3"/>
  <c r="L68" i="3"/>
  <c r="T68" i="3"/>
  <c r="S69" i="3"/>
  <c r="R70" i="3"/>
  <c r="Q71" i="3"/>
  <c r="P72" i="3"/>
  <c r="O73" i="3"/>
  <c r="N74" i="3"/>
  <c r="M75" i="3"/>
  <c r="L76" i="3"/>
  <c r="T76" i="3"/>
  <c r="S77" i="3"/>
  <c r="R78" i="3"/>
  <c r="L5" i="3"/>
  <c r="T5" i="3"/>
  <c r="S6" i="3"/>
  <c r="R7" i="3"/>
  <c r="Q8" i="3"/>
  <c r="P9" i="3"/>
  <c r="O10" i="3"/>
  <c r="N11" i="3"/>
  <c r="M12" i="3"/>
  <c r="L13" i="3"/>
  <c r="T13" i="3"/>
  <c r="S14" i="3"/>
  <c r="R15" i="3"/>
  <c r="Q16" i="3"/>
  <c r="P17" i="3"/>
  <c r="O18" i="3"/>
  <c r="N19" i="3"/>
  <c r="M20" i="3"/>
  <c r="L21" i="3"/>
  <c r="T21" i="3"/>
  <c r="S22" i="3"/>
  <c r="R23" i="3"/>
  <c r="Q24" i="3"/>
  <c r="P25" i="3"/>
  <c r="O26" i="3"/>
  <c r="N27" i="3"/>
  <c r="M28" i="3"/>
  <c r="L29" i="3"/>
  <c r="T29" i="3"/>
  <c r="S30" i="3"/>
  <c r="R31" i="3"/>
  <c r="Q32" i="3"/>
  <c r="P33" i="3"/>
  <c r="O34" i="3"/>
  <c r="N35" i="3"/>
  <c r="M36" i="3"/>
  <c r="L37" i="3"/>
  <c r="T37" i="3"/>
  <c r="S38" i="3"/>
  <c r="R39" i="3"/>
  <c r="Q40" i="3"/>
  <c r="P41" i="3"/>
  <c r="O42" i="3"/>
  <c r="N43" i="3"/>
  <c r="M44" i="3"/>
  <c r="L45" i="3"/>
  <c r="T45" i="3"/>
  <c r="S46" i="3"/>
  <c r="R47" i="3"/>
  <c r="Q48" i="3"/>
  <c r="P49" i="3"/>
  <c r="O50" i="3"/>
  <c r="N51" i="3"/>
  <c r="M52" i="3"/>
  <c r="L53" i="3"/>
  <c r="T53" i="3"/>
  <c r="S54" i="3"/>
  <c r="R55" i="3"/>
  <c r="Q56" i="3"/>
  <c r="P57" i="3"/>
  <c r="O58" i="3"/>
  <c r="N59" i="3"/>
  <c r="M60" i="3"/>
  <c r="L61" i="3"/>
  <c r="T61" i="3"/>
  <c r="S62" i="3"/>
  <c r="R63" i="3"/>
  <c r="Q64" i="3"/>
  <c r="P65" i="3"/>
  <c r="O66" i="3"/>
  <c r="N67" i="3"/>
  <c r="M68" i="3"/>
  <c r="L69" i="3"/>
  <c r="T69" i="3"/>
  <c r="S70" i="3"/>
  <c r="R71" i="3"/>
  <c r="Q72" i="3"/>
  <c r="P73" i="3"/>
  <c r="O74" i="3"/>
  <c r="N75" i="3"/>
  <c r="M76" i="3"/>
  <c r="L77" i="3"/>
  <c r="T77" i="3"/>
  <c r="S78" i="3"/>
  <c r="R79" i="3"/>
  <c r="M5" i="3"/>
  <c r="L6" i="3"/>
  <c r="T6" i="3"/>
  <c r="S7" i="3"/>
  <c r="R8" i="3"/>
  <c r="Q9" i="3"/>
  <c r="P10" i="3"/>
  <c r="O11" i="3"/>
  <c r="N12" i="3"/>
  <c r="M13" i="3"/>
  <c r="L14" i="3"/>
  <c r="T14" i="3"/>
  <c r="S15" i="3"/>
  <c r="R16" i="3"/>
  <c r="Q17" i="3"/>
  <c r="P18" i="3"/>
  <c r="O19" i="3"/>
  <c r="N20" i="3"/>
  <c r="M21" i="3"/>
  <c r="L22" i="3"/>
  <c r="T22" i="3"/>
  <c r="S23" i="3"/>
  <c r="R24" i="3"/>
  <c r="Q25" i="3"/>
  <c r="P26" i="3"/>
  <c r="O27" i="3"/>
  <c r="N28" i="3"/>
  <c r="M29" i="3"/>
  <c r="L30" i="3"/>
  <c r="T30" i="3"/>
  <c r="S31" i="3"/>
  <c r="R32" i="3"/>
  <c r="Q33" i="3"/>
  <c r="P34" i="3"/>
  <c r="O35" i="3"/>
  <c r="N36" i="3"/>
  <c r="M37" i="3"/>
  <c r="L38" i="3"/>
  <c r="T38" i="3"/>
  <c r="S39" i="3"/>
  <c r="R40" i="3"/>
  <c r="Q41" i="3"/>
  <c r="P42" i="3"/>
  <c r="O43" i="3"/>
  <c r="N44" i="3"/>
  <c r="M45" i="3"/>
  <c r="L46" i="3"/>
  <c r="T46" i="3"/>
  <c r="S47" i="3"/>
  <c r="R48" i="3"/>
  <c r="Q49" i="3"/>
  <c r="P50" i="3"/>
  <c r="O51" i="3"/>
  <c r="N52" i="3"/>
  <c r="M53" i="3"/>
  <c r="L54" i="3"/>
  <c r="T54" i="3"/>
  <c r="S55" i="3"/>
  <c r="R56" i="3"/>
  <c r="Q57" i="3"/>
  <c r="P58" i="3"/>
  <c r="O59" i="3"/>
  <c r="N60" i="3"/>
  <c r="M61" i="3"/>
  <c r="L62" i="3"/>
  <c r="T62" i="3"/>
  <c r="S63" i="3"/>
  <c r="R64" i="3"/>
  <c r="Q65" i="3"/>
  <c r="P66" i="3"/>
  <c r="O67" i="3"/>
  <c r="N68" i="3"/>
  <c r="M69" i="3"/>
  <c r="L70" i="3"/>
  <c r="T70" i="3"/>
  <c r="S71" i="3"/>
  <c r="R72" i="3"/>
  <c r="Q73" i="3"/>
  <c r="P74" i="3"/>
  <c r="O75" i="3"/>
  <c r="N76" i="3"/>
  <c r="M77" i="3"/>
  <c r="L78" i="3"/>
  <c r="T78" i="3"/>
  <c r="N5" i="3"/>
  <c r="M6" i="3"/>
  <c r="L7" i="3"/>
  <c r="T7" i="3"/>
  <c r="S8" i="3"/>
  <c r="R9" i="3"/>
  <c r="Q10" i="3"/>
  <c r="P11" i="3"/>
  <c r="O12" i="3"/>
  <c r="N13" i="3"/>
  <c r="M14" i="3"/>
  <c r="L15" i="3"/>
  <c r="T15" i="3"/>
  <c r="S16" i="3"/>
  <c r="R17" i="3"/>
  <c r="Q18" i="3"/>
  <c r="P19" i="3"/>
  <c r="O20" i="3"/>
  <c r="N21" i="3"/>
  <c r="M22" i="3"/>
  <c r="L23" i="3"/>
  <c r="T23" i="3"/>
  <c r="S24" i="3"/>
  <c r="R25" i="3"/>
  <c r="Q26" i="3"/>
  <c r="P27" i="3"/>
  <c r="O28" i="3"/>
  <c r="N29" i="3"/>
  <c r="M30" i="3"/>
  <c r="L31" i="3"/>
  <c r="T31" i="3"/>
  <c r="S32" i="3"/>
  <c r="R33" i="3"/>
  <c r="Q34" i="3"/>
  <c r="P35" i="3"/>
  <c r="O36" i="3"/>
  <c r="N37" i="3"/>
  <c r="M38" i="3"/>
  <c r="L39" i="3"/>
  <c r="T39" i="3"/>
  <c r="S40" i="3"/>
  <c r="R41" i="3"/>
  <c r="Q42" i="3"/>
  <c r="P43" i="3"/>
  <c r="O44" i="3"/>
  <c r="N45" i="3"/>
  <c r="M46" i="3"/>
  <c r="L47" i="3"/>
  <c r="T47" i="3"/>
  <c r="S48" i="3"/>
  <c r="R49" i="3"/>
  <c r="Q50" i="3"/>
  <c r="P51" i="3"/>
  <c r="O52" i="3"/>
  <c r="N53" i="3"/>
  <c r="M54" i="3"/>
  <c r="L55" i="3"/>
  <c r="T55" i="3"/>
  <c r="S56" i="3"/>
  <c r="R57" i="3"/>
  <c r="Q58" i="3"/>
  <c r="P59" i="3"/>
  <c r="O60" i="3"/>
  <c r="N61" i="3"/>
  <c r="M62" i="3"/>
  <c r="L63" i="3"/>
  <c r="T63" i="3"/>
  <c r="S64" i="3"/>
  <c r="R65" i="3"/>
  <c r="Q66" i="3"/>
  <c r="P67" i="3"/>
  <c r="O68" i="3"/>
  <c r="N69" i="3"/>
  <c r="M70" i="3"/>
  <c r="L71" i="3"/>
  <c r="T71" i="3"/>
  <c r="S72" i="3"/>
  <c r="R73" i="3"/>
  <c r="Q74" i="3"/>
  <c r="P75" i="3"/>
  <c r="O76" i="3"/>
  <c r="N77" i="3"/>
  <c r="M78" i="3"/>
  <c r="L79" i="3"/>
  <c r="T79" i="3"/>
  <c r="O5" i="3"/>
  <c r="N6" i="3"/>
  <c r="M7" i="3"/>
  <c r="L8" i="3"/>
  <c r="T8" i="3"/>
  <c r="S9" i="3"/>
  <c r="R10" i="3"/>
  <c r="Q11" i="3"/>
  <c r="P12" i="3"/>
  <c r="O13" i="3"/>
  <c r="N14" i="3"/>
  <c r="M15" i="3"/>
  <c r="L16" i="3"/>
  <c r="T16" i="3"/>
  <c r="S17" i="3"/>
  <c r="R18" i="3"/>
  <c r="Q19" i="3"/>
  <c r="P20" i="3"/>
  <c r="O21" i="3"/>
  <c r="N22" i="3"/>
  <c r="M23" i="3"/>
  <c r="L24" i="3"/>
  <c r="T24" i="3"/>
  <c r="S25" i="3"/>
  <c r="R26" i="3"/>
  <c r="Q27" i="3"/>
  <c r="P28" i="3"/>
  <c r="O29" i="3"/>
  <c r="N30" i="3"/>
  <c r="M31" i="3"/>
  <c r="L32" i="3"/>
  <c r="T32" i="3"/>
  <c r="S33" i="3"/>
  <c r="R34" i="3"/>
  <c r="Q35" i="3"/>
  <c r="P36" i="3"/>
  <c r="O37" i="3"/>
  <c r="N38" i="3"/>
  <c r="M39" i="3"/>
  <c r="L40" i="3"/>
  <c r="T40" i="3"/>
  <c r="S41" i="3"/>
  <c r="R42" i="3"/>
  <c r="Q43" i="3"/>
  <c r="P44" i="3"/>
  <c r="O45" i="3"/>
  <c r="N46" i="3"/>
  <c r="M47" i="3"/>
  <c r="L48" i="3"/>
  <c r="T48" i="3"/>
  <c r="S49" i="3"/>
  <c r="R50" i="3"/>
  <c r="Q51" i="3"/>
  <c r="P52" i="3"/>
  <c r="O53" i="3"/>
  <c r="N54" i="3"/>
  <c r="M55" i="3"/>
  <c r="L56" i="3"/>
  <c r="T56" i="3"/>
  <c r="S57" i="3"/>
  <c r="R58" i="3"/>
  <c r="Q59" i="3"/>
  <c r="P60" i="3"/>
  <c r="O61" i="3"/>
  <c r="N62" i="3"/>
  <c r="M63" i="3"/>
  <c r="L64" i="3"/>
  <c r="T64" i="3"/>
  <c r="S65" i="3"/>
  <c r="R66" i="3"/>
  <c r="Q67" i="3"/>
  <c r="P68" i="3"/>
  <c r="O69" i="3"/>
  <c r="N70" i="3"/>
  <c r="M71" i="3"/>
  <c r="L72" i="3"/>
  <c r="T72" i="3"/>
  <c r="S73" i="3"/>
  <c r="R74" i="3"/>
  <c r="Q75" i="3"/>
  <c r="P76" i="3"/>
  <c r="O77" i="3"/>
  <c r="N78" i="3"/>
  <c r="M79" i="3"/>
  <c r="P5" i="3"/>
  <c r="O6" i="3"/>
  <c r="N7" i="3"/>
  <c r="M8" i="3"/>
  <c r="L9" i="3"/>
  <c r="T9" i="3"/>
  <c r="S10" i="3"/>
  <c r="R11" i="3"/>
  <c r="Q12" i="3"/>
  <c r="P13" i="3"/>
  <c r="O14" i="3"/>
  <c r="N15" i="3"/>
  <c r="M16" i="3"/>
  <c r="L17" i="3"/>
  <c r="T17" i="3"/>
  <c r="S18" i="3"/>
  <c r="R19" i="3"/>
  <c r="Q20" i="3"/>
  <c r="P21" i="3"/>
  <c r="O22" i="3"/>
  <c r="N23" i="3"/>
  <c r="M24" i="3"/>
  <c r="L25" i="3"/>
  <c r="T25" i="3"/>
  <c r="S26" i="3"/>
  <c r="R27" i="3"/>
  <c r="Q28" i="3"/>
  <c r="P29" i="3"/>
  <c r="O30" i="3"/>
  <c r="N31" i="3"/>
  <c r="M32" i="3"/>
  <c r="L33" i="3"/>
  <c r="T33" i="3"/>
  <c r="S34" i="3"/>
  <c r="R35" i="3"/>
  <c r="Q36" i="3"/>
  <c r="P37" i="3"/>
  <c r="O38" i="3"/>
  <c r="N39" i="3"/>
  <c r="M40" i="3"/>
  <c r="L41" i="3"/>
  <c r="T41" i="3"/>
  <c r="S42" i="3"/>
  <c r="R43" i="3"/>
  <c r="Q44" i="3"/>
  <c r="P45" i="3"/>
  <c r="O46" i="3"/>
  <c r="N47" i="3"/>
  <c r="M48" i="3"/>
  <c r="L49" i="3"/>
  <c r="T49" i="3"/>
  <c r="Q5" i="3"/>
  <c r="P6" i="3"/>
  <c r="O7" i="3"/>
  <c r="N8" i="3"/>
  <c r="M9" i="3"/>
  <c r="L10" i="3"/>
  <c r="T10" i="3"/>
  <c r="S11" i="3"/>
  <c r="R12" i="3"/>
  <c r="Q13" i="3"/>
  <c r="P14" i="3"/>
  <c r="O15" i="3"/>
  <c r="N16" i="3"/>
  <c r="M17" i="3"/>
  <c r="L18" i="3"/>
  <c r="T18" i="3"/>
  <c r="S19" i="3"/>
  <c r="R20" i="3"/>
  <c r="Q21" i="3"/>
  <c r="P22" i="3"/>
  <c r="O23" i="3"/>
  <c r="N24" i="3"/>
  <c r="M25" i="3"/>
  <c r="L26" i="3"/>
  <c r="T26" i="3"/>
  <c r="S27" i="3"/>
  <c r="R28" i="3"/>
  <c r="Q29" i="3"/>
  <c r="P30" i="3"/>
  <c r="O31" i="3"/>
  <c r="N32" i="3"/>
  <c r="M33" i="3"/>
  <c r="L34" i="3"/>
  <c r="T34" i="3"/>
  <c r="S35" i="3"/>
  <c r="R36" i="3"/>
  <c r="Q37" i="3"/>
  <c r="P38" i="3"/>
  <c r="O39" i="3"/>
  <c r="N40" i="3"/>
  <c r="M41" i="3"/>
  <c r="L42" i="3"/>
  <c r="T42" i="3"/>
  <c r="R5" i="3"/>
  <c r="S12" i="3"/>
  <c r="T19" i="3"/>
  <c r="L27" i="3"/>
  <c r="M34" i="3"/>
  <c r="N41" i="3"/>
  <c r="R45" i="3"/>
  <c r="N49" i="3"/>
  <c r="T51" i="3"/>
  <c r="P54" i="3"/>
  <c r="L57" i="3"/>
  <c r="L59" i="3"/>
  <c r="Q61" i="3"/>
  <c r="M64" i="3"/>
  <c r="M66" i="3"/>
  <c r="R68" i="3"/>
  <c r="N71" i="3"/>
  <c r="N73" i="3"/>
  <c r="S75" i="3"/>
  <c r="O78" i="3"/>
  <c r="L80" i="3"/>
  <c r="T80" i="3"/>
  <c r="S81" i="3"/>
  <c r="R82" i="3"/>
  <c r="Q83" i="3"/>
  <c r="P84" i="3"/>
  <c r="O85" i="3"/>
  <c r="N86" i="3"/>
  <c r="M87" i="3"/>
  <c r="L88" i="3"/>
  <c r="T88" i="3"/>
  <c r="S89" i="3"/>
  <c r="R90" i="3"/>
  <c r="Q91" i="3"/>
  <c r="P92" i="3"/>
  <c r="O93" i="3"/>
  <c r="N94" i="3"/>
  <c r="M95" i="3"/>
  <c r="L96" i="3"/>
  <c r="T96" i="3"/>
  <c r="S97" i="3"/>
  <c r="R98" i="3"/>
  <c r="Q99" i="3"/>
  <c r="P100" i="3"/>
  <c r="O101" i="3"/>
  <c r="N102" i="3"/>
  <c r="M103" i="3"/>
  <c r="L104" i="3"/>
  <c r="T104" i="3"/>
  <c r="S105" i="3"/>
  <c r="R106" i="3"/>
  <c r="Q107" i="3"/>
  <c r="P108" i="3"/>
  <c r="O109" i="3"/>
  <c r="N110" i="3"/>
  <c r="M111" i="3"/>
  <c r="L112" i="3"/>
  <c r="T112" i="3"/>
  <c r="S113" i="3"/>
  <c r="R114" i="3"/>
  <c r="Q115" i="3"/>
  <c r="P116" i="3"/>
  <c r="O117" i="3"/>
  <c r="N118" i="3"/>
  <c r="M119" i="3"/>
  <c r="L120" i="3"/>
  <c r="T120" i="3"/>
  <c r="S121" i="3"/>
  <c r="R122" i="3"/>
  <c r="Q123" i="3"/>
  <c r="P124" i="3"/>
  <c r="O125" i="3"/>
  <c r="N126" i="3"/>
  <c r="M127" i="3"/>
  <c r="L128" i="3"/>
  <c r="T128" i="3"/>
  <c r="S129" i="3"/>
  <c r="R130" i="3"/>
  <c r="Q131" i="3"/>
  <c r="P132" i="3"/>
  <c r="O133" i="3"/>
  <c r="N134" i="3"/>
  <c r="M135" i="3"/>
  <c r="L136" i="3"/>
  <c r="T136" i="3"/>
  <c r="Q6" i="3"/>
  <c r="R13" i="3"/>
  <c r="S20" i="3"/>
  <c r="T27" i="3"/>
  <c r="L35" i="3"/>
  <c r="M42" i="3"/>
  <c r="P46" i="3"/>
  <c r="L50" i="3"/>
  <c r="Q52" i="3"/>
  <c r="Q54" i="3"/>
  <c r="M57" i="3"/>
  <c r="R59" i="3"/>
  <c r="R61" i="3"/>
  <c r="N64" i="3"/>
  <c r="S66" i="3"/>
  <c r="S68" i="3"/>
  <c r="O71" i="3"/>
  <c r="T73" i="3"/>
  <c r="T75" i="3"/>
  <c r="P78" i="3"/>
  <c r="M80" i="3"/>
  <c r="L81" i="3"/>
  <c r="T81" i="3"/>
  <c r="S82" i="3"/>
  <c r="R83" i="3"/>
  <c r="Q84" i="3"/>
  <c r="P85" i="3"/>
  <c r="O86" i="3"/>
  <c r="N87" i="3"/>
  <c r="M88" i="3"/>
  <c r="L89" i="3"/>
  <c r="T89" i="3"/>
  <c r="S90" i="3"/>
  <c r="R91" i="3"/>
  <c r="Q92" i="3"/>
  <c r="P93" i="3"/>
  <c r="O94" i="3"/>
  <c r="N95" i="3"/>
  <c r="M96" i="3"/>
  <c r="L97" i="3"/>
  <c r="T97" i="3"/>
  <c r="S98" i="3"/>
  <c r="R99" i="3"/>
  <c r="Q100" i="3"/>
  <c r="P101" i="3"/>
  <c r="O102" i="3"/>
  <c r="N103" i="3"/>
  <c r="M104" i="3"/>
  <c r="L105" i="3"/>
  <c r="T105" i="3"/>
  <c r="S106" i="3"/>
  <c r="R107" i="3"/>
  <c r="Q108" i="3"/>
  <c r="P109" i="3"/>
  <c r="O110" i="3"/>
  <c r="N111" i="3"/>
  <c r="M112" i="3"/>
  <c r="L113" i="3"/>
  <c r="T113" i="3"/>
  <c r="S114" i="3"/>
  <c r="R115" i="3"/>
  <c r="Q116" i="3"/>
  <c r="P117" i="3"/>
  <c r="O118" i="3"/>
  <c r="P7" i="3"/>
  <c r="Q14" i="3"/>
  <c r="R21" i="3"/>
  <c r="S28" i="3"/>
  <c r="T35" i="3"/>
  <c r="L43" i="3"/>
  <c r="Q46" i="3"/>
  <c r="M50" i="3"/>
  <c r="R52" i="3"/>
  <c r="N55" i="3"/>
  <c r="N57" i="3"/>
  <c r="S59" i="3"/>
  <c r="O62" i="3"/>
  <c r="O64" i="3"/>
  <c r="T66" i="3"/>
  <c r="P69" i="3"/>
  <c r="P71" i="3"/>
  <c r="L74" i="3"/>
  <c r="Q76" i="3"/>
  <c r="Q78" i="3"/>
  <c r="N80" i="3"/>
  <c r="M81" i="3"/>
  <c r="L82" i="3"/>
  <c r="T82" i="3"/>
  <c r="S83" i="3"/>
  <c r="R84" i="3"/>
  <c r="Q85" i="3"/>
  <c r="P86" i="3"/>
  <c r="O87" i="3"/>
  <c r="N88" i="3"/>
  <c r="M89" i="3"/>
  <c r="L90" i="3"/>
  <c r="T90" i="3"/>
  <c r="S91" i="3"/>
  <c r="R92" i="3"/>
  <c r="Q93" i="3"/>
  <c r="P94" i="3"/>
  <c r="O95" i="3"/>
  <c r="N96" i="3"/>
  <c r="M97" i="3"/>
  <c r="L98" i="3"/>
  <c r="T98" i="3"/>
  <c r="S99" i="3"/>
  <c r="R100" i="3"/>
  <c r="Q101" i="3"/>
  <c r="P102" i="3"/>
  <c r="O103" i="3"/>
  <c r="N104" i="3"/>
  <c r="M105" i="3"/>
  <c r="L106" i="3"/>
  <c r="T106" i="3"/>
  <c r="S107" i="3"/>
  <c r="R108" i="3"/>
  <c r="Q109" i="3"/>
  <c r="P110" i="3"/>
  <c r="O111" i="3"/>
  <c r="N112" i="3"/>
  <c r="M113" i="3"/>
  <c r="L114" i="3"/>
  <c r="T114" i="3"/>
  <c r="S115" i="3"/>
  <c r="R116" i="3"/>
  <c r="Q117" i="3"/>
  <c r="P118" i="3"/>
  <c r="O8" i="3"/>
  <c r="P15" i="3"/>
  <c r="Q22" i="3"/>
  <c r="R29" i="3"/>
  <c r="S36" i="3"/>
  <c r="S43" i="3"/>
  <c r="O47" i="3"/>
  <c r="S50" i="3"/>
  <c r="S52" i="3"/>
  <c r="O55" i="3"/>
  <c r="T57" i="3"/>
  <c r="T59" i="3"/>
  <c r="P62" i="3"/>
  <c r="L65" i="3"/>
  <c r="L67" i="3"/>
  <c r="Q69" i="3"/>
  <c r="M72" i="3"/>
  <c r="M74" i="3"/>
  <c r="R76" i="3"/>
  <c r="N79" i="3"/>
  <c r="O80" i="3"/>
  <c r="N81" i="3"/>
  <c r="M82" i="3"/>
  <c r="L83" i="3"/>
  <c r="T83" i="3"/>
  <c r="S84" i="3"/>
  <c r="R85" i="3"/>
  <c r="Q86" i="3"/>
  <c r="P87" i="3"/>
  <c r="O88" i="3"/>
  <c r="N89" i="3"/>
  <c r="M90" i="3"/>
  <c r="L91" i="3"/>
  <c r="T91" i="3"/>
  <c r="S92" i="3"/>
  <c r="R93" i="3"/>
  <c r="Q94" i="3"/>
  <c r="P95" i="3"/>
  <c r="O96" i="3"/>
  <c r="N97" i="3"/>
  <c r="M98" i="3"/>
  <c r="L99" i="3"/>
  <c r="T99" i="3"/>
  <c r="S100" i="3"/>
  <c r="R101" i="3"/>
  <c r="Q102" i="3"/>
  <c r="P103" i="3"/>
  <c r="O104" i="3"/>
  <c r="N105" i="3"/>
  <c r="M106" i="3"/>
  <c r="L107" i="3"/>
  <c r="T107" i="3"/>
  <c r="S108" i="3"/>
  <c r="R109" i="3"/>
  <c r="Q110" i="3"/>
  <c r="P111" i="3"/>
  <c r="O112" i="3"/>
  <c r="N113" i="3"/>
  <c r="M114" i="3"/>
  <c r="L115" i="3"/>
  <c r="T115" i="3"/>
  <c r="N9" i="3"/>
  <c r="O16" i="3"/>
  <c r="P23" i="3"/>
  <c r="Q30" i="3"/>
  <c r="R37" i="3"/>
  <c r="T43" i="3"/>
  <c r="P47" i="3"/>
  <c r="T50" i="3"/>
  <c r="P53" i="3"/>
  <c r="P55" i="3"/>
  <c r="L58" i="3"/>
  <c r="Q60" i="3"/>
  <c r="Q62" i="3"/>
  <c r="M65" i="3"/>
  <c r="R67" i="3"/>
  <c r="R69" i="3"/>
  <c r="N72" i="3"/>
  <c r="S74" i="3"/>
  <c r="S76" i="3"/>
  <c r="O79" i="3"/>
  <c r="P80" i="3"/>
  <c r="O81" i="3"/>
  <c r="N82" i="3"/>
  <c r="M83" i="3"/>
  <c r="L84" i="3"/>
  <c r="T84" i="3"/>
  <c r="S85" i="3"/>
  <c r="R86" i="3"/>
  <c r="Q87" i="3"/>
  <c r="P88" i="3"/>
  <c r="O89" i="3"/>
  <c r="N90" i="3"/>
  <c r="M91" i="3"/>
  <c r="L92" i="3"/>
  <c r="T92" i="3"/>
  <c r="S93" i="3"/>
  <c r="R94" i="3"/>
  <c r="Q95" i="3"/>
  <c r="P96" i="3"/>
  <c r="O97" i="3"/>
  <c r="N98" i="3"/>
  <c r="M99" i="3"/>
  <c r="L100" i="3"/>
  <c r="T100" i="3"/>
  <c r="S101" i="3"/>
  <c r="R102" i="3"/>
  <c r="Q103" i="3"/>
  <c r="P104" i="3"/>
  <c r="M10" i="3"/>
  <c r="N17" i="3"/>
  <c r="O24" i="3"/>
  <c r="P31" i="3"/>
  <c r="Q38" i="3"/>
  <c r="R44" i="3"/>
  <c r="N48" i="3"/>
  <c r="L51" i="3"/>
  <c r="Q53" i="3"/>
  <c r="M56" i="3"/>
  <c r="M58" i="3"/>
  <c r="R60" i="3"/>
  <c r="N63" i="3"/>
  <c r="N65" i="3"/>
  <c r="S67" i="3"/>
  <c r="O70" i="3"/>
  <c r="O72" i="3"/>
  <c r="T74" i="3"/>
  <c r="P77" i="3"/>
  <c r="P79" i="3"/>
  <c r="Q80" i="3"/>
  <c r="P81" i="3"/>
  <c r="O82" i="3"/>
  <c r="N83" i="3"/>
  <c r="M84" i="3"/>
  <c r="L85" i="3"/>
  <c r="T85" i="3"/>
  <c r="S86" i="3"/>
  <c r="R87" i="3"/>
  <c r="Q88" i="3"/>
  <c r="P89" i="3"/>
  <c r="O90" i="3"/>
  <c r="N91" i="3"/>
  <c r="M92" i="3"/>
  <c r="L93" i="3"/>
  <c r="L11" i="3"/>
  <c r="M18" i="3"/>
  <c r="N25" i="3"/>
  <c r="O32" i="3"/>
  <c r="P39" i="3"/>
  <c r="T11" i="3"/>
  <c r="M49" i="3"/>
  <c r="T58" i="3"/>
  <c r="Q68" i="3"/>
  <c r="R77" i="3"/>
  <c r="Q82" i="3"/>
  <c r="M86" i="3"/>
  <c r="R89" i="3"/>
  <c r="N93" i="3"/>
  <c r="S95" i="3"/>
  <c r="O98" i="3"/>
  <c r="O100" i="3"/>
  <c r="T102" i="3"/>
  <c r="O105" i="3"/>
  <c r="M107" i="3"/>
  <c r="T108" i="3"/>
  <c r="R110" i="3"/>
  <c r="P112" i="3"/>
  <c r="N114" i="3"/>
  <c r="L116" i="3"/>
  <c r="N117" i="3"/>
  <c r="S118" i="3"/>
  <c r="S119" i="3"/>
  <c r="S120" i="3"/>
  <c r="T121" i="3"/>
  <c r="T122" i="3"/>
  <c r="T123" i="3"/>
  <c r="T124" i="3"/>
  <c r="T125" i="3"/>
  <c r="T126" i="3"/>
  <c r="T127" i="3"/>
  <c r="L129" i="3"/>
  <c r="L130" i="3"/>
  <c r="L131" i="3"/>
  <c r="L132" i="3"/>
  <c r="L133" i="3"/>
  <c r="L134" i="3"/>
  <c r="L135" i="3"/>
  <c r="M136" i="3"/>
  <c r="M137" i="3"/>
  <c r="L138" i="3"/>
  <c r="T138" i="3"/>
  <c r="S139" i="3"/>
  <c r="R140" i="3"/>
  <c r="Q141" i="3"/>
  <c r="P142" i="3"/>
  <c r="O143" i="3"/>
  <c r="N144" i="3"/>
  <c r="M145" i="3"/>
  <c r="L146" i="3"/>
  <c r="T146" i="3"/>
  <c r="S147" i="3"/>
  <c r="R148" i="3"/>
  <c r="Q149" i="3"/>
  <c r="P150" i="3"/>
  <c r="O151" i="3"/>
  <c r="N152" i="3"/>
  <c r="M153" i="3"/>
  <c r="L154" i="3"/>
  <c r="T154" i="3"/>
  <c r="S155" i="3"/>
  <c r="R156" i="3"/>
  <c r="Q157" i="3"/>
  <c r="P158" i="3"/>
  <c r="O159" i="3"/>
  <c r="N160" i="3"/>
  <c r="M161" i="3"/>
  <c r="L162" i="3"/>
  <c r="T162" i="3"/>
  <c r="S163" i="3"/>
  <c r="R164" i="3"/>
  <c r="Q165" i="3"/>
  <c r="P166" i="3"/>
  <c r="O167" i="3"/>
  <c r="N168" i="3"/>
  <c r="M169" i="3"/>
  <c r="L170" i="3"/>
  <c r="T170" i="3"/>
  <c r="S171" i="3"/>
  <c r="R172" i="3"/>
  <c r="Q173" i="3"/>
  <c r="P174" i="3"/>
  <c r="O175" i="3"/>
  <c r="N176" i="3"/>
  <c r="M177" i="3"/>
  <c r="L178" i="3"/>
  <c r="T178" i="3"/>
  <c r="S179" i="3"/>
  <c r="R180" i="3"/>
  <c r="Q181" i="3"/>
  <c r="P182" i="3"/>
  <c r="O183" i="3"/>
  <c r="N184" i="3"/>
  <c r="M185" i="3"/>
  <c r="L186" i="3"/>
  <c r="T186" i="3"/>
  <c r="S187" i="3"/>
  <c r="R188" i="3"/>
  <c r="Q189" i="3"/>
  <c r="P190" i="3"/>
  <c r="O191" i="3"/>
  <c r="N192" i="3"/>
  <c r="M193" i="3"/>
  <c r="L194" i="3"/>
  <c r="T194" i="3"/>
  <c r="S195" i="3"/>
  <c r="R196" i="3"/>
  <c r="Q197" i="3"/>
  <c r="P198" i="3"/>
  <c r="O199" i="3"/>
  <c r="N200" i="3"/>
  <c r="M201" i="3"/>
  <c r="L202" i="3"/>
  <c r="T202" i="3"/>
  <c r="S203" i="3"/>
  <c r="R204" i="3"/>
  <c r="Q205" i="3"/>
  <c r="P206" i="3"/>
  <c r="O207" i="3"/>
  <c r="N208" i="3"/>
  <c r="L19" i="3"/>
  <c r="R51" i="3"/>
  <c r="S60" i="3"/>
  <c r="P70" i="3"/>
  <c r="Q79" i="3"/>
  <c r="O83" i="3"/>
  <c r="T86" i="3"/>
  <c r="P90" i="3"/>
  <c r="T93" i="3"/>
  <c r="T95" i="3"/>
  <c r="P98" i="3"/>
  <c r="L101" i="3"/>
  <c r="L103" i="3"/>
  <c r="P105" i="3"/>
  <c r="N107" i="3"/>
  <c r="L109" i="3"/>
  <c r="S110" i="3"/>
  <c r="Q112" i="3"/>
  <c r="O114" i="3"/>
  <c r="M116" i="3"/>
  <c r="R117" i="3"/>
  <c r="T118" i="3"/>
  <c r="T119" i="3"/>
  <c r="L121" i="3"/>
  <c r="L122" i="3"/>
  <c r="L123" i="3"/>
  <c r="L124" i="3"/>
  <c r="L125" i="3"/>
  <c r="L126" i="3"/>
  <c r="L127" i="3"/>
  <c r="M128" i="3"/>
  <c r="M129" i="3"/>
  <c r="M130" i="3"/>
  <c r="M131" i="3"/>
  <c r="M132" i="3"/>
  <c r="M133" i="3"/>
  <c r="M134" i="3"/>
  <c r="N135" i="3"/>
  <c r="N136" i="3"/>
  <c r="N137" i="3"/>
  <c r="M138" i="3"/>
  <c r="L139" i="3"/>
  <c r="T139" i="3"/>
  <c r="S140" i="3"/>
  <c r="R141" i="3"/>
  <c r="Q142" i="3"/>
  <c r="P143" i="3"/>
  <c r="O144" i="3"/>
  <c r="N145" i="3"/>
  <c r="M146" i="3"/>
  <c r="L147" i="3"/>
  <c r="T147" i="3"/>
  <c r="S148" i="3"/>
  <c r="R149" i="3"/>
  <c r="Q150" i="3"/>
  <c r="P151" i="3"/>
  <c r="O152" i="3"/>
  <c r="N153" i="3"/>
  <c r="M154" i="3"/>
  <c r="L155" i="3"/>
  <c r="T155" i="3"/>
  <c r="S156" i="3"/>
  <c r="R157" i="3"/>
  <c r="Q158" i="3"/>
  <c r="P159" i="3"/>
  <c r="O160" i="3"/>
  <c r="N161" i="3"/>
  <c r="M162" i="3"/>
  <c r="L163" i="3"/>
  <c r="T163" i="3"/>
  <c r="S164" i="3"/>
  <c r="R165" i="3"/>
  <c r="Q166" i="3"/>
  <c r="P167" i="3"/>
  <c r="O168" i="3"/>
  <c r="N169" i="3"/>
  <c r="M170" i="3"/>
  <c r="L171" i="3"/>
  <c r="T171" i="3"/>
  <c r="S172" i="3"/>
  <c r="R173" i="3"/>
  <c r="Q174" i="3"/>
  <c r="P175" i="3"/>
  <c r="O176" i="3"/>
  <c r="N177" i="3"/>
  <c r="M178" i="3"/>
  <c r="L179" i="3"/>
  <c r="T179" i="3"/>
  <c r="S180" i="3"/>
  <c r="R181" i="3"/>
  <c r="Q182" i="3"/>
  <c r="P183" i="3"/>
  <c r="O184" i="3"/>
  <c r="N185" i="3"/>
  <c r="M186" i="3"/>
  <c r="L187" i="3"/>
  <c r="T187" i="3"/>
  <c r="S188" i="3"/>
  <c r="R189" i="3"/>
  <c r="Q190" i="3"/>
  <c r="P191" i="3"/>
  <c r="O192" i="3"/>
  <c r="N193" i="3"/>
  <c r="M194" i="3"/>
  <c r="L195" i="3"/>
  <c r="T195" i="3"/>
  <c r="S196" i="3"/>
  <c r="R197" i="3"/>
  <c r="Q198" i="3"/>
  <c r="P199" i="3"/>
  <c r="O200" i="3"/>
  <c r="N201" i="3"/>
  <c r="M202" i="3"/>
  <c r="L203" i="3"/>
  <c r="T203" i="3"/>
  <c r="S204" i="3"/>
  <c r="R205" i="3"/>
  <c r="Q206" i="3"/>
  <c r="M26" i="3"/>
  <c r="S51" i="3"/>
  <c r="P61" i="3"/>
  <c r="Q70" i="3"/>
  <c r="S79" i="3"/>
  <c r="P83" i="3"/>
  <c r="N33" i="3"/>
  <c r="R53" i="3"/>
  <c r="O63" i="3"/>
  <c r="L73" i="3"/>
  <c r="R80" i="3"/>
  <c r="N84" i="3"/>
  <c r="S87" i="3"/>
  <c r="O91" i="3"/>
  <c r="M94" i="3"/>
  <c r="R96" i="3"/>
  <c r="N99" i="3"/>
  <c r="N101" i="3"/>
  <c r="S103" i="3"/>
  <c r="R105" i="3"/>
  <c r="P107" i="3"/>
  <c r="N109" i="3"/>
  <c r="L111" i="3"/>
  <c r="S112" i="3"/>
  <c r="Q114" i="3"/>
  <c r="O116" i="3"/>
  <c r="T117" i="3"/>
  <c r="N119" i="3"/>
  <c r="N120" i="3"/>
  <c r="N121" i="3"/>
  <c r="N122" i="3"/>
  <c r="N123" i="3"/>
  <c r="N124" i="3"/>
  <c r="N125" i="3"/>
  <c r="O126" i="3"/>
  <c r="O127" i="3"/>
  <c r="O128" i="3"/>
  <c r="O129" i="3"/>
  <c r="O130" i="3"/>
  <c r="O131" i="3"/>
  <c r="O132" i="3"/>
  <c r="P133" i="3"/>
  <c r="P134" i="3"/>
  <c r="P135" i="3"/>
  <c r="P136" i="3"/>
  <c r="P137" i="3"/>
  <c r="O138" i="3"/>
  <c r="N139" i="3"/>
  <c r="M140" i="3"/>
  <c r="L141" i="3"/>
  <c r="T141" i="3"/>
  <c r="S142" i="3"/>
  <c r="R143" i="3"/>
  <c r="Q144" i="3"/>
  <c r="P145" i="3"/>
  <c r="O146" i="3"/>
  <c r="N147" i="3"/>
  <c r="M148" i="3"/>
  <c r="L149" i="3"/>
  <c r="T149" i="3"/>
  <c r="S150" i="3"/>
  <c r="R151" i="3"/>
  <c r="Q152" i="3"/>
  <c r="P153" i="3"/>
  <c r="O154" i="3"/>
  <c r="N155" i="3"/>
  <c r="M156" i="3"/>
  <c r="L157" i="3"/>
  <c r="T157" i="3"/>
  <c r="S158" i="3"/>
  <c r="R159" i="3"/>
  <c r="Q160" i="3"/>
  <c r="P161" i="3"/>
  <c r="O162" i="3"/>
  <c r="N163" i="3"/>
  <c r="M164" i="3"/>
  <c r="L165" i="3"/>
  <c r="T165" i="3"/>
  <c r="S166" i="3"/>
  <c r="R167" i="3"/>
  <c r="Q168" i="3"/>
  <c r="P169" i="3"/>
  <c r="O170" i="3"/>
  <c r="N171" i="3"/>
  <c r="M172" i="3"/>
  <c r="L173" i="3"/>
  <c r="T173" i="3"/>
  <c r="S174" i="3"/>
  <c r="R175" i="3"/>
  <c r="Q176" i="3"/>
  <c r="P177" i="3"/>
  <c r="O40" i="3"/>
  <c r="O54" i="3"/>
  <c r="P63" i="3"/>
  <c r="M73" i="3"/>
  <c r="S80" i="3"/>
  <c r="O84" i="3"/>
  <c r="T87" i="3"/>
  <c r="P91" i="3"/>
  <c r="S94" i="3"/>
  <c r="S96" i="3"/>
  <c r="O99" i="3"/>
  <c r="T101" i="3"/>
  <c r="T103" i="3"/>
  <c r="N106" i="3"/>
  <c r="L108" i="3"/>
  <c r="S109" i="3"/>
  <c r="Q111" i="3"/>
  <c r="O113" i="3"/>
  <c r="M115" i="3"/>
  <c r="S116" i="3"/>
  <c r="L118" i="3"/>
  <c r="O119" i="3"/>
  <c r="O120" i="3"/>
  <c r="O121" i="3"/>
  <c r="O122" i="3"/>
  <c r="O123" i="3"/>
  <c r="O124" i="3"/>
  <c r="P125" i="3"/>
  <c r="P126" i="3"/>
  <c r="P127" i="3"/>
  <c r="P128" i="3"/>
  <c r="P129" i="3"/>
  <c r="P130" i="3"/>
  <c r="P131" i="3"/>
  <c r="Q132" i="3"/>
  <c r="Q133" i="3"/>
  <c r="Q134" i="3"/>
  <c r="Q135" i="3"/>
  <c r="Q136" i="3"/>
  <c r="Q137" i="3"/>
  <c r="P138" i="3"/>
  <c r="O139" i="3"/>
  <c r="N140" i="3"/>
  <c r="M141" i="3"/>
  <c r="L142" i="3"/>
  <c r="T142" i="3"/>
  <c r="S143" i="3"/>
  <c r="R144" i="3"/>
  <c r="Q145" i="3"/>
  <c r="P146" i="3"/>
  <c r="O147" i="3"/>
  <c r="N148" i="3"/>
  <c r="M149" i="3"/>
  <c r="L150" i="3"/>
  <c r="T150" i="3"/>
  <c r="S151" i="3"/>
  <c r="R152" i="3"/>
  <c r="Q153" i="3"/>
  <c r="P154" i="3"/>
  <c r="O155" i="3"/>
  <c r="N156" i="3"/>
  <c r="M157" i="3"/>
  <c r="L158" i="3"/>
  <c r="T158" i="3"/>
  <c r="S159" i="3"/>
  <c r="R160" i="3"/>
  <c r="Q161" i="3"/>
  <c r="P162" i="3"/>
  <c r="O163" i="3"/>
  <c r="N164" i="3"/>
  <c r="M165" i="3"/>
  <c r="L166" i="3"/>
  <c r="S44" i="3"/>
  <c r="N56" i="3"/>
  <c r="T65" i="3"/>
  <c r="L75" i="3"/>
  <c r="Q81" i="3"/>
  <c r="M85" i="3"/>
  <c r="R88" i="3"/>
  <c r="N92" i="3"/>
  <c r="T94" i="3"/>
  <c r="P97" i="3"/>
  <c r="P99" i="3"/>
  <c r="L102" i="3"/>
  <c r="Q104" i="3"/>
  <c r="O106" i="3"/>
  <c r="M108" i="3"/>
  <c r="T109" i="3"/>
  <c r="R111" i="3"/>
  <c r="P113" i="3"/>
  <c r="N115" i="3"/>
  <c r="T116" i="3"/>
  <c r="M118" i="3"/>
  <c r="P119" i="3"/>
  <c r="P120" i="3"/>
  <c r="P121" i="3"/>
  <c r="P122" i="3"/>
  <c r="P123" i="3"/>
  <c r="Q124" i="3"/>
  <c r="Q125" i="3"/>
  <c r="Q126" i="3"/>
  <c r="Q127" i="3"/>
  <c r="Q128" i="3"/>
  <c r="Q129" i="3"/>
  <c r="Q130" i="3"/>
  <c r="R131" i="3"/>
  <c r="R132" i="3"/>
  <c r="R133" i="3"/>
  <c r="R134" i="3"/>
  <c r="R135" i="3"/>
  <c r="R136" i="3"/>
  <c r="R137" i="3"/>
  <c r="Q138" i="3"/>
  <c r="Q45" i="3"/>
  <c r="O56" i="3"/>
  <c r="L66" i="3"/>
  <c r="R75" i="3"/>
  <c r="R81" i="3"/>
  <c r="N85" i="3"/>
  <c r="S88" i="3"/>
  <c r="O92" i="3"/>
  <c r="L95" i="3"/>
  <c r="Q97" i="3"/>
  <c r="M100" i="3"/>
  <c r="M102" i="3"/>
  <c r="R104" i="3"/>
  <c r="P106" i="3"/>
  <c r="N108" i="3"/>
  <c r="L110" i="3"/>
  <c r="S111" i="3"/>
  <c r="Q113" i="3"/>
  <c r="O115" i="3"/>
  <c r="L117" i="3"/>
  <c r="Q118" i="3"/>
  <c r="Q119" i="3"/>
  <c r="Q120" i="3"/>
  <c r="Q121" i="3"/>
  <c r="Q122" i="3"/>
  <c r="O48" i="3"/>
  <c r="Q90" i="3"/>
  <c r="M101" i="3"/>
  <c r="M109" i="3"/>
  <c r="N116" i="3"/>
  <c r="M121" i="3"/>
  <c r="R124" i="3"/>
  <c r="N127" i="3"/>
  <c r="T129" i="3"/>
  <c r="S132" i="3"/>
  <c r="O135" i="3"/>
  <c r="T137" i="3"/>
  <c r="L140" i="3"/>
  <c r="S141" i="3"/>
  <c r="Q143" i="3"/>
  <c r="O145" i="3"/>
  <c r="M147" i="3"/>
  <c r="T148" i="3"/>
  <c r="R150" i="3"/>
  <c r="P152" i="3"/>
  <c r="N154" i="3"/>
  <c r="L156" i="3"/>
  <c r="S157" i="3"/>
  <c r="Q159" i="3"/>
  <c r="O161" i="3"/>
  <c r="M163" i="3"/>
  <c r="T164" i="3"/>
  <c r="R166" i="3"/>
  <c r="L168" i="3"/>
  <c r="Q169" i="3"/>
  <c r="S170" i="3"/>
  <c r="O172" i="3"/>
  <c r="S173" i="3"/>
  <c r="M175" i="3"/>
  <c r="R176" i="3"/>
  <c r="T177" i="3"/>
  <c r="N179" i="3"/>
  <c r="O180" i="3"/>
  <c r="P181" i="3"/>
  <c r="S182" i="3"/>
  <c r="T183" i="3"/>
  <c r="L185" i="3"/>
  <c r="O186" i="3"/>
  <c r="P187" i="3"/>
  <c r="Q188" i="3"/>
  <c r="T189" i="3"/>
  <c r="L191" i="3"/>
  <c r="M192" i="3"/>
  <c r="P193" i="3"/>
  <c r="Q194" i="3"/>
  <c r="R195" i="3"/>
  <c r="L197" i="3"/>
  <c r="M198" i="3"/>
  <c r="N199" i="3"/>
  <c r="Q200" i="3"/>
  <c r="R201" i="3"/>
  <c r="S202" i="3"/>
  <c r="M204" i="3"/>
  <c r="N205" i="3"/>
  <c r="O206" i="3"/>
  <c r="Q207" i="3"/>
  <c r="Q208" i="3"/>
  <c r="P209" i="3"/>
  <c r="O210" i="3"/>
  <c r="N211" i="3"/>
  <c r="M212" i="3"/>
  <c r="L213" i="3"/>
  <c r="T213" i="3"/>
  <c r="S214" i="3"/>
  <c r="R215" i="3"/>
  <c r="Q216" i="3"/>
  <c r="P217" i="3"/>
  <c r="O218" i="3"/>
  <c r="N219" i="3"/>
  <c r="M220" i="3"/>
  <c r="L221" i="3"/>
  <c r="T221" i="3"/>
  <c r="S222" i="3"/>
  <c r="R223" i="3"/>
  <c r="Q224" i="3"/>
  <c r="P225" i="3"/>
  <c r="O226" i="3"/>
  <c r="N227" i="3"/>
  <c r="M228" i="3"/>
  <c r="L229" i="3"/>
  <c r="T229" i="3"/>
  <c r="S230" i="3"/>
  <c r="R231" i="3"/>
  <c r="Q232" i="3"/>
  <c r="P233" i="3"/>
  <c r="O234" i="3"/>
  <c r="N235" i="3"/>
  <c r="M236" i="3"/>
  <c r="L237" i="3"/>
  <c r="T237" i="3"/>
  <c r="S238" i="3"/>
  <c r="R239" i="3"/>
  <c r="Q240" i="3"/>
  <c r="P241" i="3"/>
  <c r="O242" i="3"/>
  <c r="N243" i="3"/>
  <c r="M244" i="3"/>
  <c r="L245" i="3"/>
  <c r="T245" i="3"/>
  <c r="S246" i="3"/>
  <c r="R247" i="3"/>
  <c r="Q248" i="3"/>
  <c r="P249" i="3"/>
  <c r="O250" i="3"/>
  <c r="N251" i="3"/>
  <c r="M252" i="3"/>
  <c r="L253" i="3"/>
  <c r="T253" i="3"/>
  <c r="S254" i="3"/>
  <c r="R255" i="3"/>
  <c r="Q256" i="3"/>
  <c r="P257" i="3"/>
  <c r="O258" i="3"/>
  <c r="N259" i="3"/>
  <c r="M260" i="3"/>
  <c r="L261" i="3"/>
  <c r="T261" i="3"/>
  <c r="S262" i="3"/>
  <c r="R263" i="3"/>
  <c r="Q264" i="3"/>
  <c r="P265" i="3"/>
  <c r="O266" i="3"/>
  <c r="N267" i="3"/>
  <c r="M268" i="3"/>
  <c r="L269" i="3"/>
  <c r="T269" i="3"/>
  <c r="S270" i="3"/>
  <c r="R271" i="3"/>
  <c r="Q272" i="3"/>
  <c r="P273" i="3"/>
  <c r="O274" i="3"/>
  <c r="N275" i="3"/>
  <c r="M276" i="3"/>
  <c r="L277" i="3"/>
  <c r="T277" i="3"/>
  <c r="S278" i="3"/>
  <c r="R279" i="3"/>
  <c r="Q280" i="3"/>
  <c r="Q77" i="3"/>
  <c r="R95" i="3"/>
  <c r="S104" i="3"/>
  <c r="T111" i="3"/>
  <c r="R118" i="3"/>
  <c r="S122" i="3"/>
  <c r="R125" i="3"/>
  <c r="N128" i="3"/>
  <c r="T130" i="3"/>
  <c r="S133" i="3"/>
  <c r="O136" i="3"/>
  <c r="S138" i="3"/>
  <c r="Q140" i="3"/>
  <c r="O142" i="3"/>
  <c r="M144" i="3"/>
  <c r="T145" i="3"/>
  <c r="R147" i="3"/>
  <c r="P149" i="3"/>
  <c r="N151" i="3"/>
  <c r="L153" i="3"/>
  <c r="S154" i="3"/>
  <c r="Q156" i="3"/>
  <c r="O158" i="3"/>
  <c r="M160" i="3"/>
  <c r="T161" i="3"/>
  <c r="R163" i="3"/>
  <c r="P165" i="3"/>
  <c r="M167" i="3"/>
  <c r="R168" i="3"/>
  <c r="T169" i="3"/>
  <c r="P171" i="3"/>
  <c r="T172" i="3"/>
  <c r="N174" i="3"/>
  <c r="S175" i="3"/>
  <c r="L177" i="3"/>
  <c r="P178" i="3"/>
  <c r="Q179" i="3"/>
  <c r="T180" i="3"/>
  <c r="L182" i="3"/>
  <c r="M183" i="3"/>
  <c r="P184" i="3"/>
  <c r="Q185" i="3"/>
  <c r="R186" i="3"/>
  <c r="L188" i="3"/>
  <c r="M189" i="3"/>
  <c r="N190" i="3"/>
  <c r="Q191" i="3"/>
  <c r="R192" i="3"/>
  <c r="S193" i="3"/>
  <c r="M195" i="3"/>
  <c r="N196" i="3"/>
  <c r="O197" i="3"/>
  <c r="R198" i="3"/>
  <c r="S199" i="3"/>
  <c r="T200" i="3"/>
  <c r="N202" i="3"/>
  <c r="O203" i="3"/>
  <c r="P204" i="3"/>
  <c r="S205" i="3"/>
  <c r="T206" i="3"/>
  <c r="T207" i="3"/>
  <c r="T208" i="3"/>
  <c r="S209" i="3"/>
  <c r="R210" i="3"/>
  <c r="Q211" i="3"/>
  <c r="P212" i="3"/>
  <c r="O213" i="3"/>
  <c r="P82" i="3"/>
  <c r="Q96" i="3"/>
  <c r="Q105" i="3"/>
  <c r="R112" i="3"/>
  <c r="L119" i="3"/>
  <c r="M123" i="3"/>
  <c r="S125" i="3"/>
  <c r="R128" i="3"/>
  <c r="N131" i="3"/>
  <c r="T133" i="3"/>
  <c r="S136" i="3"/>
  <c r="M139" i="3"/>
  <c r="T140" i="3"/>
  <c r="R142" i="3"/>
  <c r="P144" i="3"/>
  <c r="N146" i="3"/>
  <c r="L148" i="3"/>
  <c r="S149" i="3"/>
  <c r="Q151" i="3"/>
  <c r="O153" i="3"/>
  <c r="M155" i="3"/>
  <c r="T156" i="3"/>
  <c r="R158" i="3"/>
  <c r="P160" i="3"/>
  <c r="N162" i="3"/>
  <c r="L164" i="3"/>
  <c r="S165" i="3"/>
  <c r="N167" i="3"/>
  <c r="S168" i="3"/>
  <c r="N170" i="3"/>
  <c r="Q171" i="3"/>
  <c r="M173" i="3"/>
  <c r="O174" i="3"/>
  <c r="T175" i="3"/>
  <c r="O177" i="3"/>
  <c r="Q178" i="3"/>
  <c r="R179" i="3"/>
  <c r="L181" i="3"/>
  <c r="M182" i="3"/>
  <c r="N183" i="3"/>
  <c r="Q184" i="3"/>
  <c r="R185" i="3"/>
  <c r="S186" i="3"/>
  <c r="M188" i="3"/>
  <c r="N189" i="3"/>
  <c r="O190" i="3"/>
  <c r="R191" i="3"/>
  <c r="S192" i="3"/>
  <c r="T193" i="3"/>
  <c r="N195" i="3"/>
  <c r="O196" i="3"/>
  <c r="P197" i="3"/>
  <c r="S198" i="3"/>
  <c r="T199" i="3"/>
  <c r="L201" i="3"/>
  <c r="O202" i="3"/>
  <c r="P203" i="3"/>
  <c r="Q204" i="3"/>
  <c r="T205" i="3"/>
  <c r="L207" i="3"/>
  <c r="L208" i="3"/>
  <c r="L209" i="3"/>
  <c r="T209" i="3"/>
  <c r="S210" i="3"/>
  <c r="R211" i="3"/>
  <c r="Q212" i="3"/>
  <c r="P213" i="3"/>
  <c r="O214" i="3"/>
  <c r="N215" i="3"/>
  <c r="M216" i="3"/>
  <c r="L217" i="3"/>
  <c r="T217" i="3"/>
  <c r="S218" i="3"/>
  <c r="R219" i="3"/>
  <c r="Q220" i="3"/>
  <c r="P221" i="3"/>
  <c r="O222" i="3"/>
  <c r="N223" i="3"/>
  <c r="M224" i="3"/>
  <c r="L225" i="3"/>
  <c r="T225" i="3"/>
  <c r="S226" i="3"/>
  <c r="R227" i="3"/>
  <c r="Q228" i="3"/>
  <c r="P229" i="3"/>
  <c r="L86" i="3"/>
  <c r="R97" i="3"/>
  <c r="Q106" i="3"/>
  <c r="R113" i="3"/>
  <c r="R119" i="3"/>
  <c r="R123" i="3"/>
  <c r="M126" i="3"/>
  <c r="S128" i="3"/>
  <c r="S131" i="3"/>
  <c r="O134" i="3"/>
  <c r="L137" i="3"/>
  <c r="P139" i="3"/>
  <c r="N141" i="3"/>
  <c r="L143" i="3"/>
  <c r="S144" i="3"/>
  <c r="Q146" i="3"/>
  <c r="O148" i="3"/>
  <c r="M150" i="3"/>
  <c r="T151" i="3"/>
  <c r="R153" i="3"/>
  <c r="P155" i="3"/>
  <c r="N157" i="3"/>
  <c r="L159" i="3"/>
  <c r="S160" i="3"/>
  <c r="Q162" i="3"/>
  <c r="O164" i="3"/>
  <c r="M166" i="3"/>
  <c r="Q167" i="3"/>
  <c r="T168" i="3"/>
  <c r="P170" i="3"/>
  <c r="R171" i="3"/>
  <c r="N173" i="3"/>
  <c r="R174" i="3"/>
  <c r="L176" i="3"/>
  <c r="Q177" i="3"/>
  <c r="R178" i="3"/>
  <c r="L180" i="3"/>
  <c r="M181" i="3"/>
  <c r="N182" i="3"/>
  <c r="Q183" i="3"/>
  <c r="R184" i="3"/>
  <c r="S185" i="3"/>
  <c r="M187" i="3"/>
  <c r="N188" i="3"/>
  <c r="O189" i="3"/>
  <c r="R190" i="3"/>
  <c r="S191" i="3"/>
  <c r="T192" i="3"/>
  <c r="N194" i="3"/>
  <c r="O195" i="3"/>
  <c r="P196" i="3"/>
  <c r="S197" i="3"/>
  <c r="T198" i="3"/>
  <c r="L200" i="3"/>
  <c r="O201" i="3"/>
  <c r="P202" i="3"/>
  <c r="Q203" i="3"/>
  <c r="T204" i="3"/>
  <c r="Q89" i="3"/>
  <c r="N100" i="3"/>
  <c r="O108" i="3"/>
  <c r="P115" i="3"/>
  <c r="R120" i="3"/>
  <c r="M124" i="3"/>
  <c r="S126" i="3"/>
  <c r="R129" i="3"/>
  <c r="N132" i="3"/>
  <c r="T134" i="3"/>
  <c r="S137" i="3"/>
  <c r="R139" i="3"/>
  <c r="P141" i="3"/>
  <c r="N143" i="3"/>
  <c r="L145" i="3"/>
  <c r="S146" i="3"/>
  <c r="Q148" i="3"/>
  <c r="O150" i="3"/>
  <c r="M152" i="3"/>
  <c r="T153" i="3"/>
  <c r="R155" i="3"/>
  <c r="T67" i="3"/>
  <c r="M110" i="3"/>
  <c r="S123" i="3"/>
  <c r="S130" i="3"/>
  <c r="N138" i="3"/>
  <c r="M143" i="3"/>
  <c r="Q147" i="3"/>
  <c r="S152" i="3"/>
  <c r="O157" i="3"/>
  <c r="T160" i="3"/>
  <c r="P164" i="3"/>
  <c r="S167" i="3"/>
  <c r="Q170" i="3"/>
  <c r="O173" i="3"/>
  <c r="M176" i="3"/>
  <c r="S178" i="3"/>
  <c r="N181" i="3"/>
  <c r="R183" i="3"/>
  <c r="T185" i="3"/>
  <c r="O188" i="3"/>
  <c r="S190" i="3"/>
  <c r="L193" i="3"/>
  <c r="P195" i="3"/>
  <c r="T197" i="3"/>
  <c r="M200" i="3"/>
  <c r="Q202" i="3"/>
  <c r="L205" i="3"/>
  <c r="S206" i="3"/>
  <c r="P208" i="3"/>
  <c r="L210" i="3"/>
  <c r="O211" i="3"/>
  <c r="S212" i="3"/>
  <c r="M214" i="3"/>
  <c r="O215" i="3"/>
  <c r="P216" i="3"/>
  <c r="R217" i="3"/>
  <c r="T218" i="3"/>
  <c r="L220" i="3"/>
  <c r="N221" i="3"/>
  <c r="P222" i="3"/>
  <c r="Q223" i="3"/>
  <c r="S224" i="3"/>
  <c r="L226" i="3"/>
  <c r="M227" i="3"/>
  <c r="O228" i="3"/>
  <c r="Q229" i="3"/>
  <c r="Q230" i="3"/>
  <c r="Q231" i="3"/>
  <c r="R232" i="3"/>
  <c r="R233" i="3"/>
  <c r="R234" i="3"/>
  <c r="R235" i="3"/>
  <c r="R236" i="3"/>
  <c r="R237" i="3"/>
  <c r="R238" i="3"/>
  <c r="S239" i="3"/>
  <c r="S240" i="3"/>
  <c r="S241" i="3"/>
  <c r="S242" i="3"/>
  <c r="S243" i="3"/>
  <c r="S244" i="3"/>
  <c r="S245" i="3"/>
  <c r="T246" i="3"/>
  <c r="T247" i="3"/>
  <c r="T248" i="3"/>
  <c r="T249" i="3"/>
  <c r="T250" i="3"/>
  <c r="T251" i="3"/>
  <c r="T252" i="3"/>
  <c r="L254" i="3"/>
  <c r="L255" i="3"/>
  <c r="L256" i="3"/>
  <c r="L257" i="3"/>
  <c r="L258" i="3"/>
  <c r="L259" i="3"/>
  <c r="L260" i="3"/>
  <c r="M261" i="3"/>
  <c r="M262" i="3"/>
  <c r="M263" i="3"/>
  <c r="M264" i="3"/>
  <c r="M265" i="3"/>
  <c r="M266" i="3"/>
  <c r="M267" i="3"/>
  <c r="N268" i="3"/>
  <c r="N269" i="3"/>
  <c r="N270" i="3"/>
  <c r="N271" i="3"/>
  <c r="N272" i="3"/>
  <c r="N273" i="3"/>
  <c r="N274" i="3"/>
  <c r="O275" i="3"/>
  <c r="O276" i="3"/>
  <c r="O277" i="3"/>
  <c r="O278" i="3"/>
  <c r="O279" i="3"/>
  <c r="O280" i="3"/>
  <c r="O281" i="3"/>
  <c r="N282" i="3"/>
  <c r="M283" i="3"/>
  <c r="L284" i="3"/>
  <c r="T284" i="3"/>
  <c r="S285" i="3"/>
  <c r="R286" i="3"/>
  <c r="Q287" i="3"/>
  <c r="P288" i="3"/>
  <c r="O289" i="3"/>
  <c r="N290" i="3"/>
  <c r="M291" i="3"/>
  <c r="L292" i="3"/>
  <c r="T292" i="3"/>
  <c r="S293" i="3"/>
  <c r="R294" i="3"/>
  <c r="Q295" i="3"/>
  <c r="P296" i="3"/>
  <c r="O297" i="3"/>
  <c r="N298" i="3"/>
  <c r="M299" i="3"/>
  <c r="L300" i="3"/>
  <c r="T300" i="3"/>
  <c r="S301" i="3"/>
  <c r="R302" i="3"/>
  <c r="Q303" i="3"/>
  <c r="P304" i="3"/>
  <c r="O305" i="3"/>
  <c r="N306" i="3"/>
  <c r="M307" i="3"/>
  <c r="L308" i="3"/>
  <c r="T308" i="3"/>
  <c r="S309" i="3"/>
  <c r="R310" i="3"/>
  <c r="Q311" i="3"/>
  <c r="P312" i="3"/>
  <c r="O313" i="3"/>
  <c r="N314" i="3"/>
  <c r="M315" i="3"/>
  <c r="L316" i="3"/>
  <c r="T316" i="3"/>
  <c r="S317" i="3"/>
  <c r="R318" i="3"/>
  <c r="Q319" i="3"/>
  <c r="P320" i="3"/>
  <c r="O321" i="3"/>
  <c r="N322" i="3"/>
  <c r="M323" i="3"/>
  <c r="L324" i="3"/>
  <c r="T324" i="3"/>
  <c r="S325" i="3"/>
  <c r="R326" i="3"/>
  <c r="Q327" i="3"/>
  <c r="P328" i="3"/>
  <c r="O329" i="3"/>
  <c r="N330" i="3"/>
  <c r="M331" i="3"/>
  <c r="L332" i="3"/>
  <c r="T332" i="3"/>
  <c r="S333" i="3"/>
  <c r="R334" i="3"/>
  <c r="Q335" i="3"/>
  <c r="P336" i="3"/>
  <c r="O337" i="3"/>
  <c r="N338" i="3"/>
  <c r="M339" i="3"/>
  <c r="L340" i="3"/>
  <c r="M93" i="3"/>
  <c r="P114" i="3"/>
  <c r="M125" i="3"/>
  <c r="T132" i="3"/>
  <c r="Q139" i="3"/>
  <c r="L144" i="3"/>
  <c r="N149" i="3"/>
  <c r="S153" i="3"/>
  <c r="M158" i="3"/>
  <c r="R161" i="3"/>
  <c r="N165" i="3"/>
  <c r="M168" i="3"/>
  <c r="M171" i="3"/>
  <c r="L174" i="3"/>
  <c r="S176" i="3"/>
  <c r="O179" i="3"/>
  <c r="S181" i="3"/>
  <c r="L184" i="3"/>
  <c r="P186" i="3"/>
  <c r="T188" i="3"/>
  <c r="M191" i="3"/>
  <c r="Q193" i="3"/>
  <c r="L196" i="3"/>
  <c r="N198" i="3"/>
  <c r="R200" i="3"/>
  <c r="M203" i="3"/>
  <c r="O205" i="3"/>
  <c r="N207" i="3"/>
  <c r="S208" i="3"/>
  <c r="N210" i="3"/>
  <c r="S211" i="3"/>
  <c r="M213" i="3"/>
  <c r="P214" i="3"/>
  <c r="Q215" i="3"/>
  <c r="S216" i="3"/>
  <c r="L218" i="3"/>
  <c r="M219" i="3"/>
  <c r="O220" i="3"/>
  <c r="Q221" i="3"/>
  <c r="R222" i="3"/>
  <c r="T223" i="3"/>
  <c r="M225" i="3"/>
  <c r="N226" i="3"/>
  <c r="P227" i="3"/>
  <c r="R228" i="3"/>
  <c r="S229" i="3"/>
  <c r="T230" i="3"/>
  <c r="T231" i="3"/>
  <c r="T232" i="3"/>
  <c r="T233" i="3"/>
  <c r="T234" i="3"/>
  <c r="T235" i="3"/>
  <c r="T236" i="3"/>
  <c r="L238" i="3"/>
  <c r="L239" i="3"/>
  <c r="L240" i="3"/>
  <c r="L241" i="3"/>
  <c r="L242" i="3"/>
  <c r="L243" i="3"/>
  <c r="L244" i="3"/>
  <c r="M245" i="3"/>
  <c r="M246" i="3"/>
  <c r="M247" i="3"/>
  <c r="M248" i="3"/>
  <c r="M249" i="3"/>
  <c r="M250" i="3"/>
  <c r="M251" i="3"/>
  <c r="N252" i="3"/>
  <c r="N253" i="3"/>
  <c r="N254" i="3"/>
  <c r="N255" i="3"/>
  <c r="N256" i="3"/>
  <c r="N257" i="3"/>
  <c r="N258" i="3"/>
  <c r="O259" i="3"/>
  <c r="O260" i="3"/>
  <c r="O261" i="3"/>
  <c r="O262" i="3"/>
  <c r="O263" i="3"/>
  <c r="O264" i="3"/>
  <c r="O265" i="3"/>
  <c r="P266" i="3"/>
  <c r="P267" i="3"/>
  <c r="P268" i="3"/>
  <c r="P269" i="3"/>
  <c r="P270" i="3"/>
  <c r="P271" i="3"/>
  <c r="P272" i="3"/>
  <c r="Q273" i="3"/>
  <c r="Q274" i="3"/>
  <c r="Q275" i="3"/>
  <c r="Q276" i="3"/>
  <c r="Q277" i="3"/>
  <c r="Q278" i="3"/>
  <c r="Q279" i="3"/>
  <c r="R280" i="3"/>
  <c r="Q281" i="3"/>
  <c r="P282" i="3"/>
  <c r="O283" i="3"/>
  <c r="N284" i="3"/>
  <c r="M285" i="3"/>
  <c r="L286" i="3"/>
  <c r="T286" i="3"/>
  <c r="S287" i="3"/>
  <c r="R288" i="3"/>
  <c r="Q289" i="3"/>
  <c r="P290" i="3"/>
  <c r="O291" i="3"/>
  <c r="N292" i="3"/>
  <c r="M293" i="3"/>
  <c r="L294" i="3"/>
  <c r="T294" i="3"/>
  <c r="S295" i="3"/>
  <c r="R296" i="3"/>
  <c r="Q297" i="3"/>
  <c r="P298" i="3"/>
  <c r="O299" i="3"/>
  <c r="N300" i="3"/>
  <c r="L94" i="3"/>
  <c r="M117" i="3"/>
  <c r="R126" i="3"/>
  <c r="N133" i="3"/>
  <c r="O140" i="3"/>
  <c r="T144" i="3"/>
  <c r="O149" i="3"/>
  <c r="Q154" i="3"/>
  <c r="N158" i="3"/>
  <c r="S161" i="3"/>
  <c r="O165" i="3"/>
  <c r="P168" i="3"/>
  <c r="O171" i="3"/>
  <c r="M174" i="3"/>
  <c r="T176" i="3"/>
  <c r="P179" i="3"/>
  <c r="T181" i="3"/>
  <c r="M184" i="3"/>
  <c r="Q186" i="3"/>
  <c r="L189" i="3"/>
  <c r="N191" i="3"/>
  <c r="R193" i="3"/>
  <c r="M196" i="3"/>
  <c r="O198" i="3"/>
  <c r="S200" i="3"/>
  <c r="N203" i="3"/>
  <c r="P205" i="3"/>
  <c r="P207" i="3"/>
  <c r="M209" i="3"/>
  <c r="P210" i="3"/>
  <c r="T211" i="3"/>
  <c r="N213" i="3"/>
  <c r="Q214" i="3"/>
  <c r="S215" i="3"/>
  <c r="T216" i="3"/>
  <c r="M218" i="3"/>
  <c r="O219" i="3"/>
  <c r="P220" i="3"/>
  <c r="R221" i="3"/>
  <c r="T222" i="3"/>
  <c r="L224" i="3"/>
  <c r="N225" i="3"/>
  <c r="P226" i="3"/>
  <c r="Q227" i="3"/>
  <c r="S228" i="3"/>
  <c r="L230" i="3"/>
  <c r="L231" i="3"/>
  <c r="L232" i="3"/>
  <c r="L233" i="3"/>
  <c r="L234" i="3"/>
  <c r="L235" i="3"/>
  <c r="L236" i="3"/>
  <c r="M237" i="3"/>
  <c r="M238" i="3"/>
  <c r="M239" i="3"/>
  <c r="M240" i="3"/>
  <c r="M241" i="3"/>
  <c r="M242" i="3"/>
  <c r="M243" i="3"/>
  <c r="N244" i="3"/>
  <c r="N245" i="3"/>
  <c r="N246" i="3"/>
  <c r="N247" i="3"/>
  <c r="N248" i="3"/>
  <c r="N249" i="3"/>
  <c r="N250" i="3"/>
  <c r="O251" i="3"/>
  <c r="O252" i="3"/>
  <c r="O253" i="3"/>
  <c r="O254" i="3"/>
  <c r="O255" i="3"/>
  <c r="O256" i="3"/>
  <c r="O257" i="3"/>
  <c r="P258" i="3"/>
  <c r="P259" i="3"/>
  <c r="P260" i="3"/>
  <c r="P261" i="3"/>
  <c r="P262" i="3"/>
  <c r="P263" i="3"/>
  <c r="P264" i="3"/>
  <c r="Q265" i="3"/>
  <c r="Q266" i="3"/>
  <c r="Q267" i="3"/>
  <c r="Q268" i="3"/>
  <c r="Q269" i="3"/>
  <c r="Q270" i="3"/>
  <c r="Q271" i="3"/>
  <c r="R272" i="3"/>
  <c r="R273" i="3"/>
  <c r="R274" i="3"/>
  <c r="R275" i="3"/>
  <c r="R276" i="3"/>
  <c r="R277" i="3"/>
  <c r="R278" i="3"/>
  <c r="S279" i="3"/>
  <c r="S280" i="3"/>
  <c r="R281" i="3"/>
  <c r="Q282" i="3"/>
  <c r="P283" i="3"/>
  <c r="O284" i="3"/>
  <c r="N285" i="3"/>
  <c r="M286" i="3"/>
  <c r="L287" i="3"/>
  <c r="T287" i="3"/>
  <c r="S288" i="3"/>
  <c r="R289" i="3"/>
  <c r="Q290" i="3"/>
  <c r="P291" i="3"/>
  <c r="O292" i="3"/>
  <c r="N293" i="3"/>
  <c r="M294" i="3"/>
  <c r="L295" i="3"/>
  <c r="T295" i="3"/>
  <c r="S296" i="3"/>
  <c r="R297" i="3"/>
  <c r="Q98" i="3"/>
  <c r="S117" i="3"/>
  <c r="R127" i="3"/>
  <c r="S134" i="3"/>
  <c r="P140" i="3"/>
  <c r="R145" i="3"/>
  <c r="N150" i="3"/>
  <c r="R154" i="3"/>
  <c r="M159" i="3"/>
  <c r="R162" i="3"/>
  <c r="N166" i="3"/>
  <c r="L169" i="3"/>
  <c r="L172" i="3"/>
  <c r="T174" i="3"/>
  <c r="R177" i="3"/>
  <c r="M180" i="3"/>
  <c r="O182" i="3"/>
  <c r="S184" i="3"/>
  <c r="N187" i="3"/>
  <c r="P189" i="3"/>
  <c r="T191" i="3"/>
  <c r="O194" i="3"/>
  <c r="Q196" i="3"/>
  <c r="L199" i="3"/>
  <c r="P201" i="3"/>
  <c r="R203" i="3"/>
  <c r="L206" i="3"/>
  <c r="R207" i="3"/>
  <c r="N209" i="3"/>
  <c r="Q210" i="3"/>
  <c r="L212" i="3"/>
  <c r="Q213" i="3"/>
  <c r="R214" i="3"/>
  <c r="T215" i="3"/>
  <c r="M217" i="3"/>
  <c r="N218" i="3"/>
  <c r="P219" i="3"/>
  <c r="R220" i="3"/>
  <c r="S221" i="3"/>
  <c r="L223" i="3"/>
  <c r="N224" i="3"/>
  <c r="O225" i="3"/>
  <c r="Q226" i="3"/>
  <c r="S227" i="3"/>
  <c r="T228" i="3"/>
  <c r="M230" i="3"/>
  <c r="M231" i="3"/>
  <c r="M232" i="3"/>
  <c r="M233" i="3"/>
  <c r="M234" i="3"/>
  <c r="M235" i="3"/>
  <c r="N236" i="3"/>
  <c r="N237" i="3"/>
  <c r="N238" i="3"/>
  <c r="N239" i="3"/>
  <c r="N240" i="3"/>
  <c r="N241" i="3"/>
  <c r="N242" i="3"/>
  <c r="O243" i="3"/>
  <c r="O244" i="3"/>
  <c r="O245" i="3"/>
  <c r="O246" i="3"/>
  <c r="O247" i="3"/>
  <c r="O248" i="3"/>
  <c r="O249" i="3"/>
  <c r="P250" i="3"/>
  <c r="P251" i="3"/>
  <c r="P252" i="3"/>
  <c r="P253" i="3"/>
  <c r="P254" i="3"/>
  <c r="P255" i="3"/>
  <c r="P256" i="3"/>
  <c r="Q257" i="3"/>
  <c r="Q258" i="3"/>
  <c r="Q259" i="3"/>
  <c r="Q260" i="3"/>
  <c r="Q261" i="3"/>
  <c r="Q262" i="3"/>
  <c r="Q263" i="3"/>
  <c r="R264" i="3"/>
  <c r="R265" i="3"/>
  <c r="R266" i="3"/>
  <c r="R267" i="3"/>
  <c r="R268" i="3"/>
  <c r="R269" i="3"/>
  <c r="R103" i="3"/>
  <c r="R121" i="3"/>
  <c r="N129" i="3"/>
  <c r="T135" i="3"/>
  <c r="M142" i="3"/>
  <c r="R146" i="3"/>
  <c r="M151" i="3"/>
  <c r="O156" i="3"/>
  <c r="T159" i="3"/>
  <c r="P163" i="3"/>
  <c r="T166" i="3"/>
  <c r="R169" i="3"/>
  <c r="P172" i="3"/>
  <c r="N175" i="3"/>
  <c r="N178" i="3"/>
  <c r="P180" i="3"/>
  <c r="T182" i="3"/>
  <c r="O185" i="3"/>
  <c r="Q187" i="3"/>
  <c r="L190" i="3"/>
  <c r="P192" i="3"/>
  <c r="R194" i="3"/>
  <c r="M197" i="3"/>
  <c r="Q199" i="3"/>
  <c r="S201" i="3"/>
  <c r="N204" i="3"/>
  <c r="N206" i="3"/>
  <c r="M208" i="3"/>
  <c r="Q209" i="3"/>
  <c r="L211" i="3"/>
  <c r="O212" i="3"/>
  <c r="S213" i="3"/>
  <c r="L215" i="3"/>
  <c r="N216" i="3"/>
  <c r="O217" i="3"/>
  <c r="Q218" i="3"/>
  <c r="S219" i="3"/>
  <c r="T220" i="3"/>
  <c r="M222" i="3"/>
  <c r="O223" i="3"/>
  <c r="P224" i="3"/>
  <c r="R225" i="3"/>
  <c r="T226" i="3"/>
  <c r="L228" i="3"/>
  <c r="N229" i="3"/>
  <c r="O230" i="3"/>
  <c r="O231" i="3"/>
  <c r="O232" i="3"/>
  <c r="O233" i="3"/>
  <c r="P234" i="3"/>
  <c r="P235" i="3"/>
  <c r="P236" i="3"/>
  <c r="P237" i="3"/>
  <c r="P238" i="3"/>
  <c r="P239" i="3"/>
  <c r="P240" i="3"/>
  <c r="Q241" i="3"/>
  <c r="Q242" i="3"/>
  <c r="Q243" i="3"/>
  <c r="S58" i="3"/>
  <c r="S127" i="3"/>
  <c r="T143" i="3"/>
  <c r="P156" i="3"/>
  <c r="O166" i="3"/>
  <c r="P173" i="3"/>
  <c r="Q180" i="3"/>
  <c r="O187" i="3"/>
  <c r="O193" i="3"/>
  <c r="R199" i="3"/>
  <c r="M206" i="3"/>
  <c r="M210" i="3"/>
  <c r="L214" i="3"/>
  <c r="N217" i="3"/>
  <c r="N220" i="3"/>
  <c r="P223" i="3"/>
  <c r="R226" i="3"/>
  <c r="R229" i="3"/>
  <c r="P232" i="3"/>
  <c r="O235" i="3"/>
  <c r="S237" i="3"/>
  <c r="R240" i="3"/>
  <c r="P243" i="3"/>
  <c r="Q245" i="3"/>
  <c r="Q247" i="3"/>
  <c r="R249" i="3"/>
  <c r="R251" i="3"/>
  <c r="R253" i="3"/>
  <c r="S255" i="3"/>
  <c r="S257" i="3"/>
  <c r="S259" i="3"/>
  <c r="S261" i="3"/>
  <c r="T263" i="3"/>
  <c r="T265" i="3"/>
  <c r="T267" i="3"/>
  <c r="L270" i="3"/>
  <c r="S271" i="3"/>
  <c r="M273" i="3"/>
  <c r="T274" i="3"/>
  <c r="P276" i="3"/>
  <c r="M278" i="3"/>
  <c r="T279" i="3"/>
  <c r="N281" i="3"/>
  <c r="S282" i="3"/>
  <c r="M284" i="3"/>
  <c r="Q285" i="3"/>
  <c r="M287" i="3"/>
  <c r="O288" i="3"/>
  <c r="T289" i="3"/>
  <c r="N291" i="3"/>
  <c r="R292" i="3"/>
  <c r="N294" i="3"/>
  <c r="P295" i="3"/>
  <c r="L297" i="3"/>
  <c r="O298" i="3"/>
  <c r="Q299" i="3"/>
  <c r="R300" i="3"/>
  <c r="R301" i="3"/>
  <c r="S302" i="3"/>
  <c r="S303" i="3"/>
  <c r="S304" i="3"/>
  <c r="S305" i="3"/>
  <c r="S306" i="3"/>
  <c r="S307" i="3"/>
  <c r="S308" i="3"/>
  <c r="T309" i="3"/>
  <c r="T310" i="3"/>
  <c r="T311" i="3"/>
  <c r="T312" i="3"/>
  <c r="T313" i="3"/>
  <c r="T314" i="3"/>
  <c r="T315" i="3"/>
  <c r="L317" i="3"/>
  <c r="L318" i="3"/>
  <c r="L319" i="3"/>
  <c r="L320" i="3"/>
  <c r="L321" i="3"/>
  <c r="L322" i="3"/>
  <c r="L323" i="3"/>
  <c r="M324" i="3"/>
  <c r="M325" i="3"/>
  <c r="M326" i="3"/>
  <c r="M327" i="3"/>
  <c r="M328" i="3"/>
  <c r="M329" i="3"/>
  <c r="M330" i="3"/>
  <c r="N331" i="3"/>
  <c r="N332" i="3"/>
  <c r="N333" i="3"/>
  <c r="N334" i="3"/>
  <c r="N335" i="3"/>
  <c r="N336" i="3"/>
  <c r="N337" i="3"/>
  <c r="O338" i="3"/>
  <c r="O339" i="3"/>
  <c r="O340" i="3"/>
  <c r="N341" i="3"/>
  <c r="M342" i="3"/>
  <c r="L87" i="3"/>
  <c r="N130" i="3"/>
  <c r="S145" i="3"/>
  <c r="P157" i="3"/>
  <c r="L167" i="3"/>
  <c r="L175" i="3"/>
  <c r="O181" i="3"/>
  <c r="R187" i="3"/>
  <c r="P194" i="3"/>
  <c r="P200" i="3"/>
  <c r="R206" i="3"/>
  <c r="T210" i="3"/>
  <c r="N214" i="3"/>
  <c r="Q217" i="3"/>
  <c r="S220" i="3"/>
  <c r="S223" i="3"/>
  <c r="L227" i="3"/>
  <c r="N230" i="3"/>
  <c r="S232" i="3"/>
  <c r="Q235" i="3"/>
  <c r="O238" i="3"/>
  <c r="T240" i="3"/>
  <c r="R243" i="3"/>
  <c r="R245" i="3"/>
  <c r="S247" i="3"/>
  <c r="S249" i="3"/>
  <c r="S251" i="3"/>
  <c r="S253" i="3"/>
  <c r="T255" i="3"/>
  <c r="T257" i="3"/>
  <c r="T259" i="3"/>
  <c r="L262" i="3"/>
  <c r="L264" i="3"/>
  <c r="L266" i="3"/>
  <c r="L268" i="3"/>
  <c r="M270" i="3"/>
  <c r="T271" i="3"/>
  <c r="O273" i="3"/>
  <c r="L275" i="3"/>
  <c r="S276" i="3"/>
  <c r="N278" i="3"/>
  <c r="L280" i="3"/>
  <c r="P281" i="3"/>
  <c r="T282" i="3"/>
  <c r="P284" i="3"/>
  <c r="R285" i="3"/>
  <c r="N287" i="3"/>
  <c r="Q288" i="3"/>
  <c r="L290" i="3"/>
  <c r="Q291" i="3"/>
  <c r="S292" i="3"/>
  <c r="O294" i="3"/>
  <c r="R295" i="3"/>
  <c r="M297" i="3"/>
  <c r="Q298" i="3"/>
  <c r="R299" i="3"/>
  <c r="S300" i="3"/>
  <c r="T301" i="3"/>
  <c r="T302" i="3"/>
  <c r="T303" i="3"/>
  <c r="T304" i="3"/>
  <c r="T305" i="3"/>
  <c r="T306" i="3"/>
  <c r="T307" i="3"/>
  <c r="L309" i="3"/>
  <c r="L310" i="3"/>
  <c r="L311" i="3"/>
  <c r="L312" i="3"/>
  <c r="L313" i="3"/>
  <c r="L314" i="3"/>
  <c r="L315" i="3"/>
  <c r="M316" i="3"/>
  <c r="M317" i="3"/>
  <c r="M318" i="3"/>
  <c r="M319" i="3"/>
  <c r="M320" i="3"/>
  <c r="M321" i="3"/>
  <c r="M322" i="3"/>
  <c r="N323" i="3"/>
  <c r="N324" i="3"/>
  <c r="N325" i="3"/>
  <c r="N326" i="3"/>
  <c r="N327" i="3"/>
  <c r="N328" i="3"/>
  <c r="N329" i="3"/>
  <c r="O330" i="3"/>
  <c r="O331" i="3"/>
  <c r="O332" i="3"/>
  <c r="O333" i="3"/>
  <c r="O334" i="3"/>
  <c r="O335" i="3"/>
  <c r="S102" i="3"/>
  <c r="T131" i="3"/>
  <c r="P147" i="3"/>
  <c r="N159" i="3"/>
  <c r="T167" i="3"/>
  <c r="Q175" i="3"/>
  <c r="R182" i="3"/>
  <c r="P188" i="3"/>
  <c r="S194" i="3"/>
  <c r="Q201" i="3"/>
  <c r="M207" i="3"/>
  <c r="M211" i="3"/>
  <c r="T214" i="3"/>
  <c r="S217" i="3"/>
  <c r="M221" i="3"/>
  <c r="O224" i="3"/>
  <c r="O227" i="3"/>
  <c r="P230" i="3"/>
  <c r="N233" i="3"/>
  <c r="S235" i="3"/>
  <c r="Q238" i="3"/>
  <c r="O241" i="3"/>
  <c r="T243" i="3"/>
  <c r="L246" i="3"/>
  <c r="L248" i="3"/>
  <c r="L250" i="3"/>
  <c r="L252" i="3"/>
  <c r="M254" i="3"/>
  <c r="M256" i="3"/>
  <c r="M258" i="3"/>
  <c r="N260" i="3"/>
  <c r="N262" i="3"/>
  <c r="N264" i="3"/>
  <c r="N266" i="3"/>
  <c r="O268" i="3"/>
  <c r="O270" i="3"/>
  <c r="L272" i="3"/>
  <c r="S273" i="3"/>
  <c r="M275" i="3"/>
  <c r="T276" i="3"/>
  <c r="P278" i="3"/>
  <c r="M280" i="3"/>
  <c r="S281" i="3"/>
  <c r="L283" i="3"/>
  <c r="Q284" i="3"/>
  <c r="T285" i="3"/>
  <c r="O287" i="3"/>
  <c r="T288" i="3"/>
  <c r="M290" i="3"/>
  <c r="R291" i="3"/>
  <c r="L293" i="3"/>
  <c r="P294" i="3"/>
  <c r="L296" i="3"/>
  <c r="N297" i="3"/>
  <c r="R298" i="3"/>
  <c r="S299" i="3"/>
  <c r="L301" i="3"/>
  <c r="L302" i="3"/>
  <c r="L303" i="3"/>
  <c r="L304" i="3"/>
  <c r="L305" i="3"/>
  <c r="L306" i="3"/>
  <c r="L307" i="3"/>
  <c r="M308" i="3"/>
  <c r="M309" i="3"/>
  <c r="M310" i="3"/>
  <c r="M311" i="3"/>
  <c r="M312" i="3"/>
  <c r="M313" i="3"/>
  <c r="M314" i="3"/>
  <c r="N315" i="3"/>
  <c r="N316" i="3"/>
  <c r="N317" i="3"/>
  <c r="N318" i="3"/>
  <c r="N319" i="3"/>
  <c r="N320" i="3"/>
  <c r="N321" i="3"/>
  <c r="O322" i="3"/>
  <c r="O323" i="3"/>
  <c r="O324" i="3"/>
  <c r="O325" i="3"/>
  <c r="O326" i="3"/>
  <c r="O327" i="3"/>
  <c r="O328" i="3"/>
  <c r="P329" i="3"/>
  <c r="O107" i="3"/>
  <c r="S135" i="3"/>
  <c r="P148" i="3"/>
  <c r="L160" i="3"/>
  <c r="O169" i="3"/>
  <c r="P176" i="3"/>
  <c r="L183" i="3"/>
  <c r="S189" i="3"/>
  <c r="Q195" i="3"/>
  <c r="T201" i="3"/>
  <c r="S207" i="3"/>
  <c r="P211" i="3"/>
  <c r="M215" i="3"/>
  <c r="P218" i="3"/>
  <c r="O221" i="3"/>
  <c r="R224" i="3"/>
  <c r="T227" i="3"/>
  <c r="R230" i="3"/>
  <c r="Q233" i="3"/>
  <c r="O236" i="3"/>
  <c r="T238" i="3"/>
  <c r="R241" i="3"/>
  <c r="P244" i="3"/>
  <c r="P246" i="3"/>
  <c r="P248" i="3"/>
  <c r="Q250" i="3"/>
  <c r="Q252" i="3"/>
  <c r="Q254" i="3"/>
  <c r="R256" i="3"/>
  <c r="R258" i="3"/>
  <c r="R260" i="3"/>
  <c r="R262" i="3"/>
  <c r="S264" i="3"/>
  <c r="S266" i="3"/>
  <c r="S268" i="3"/>
  <c r="R270" i="3"/>
  <c r="M272" i="3"/>
  <c r="T273" i="3"/>
  <c r="P275" i="3"/>
  <c r="M277" i="3"/>
  <c r="T278" i="3"/>
  <c r="N280" i="3"/>
  <c r="T281" i="3"/>
  <c r="N283" i="3"/>
  <c r="R284" i="3"/>
  <c r="N286" i="3"/>
  <c r="P287" i="3"/>
  <c r="L289" i="3"/>
  <c r="O290" i="3"/>
  <c r="S291" i="3"/>
  <c r="O293" i="3"/>
  <c r="Q294" i="3"/>
  <c r="M296" i="3"/>
  <c r="P297" i="3"/>
  <c r="S298" i="3"/>
  <c r="T299" i="3"/>
  <c r="M301" i="3"/>
  <c r="M302" i="3"/>
  <c r="M303" i="3"/>
  <c r="M304" i="3"/>
  <c r="M305" i="3"/>
  <c r="M306" i="3"/>
  <c r="N307" i="3"/>
  <c r="N308" i="3"/>
  <c r="N309" i="3"/>
  <c r="N310" i="3"/>
  <c r="N311" i="3"/>
  <c r="N312" i="3"/>
  <c r="N313" i="3"/>
  <c r="O314" i="3"/>
  <c r="O315" i="3"/>
  <c r="O316" i="3"/>
  <c r="O317" i="3"/>
  <c r="O318" i="3"/>
  <c r="O319" i="3"/>
  <c r="O320" i="3"/>
  <c r="P321" i="3"/>
  <c r="P322" i="3"/>
  <c r="P323" i="3"/>
  <c r="P324" i="3"/>
  <c r="P325" i="3"/>
  <c r="P326" i="3"/>
  <c r="P327" i="3"/>
  <c r="Q328" i="3"/>
  <c r="Q329" i="3"/>
  <c r="Q330" i="3"/>
  <c r="Q331" i="3"/>
  <c r="Q332" i="3"/>
  <c r="Q333" i="3"/>
  <c r="Q334" i="3"/>
  <c r="R335" i="3"/>
  <c r="R336" i="3"/>
  <c r="R337" i="3"/>
  <c r="T110" i="3"/>
  <c r="O137" i="3"/>
  <c r="L151" i="3"/>
  <c r="L161" i="3"/>
  <c r="S169" i="3"/>
  <c r="S177" i="3"/>
  <c r="S183" i="3"/>
  <c r="M190" i="3"/>
  <c r="T196" i="3"/>
  <c r="R202" i="3"/>
  <c r="O208" i="3"/>
  <c r="N212" i="3"/>
  <c r="P215" i="3"/>
  <c r="R218" i="3"/>
  <c r="L222" i="3"/>
  <c r="T224" i="3"/>
  <c r="N228" i="3"/>
  <c r="N231" i="3"/>
  <c r="S233" i="3"/>
  <c r="Q236" i="3"/>
  <c r="O239" i="3"/>
  <c r="T241" i="3"/>
  <c r="Q244" i="3"/>
  <c r="Q246" i="3"/>
  <c r="R248" i="3"/>
  <c r="R250" i="3"/>
  <c r="R252" i="3"/>
  <c r="R254" i="3"/>
  <c r="S256" i="3"/>
  <c r="S258" i="3"/>
  <c r="S260" i="3"/>
  <c r="T262" i="3"/>
  <c r="T264" i="3"/>
  <c r="T266" i="3"/>
  <c r="T268" i="3"/>
  <c r="T270" i="3"/>
  <c r="O272" i="3"/>
  <c r="L274" i="3"/>
  <c r="S275" i="3"/>
  <c r="N277" i="3"/>
  <c r="L279" i="3"/>
  <c r="P280" i="3"/>
  <c r="L282" i="3"/>
  <c r="Q283" i="3"/>
  <c r="S284" i="3"/>
  <c r="O286" i="3"/>
  <c r="R287" i="3"/>
  <c r="M289" i="3"/>
  <c r="R290" i="3"/>
  <c r="T291" i="3"/>
  <c r="P293" i="3"/>
  <c r="S294" i="3"/>
  <c r="N296" i="3"/>
  <c r="S297" i="3"/>
  <c r="T298" i="3"/>
  <c r="M300" i="3"/>
  <c r="N301" i="3"/>
  <c r="N302" i="3"/>
  <c r="N303" i="3"/>
  <c r="N304" i="3"/>
  <c r="N305" i="3"/>
  <c r="O306" i="3"/>
  <c r="O307" i="3"/>
  <c r="O308" i="3"/>
  <c r="M122" i="3"/>
  <c r="O141" i="3"/>
  <c r="T152" i="3"/>
  <c r="Q163" i="3"/>
  <c r="N172" i="3"/>
  <c r="M179" i="3"/>
  <c r="P185" i="3"/>
  <c r="L192" i="3"/>
  <c r="L198" i="3"/>
  <c r="O204" i="3"/>
  <c r="O209" i="3"/>
  <c r="T212" i="3"/>
  <c r="O216" i="3"/>
  <c r="Q219" i="3"/>
  <c r="Q222" i="3"/>
  <c r="S225" i="3"/>
  <c r="M229" i="3"/>
  <c r="S231" i="3"/>
  <c r="Q234" i="3"/>
  <c r="O237" i="3"/>
  <c r="T239" i="3"/>
  <c r="R242" i="3"/>
  <c r="T244" i="3"/>
  <c r="L247" i="3"/>
  <c r="L249" i="3"/>
  <c r="L251" i="3"/>
  <c r="M253" i="3"/>
  <c r="M255" i="3"/>
  <c r="M257" i="3"/>
  <c r="M259" i="3"/>
  <c r="N261" i="3"/>
  <c r="N263" i="3"/>
  <c r="N265" i="3"/>
  <c r="O267" i="3"/>
  <c r="O269" i="3"/>
  <c r="M271" i="3"/>
  <c r="T272" i="3"/>
  <c r="P274" i="3"/>
  <c r="L276" i="3"/>
  <c r="S277" i="3"/>
  <c r="N279" i="3"/>
  <c r="L281" i="3"/>
  <c r="O282" i="3"/>
  <c r="M120" i="3"/>
  <c r="R170" i="3"/>
  <c r="N197" i="3"/>
  <c r="L216" i="3"/>
  <c r="P228" i="3"/>
  <c r="Q239" i="3"/>
  <c r="S248" i="3"/>
  <c r="T256" i="3"/>
  <c r="L265" i="3"/>
  <c r="S272" i="3"/>
  <c r="M279" i="3"/>
  <c r="T283" i="3"/>
  <c r="M288" i="3"/>
  <c r="M292" i="3"/>
  <c r="O295" i="3"/>
  <c r="N299" i="3"/>
  <c r="O302" i="3"/>
  <c r="R304" i="3"/>
  <c r="Q307" i="3"/>
  <c r="R309" i="3"/>
  <c r="S311" i="3"/>
  <c r="S313" i="3"/>
  <c r="S315" i="3"/>
  <c r="T317" i="3"/>
  <c r="T319" i="3"/>
  <c r="T321" i="3"/>
  <c r="T323" i="3"/>
  <c r="L326" i="3"/>
  <c r="L328" i="3"/>
  <c r="L330" i="3"/>
  <c r="S331" i="3"/>
  <c r="P333" i="3"/>
  <c r="L335" i="3"/>
  <c r="Q336" i="3"/>
  <c r="T337" i="3"/>
  <c r="L339" i="3"/>
  <c r="N340" i="3"/>
  <c r="O341" i="3"/>
  <c r="O342" i="3"/>
  <c r="N343" i="3"/>
  <c r="M344" i="3"/>
  <c r="L345" i="3"/>
  <c r="T345" i="3"/>
  <c r="S346" i="3"/>
  <c r="R347" i="3"/>
  <c r="Q348" i="3"/>
  <c r="P349" i="3"/>
  <c r="O350" i="3"/>
  <c r="N351" i="3"/>
  <c r="M352" i="3"/>
  <c r="L353" i="3"/>
  <c r="T353" i="3"/>
  <c r="S354" i="3"/>
  <c r="R355" i="3"/>
  <c r="Q356" i="3"/>
  <c r="P357" i="3"/>
  <c r="O358" i="3"/>
  <c r="N359" i="3"/>
  <c r="M360" i="3"/>
  <c r="L361" i="3"/>
  <c r="T361" i="3"/>
  <c r="S362" i="3"/>
  <c r="R363" i="3"/>
  <c r="Q364" i="3"/>
  <c r="P365" i="3"/>
  <c r="O366" i="3"/>
  <c r="N367" i="3"/>
  <c r="M368" i="3"/>
  <c r="L369" i="3"/>
  <c r="T369" i="3"/>
  <c r="S370" i="3"/>
  <c r="R371" i="3"/>
  <c r="Q372" i="3"/>
  <c r="P373" i="3"/>
  <c r="O374" i="3"/>
  <c r="N375" i="3"/>
  <c r="M376" i="3"/>
  <c r="L377" i="3"/>
  <c r="T377" i="3"/>
  <c r="S378" i="3"/>
  <c r="R379" i="3"/>
  <c r="Q380" i="3"/>
  <c r="P381" i="3"/>
  <c r="O382" i="3"/>
  <c r="N383" i="3"/>
  <c r="M384" i="3"/>
  <c r="L385" i="3"/>
  <c r="T385" i="3"/>
  <c r="S386" i="3"/>
  <c r="R387" i="3"/>
  <c r="Q388" i="3"/>
  <c r="P389" i="3"/>
  <c r="O390" i="3"/>
  <c r="N391" i="3"/>
  <c r="M392" i="3"/>
  <c r="L393" i="3"/>
  <c r="T393" i="3"/>
  <c r="S394" i="3"/>
  <c r="R395" i="3"/>
  <c r="Q396" i="3"/>
  <c r="P397" i="3"/>
  <c r="O398" i="3"/>
  <c r="N399" i="3"/>
  <c r="M400" i="3"/>
  <c r="L401" i="3"/>
  <c r="T401" i="3"/>
  <c r="S402" i="3"/>
  <c r="R403" i="3"/>
  <c r="Q404" i="3"/>
  <c r="P405" i="3"/>
  <c r="O406" i="3"/>
  <c r="N407" i="3"/>
  <c r="M408" i="3"/>
  <c r="L409" i="3"/>
  <c r="T409" i="3"/>
  <c r="S410" i="3"/>
  <c r="R411" i="3"/>
  <c r="Q412" i="3"/>
  <c r="P413" i="3"/>
  <c r="O414" i="3"/>
  <c r="N415" i="3"/>
  <c r="M416" i="3"/>
  <c r="L417" i="3"/>
  <c r="T417" i="3"/>
  <c r="S418" i="3"/>
  <c r="R419" i="3"/>
  <c r="Q420" i="3"/>
  <c r="P421" i="3"/>
  <c r="O422" i="3"/>
  <c r="N423" i="3"/>
  <c r="M424" i="3"/>
  <c r="L425" i="3"/>
  <c r="T425" i="3"/>
  <c r="S426" i="3"/>
  <c r="R427" i="3"/>
  <c r="Q428" i="3"/>
  <c r="P429" i="3"/>
  <c r="O430" i="3"/>
  <c r="N431" i="3"/>
  <c r="M432" i="3"/>
  <c r="L433" i="3"/>
  <c r="T433" i="3"/>
  <c r="S434" i="3"/>
  <c r="R435" i="3"/>
  <c r="Q436" i="3"/>
  <c r="P437" i="3"/>
  <c r="O438" i="3"/>
  <c r="N439" i="3"/>
  <c r="M440" i="3"/>
  <c r="L441" i="3"/>
  <c r="T441" i="3"/>
  <c r="S442" i="3"/>
  <c r="R443" i="3"/>
  <c r="Q444" i="3"/>
  <c r="P445" i="3"/>
  <c r="O446" i="3"/>
  <c r="N447" i="3"/>
  <c r="M448" i="3"/>
  <c r="L449" i="3"/>
  <c r="T449" i="3"/>
  <c r="S450" i="3"/>
  <c r="R451" i="3"/>
  <c r="Q452" i="3"/>
  <c r="P453" i="3"/>
  <c r="O454" i="3"/>
  <c r="N455" i="3"/>
  <c r="M456" i="3"/>
  <c r="L457" i="3"/>
  <c r="S124" i="3"/>
  <c r="Q172" i="3"/>
  <c r="M199" i="3"/>
  <c r="R216" i="3"/>
  <c r="O229" i="3"/>
  <c r="O240" i="3"/>
  <c r="Q249" i="3"/>
  <c r="R257" i="3"/>
  <c r="S265" i="3"/>
  <c r="L273" i="3"/>
  <c r="P279" i="3"/>
  <c r="L285" i="3"/>
  <c r="N288" i="3"/>
  <c r="P292" i="3"/>
  <c r="O296" i="3"/>
  <c r="P299" i="3"/>
  <c r="P302" i="3"/>
  <c r="P305" i="3"/>
  <c r="R307" i="3"/>
  <c r="O310" i="3"/>
  <c r="O312" i="3"/>
  <c r="P314" i="3"/>
  <c r="P316" i="3"/>
  <c r="P318" i="3"/>
  <c r="Q320" i="3"/>
  <c r="Q322" i="3"/>
  <c r="Q324" i="3"/>
  <c r="Q326" i="3"/>
  <c r="R328" i="3"/>
  <c r="P330" i="3"/>
  <c r="T331" i="3"/>
  <c r="R333" i="3"/>
  <c r="M335" i="3"/>
  <c r="S336" i="3"/>
  <c r="L338" i="3"/>
  <c r="N339" i="3"/>
  <c r="P340" i="3"/>
  <c r="P341" i="3"/>
  <c r="P342" i="3"/>
  <c r="O343" i="3"/>
  <c r="N344" i="3"/>
  <c r="M345" i="3"/>
  <c r="L346" i="3"/>
  <c r="T346" i="3"/>
  <c r="S347" i="3"/>
  <c r="R348" i="3"/>
  <c r="Q349" i="3"/>
  <c r="P350" i="3"/>
  <c r="O351" i="3"/>
  <c r="N352" i="3"/>
  <c r="M353" i="3"/>
  <c r="L354" i="3"/>
  <c r="T354" i="3"/>
  <c r="S355" i="3"/>
  <c r="R356" i="3"/>
  <c r="Q357" i="3"/>
  <c r="P358" i="3"/>
  <c r="O359" i="3"/>
  <c r="N360" i="3"/>
  <c r="M361" i="3"/>
  <c r="L362" i="3"/>
  <c r="T362" i="3"/>
  <c r="S363" i="3"/>
  <c r="R364" i="3"/>
  <c r="Q365" i="3"/>
  <c r="P366" i="3"/>
  <c r="O367" i="3"/>
  <c r="N368" i="3"/>
  <c r="M369" i="3"/>
  <c r="L370" i="3"/>
  <c r="T370" i="3"/>
  <c r="S371" i="3"/>
  <c r="R372" i="3"/>
  <c r="Q373" i="3"/>
  <c r="P374" i="3"/>
  <c r="O375" i="3"/>
  <c r="N376" i="3"/>
  <c r="M377" i="3"/>
  <c r="L378" i="3"/>
  <c r="T378" i="3"/>
  <c r="S379" i="3"/>
  <c r="R380" i="3"/>
  <c r="Q381" i="3"/>
  <c r="P382" i="3"/>
  <c r="O383" i="3"/>
  <c r="N384" i="3"/>
  <c r="M385" i="3"/>
  <c r="L386" i="3"/>
  <c r="T386" i="3"/>
  <c r="S387" i="3"/>
  <c r="R388" i="3"/>
  <c r="Q389" i="3"/>
  <c r="P390" i="3"/>
  <c r="O391" i="3"/>
  <c r="N392" i="3"/>
  <c r="M393" i="3"/>
  <c r="L394" i="3"/>
  <c r="T394" i="3"/>
  <c r="S395" i="3"/>
  <c r="R396" i="3"/>
  <c r="Q397" i="3"/>
  <c r="P398" i="3"/>
  <c r="O399" i="3"/>
  <c r="N400" i="3"/>
  <c r="M401" i="3"/>
  <c r="L402" i="3"/>
  <c r="T402" i="3"/>
  <c r="S403" i="3"/>
  <c r="R404" i="3"/>
  <c r="Q405" i="3"/>
  <c r="P406" i="3"/>
  <c r="O407" i="3"/>
  <c r="N408" i="3"/>
  <c r="M409" i="3"/>
  <c r="L410" i="3"/>
  <c r="T410" i="3"/>
  <c r="S411" i="3"/>
  <c r="R412" i="3"/>
  <c r="Q413" i="3"/>
  <c r="P414" i="3"/>
  <c r="O415" i="3"/>
  <c r="N416" i="3"/>
  <c r="M417" i="3"/>
  <c r="L418" i="3"/>
  <c r="T418" i="3"/>
  <c r="S419" i="3"/>
  <c r="R420" i="3"/>
  <c r="Q421" i="3"/>
  <c r="P422" i="3"/>
  <c r="O423" i="3"/>
  <c r="N424" i="3"/>
  <c r="M425" i="3"/>
  <c r="L426" i="3"/>
  <c r="T426" i="3"/>
  <c r="S427" i="3"/>
  <c r="R428" i="3"/>
  <c r="Q429" i="3"/>
  <c r="P430" i="3"/>
  <c r="O431" i="3"/>
  <c r="N432" i="3"/>
  <c r="M433" i="3"/>
  <c r="L434" i="3"/>
  <c r="T434" i="3"/>
  <c r="S435" i="3"/>
  <c r="R436" i="3"/>
  <c r="Q437" i="3"/>
  <c r="P438" i="3"/>
  <c r="O439" i="3"/>
  <c r="N440" i="3"/>
  <c r="M441" i="3"/>
  <c r="L442" i="3"/>
  <c r="T442" i="3"/>
  <c r="S443" i="3"/>
  <c r="R444" i="3"/>
  <c r="Q445" i="3"/>
  <c r="P446" i="3"/>
  <c r="O447" i="3"/>
  <c r="N448" i="3"/>
  <c r="M449" i="3"/>
  <c r="L450" i="3"/>
  <c r="T450" i="3"/>
  <c r="S451" i="3"/>
  <c r="R452" i="3"/>
  <c r="R138" i="3"/>
  <c r="O178" i="3"/>
  <c r="L204" i="3"/>
  <c r="L219" i="3"/>
  <c r="P231" i="3"/>
  <c r="P242" i="3"/>
  <c r="S250" i="3"/>
  <c r="T258" i="3"/>
  <c r="L267" i="3"/>
  <c r="M274" i="3"/>
  <c r="T280" i="3"/>
  <c r="O285" i="3"/>
  <c r="N289" i="3"/>
  <c r="Q292" i="3"/>
  <c r="Q296" i="3"/>
  <c r="O300" i="3"/>
  <c r="Q302" i="3"/>
  <c r="Q305" i="3"/>
  <c r="P308" i="3"/>
  <c r="P310" i="3"/>
  <c r="Q312" i="3"/>
  <c r="Q314" i="3"/>
  <c r="Q316" i="3"/>
  <c r="Q318" i="3"/>
  <c r="R320" i="3"/>
  <c r="R322" i="3"/>
  <c r="R324" i="3"/>
  <c r="S326" i="3"/>
  <c r="S328" i="3"/>
  <c r="R330" i="3"/>
  <c r="M332" i="3"/>
  <c r="T333" i="3"/>
  <c r="P335" i="3"/>
  <c r="T336" i="3"/>
  <c r="M338" i="3"/>
  <c r="P339" i="3"/>
  <c r="Q340" i="3"/>
  <c r="Q341" i="3"/>
  <c r="Q342" i="3"/>
  <c r="P343" i="3"/>
  <c r="O344" i="3"/>
  <c r="N345" i="3"/>
  <c r="M346" i="3"/>
  <c r="L347" i="3"/>
  <c r="T347" i="3"/>
  <c r="S348" i="3"/>
  <c r="R349" i="3"/>
  <c r="Q350" i="3"/>
  <c r="P351" i="3"/>
  <c r="O352" i="3"/>
  <c r="N353" i="3"/>
  <c r="M354" i="3"/>
  <c r="L355" i="3"/>
  <c r="T355" i="3"/>
  <c r="S356" i="3"/>
  <c r="R357" i="3"/>
  <c r="Q358" i="3"/>
  <c r="P359" i="3"/>
  <c r="O360" i="3"/>
  <c r="N361" i="3"/>
  <c r="M362" i="3"/>
  <c r="L363" i="3"/>
  <c r="T363" i="3"/>
  <c r="S364" i="3"/>
  <c r="R365" i="3"/>
  <c r="Q366" i="3"/>
  <c r="P367" i="3"/>
  <c r="O368" i="3"/>
  <c r="N369" i="3"/>
  <c r="M370" i="3"/>
  <c r="L371" i="3"/>
  <c r="T371" i="3"/>
  <c r="S372" i="3"/>
  <c r="R373" i="3"/>
  <c r="Q374" i="3"/>
  <c r="P375" i="3"/>
  <c r="O376" i="3"/>
  <c r="N377" i="3"/>
  <c r="M378" i="3"/>
  <c r="L379" i="3"/>
  <c r="T379" i="3"/>
  <c r="S380" i="3"/>
  <c r="R381" i="3"/>
  <c r="Q382" i="3"/>
  <c r="P383" i="3"/>
  <c r="O384" i="3"/>
  <c r="N385" i="3"/>
  <c r="M386" i="3"/>
  <c r="L387" i="3"/>
  <c r="T387" i="3"/>
  <c r="S388" i="3"/>
  <c r="R389" i="3"/>
  <c r="Q390" i="3"/>
  <c r="P391" i="3"/>
  <c r="O392" i="3"/>
  <c r="N393" i="3"/>
  <c r="M394" i="3"/>
  <c r="L395" i="3"/>
  <c r="T395" i="3"/>
  <c r="S396" i="3"/>
  <c r="R397" i="3"/>
  <c r="Q398" i="3"/>
  <c r="P399" i="3"/>
  <c r="O400" i="3"/>
  <c r="N401" i="3"/>
  <c r="M402" i="3"/>
  <c r="L403" i="3"/>
  <c r="T403" i="3"/>
  <c r="S404" i="3"/>
  <c r="R405" i="3"/>
  <c r="Q406" i="3"/>
  <c r="P407" i="3"/>
  <c r="O408" i="3"/>
  <c r="N409" i="3"/>
  <c r="M410" i="3"/>
  <c r="L411" i="3"/>
  <c r="T411" i="3"/>
  <c r="S412" i="3"/>
  <c r="R413" i="3"/>
  <c r="Q414" i="3"/>
  <c r="P415" i="3"/>
  <c r="O416" i="3"/>
  <c r="N417" i="3"/>
  <c r="M418" i="3"/>
  <c r="L419" i="3"/>
  <c r="T419" i="3"/>
  <c r="S420" i="3"/>
  <c r="R421" i="3"/>
  <c r="Q422" i="3"/>
  <c r="P423" i="3"/>
  <c r="O424" i="3"/>
  <c r="N425" i="3"/>
  <c r="M426" i="3"/>
  <c r="L427" i="3"/>
  <c r="T427" i="3"/>
  <c r="S428" i="3"/>
  <c r="R429" i="3"/>
  <c r="Q430" i="3"/>
  <c r="P431" i="3"/>
  <c r="O432" i="3"/>
  <c r="N433" i="3"/>
  <c r="M434" i="3"/>
  <c r="L435" i="3"/>
  <c r="T435" i="3"/>
  <c r="N142" i="3"/>
  <c r="N180" i="3"/>
  <c r="M205" i="3"/>
  <c r="T219" i="3"/>
  <c r="N232" i="3"/>
  <c r="T242" i="3"/>
  <c r="Q251" i="3"/>
  <c r="R259" i="3"/>
  <c r="S267" i="3"/>
  <c r="S274" i="3"/>
  <c r="M281" i="3"/>
  <c r="P285" i="3"/>
  <c r="P289" i="3"/>
  <c r="Q293" i="3"/>
  <c r="T296" i="3"/>
  <c r="P300" i="3"/>
  <c r="O303" i="3"/>
  <c r="R305" i="3"/>
  <c r="Q308" i="3"/>
  <c r="Q310" i="3"/>
  <c r="R312" i="3"/>
  <c r="R314" i="3"/>
  <c r="R316" i="3"/>
  <c r="S318" i="3"/>
  <c r="S320" i="3"/>
  <c r="S322" i="3"/>
  <c r="S324" i="3"/>
  <c r="T326" i="3"/>
  <c r="T328" i="3"/>
  <c r="S330" i="3"/>
  <c r="P332" i="3"/>
  <c r="L334" i="3"/>
  <c r="S335" i="3"/>
  <c r="L337" i="3"/>
  <c r="P338" i="3"/>
  <c r="Q339" i="3"/>
  <c r="R340" i="3"/>
  <c r="R341" i="3"/>
  <c r="R342" i="3"/>
  <c r="Q343" i="3"/>
  <c r="P344" i="3"/>
  <c r="O345" i="3"/>
  <c r="N346" i="3"/>
  <c r="M347" i="3"/>
  <c r="L348" i="3"/>
  <c r="T348" i="3"/>
  <c r="S349" i="3"/>
  <c r="R350" i="3"/>
  <c r="Q351" i="3"/>
  <c r="P352" i="3"/>
  <c r="O353" i="3"/>
  <c r="N354" i="3"/>
  <c r="M355" i="3"/>
  <c r="L356" i="3"/>
  <c r="T356" i="3"/>
  <c r="S357" i="3"/>
  <c r="R358" i="3"/>
  <c r="Q359" i="3"/>
  <c r="P360" i="3"/>
  <c r="O361" i="3"/>
  <c r="N362" i="3"/>
  <c r="M363" i="3"/>
  <c r="L364" i="3"/>
  <c r="T364" i="3"/>
  <c r="S365" i="3"/>
  <c r="R366" i="3"/>
  <c r="Q367" i="3"/>
  <c r="P368" i="3"/>
  <c r="O369" i="3"/>
  <c r="N370" i="3"/>
  <c r="M371" i="3"/>
  <c r="L372" i="3"/>
  <c r="T372" i="3"/>
  <c r="S373" i="3"/>
  <c r="R374" i="3"/>
  <c r="Q375" i="3"/>
  <c r="P376" i="3"/>
  <c r="O377" i="3"/>
  <c r="N378" i="3"/>
  <c r="M379" i="3"/>
  <c r="L380" i="3"/>
  <c r="T380" i="3"/>
  <c r="S381" i="3"/>
  <c r="R382" i="3"/>
  <c r="Q383" i="3"/>
  <c r="P384" i="3"/>
  <c r="O385" i="3"/>
  <c r="N386" i="3"/>
  <c r="M387" i="3"/>
  <c r="L388" i="3"/>
  <c r="T388" i="3"/>
  <c r="S389" i="3"/>
  <c r="R390" i="3"/>
  <c r="Q391" i="3"/>
  <c r="P392" i="3"/>
  <c r="O393" i="3"/>
  <c r="N394" i="3"/>
  <c r="M395" i="3"/>
  <c r="L396" i="3"/>
  <c r="T396" i="3"/>
  <c r="S397" i="3"/>
  <c r="R398" i="3"/>
  <c r="Q399" i="3"/>
  <c r="P400" i="3"/>
  <c r="O401" i="3"/>
  <c r="N402" i="3"/>
  <c r="M403" i="3"/>
  <c r="L404" i="3"/>
  <c r="T404" i="3"/>
  <c r="S405" i="3"/>
  <c r="R406" i="3"/>
  <c r="Q407" i="3"/>
  <c r="P408" i="3"/>
  <c r="O409" i="3"/>
  <c r="N410" i="3"/>
  <c r="M411" i="3"/>
  <c r="L412" i="3"/>
  <c r="T412" i="3"/>
  <c r="S413" i="3"/>
  <c r="R414" i="3"/>
  <c r="Q415" i="3"/>
  <c r="P416" i="3"/>
  <c r="O417" i="3"/>
  <c r="N418" i="3"/>
  <c r="M419" i="3"/>
  <c r="L420" i="3"/>
  <c r="T420" i="3"/>
  <c r="S421" i="3"/>
  <c r="R422" i="3"/>
  <c r="Q423" i="3"/>
  <c r="P424" i="3"/>
  <c r="O425" i="3"/>
  <c r="N426" i="3"/>
  <c r="M427" i="3"/>
  <c r="L428" i="3"/>
  <c r="T428" i="3"/>
  <c r="S429" i="3"/>
  <c r="R430" i="3"/>
  <c r="Q431" i="3"/>
  <c r="P432" i="3"/>
  <c r="O433" i="3"/>
  <c r="N434" i="3"/>
  <c r="L152" i="3"/>
  <c r="T184" i="3"/>
  <c r="R208" i="3"/>
  <c r="N222" i="3"/>
  <c r="N234" i="3"/>
  <c r="R244" i="3"/>
  <c r="S252" i="3"/>
  <c r="T260" i="3"/>
  <c r="M269" i="3"/>
  <c r="T275" i="3"/>
  <c r="M282" i="3"/>
  <c r="P286" i="3"/>
  <c r="S289" i="3"/>
  <c r="R293" i="3"/>
  <c r="T297" i="3"/>
  <c r="Q300" i="3"/>
  <c r="P303" i="3"/>
  <c r="P306" i="3"/>
  <c r="R308" i="3"/>
  <c r="S310" i="3"/>
  <c r="S312" i="3"/>
  <c r="S314" i="3"/>
  <c r="S316" i="3"/>
  <c r="T318" i="3"/>
  <c r="T320" i="3"/>
  <c r="T322" i="3"/>
  <c r="L325" i="3"/>
  <c r="L327" i="3"/>
  <c r="L329" i="3"/>
  <c r="T330" i="3"/>
  <c r="R332" i="3"/>
  <c r="M334" i="3"/>
  <c r="T335" i="3"/>
  <c r="M337" i="3"/>
  <c r="Q338" i="3"/>
  <c r="R339" i="3"/>
  <c r="S340" i="3"/>
  <c r="S341" i="3"/>
  <c r="S342" i="3"/>
  <c r="R343" i="3"/>
  <c r="Q344" i="3"/>
  <c r="P345" i="3"/>
  <c r="O346" i="3"/>
  <c r="N347" i="3"/>
  <c r="M348" i="3"/>
  <c r="L349" i="3"/>
  <c r="T349" i="3"/>
  <c r="S350" i="3"/>
  <c r="R351" i="3"/>
  <c r="Q352" i="3"/>
  <c r="P353" i="3"/>
  <c r="O354" i="3"/>
  <c r="N355" i="3"/>
  <c r="M356" i="3"/>
  <c r="L357" i="3"/>
  <c r="T357" i="3"/>
  <c r="S358" i="3"/>
  <c r="R359" i="3"/>
  <c r="Q360" i="3"/>
  <c r="P361" i="3"/>
  <c r="O362" i="3"/>
  <c r="N363" i="3"/>
  <c r="M364" i="3"/>
  <c r="L365" i="3"/>
  <c r="T365" i="3"/>
  <c r="S366" i="3"/>
  <c r="R367" i="3"/>
  <c r="Q368" i="3"/>
  <c r="P369" i="3"/>
  <c r="O370" i="3"/>
  <c r="N371" i="3"/>
  <c r="M372" i="3"/>
  <c r="L373" i="3"/>
  <c r="T373" i="3"/>
  <c r="S374" i="3"/>
  <c r="R375" i="3"/>
  <c r="Q376" i="3"/>
  <c r="P377" i="3"/>
  <c r="O378" i="3"/>
  <c r="N379" i="3"/>
  <c r="M380" i="3"/>
  <c r="L381" i="3"/>
  <c r="T381" i="3"/>
  <c r="Q155" i="3"/>
  <c r="N186" i="3"/>
  <c r="R209" i="3"/>
  <c r="M223" i="3"/>
  <c r="S234" i="3"/>
  <c r="P245" i="3"/>
  <c r="Q253" i="3"/>
  <c r="R261" i="3"/>
  <c r="S269" i="3"/>
  <c r="N276" i="3"/>
  <c r="R282" i="3"/>
  <c r="Q286" i="3"/>
  <c r="S290" i="3"/>
  <c r="T293" i="3"/>
  <c r="L298" i="3"/>
  <c r="O301" i="3"/>
  <c r="R303" i="3"/>
  <c r="Q306" i="3"/>
  <c r="O309" i="3"/>
  <c r="O311" i="3"/>
  <c r="P313" i="3"/>
  <c r="P315" i="3"/>
  <c r="P317" i="3"/>
  <c r="P319" i="3"/>
  <c r="Q321" i="3"/>
  <c r="Q323" i="3"/>
  <c r="Q325" i="3"/>
  <c r="R327" i="3"/>
  <c r="R329" i="3"/>
  <c r="L331" i="3"/>
  <c r="S332" i="3"/>
  <c r="P334" i="3"/>
  <c r="L336" i="3"/>
  <c r="P337" i="3"/>
  <c r="R338" i="3"/>
  <c r="S339" i="3"/>
  <c r="T340" i="3"/>
  <c r="T341" i="3"/>
  <c r="T342" i="3"/>
  <c r="S343" i="3"/>
  <c r="R344" i="3"/>
  <c r="Q345" i="3"/>
  <c r="P346" i="3"/>
  <c r="O347" i="3"/>
  <c r="N348" i="3"/>
  <c r="M349" i="3"/>
  <c r="L350" i="3"/>
  <c r="T350" i="3"/>
  <c r="S351" i="3"/>
  <c r="R352" i="3"/>
  <c r="Q353" i="3"/>
  <c r="P354" i="3"/>
  <c r="O355" i="3"/>
  <c r="N356" i="3"/>
  <c r="M357" i="3"/>
  <c r="L358" i="3"/>
  <c r="T358" i="3"/>
  <c r="S359" i="3"/>
  <c r="R360" i="3"/>
  <c r="Q361" i="3"/>
  <c r="P362" i="3"/>
  <c r="O363" i="3"/>
  <c r="N364" i="3"/>
  <c r="M365" i="3"/>
  <c r="L366" i="3"/>
  <c r="T366" i="3"/>
  <c r="S367" i="3"/>
  <c r="R368" i="3"/>
  <c r="Q369" i="3"/>
  <c r="P370" i="3"/>
  <c r="O371" i="3"/>
  <c r="N372" i="3"/>
  <c r="M373" i="3"/>
  <c r="L374" i="3"/>
  <c r="T374" i="3"/>
  <c r="S375" i="3"/>
  <c r="R376" i="3"/>
  <c r="Q377" i="3"/>
  <c r="P378" i="3"/>
  <c r="O379" i="3"/>
  <c r="N380" i="3"/>
  <c r="M381" i="3"/>
  <c r="L382" i="3"/>
  <c r="T382" i="3"/>
  <c r="S383" i="3"/>
  <c r="R384" i="3"/>
  <c r="Q385" i="3"/>
  <c r="P386" i="3"/>
  <c r="O387" i="3"/>
  <c r="N388" i="3"/>
  <c r="M389" i="3"/>
  <c r="L390" i="3"/>
  <c r="T390" i="3"/>
  <c r="S391" i="3"/>
  <c r="R392" i="3"/>
  <c r="Q393" i="3"/>
  <c r="P394" i="3"/>
  <c r="O395" i="3"/>
  <c r="N396" i="3"/>
  <c r="M397" i="3"/>
  <c r="L398" i="3"/>
  <c r="T398" i="3"/>
  <c r="S399" i="3"/>
  <c r="R400" i="3"/>
  <c r="Q401" i="3"/>
  <c r="P402" i="3"/>
  <c r="O403" i="3"/>
  <c r="N404" i="3"/>
  <c r="M405" i="3"/>
  <c r="L406" i="3"/>
  <c r="T406" i="3"/>
  <c r="S407" i="3"/>
  <c r="R408" i="3"/>
  <c r="Q409" i="3"/>
  <c r="P410" i="3"/>
  <c r="O411" i="3"/>
  <c r="N412" i="3"/>
  <c r="M413" i="3"/>
  <c r="L414" i="3"/>
  <c r="T414" i="3"/>
  <c r="S415" i="3"/>
  <c r="R416" i="3"/>
  <c r="Q417" i="3"/>
  <c r="P418" i="3"/>
  <c r="O419" i="3"/>
  <c r="N420" i="3"/>
  <c r="M421" i="3"/>
  <c r="L422" i="3"/>
  <c r="S162" i="3"/>
  <c r="T190" i="3"/>
  <c r="R212" i="3"/>
  <c r="Q225" i="3"/>
  <c r="S236" i="3"/>
  <c r="R246" i="3"/>
  <c r="T254" i="3"/>
  <c r="L263" i="3"/>
  <c r="L271" i="3"/>
  <c r="P277" i="3"/>
  <c r="R283" i="3"/>
  <c r="S286" i="3"/>
  <c r="T290" i="3"/>
  <c r="M295" i="3"/>
  <c r="M298" i="3"/>
  <c r="P301" i="3"/>
  <c r="O304" i="3"/>
  <c r="R306" i="3"/>
  <c r="P309" i="3"/>
  <c r="P311" i="3"/>
  <c r="Q313" i="3"/>
  <c r="Q315" i="3"/>
  <c r="Q317" i="3"/>
  <c r="R319" i="3"/>
  <c r="R321" i="3"/>
  <c r="R323" i="3"/>
  <c r="R325" i="3"/>
  <c r="S327" i="3"/>
  <c r="S329" i="3"/>
  <c r="P331" i="3"/>
  <c r="L333" i="3"/>
  <c r="S334" i="3"/>
  <c r="M336" i="3"/>
  <c r="Q337" i="3"/>
  <c r="S338" i="3"/>
  <c r="T339" i="3"/>
  <c r="L341" i="3"/>
  <c r="L342" i="3"/>
  <c r="L343" i="3"/>
  <c r="T343" i="3"/>
  <c r="S344" i="3"/>
  <c r="R345" i="3"/>
  <c r="Q346" i="3"/>
  <c r="P347" i="3"/>
  <c r="O348" i="3"/>
  <c r="N349" i="3"/>
  <c r="M350" i="3"/>
  <c r="L351" i="3"/>
  <c r="T351" i="3"/>
  <c r="S352" i="3"/>
  <c r="R353" i="3"/>
  <c r="Q354" i="3"/>
  <c r="P355" i="3"/>
  <c r="O356" i="3"/>
  <c r="N357" i="3"/>
  <c r="M358" i="3"/>
  <c r="L359" i="3"/>
  <c r="T359" i="3"/>
  <c r="S360" i="3"/>
  <c r="R361" i="3"/>
  <c r="Q362" i="3"/>
  <c r="P363" i="3"/>
  <c r="O364" i="3"/>
  <c r="N365" i="3"/>
  <c r="M366" i="3"/>
  <c r="L367" i="3"/>
  <c r="T367" i="3"/>
  <c r="S368" i="3"/>
  <c r="R369" i="3"/>
  <c r="Q370" i="3"/>
  <c r="P371" i="3"/>
  <c r="O372" i="3"/>
  <c r="N373" i="3"/>
  <c r="M374" i="3"/>
  <c r="L375" i="3"/>
  <c r="T375" i="3"/>
  <c r="S376" i="3"/>
  <c r="R377" i="3"/>
  <c r="Q378" i="3"/>
  <c r="P379" i="3"/>
  <c r="O380" i="3"/>
  <c r="N381" i="3"/>
  <c r="M382" i="3"/>
  <c r="L383" i="3"/>
  <c r="T383" i="3"/>
  <c r="Q164" i="3"/>
  <c r="Q192" i="3"/>
  <c r="R213" i="3"/>
  <c r="M226" i="3"/>
  <c r="Q237" i="3"/>
  <c r="P247" i="3"/>
  <c r="Q255" i="3"/>
  <c r="S263" i="3"/>
  <c r="O271" i="3"/>
  <c r="L278" i="3"/>
  <c r="S283" i="3"/>
  <c r="L288" i="3"/>
  <c r="L291" i="3"/>
  <c r="N295" i="3"/>
  <c r="L299" i="3"/>
  <c r="Q301" i="3"/>
  <c r="Q304" i="3"/>
  <c r="P307" i="3"/>
  <c r="Q309" i="3"/>
  <c r="R311" i="3"/>
  <c r="R313" i="3"/>
  <c r="R315" i="3"/>
  <c r="R317" i="3"/>
  <c r="S319" i="3"/>
  <c r="S321" i="3"/>
  <c r="S323" i="3"/>
  <c r="T325" i="3"/>
  <c r="T327" i="3"/>
  <c r="T329" i="3"/>
  <c r="R331" i="3"/>
  <c r="M333" i="3"/>
  <c r="T334" i="3"/>
  <c r="O336" i="3"/>
  <c r="S337" i="3"/>
  <c r="T338" i="3"/>
  <c r="M340" i="3"/>
  <c r="M341" i="3"/>
  <c r="N342" i="3"/>
  <c r="M343" i="3"/>
  <c r="L344" i="3"/>
  <c r="T344" i="3"/>
  <c r="S345" i="3"/>
  <c r="R346" i="3"/>
  <c r="Q347" i="3"/>
  <c r="P348" i="3"/>
  <c r="O349" i="3"/>
  <c r="N350" i="3"/>
  <c r="M351" i="3"/>
  <c r="L352" i="3"/>
  <c r="T352" i="3"/>
  <c r="S353" i="3"/>
  <c r="R354" i="3"/>
  <c r="Q355" i="3"/>
  <c r="P356" i="3"/>
  <c r="O357" i="3"/>
  <c r="N358" i="3"/>
  <c r="M359" i="3"/>
  <c r="L360" i="3"/>
  <c r="T360" i="3"/>
  <c r="S361" i="3"/>
  <c r="R362" i="3"/>
  <c r="Q363" i="3"/>
  <c r="P364" i="3"/>
  <c r="O365" i="3"/>
  <c r="N366" i="3"/>
  <c r="M367" i="3"/>
  <c r="L368" i="3"/>
  <c r="T368" i="3"/>
  <c r="S369" i="3"/>
  <c r="R370" i="3"/>
  <c r="Q371" i="3"/>
  <c r="P372" i="3"/>
  <c r="O373" i="3"/>
  <c r="N374" i="3"/>
  <c r="O381" i="3"/>
  <c r="T384" i="3"/>
  <c r="P387" i="3"/>
  <c r="T389" i="3"/>
  <c r="L392" i="3"/>
  <c r="Q394" i="3"/>
  <c r="L397" i="3"/>
  <c r="M399" i="3"/>
  <c r="R401" i="3"/>
  <c r="M404" i="3"/>
  <c r="N406" i="3"/>
  <c r="S408" i="3"/>
  <c r="N411" i="3"/>
  <c r="O413" i="3"/>
  <c r="T415" i="3"/>
  <c r="O418" i="3"/>
  <c r="P420" i="3"/>
  <c r="T422" i="3"/>
  <c r="R424" i="3"/>
  <c r="P426" i="3"/>
  <c r="N428" i="3"/>
  <c r="L430" i="3"/>
  <c r="S431" i="3"/>
  <c r="Q433" i="3"/>
  <c r="N435" i="3"/>
  <c r="P436" i="3"/>
  <c r="S437" i="3"/>
  <c r="T438" i="3"/>
  <c r="L440" i="3"/>
  <c r="O441" i="3"/>
  <c r="P442" i="3"/>
  <c r="Q443" i="3"/>
  <c r="T444" i="3"/>
  <c r="L446" i="3"/>
  <c r="M447" i="3"/>
  <c r="P448" i="3"/>
  <c r="Q449" i="3"/>
  <c r="R450" i="3"/>
  <c r="L452" i="3"/>
  <c r="M453" i="3"/>
  <c r="M454" i="3"/>
  <c r="M455" i="3"/>
  <c r="N456" i="3"/>
  <c r="N457" i="3"/>
  <c r="M458" i="3"/>
  <c r="L459" i="3"/>
  <c r="T459" i="3"/>
  <c r="S460" i="3"/>
  <c r="R461" i="3"/>
  <c r="Q462" i="3"/>
  <c r="P463" i="3"/>
  <c r="O464" i="3"/>
  <c r="N465" i="3"/>
  <c r="M466" i="3"/>
  <c r="L467" i="3"/>
  <c r="T467" i="3"/>
  <c r="S468" i="3"/>
  <c r="R469" i="3"/>
  <c r="Q470" i="3"/>
  <c r="P471" i="3"/>
  <c r="O472" i="3"/>
  <c r="N473" i="3"/>
  <c r="M474" i="3"/>
  <c r="L475" i="3"/>
  <c r="T475" i="3"/>
  <c r="S476" i="3"/>
  <c r="R477" i="3"/>
  <c r="Q478" i="3"/>
  <c r="P479" i="3"/>
  <c r="O480" i="3"/>
  <c r="N481" i="3"/>
  <c r="M482" i="3"/>
  <c r="L483" i="3"/>
  <c r="T483" i="3"/>
  <c r="S484" i="3"/>
  <c r="R485" i="3"/>
  <c r="Q486" i="3"/>
  <c r="P487" i="3"/>
  <c r="O488" i="3"/>
  <c r="N489" i="3"/>
  <c r="M490" i="3"/>
  <c r="L491" i="3"/>
  <c r="T491" i="3"/>
  <c r="S492" i="3"/>
  <c r="R493" i="3"/>
  <c r="Q494" i="3"/>
  <c r="P495" i="3"/>
  <c r="R463" i="3"/>
  <c r="Q472" i="3"/>
  <c r="N475" i="3"/>
  <c r="T477" i="3"/>
  <c r="Q480" i="3"/>
  <c r="O482" i="3"/>
  <c r="L485" i="3"/>
  <c r="R487" i="3"/>
  <c r="O490" i="3"/>
  <c r="M492" i="3"/>
  <c r="L493" i="3"/>
  <c r="M485" i="3"/>
  <c r="Q489" i="3"/>
  <c r="M493" i="3"/>
  <c r="S495" i="3"/>
  <c r="M375" i="3"/>
  <c r="N382" i="3"/>
  <c r="P385" i="3"/>
  <c r="Q387" i="3"/>
  <c r="M390" i="3"/>
  <c r="Q392" i="3"/>
  <c r="R394" i="3"/>
  <c r="N397" i="3"/>
  <c r="R399" i="3"/>
  <c r="S401" i="3"/>
  <c r="O404" i="3"/>
  <c r="S406" i="3"/>
  <c r="T408" i="3"/>
  <c r="P411" i="3"/>
  <c r="T413" i="3"/>
  <c r="L416" i="3"/>
  <c r="Q418" i="3"/>
  <c r="L421" i="3"/>
  <c r="L423" i="3"/>
  <c r="S424" i="3"/>
  <c r="Q426" i="3"/>
  <c r="O428" i="3"/>
  <c r="M430" i="3"/>
  <c r="T431" i="3"/>
  <c r="R433" i="3"/>
  <c r="O435" i="3"/>
  <c r="S436" i="3"/>
  <c r="T437" i="3"/>
  <c r="L439" i="3"/>
  <c r="O440" i="3"/>
  <c r="P441" i="3"/>
  <c r="Q442" i="3"/>
  <c r="T443" i="3"/>
  <c r="L445" i="3"/>
  <c r="M446" i="3"/>
  <c r="P447" i="3"/>
  <c r="Q448" i="3"/>
  <c r="R449" i="3"/>
  <c r="L451" i="3"/>
  <c r="M452" i="3"/>
  <c r="N453" i="3"/>
  <c r="N454" i="3"/>
  <c r="O455" i="3"/>
  <c r="O456" i="3"/>
  <c r="O457" i="3"/>
  <c r="N458" i="3"/>
  <c r="M459" i="3"/>
  <c r="L460" i="3"/>
  <c r="T460" i="3"/>
  <c r="S461" i="3"/>
  <c r="R462" i="3"/>
  <c r="Q463" i="3"/>
  <c r="P464" i="3"/>
  <c r="O465" i="3"/>
  <c r="N466" i="3"/>
  <c r="M467" i="3"/>
  <c r="L468" i="3"/>
  <c r="T468" i="3"/>
  <c r="S469" i="3"/>
  <c r="R470" i="3"/>
  <c r="Q471" i="3"/>
  <c r="P472" i="3"/>
  <c r="O473" i="3"/>
  <c r="N474" i="3"/>
  <c r="M475" i="3"/>
  <c r="L476" i="3"/>
  <c r="T476" i="3"/>
  <c r="S477" i="3"/>
  <c r="R478" i="3"/>
  <c r="Q479" i="3"/>
  <c r="P480" i="3"/>
  <c r="O481" i="3"/>
  <c r="N482" i="3"/>
  <c r="M483" i="3"/>
  <c r="L484" i="3"/>
  <c r="T484" i="3"/>
  <c r="S485" i="3"/>
  <c r="R486" i="3"/>
  <c r="Q487" i="3"/>
  <c r="P488" i="3"/>
  <c r="O489" i="3"/>
  <c r="N490" i="3"/>
  <c r="M491" i="3"/>
  <c r="L492" i="3"/>
  <c r="T492" i="3"/>
  <c r="S493" i="3"/>
  <c r="R494" i="3"/>
  <c r="Q495" i="3"/>
  <c r="P465" i="3"/>
  <c r="S470" i="3"/>
  <c r="P473" i="3"/>
  <c r="M476" i="3"/>
  <c r="L477" i="3"/>
  <c r="R479" i="3"/>
  <c r="P481" i="3"/>
  <c r="M484" i="3"/>
  <c r="T485" i="3"/>
  <c r="S486" i="3"/>
  <c r="P489" i="3"/>
  <c r="N491" i="3"/>
  <c r="T493" i="3"/>
  <c r="R495" i="3"/>
  <c r="L486" i="3"/>
  <c r="P490" i="3"/>
  <c r="N492" i="3"/>
  <c r="T494" i="3"/>
  <c r="M436" i="3"/>
  <c r="L376" i="3"/>
  <c r="S382" i="3"/>
  <c r="R385" i="3"/>
  <c r="M388" i="3"/>
  <c r="N390" i="3"/>
  <c r="S392" i="3"/>
  <c r="N395" i="3"/>
  <c r="O397" i="3"/>
  <c r="T399" i="3"/>
  <c r="O402" i="3"/>
  <c r="P404" i="3"/>
  <c r="L407" i="3"/>
  <c r="P409" i="3"/>
  <c r="Q411" i="3"/>
  <c r="M414" i="3"/>
  <c r="Q416" i="3"/>
  <c r="R418" i="3"/>
  <c r="N421" i="3"/>
  <c r="M423" i="3"/>
  <c r="T424" i="3"/>
  <c r="R426" i="3"/>
  <c r="P428" i="3"/>
  <c r="N430" i="3"/>
  <c r="L432" i="3"/>
  <c r="S433" i="3"/>
  <c r="P435" i="3"/>
  <c r="T436" i="3"/>
  <c r="L438" i="3"/>
  <c r="M439" i="3"/>
  <c r="P440" i="3"/>
  <c r="Q441" i="3"/>
  <c r="R442" i="3"/>
  <c r="L444" i="3"/>
  <c r="M445" i="3"/>
  <c r="N446" i="3"/>
  <c r="Q447" i="3"/>
  <c r="R448" i="3"/>
  <c r="S449" i="3"/>
  <c r="M451" i="3"/>
  <c r="N452" i="3"/>
  <c r="O453" i="3"/>
  <c r="P454" i="3"/>
  <c r="P455" i="3"/>
  <c r="P456" i="3"/>
  <c r="P457" i="3"/>
  <c r="O458" i="3"/>
  <c r="N459" i="3"/>
  <c r="M460" i="3"/>
  <c r="L461" i="3"/>
  <c r="T461" i="3"/>
  <c r="S462" i="3"/>
  <c r="Q464" i="3"/>
  <c r="O466" i="3"/>
  <c r="N467" i="3"/>
  <c r="M468" i="3"/>
  <c r="L469" i="3"/>
  <c r="T469" i="3"/>
  <c r="R471" i="3"/>
  <c r="O474" i="3"/>
  <c r="S478" i="3"/>
  <c r="N483" i="3"/>
  <c r="Q488" i="3"/>
  <c r="S494" i="3"/>
  <c r="N437" i="3"/>
  <c r="M442" i="3"/>
  <c r="R445" i="3"/>
  <c r="N449" i="3"/>
  <c r="S452" i="3"/>
  <c r="S455" i="3"/>
  <c r="R458" i="3"/>
  <c r="N462" i="3"/>
  <c r="T464" i="3"/>
  <c r="Q467" i="3"/>
  <c r="N470" i="3"/>
  <c r="T472" i="3"/>
  <c r="Q475" i="3"/>
  <c r="N478" i="3"/>
  <c r="S481" i="3"/>
  <c r="P484" i="3"/>
  <c r="M487" i="3"/>
  <c r="S489" i="3"/>
  <c r="P492" i="3"/>
  <c r="M495" i="3"/>
  <c r="T376" i="3"/>
  <c r="M383" i="3"/>
  <c r="S385" i="3"/>
  <c r="O388" i="3"/>
  <c r="S390" i="3"/>
  <c r="T392" i="3"/>
  <c r="P395" i="3"/>
  <c r="T397" i="3"/>
  <c r="L400" i="3"/>
  <c r="Q402" i="3"/>
  <c r="L405" i="3"/>
  <c r="M407" i="3"/>
  <c r="R409" i="3"/>
  <c r="M412" i="3"/>
  <c r="N414" i="3"/>
  <c r="S416" i="3"/>
  <c r="N419" i="3"/>
  <c r="O421" i="3"/>
  <c r="R423" i="3"/>
  <c r="P425" i="3"/>
  <c r="N427" i="3"/>
  <c r="L429" i="3"/>
  <c r="S430" i="3"/>
  <c r="Q432" i="3"/>
  <c r="O434" i="3"/>
  <c r="Q435" i="3"/>
  <c r="L437" i="3"/>
  <c r="M438" i="3"/>
  <c r="P439" i="3"/>
  <c r="Q440" i="3"/>
  <c r="R441" i="3"/>
  <c r="L443" i="3"/>
  <c r="M444" i="3"/>
  <c r="N445" i="3"/>
  <c r="Q446" i="3"/>
  <c r="R447" i="3"/>
  <c r="S448" i="3"/>
  <c r="M450" i="3"/>
  <c r="N451" i="3"/>
  <c r="O452" i="3"/>
  <c r="Q453" i="3"/>
  <c r="Q454" i="3"/>
  <c r="Q455" i="3"/>
  <c r="Q456" i="3"/>
  <c r="Q457" i="3"/>
  <c r="P458" i="3"/>
  <c r="O459" i="3"/>
  <c r="N460" i="3"/>
  <c r="M461" i="3"/>
  <c r="L462" i="3"/>
  <c r="T462" i="3"/>
  <c r="S463" i="3"/>
  <c r="R464" i="3"/>
  <c r="Q465" i="3"/>
  <c r="P466" i="3"/>
  <c r="O467" i="3"/>
  <c r="N468" i="3"/>
  <c r="M469" i="3"/>
  <c r="L470" i="3"/>
  <c r="T470" i="3"/>
  <c r="S471" i="3"/>
  <c r="R472" i="3"/>
  <c r="Q473" i="3"/>
  <c r="P474" i="3"/>
  <c r="O475" i="3"/>
  <c r="N476" i="3"/>
  <c r="M477" i="3"/>
  <c r="L478" i="3"/>
  <c r="T478" i="3"/>
  <c r="S479" i="3"/>
  <c r="R480" i="3"/>
  <c r="Q481" i="3"/>
  <c r="P482" i="3"/>
  <c r="O483" i="3"/>
  <c r="N484" i="3"/>
  <c r="T486" i="3"/>
  <c r="S487" i="3"/>
  <c r="R488" i="3"/>
  <c r="O491" i="3"/>
  <c r="L494" i="3"/>
  <c r="R439" i="3"/>
  <c r="S440" i="3"/>
  <c r="N443" i="3"/>
  <c r="S446" i="3"/>
  <c r="P451" i="3"/>
  <c r="S453" i="3"/>
  <c r="S457" i="3"/>
  <c r="Q459" i="3"/>
  <c r="M463" i="3"/>
  <c r="S465" i="3"/>
  <c r="O469" i="3"/>
  <c r="M471" i="3"/>
  <c r="S473" i="3"/>
  <c r="O477" i="3"/>
  <c r="L480" i="3"/>
  <c r="Q483" i="3"/>
  <c r="N486" i="3"/>
  <c r="L488" i="3"/>
  <c r="Q491" i="3"/>
  <c r="N494" i="3"/>
  <c r="S377" i="3"/>
  <c r="R383" i="3"/>
  <c r="O386" i="3"/>
  <c r="P388" i="3"/>
  <c r="L391" i="3"/>
  <c r="P393" i="3"/>
  <c r="Q395" i="3"/>
  <c r="M398" i="3"/>
  <c r="Q400" i="3"/>
  <c r="R402" i="3"/>
  <c r="N405" i="3"/>
  <c r="R407" i="3"/>
  <c r="S409" i="3"/>
  <c r="O412" i="3"/>
  <c r="S414" i="3"/>
  <c r="T416" i="3"/>
  <c r="P419" i="3"/>
  <c r="T421" i="3"/>
  <c r="S423" i="3"/>
  <c r="Q425" i="3"/>
  <c r="O427" i="3"/>
  <c r="M429" i="3"/>
  <c r="T430" i="3"/>
  <c r="R432" i="3"/>
  <c r="P434" i="3"/>
  <c r="L436" i="3"/>
  <c r="M437" i="3"/>
  <c r="N438" i="3"/>
  <c r="Q439" i="3"/>
  <c r="R440" i="3"/>
  <c r="S441" i="3"/>
  <c r="M443" i="3"/>
  <c r="N444" i="3"/>
  <c r="O445" i="3"/>
  <c r="R446" i="3"/>
  <c r="S447" i="3"/>
  <c r="T448" i="3"/>
  <c r="N450" i="3"/>
  <c r="O451" i="3"/>
  <c r="P452" i="3"/>
  <c r="R453" i="3"/>
  <c r="R454" i="3"/>
  <c r="R455" i="3"/>
  <c r="R456" i="3"/>
  <c r="R457" i="3"/>
  <c r="Q458" i="3"/>
  <c r="P459" i="3"/>
  <c r="O460" i="3"/>
  <c r="N461" i="3"/>
  <c r="M462" i="3"/>
  <c r="L463" i="3"/>
  <c r="T463" i="3"/>
  <c r="S464" i="3"/>
  <c r="R465" i="3"/>
  <c r="Q466" i="3"/>
  <c r="P467" i="3"/>
  <c r="O468" i="3"/>
  <c r="N469" i="3"/>
  <c r="M470" i="3"/>
  <c r="L471" i="3"/>
  <c r="T471" i="3"/>
  <c r="S472" i="3"/>
  <c r="R473" i="3"/>
  <c r="Q474" i="3"/>
  <c r="P475" i="3"/>
  <c r="O476" i="3"/>
  <c r="N477" i="3"/>
  <c r="M478" i="3"/>
  <c r="L479" i="3"/>
  <c r="T479" i="3"/>
  <c r="S480" i="3"/>
  <c r="R481" i="3"/>
  <c r="Q482" i="3"/>
  <c r="P483" i="3"/>
  <c r="O484" i="3"/>
  <c r="N485" i="3"/>
  <c r="M486" i="3"/>
  <c r="L487" i="3"/>
  <c r="T487" i="3"/>
  <c r="S488" i="3"/>
  <c r="R489" i="3"/>
  <c r="Q490" i="3"/>
  <c r="P491" i="3"/>
  <c r="O492" i="3"/>
  <c r="N493" i="3"/>
  <c r="M494" i="3"/>
  <c r="L495" i="3"/>
  <c r="T495" i="3"/>
  <c r="Q438" i="3"/>
  <c r="O444" i="3"/>
  <c r="T447" i="3"/>
  <c r="O450" i="3"/>
  <c r="S454" i="3"/>
  <c r="S456" i="3"/>
  <c r="P460" i="3"/>
  <c r="L464" i="3"/>
  <c r="R466" i="3"/>
  <c r="P468" i="3"/>
  <c r="L472" i="3"/>
  <c r="R474" i="3"/>
  <c r="P476" i="3"/>
  <c r="M479" i="3"/>
  <c r="R482" i="3"/>
  <c r="O485" i="3"/>
  <c r="T488" i="3"/>
  <c r="R490" i="3"/>
  <c r="O493" i="3"/>
  <c r="R378" i="3"/>
  <c r="L384" i="3"/>
  <c r="Q386" i="3"/>
  <c r="L389" i="3"/>
  <c r="M391" i="3"/>
  <c r="R393" i="3"/>
  <c r="M396" i="3"/>
  <c r="N398" i="3"/>
  <c r="S400" i="3"/>
  <c r="N403" i="3"/>
  <c r="O405" i="3"/>
  <c r="T407" i="3"/>
  <c r="O410" i="3"/>
  <c r="P412" i="3"/>
  <c r="L415" i="3"/>
  <c r="P417" i="3"/>
  <c r="Q419" i="3"/>
  <c r="M422" i="3"/>
  <c r="T423" i="3"/>
  <c r="R425" i="3"/>
  <c r="P427" i="3"/>
  <c r="N429" i="3"/>
  <c r="L431" i="3"/>
  <c r="S432" i="3"/>
  <c r="Q434" i="3"/>
  <c r="O461" i="3"/>
  <c r="T480" i="3"/>
  <c r="Q379" i="3"/>
  <c r="Q384" i="3"/>
  <c r="R386" i="3"/>
  <c r="N389" i="3"/>
  <c r="R391" i="3"/>
  <c r="S393" i="3"/>
  <c r="O396" i="3"/>
  <c r="S398" i="3"/>
  <c r="T400" i="3"/>
  <c r="P403" i="3"/>
  <c r="T405" i="3"/>
  <c r="L408" i="3"/>
  <c r="Q410" i="3"/>
  <c r="L413" i="3"/>
  <c r="M415" i="3"/>
  <c r="R417" i="3"/>
  <c r="M420" i="3"/>
  <c r="N422" i="3"/>
  <c r="L424" i="3"/>
  <c r="S425" i="3"/>
  <c r="Q427" i="3"/>
  <c r="O429" i="3"/>
  <c r="M431" i="3"/>
  <c r="T432" i="3"/>
  <c r="R434" i="3"/>
  <c r="N436" i="3"/>
  <c r="O437" i="3"/>
  <c r="R438" i="3"/>
  <c r="S439" i="3"/>
  <c r="T440" i="3"/>
  <c r="N442" i="3"/>
  <c r="O443" i="3"/>
  <c r="P444" i="3"/>
  <c r="S445" i="3"/>
  <c r="T446" i="3"/>
  <c r="L448" i="3"/>
  <c r="O449" i="3"/>
  <c r="P450" i="3"/>
  <c r="Q451" i="3"/>
  <c r="T452" i="3"/>
  <c r="T453" i="3"/>
  <c r="T454" i="3"/>
  <c r="T455" i="3"/>
  <c r="T456" i="3"/>
  <c r="T457" i="3"/>
  <c r="S458" i="3"/>
  <c r="R459" i="3"/>
  <c r="Q460" i="3"/>
  <c r="P461" i="3"/>
  <c r="O462" i="3"/>
  <c r="N463" i="3"/>
  <c r="M464" i="3"/>
  <c r="L465" i="3"/>
  <c r="T465" i="3"/>
  <c r="S466" i="3"/>
  <c r="R467" i="3"/>
  <c r="Q468" i="3"/>
  <c r="P469" i="3"/>
  <c r="O470" i="3"/>
  <c r="N471" i="3"/>
  <c r="M472" i="3"/>
  <c r="L473" i="3"/>
  <c r="T473" i="3"/>
  <c r="S474" i="3"/>
  <c r="R475" i="3"/>
  <c r="Q476" i="3"/>
  <c r="P477" i="3"/>
  <c r="O478" i="3"/>
  <c r="N479" i="3"/>
  <c r="M480" i="3"/>
  <c r="L481" i="3"/>
  <c r="T481" i="3"/>
  <c r="S482" i="3"/>
  <c r="R483" i="3"/>
  <c r="Q484" i="3"/>
  <c r="P485" i="3"/>
  <c r="O486" i="3"/>
  <c r="N487" i="3"/>
  <c r="M488" i="3"/>
  <c r="L489" i="3"/>
  <c r="T489" i="3"/>
  <c r="S490" i="3"/>
  <c r="R491" i="3"/>
  <c r="Q492" i="3"/>
  <c r="P493" i="3"/>
  <c r="O494" i="3"/>
  <c r="N495" i="3"/>
  <c r="M481" i="3"/>
  <c r="P486" i="3"/>
  <c r="M489" i="3"/>
  <c r="T490" i="3"/>
  <c r="R492" i="3"/>
  <c r="P494" i="3"/>
  <c r="P380" i="3"/>
  <c r="S384" i="3"/>
  <c r="N387" i="3"/>
  <c r="O389" i="3"/>
  <c r="T391" i="3"/>
  <c r="O394" i="3"/>
  <c r="P396" i="3"/>
  <c r="L399" i="3"/>
  <c r="P401" i="3"/>
  <c r="Q403" i="3"/>
  <c r="M406" i="3"/>
  <c r="Q408" i="3"/>
  <c r="R410" i="3"/>
  <c r="N413" i="3"/>
  <c r="R415" i="3"/>
  <c r="S417" i="3"/>
  <c r="O420" i="3"/>
  <c r="S422" i="3"/>
  <c r="Q424" i="3"/>
  <c r="O426" i="3"/>
  <c r="M428" i="3"/>
  <c r="T429" i="3"/>
  <c r="R431" i="3"/>
  <c r="P433" i="3"/>
  <c r="M435" i="3"/>
  <c r="O436" i="3"/>
  <c r="R437" i="3"/>
  <c r="S438" i="3"/>
  <c r="T439" i="3"/>
  <c r="N441" i="3"/>
  <c r="O442" i="3"/>
  <c r="P443" i="3"/>
  <c r="S444" i="3"/>
  <c r="T445" i="3"/>
  <c r="L447" i="3"/>
  <c r="O448" i="3"/>
  <c r="P449" i="3"/>
  <c r="Q450" i="3"/>
  <c r="T451" i="3"/>
  <c r="L453" i="3"/>
  <c r="L454" i="3"/>
  <c r="L455" i="3"/>
  <c r="L456" i="3"/>
  <c r="M457" i="3"/>
  <c r="L458" i="3"/>
  <c r="T458" i="3"/>
  <c r="S459" i="3"/>
  <c r="R460" i="3"/>
  <c r="Q461" i="3"/>
  <c r="P462" i="3"/>
  <c r="O463" i="3"/>
  <c r="N464" i="3"/>
  <c r="M465" i="3"/>
  <c r="L466" i="3"/>
  <c r="T466" i="3"/>
  <c r="S467" i="3"/>
  <c r="R468" i="3"/>
  <c r="Q469" i="3"/>
  <c r="P470" i="3"/>
  <c r="O471" i="3"/>
  <c r="N472" i="3"/>
  <c r="M473" i="3"/>
  <c r="L474" i="3"/>
  <c r="T474" i="3"/>
  <c r="S475" i="3"/>
  <c r="R476" i="3"/>
  <c r="Q477" i="3"/>
  <c r="P478" i="3"/>
  <c r="O479" i="3"/>
  <c r="N480" i="3"/>
  <c r="L482" i="3"/>
  <c r="T482" i="3"/>
  <c r="S483" i="3"/>
  <c r="R484" i="3"/>
  <c r="Q485" i="3"/>
  <c r="O487" i="3"/>
  <c r="N488" i="3"/>
  <c r="L490" i="3"/>
  <c r="S491" i="3"/>
  <c r="Q493" i="3"/>
  <c r="O495" i="3"/>
  <c r="B31" i="3"/>
  <c r="G18" i="1"/>
  <c r="G17" i="1"/>
  <c r="G12" i="1"/>
  <c r="G13" i="1"/>
  <c r="B18" i="3"/>
  <c r="D4" i="3"/>
  <c r="L3" i="3"/>
  <c r="L2" i="3"/>
  <c r="D14" i="3"/>
  <c r="I4" i="3" l="1"/>
  <c r="E3" i="4"/>
  <c r="F3" i="4"/>
  <c r="K3" i="4"/>
  <c r="K78" i="4"/>
  <c r="F78" i="4"/>
  <c r="E78" i="4"/>
  <c r="K77" i="4"/>
  <c r="F77" i="4"/>
  <c r="E77" i="4"/>
  <c r="K76" i="4"/>
  <c r="F76" i="4"/>
  <c r="E76" i="4"/>
  <c r="K75" i="4"/>
  <c r="F75" i="4"/>
  <c r="E75" i="4"/>
  <c r="K74" i="4"/>
  <c r="F74" i="4"/>
  <c r="E74" i="4"/>
  <c r="K73" i="4"/>
  <c r="F73" i="4"/>
  <c r="E73" i="4"/>
  <c r="K72" i="4"/>
  <c r="F72" i="4"/>
  <c r="E72" i="4"/>
  <c r="K71" i="4"/>
  <c r="F71" i="4"/>
  <c r="E71" i="4"/>
  <c r="K70" i="4"/>
  <c r="F70" i="4"/>
  <c r="E70" i="4"/>
  <c r="K69" i="4"/>
  <c r="F69" i="4"/>
  <c r="E69" i="4"/>
  <c r="K68" i="4"/>
  <c r="F68" i="4"/>
  <c r="E68" i="4"/>
  <c r="K67" i="4"/>
  <c r="F67" i="4"/>
  <c r="E67" i="4"/>
  <c r="K66" i="4"/>
  <c r="F66" i="4"/>
  <c r="E66" i="4"/>
  <c r="K65" i="4"/>
  <c r="F65" i="4"/>
  <c r="E65" i="4"/>
  <c r="K64" i="4"/>
  <c r="F64" i="4"/>
  <c r="E64" i="4"/>
  <c r="K63" i="4"/>
  <c r="F63" i="4"/>
  <c r="E63" i="4"/>
  <c r="K62" i="4"/>
  <c r="F62" i="4"/>
  <c r="E62" i="4"/>
  <c r="K61" i="4"/>
  <c r="F61" i="4"/>
  <c r="E61" i="4"/>
  <c r="K60" i="4"/>
  <c r="F60" i="4"/>
  <c r="E60" i="4"/>
  <c r="K59" i="4"/>
  <c r="F59" i="4"/>
  <c r="E59" i="4"/>
  <c r="K58" i="4"/>
  <c r="F58" i="4"/>
  <c r="E58" i="4"/>
  <c r="K57" i="4"/>
  <c r="F57" i="4"/>
  <c r="E57" i="4"/>
  <c r="K56" i="4"/>
  <c r="F56" i="4"/>
  <c r="E56" i="4"/>
  <c r="K55" i="4"/>
  <c r="F55" i="4"/>
  <c r="E55" i="4"/>
  <c r="K54" i="4"/>
  <c r="F54" i="4"/>
  <c r="E54" i="4"/>
  <c r="K53" i="4"/>
  <c r="F53" i="4"/>
  <c r="E53" i="4"/>
  <c r="K52" i="4"/>
  <c r="F52" i="4"/>
  <c r="E52" i="4"/>
  <c r="AB51" i="4"/>
  <c r="K51" i="4"/>
  <c r="F51" i="4"/>
  <c r="E51" i="4"/>
  <c r="K50" i="4"/>
  <c r="F50" i="4"/>
  <c r="E50" i="4"/>
  <c r="K49" i="4"/>
  <c r="F49" i="4"/>
  <c r="E49" i="4"/>
  <c r="K48" i="4"/>
  <c r="F48" i="4"/>
  <c r="E48" i="4"/>
  <c r="K47" i="4"/>
  <c r="F47" i="4"/>
  <c r="E47" i="4"/>
  <c r="K46" i="4"/>
  <c r="F46" i="4"/>
  <c r="E46" i="4"/>
  <c r="K45" i="4"/>
  <c r="F45" i="4"/>
  <c r="E45" i="4"/>
  <c r="K44" i="4"/>
  <c r="F44" i="4"/>
  <c r="E44" i="4"/>
  <c r="K43" i="4"/>
  <c r="F43" i="4"/>
  <c r="E43" i="4"/>
  <c r="K42" i="4"/>
  <c r="F42" i="4"/>
  <c r="E42" i="4"/>
  <c r="K41" i="4"/>
  <c r="F41" i="4"/>
  <c r="E41" i="4"/>
  <c r="K40" i="4"/>
  <c r="F40" i="4"/>
  <c r="E40" i="4"/>
  <c r="K39" i="4"/>
  <c r="F39" i="4"/>
  <c r="E39" i="4"/>
  <c r="K38" i="4"/>
  <c r="F38" i="4"/>
  <c r="E38" i="4"/>
  <c r="K37" i="4"/>
  <c r="F37" i="4"/>
  <c r="E37" i="4"/>
  <c r="K36" i="4"/>
  <c r="F36" i="4"/>
  <c r="E36" i="4"/>
  <c r="K35" i="4"/>
  <c r="F35" i="4"/>
  <c r="E35" i="4"/>
  <c r="K34" i="4"/>
  <c r="F34" i="4"/>
  <c r="E34" i="4"/>
  <c r="K33" i="4"/>
  <c r="F33" i="4"/>
  <c r="E33" i="4"/>
  <c r="K32" i="4"/>
  <c r="F32" i="4"/>
  <c r="E32" i="4"/>
  <c r="K31" i="4"/>
  <c r="F31" i="4"/>
  <c r="E31" i="4"/>
  <c r="K30" i="4"/>
  <c r="F30" i="4"/>
  <c r="E30" i="4"/>
  <c r="K29" i="4"/>
  <c r="F29" i="4"/>
  <c r="E29" i="4"/>
  <c r="K28" i="4"/>
  <c r="F28" i="4"/>
  <c r="E28" i="4"/>
  <c r="K27" i="4"/>
  <c r="F27" i="4"/>
  <c r="E27" i="4"/>
  <c r="K26" i="4"/>
  <c r="F26" i="4"/>
  <c r="E26" i="4"/>
  <c r="K25" i="4"/>
  <c r="F25" i="4"/>
  <c r="E25" i="4"/>
  <c r="K24" i="4"/>
  <c r="F24" i="4"/>
  <c r="E24" i="4"/>
  <c r="K23" i="4"/>
  <c r="F23" i="4"/>
  <c r="E23" i="4"/>
  <c r="K22" i="4"/>
  <c r="F22" i="4"/>
  <c r="E22" i="4"/>
  <c r="K21" i="4"/>
  <c r="F21" i="4"/>
  <c r="E21" i="4"/>
  <c r="K20" i="4"/>
  <c r="F20" i="4"/>
  <c r="E20" i="4"/>
  <c r="K19" i="4"/>
  <c r="F19" i="4"/>
  <c r="E19" i="4"/>
  <c r="K18" i="4"/>
  <c r="F18" i="4"/>
  <c r="E18" i="4"/>
  <c r="K17" i="4"/>
  <c r="F17" i="4"/>
  <c r="E17" i="4"/>
  <c r="K16" i="4"/>
  <c r="F16" i="4"/>
  <c r="E16" i="4"/>
  <c r="K15" i="4"/>
  <c r="F15" i="4"/>
  <c r="E15" i="4"/>
  <c r="K14" i="4"/>
  <c r="F14" i="4"/>
  <c r="E14" i="4"/>
  <c r="K13" i="4"/>
  <c r="F13" i="4"/>
  <c r="E13" i="4"/>
  <c r="K12" i="4"/>
  <c r="F12" i="4"/>
  <c r="E12" i="4"/>
  <c r="K11" i="4"/>
  <c r="F11" i="4"/>
  <c r="E11" i="4"/>
  <c r="K10" i="4"/>
  <c r="F10" i="4"/>
  <c r="E10" i="4"/>
  <c r="K9" i="4"/>
  <c r="F9" i="4"/>
  <c r="E9" i="4"/>
  <c r="K8" i="4"/>
  <c r="F8" i="4"/>
  <c r="E8" i="4"/>
  <c r="K7" i="4"/>
  <c r="F7" i="4"/>
  <c r="E7" i="4"/>
  <c r="K6" i="4"/>
  <c r="F6" i="4"/>
  <c r="E6" i="4"/>
  <c r="K5" i="4"/>
  <c r="F5" i="4"/>
  <c r="E5" i="4"/>
  <c r="K4" i="4"/>
  <c r="F4" i="4"/>
  <c r="E4" i="4"/>
  <c r="B115" i="2"/>
  <c r="B123" i="2" s="1"/>
  <c r="B133" i="2" s="1"/>
  <c r="G128" i="2"/>
  <c r="I128" i="2" s="1"/>
  <c r="AF22" i="2"/>
  <c r="AG22" i="2" s="1"/>
  <c r="G20" i="2"/>
  <c r="B38" i="3" l="1"/>
  <c r="B32" i="3"/>
  <c r="B36" i="3"/>
  <c r="B33" i="3"/>
  <c r="B34" i="3"/>
  <c r="H14" i="2"/>
  <c r="B116" i="2"/>
  <c r="E24" i="2"/>
  <c r="X20" i="2" s="1"/>
  <c r="B117" i="2" l="1"/>
  <c r="F134" i="2" s="1"/>
  <c r="I14" i="2" s="1"/>
  <c r="J25" i="2"/>
  <c r="B12" i="2"/>
  <c r="B77" i="2"/>
  <c r="B78" i="2" s="1"/>
  <c r="B79" i="2" s="1"/>
  <c r="B80" i="2" s="1"/>
  <c r="F56" i="2"/>
  <c r="G53" i="2"/>
  <c r="I53" i="2" s="1"/>
  <c r="G52" i="2"/>
  <c r="I52" i="2" s="1"/>
  <c r="G51" i="2"/>
  <c r="I51" i="2" s="1"/>
  <c r="B38" i="2"/>
  <c r="F135" i="2" l="1"/>
  <c r="J14" i="2" s="1"/>
  <c r="B118" i="2"/>
  <c r="F57" i="2"/>
  <c r="F90" i="2"/>
  <c r="I13" i="2" s="1"/>
  <c r="F85" i="2"/>
  <c r="B85" i="2"/>
  <c r="B96" i="2" s="1"/>
  <c r="H13" i="2" s="1"/>
  <c r="B46" i="2"/>
  <c r="B56" i="2" s="1"/>
  <c r="H12" i="2" s="1"/>
  <c r="B39" i="2"/>
  <c r="B40" i="2" s="1"/>
  <c r="F133" i="2" l="1"/>
  <c r="I20" i="2"/>
  <c r="F91" i="2"/>
  <c r="F89" i="2" s="1"/>
  <c r="F58" i="2"/>
  <c r="B41" i="2"/>
  <c r="J13" i="2" l="1"/>
  <c r="I12" i="2"/>
  <c r="K21" i="2" s="1"/>
  <c r="F59" i="2"/>
  <c r="J12" i="2" s="1"/>
  <c r="L21" i="2" l="1"/>
  <c r="S13" i="2" s="1"/>
  <c r="S15" i="2" l="1"/>
  <c r="S14" i="2"/>
  <c r="S12" i="2"/>
  <c r="P26" i="2"/>
  <c r="Y20" i="2" l="1"/>
  <c r="P27" i="2"/>
  <c r="Q27" i="2" s="1"/>
  <c r="AC27" i="2" s="1"/>
  <c r="Q26" i="2"/>
  <c r="F20" i="2"/>
  <c r="V26" i="2" s="1"/>
  <c r="H20" i="2"/>
  <c r="P28" i="2" l="1"/>
  <c r="Q28" i="2" s="1"/>
  <c r="AC28" i="2" s="1"/>
  <c r="H26" i="2"/>
  <c r="H27" i="2"/>
  <c r="X26" i="2" s="1"/>
  <c r="G26" i="2"/>
  <c r="G27" i="2"/>
  <c r="W26" i="2" s="1"/>
  <c r="AC26" i="2"/>
  <c r="P29" i="2" l="1"/>
  <c r="W29" i="2" s="1"/>
  <c r="W27" i="2"/>
  <c r="X27" i="2"/>
  <c r="W28" i="2"/>
  <c r="X28" i="2"/>
  <c r="J21" i="2"/>
  <c r="J26" i="2" s="1"/>
  <c r="J27" i="2" s="1"/>
  <c r="P30" i="2" l="1"/>
  <c r="Q30" i="2" s="1"/>
  <c r="AC30" i="2" s="1"/>
  <c r="Q29" i="2"/>
  <c r="AC29" i="2" s="1"/>
  <c r="X29" i="2"/>
  <c r="Y16" i="2"/>
  <c r="P31" i="2" l="1"/>
  <c r="X31" i="2" s="1"/>
  <c r="X30" i="2"/>
  <c r="W30" i="2"/>
  <c r="F21" i="2"/>
  <c r="Q31" i="2" l="1"/>
  <c r="AC31" i="2" s="1"/>
  <c r="P32" i="2"/>
  <c r="X32" i="2" s="1"/>
  <c r="W31" i="2"/>
  <c r="I26" i="2"/>
  <c r="Q32" i="2" l="1"/>
  <c r="AC32" i="2" s="1"/>
  <c r="P33" i="2"/>
  <c r="W33" i="2" s="1"/>
  <c r="W32" i="2"/>
  <c r="I27" i="2"/>
  <c r="R10" i="2"/>
  <c r="P34" i="2" l="1"/>
  <c r="W34" i="2" s="1"/>
  <c r="Q33" i="2"/>
  <c r="AC33" i="2" s="1"/>
  <c r="X33" i="2"/>
  <c r="R12" i="2"/>
  <c r="W12" i="2" s="1"/>
  <c r="Z16" i="2"/>
  <c r="T15" i="2"/>
  <c r="T12" i="2"/>
  <c r="T13" i="2"/>
  <c r="T14" i="2"/>
  <c r="X34" i="2" l="1"/>
  <c r="Q34" i="2"/>
  <c r="AC34" i="2" s="1"/>
  <c r="P35" i="2"/>
  <c r="X35" i="2" s="1"/>
  <c r="Y34" i="2"/>
  <c r="Y32" i="2"/>
  <c r="Y30" i="2"/>
  <c r="Y28" i="2"/>
  <c r="Y33" i="2"/>
  <c r="Y26" i="2"/>
  <c r="Y27" i="2"/>
  <c r="Y29" i="2"/>
  <c r="Y31" i="2"/>
  <c r="R34" i="2"/>
  <c r="R32" i="2"/>
  <c r="R31" i="2"/>
  <c r="R30" i="2"/>
  <c r="R28" i="2"/>
  <c r="R27" i="2"/>
  <c r="R33" i="2"/>
  <c r="R29" i="2"/>
  <c r="R26" i="2"/>
  <c r="R13" i="2"/>
  <c r="W13" i="2" s="1"/>
  <c r="P36" i="2" l="1"/>
  <c r="Y36" i="2" s="1"/>
  <c r="Q35" i="2"/>
  <c r="AC35" i="2" s="1"/>
  <c r="W35" i="2"/>
  <c r="R35" i="2"/>
  <c r="Y35" i="2"/>
  <c r="Z34" i="2"/>
  <c r="Z32" i="2"/>
  <c r="Z30" i="2"/>
  <c r="Z28" i="2"/>
  <c r="Z33" i="2"/>
  <c r="Z27" i="2"/>
  <c r="Z35" i="2"/>
  <c r="Z29" i="2"/>
  <c r="Z31" i="2"/>
  <c r="Z26" i="2"/>
  <c r="S35" i="2"/>
  <c r="S28" i="2"/>
  <c r="S30" i="2"/>
  <c r="S31" i="2"/>
  <c r="S26" i="2"/>
  <c r="S27" i="2"/>
  <c r="S32" i="2"/>
  <c r="S33" i="2"/>
  <c r="S34" i="2"/>
  <c r="S29" i="2"/>
  <c r="Q23" i="1"/>
  <c r="R14" i="2"/>
  <c r="R36" i="2" l="1"/>
  <c r="S36" i="2"/>
  <c r="W36" i="2"/>
  <c r="Z36" i="2"/>
  <c r="X36" i="2"/>
  <c r="Q36" i="2"/>
  <c r="AC36" i="2" s="1"/>
  <c r="P37" i="2"/>
  <c r="X37" i="2" s="1"/>
  <c r="W14" i="2"/>
  <c r="W15" i="2"/>
  <c r="Q24" i="1"/>
  <c r="R15" i="2"/>
  <c r="X16" i="2" s="1"/>
  <c r="P38" i="2" l="1"/>
  <c r="W38" i="2" s="1"/>
  <c r="Z37" i="2"/>
  <c r="S37" i="2"/>
  <c r="W37" i="2"/>
  <c r="Y37" i="2"/>
  <c r="Q37" i="2"/>
  <c r="AC37" i="2" s="1"/>
  <c r="R37" i="2"/>
  <c r="AB26" i="2"/>
  <c r="AB30" i="2"/>
  <c r="AB27" i="2"/>
  <c r="AB29" i="2"/>
  <c r="AB32" i="2"/>
  <c r="AB37" i="2"/>
  <c r="AB36" i="2"/>
  <c r="AB35" i="2"/>
  <c r="AB34" i="2"/>
  <c r="AB31" i="2"/>
  <c r="AB28" i="2"/>
  <c r="AB33" i="2"/>
  <c r="AA26" i="2"/>
  <c r="AA36" i="2"/>
  <c r="AA34" i="2"/>
  <c r="AA32" i="2"/>
  <c r="AA33" i="2"/>
  <c r="AA30" i="2"/>
  <c r="AA27" i="2"/>
  <c r="AA35" i="2"/>
  <c r="AA29" i="2"/>
  <c r="AA31" i="2"/>
  <c r="AA37" i="2"/>
  <c r="AA28" i="2"/>
  <c r="U251" i="2"/>
  <c r="U235" i="2"/>
  <c r="U219" i="2"/>
  <c r="U203" i="2"/>
  <c r="U187" i="2"/>
  <c r="U171" i="2"/>
  <c r="U155" i="2"/>
  <c r="U139" i="2"/>
  <c r="U123" i="2"/>
  <c r="U240" i="2"/>
  <c r="U224" i="2"/>
  <c r="U208" i="2"/>
  <c r="U192" i="2"/>
  <c r="U176" i="2"/>
  <c r="U160" i="2"/>
  <c r="U144" i="2"/>
  <c r="U128" i="2"/>
  <c r="U112" i="2"/>
  <c r="U96" i="2"/>
  <c r="U117" i="2"/>
  <c r="U85" i="2"/>
  <c r="U67" i="2"/>
  <c r="U51" i="2"/>
  <c r="U35" i="2"/>
  <c r="U107" i="2"/>
  <c r="U78" i="2"/>
  <c r="U62" i="2"/>
  <c r="U46" i="2"/>
  <c r="U30" i="2"/>
  <c r="U185" i="2"/>
  <c r="U137" i="2"/>
  <c r="U238" i="2"/>
  <c r="U206" i="2"/>
  <c r="U174" i="2"/>
  <c r="U142" i="2"/>
  <c r="U110" i="2"/>
  <c r="U113" i="2"/>
  <c r="U49" i="2"/>
  <c r="U60" i="2"/>
  <c r="U44" i="2"/>
  <c r="U247" i="2"/>
  <c r="U135" i="2"/>
  <c r="U249" i="2"/>
  <c r="U233" i="2"/>
  <c r="U217" i="2"/>
  <c r="U201" i="2"/>
  <c r="U169" i="2"/>
  <c r="U153" i="2"/>
  <c r="U121" i="2"/>
  <c r="U222" i="2"/>
  <c r="U190" i="2"/>
  <c r="U158" i="2"/>
  <c r="U126" i="2"/>
  <c r="U81" i="2"/>
  <c r="U76" i="2"/>
  <c r="U215" i="2"/>
  <c r="U151" i="2"/>
  <c r="U220" i="2"/>
  <c r="U140" i="2"/>
  <c r="U79" i="2"/>
  <c r="U99" i="2"/>
  <c r="U229" i="2"/>
  <c r="U149" i="2"/>
  <c r="U202" i="2"/>
  <c r="U122" i="2"/>
  <c r="U61" i="2"/>
  <c r="U40" i="2"/>
  <c r="U243" i="2"/>
  <c r="U227" i="2"/>
  <c r="U211" i="2"/>
  <c r="U195" i="2"/>
  <c r="U179" i="2"/>
  <c r="U163" i="2"/>
  <c r="U147" i="2"/>
  <c r="U131" i="2"/>
  <c r="U248" i="2"/>
  <c r="U232" i="2"/>
  <c r="U216" i="2"/>
  <c r="U200" i="2"/>
  <c r="U184" i="2"/>
  <c r="U168" i="2"/>
  <c r="U152" i="2"/>
  <c r="U136" i="2"/>
  <c r="U120" i="2"/>
  <c r="U104" i="2"/>
  <c r="U88" i="2"/>
  <c r="U101" i="2"/>
  <c r="U75" i="2"/>
  <c r="U59" i="2"/>
  <c r="U43" i="2"/>
  <c r="U27" i="2"/>
  <c r="U91" i="2"/>
  <c r="U70" i="2"/>
  <c r="U54" i="2"/>
  <c r="U38" i="2"/>
  <c r="U97" i="2"/>
  <c r="U57" i="2"/>
  <c r="U41" i="2"/>
  <c r="U87" i="2"/>
  <c r="U68" i="2"/>
  <c r="U52" i="2"/>
  <c r="U36" i="2"/>
  <c r="U148" i="2"/>
  <c r="U84" i="2"/>
  <c r="U55" i="2"/>
  <c r="U115" i="2"/>
  <c r="U50" i="2"/>
  <c r="U183" i="2"/>
  <c r="U204" i="2"/>
  <c r="U108" i="2"/>
  <c r="U31" i="2"/>
  <c r="U42" i="2"/>
  <c r="U181" i="2"/>
  <c r="U234" i="2"/>
  <c r="U154" i="2"/>
  <c r="U105" i="2"/>
  <c r="U95" i="2"/>
  <c r="U241" i="2"/>
  <c r="U225" i="2"/>
  <c r="U209" i="2"/>
  <c r="U193" i="2"/>
  <c r="U177" i="2"/>
  <c r="U161" i="2"/>
  <c r="U145" i="2"/>
  <c r="U129" i="2"/>
  <c r="U246" i="2"/>
  <c r="U230" i="2"/>
  <c r="U214" i="2"/>
  <c r="U198" i="2"/>
  <c r="U182" i="2"/>
  <c r="U166" i="2"/>
  <c r="U150" i="2"/>
  <c r="U134" i="2"/>
  <c r="U118" i="2"/>
  <c r="U102" i="2"/>
  <c r="U86" i="2"/>
  <c r="U73" i="2"/>
  <c r="U212" i="2"/>
  <c r="U164" i="2"/>
  <c r="U116" i="2"/>
  <c r="U93" i="2"/>
  <c r="U39" i="2"/>
  <c r="U66" i="2"/>
  <c r="U199" i="2"/>
  <c r="U236" i="2"/>
  <c r="U156" i="2"/>
  <c r="U109" i="2"/>
  <c r="U74" i="2"/>
  <c r="U245" i="2"/>
  <c r="U165" i="2"/>
  <c r="U218" i="2"/>
  <c r="U138" i="2"/>
  <c r="U77" i="2"/>
  <c r="U56" i="2"/>
  <c r="U239" i="2"/>
  <c r="U223" i="2"/>
  <c r="U207" i="2"/>
  <c r="U191" i="2"/>
  <c r="U175" i="2"/>
  <c r="U159" i="2"/>
  <c r="U143" i="2"/>
  <c r="U127" i="2"/>
  <c r="U244" i="2"/>
  <c r="U228" i="2"/>
  <c r="U196" i="2"/>
  <c r="U180" i="2"/>
  <c r="U132" i="2"/>
  <c r="U100" i="2"/>
  <c r="U71" i="2"/>
  <c r="U83" i="2"/>
  <c r="U34" i="2"/>
  <c r="U167" i="2"/>
  <c r="U172" i="2"/>
  <c r="U124" i="2"/>
  <c r="U63" i="2"/>
  <c r="U58" i="2"/>
  <c r="U213" i="2"/>
  <c r="U133" i="2"/>
  <c r="U170" i="2"/>
  <c r="U90" i="2"/>
  <c r="U45" i="2"/>
  <c r="U72" i="2"/>
  <c r="U237" i="2"/>
  <c r="U221" i="2"/>
  <c r="U205" i="2"/>
  <c r="U189" i="2"/>
  <c r="U173" i="2"/>
  <c r="U157" i="2"/>
  <c r="U141" i="2"/>
  <c r="U125" i="2"/>
  <c r="U242" i="2"/>
  <c r="U226" i="2"/>
  <c r="U210" i="2"/>
  <c r="U194" i="2"/>
  <c r="U178" i="2"/>
  <c r="U162" i="2"/>
  <c r="U146" i="2"/>
  <c r="U130" i="2"/>
  <c r="U114" i="2"/>
  <c r="U98" i="2"/>
  <c r="U82" i="2"/>
  <c r="U89" i="2"/>
  <c r="U69" i="2"/>
  <c r="U53" i="2"/>
  <c r="U37" i="2"/>
  <c r="U111" i="2"/>
  <c r="U80" i="2"/>
  <c r="U64" i="2"/>
  <c r="U48" i="2"/>
  <c r="U32" i="2"/>
  <c r="U94" i="2"/>
  <c r="U65" i="2"/>
  <c r="U33" i="2"/>
  <c r="U103" i="2"/>
  <c r="U28" i="2"/>
  <c r="U231" i="2"/>
  <c r="U119" i="2"/>
  <c r="U188" i="2"/>
  <c r="U92" i="2"/>
  <c r="U47" i="2"/>
  <c r="U26" i="2"/>
  <c r="U197" i="2"/>
  <c r="U250" i="2"/>
  <c r="U186" i="2"/>
  <c r="U106" i="2"/>
  <c r="U29" i="2"/>
  <c r="T33" i="2"/>
  <c r="T29" i="2"/>
  <c r="T38" i="2"/>
  <c r="T32" i="2"/>
  <c r="T36" i="2"/>
  <c r="T37" i="2"/>
  <c r="T26" i="2"/>
  <c r="T34" i="2"/>
  <c r="T35" i="2"/>
  <c r="T30" i="2"/>
  <c r="T28" i="2"/>
  <c r="T31" i="2"/>
  <c r="T27" i="2"/>
  <c r="Q25" i="1"/>
  <c r="Q26" i="1"/>
  <c r="P39" i="2" l="1"/>
  <c r="AA39" i="2" s="1"/>
  <c r="Z38" i="2"/>
  <c r="R38" i="2"/>
  <c r="S38" i="2"/>
  <c r="AA38" i="2"/>
  <c r="Y38" i="2"/>
  <c r="AB38" i="2"/>
  <c r="X38" i="2"/>
  <c r="Q38" i="2"/>
  <c r="AC38" i="2" s="1"/>
  <c r="AD26" i="2"/>
  <c r="AE26" i="2" s="1"/>
  <c r="T39" i="2"/>
  <c r="Y39" i="2"/>
  <c r="Z39" i="2"/>
  <c r="AB39" i="2"/>
  <c r="R39" i="2"/>
  <c r="S39" i="2"/>
  <c r="P40" i="2"/>
  <c r="W39" i="2" l="1"/>
  <c r="X39" i="2"/>
  <c r="Q39" i="2"/>
  <c r="AC39" i="2" s="1"/>
  <c r="AF26" i="2"/>
  <c r="AG26" i="2"/>
  <c r="AD27" i="2"/>
  <c r="X40" i="2"/>
  <c r="W40" i="2"/>
  <c r="Y40" i="2"/>
  <c r="Z40" i="2"/>
  <c r="AA40" i="2"/>
  <c r="AB40" i="2"/>
  <c r="R40" i="2"/>
  <c r="S40" i="2"/>
  <c r="T40" i="2"/>
  <c r="P41" i="2"/>
  <c r="Q40" i="2" l="1"/>
  <c r="AC40" i="2" s="1"/>
  <c r="AH26" i="2"/>
  <c r="AD28" i="2"/>
  <c r="AE27" i="2"/>
  <c r="W41" i="2"/>
  <c r="X41" i="2"/>
  <c r="Y41" i="2"/>
  <c r="Z41" i="2"/>
  <c r="AB41" i="2"/>
  <c r="AA41" i="2"/>
  <c r="R41" i="2"/>
  <c r="S41" i="2"/>
  <c r="T41" i="2"/>
  <c r="P42" i="2"/>
  <c r="Q41" i="2" l="1"/>
  <c r="AC41" i="2" s="1"/>
  <c r="AG27" i="2"/>
  <c r="AF27" i="2"/>
  <c r="AD29" i="2"/>
  <c r="AD30" i="2" s="1"/>
  <c r="AD31" i="2" s="1"/>
  <c r="AD32" i="2" s="1"/>
  <c r="AD33" i="2" s="1"/>
  <c r="AD34" i="2" s="1"/>
  <c r="AD35" i="2" s="1"/>
  <c r="AD36" i="2" s="1"/>
  <c r="AD37" i="2" s="1"/>
  <c r="AD38" i="2" s="1"/>
  <c r="AD39" i="2" s="1"/>
  <c r="AD40" i="2" s="1"/>
  <c r="AE28" i="2"/>
  <c r="W42" i="2"/>
  <c r="X42" i="2"/>
  <c r="Y42" i="2"/>
  <c r="Z42" i="2"/>
  <c r="AB42" i="2"/>
  <c r="AA42" i="2"/>
  <c r="R42" i="2"/>
  <c r="S42" i="2"/>
  <c r="T42" i="2"/>
  <c r="P43" i="2"/>
  <c r="AD41" i="2" l="1"/>
  <c r="Q42" i="2"/>
  <c r="AC42" i="2" s="1"/>
  <c r="AE29" i="2"/>
  <c r="AG28" i="2"/>
  <c r="AF28" i="2"/>
  <c r="AH27" i="2"/>
  <c r="X43" i="2"/>
  <c r="W43" i="2"/>
  <c r="Y43" i="2"/>
  <c r="Z43" i="2"/>
  <c r="AA43" i="2"/>
  <c r="AB43" i="2"/>
  <c r="R43" i="2"/>
  <c r="S43" i="2"/>
  <c r="T43" i="2"/>
  <c r="P44" i="2"/>
  <c r="AD42" i="2" l="1"/>
  <c r="Q43" i="2"/>
  <c r="AC43" i="2" s="1"/>
  <c r="AH28" i="2"/>
  <c r="AE30" i="2"/>
  <c r="AG29" i="2"/>
  <c r="AF29" i="2"/>
  <c r="X44" i="2"/>
  <c r="W44" i="2"/>
  <c r="Y44" i="2"/>
  <c r="Z44" i="2"/>
  <c r="AA44" i="2"/>
  <c r="AB44" i="2"/>
  <c r="S44" i="2"/>
  <c r="T44" i="2"/>
  <c r="P45" i="2"/>
  <c r="Q44" i="2" l="1"/>
  <c r="AC44" i="2" s="1"/>
  <c r="AD43" i="2"/>
  <c r="AE31" i="2"/>
  <c r="AG30" i="2"/>
  <c r="AF30" i="2"/>
  <c r="AH29" i="2"/>
  <c r="W45" i="2"/>
  <c r="X45" i="2"/>
  <c r="Y45" i="2"/>
  <c r="Z45" i="2"/>
  <c r="AB45" i="2"/>
  <c r="AA45" i="2"/>
  <c r="R45" i="2"/>
  <c r="S45" i="2"/>
  <c r="T45" i="2"/>
  <c r="P46" i="2"/>
  <c r="Q45" i="2" l="1"/>
  <c r="AC45" i="2" s="1"/>
  <c r="AD44" i="2"/>
  <c r="AH30" i="2"/>
  <c r="AE32" i="2"/>
  <c r="AG31" i="2"/>
  <c r="AF31" i="2"/>
  <c r="W46" i="2"/>
  <c r="X46" i="2"/>
  <c r="Y46" i="2"/>
  <c r="Z46" i="2"/>
  <c r="AB46" i="2"/>
  <c r="AA46" i="2"/>
  <c r="R46" i="2"/>
  <c r="S46" i="2"/>
  <c r="T46" i="2"/>
  <c r="P47" i="2"/>
  <c r="Q46" i="2" l="1"/>
  <c r="Q47" i="2" s="1"/>
  <c r="AC47" i="2" s="1"/>
  <c r="AD45" i="2"/>
  <c r="AE33" i="2"/>
  <c r="AG32" i="2"/>
  <c r="AF32" i="2"/>
  <c r="AH31" i="2"/>
  <c r="X47" i="2"/>
  <c r="W47" i="2"/>
  <c r="Y47" i="2"/>
  <c r="Z47" i="2"/>
  <c r="AA47" i="2"/>
  <c r="AB47" i="2"/>
  <c r="R47" i="2"/>
  <c r="S47" i="2"/>
  <c r="T47" i="2"/>
  <c r="P48" i="2"/>
  <c r="AC46" i="2" l="1"/>
  <c r="AD46" i="2" s="1"/>
  <c r="AD47" i="2" s="1"/>
  <c r="AG33" i="2"/>
  <c r="AF33" i="2"/>
  <c r="AE34" i="2"/>
  <c r="AH32" i="2"/>
  <c r="X48" i="2"/>
  <c r="W48" i="2"/>
  <c r="Y48" i="2"/>
  <c r="Z48" i="2"/>
  <c r="AB48" i="2"/>
  <c r="AA48" i="2"/>
  <c r="R48" i="2"/>
  <c r="S48" i="2"/>
  <c r="T48" i="2"/>
  <c r="P49" i="2"/>
  <c r="Q48" i="2"/>
  <c r="AH33" i="2" l="1"/>
  <c r="AE35" i="2"/>
  <c r="AG34" i="2"/>
  <c r="AF34" i="2"/>
  <c r="W49" i="2"/>
  <c r="X49" i="2"/>
  <c r="Q49" i="2"/>
  <c r="AC49" i="2" s="1"/>
  <c r="AC48" i="2"/>
  <c r="AD48" i="2" s="1"/>
  <c r="Y49" i="2"/>
  <c r="Z49" i="2"/>
  <c r="AB49" i="2"/>
  <c r="AA49" i="2"/>
  <c r="R49" i="2"/>
  <c r="S49" i="2"/>
  <c r="T49" i="2"/>
  <c r="P50" i="2"/>
  <c r="AH34" i="2" l="1"/>
  <c r="AE36" i="2"/>
  <c r="AG35" i="2"/>
  <c r="AF35" i="2"/>
  <c r="W50" i="2"/>
  <c r="X50" i="2"/>
  <c r="AD49" i="2"/>
  <c r="Y50" i="2"/>
  <c r="Z50" i="2"/>
  <c r="AA50" i="2"/>
  <c r="AB50" i="2"/>
  <c r="R50" i="2"/>
  <c r="S50" i="2"/>
  <c r="T50" i="2"/>
  <c r="P51" i="2"/>
  <c r="Q50" i="2"/>
  <c r="AH35" i="2" l="1"/>
  <c r="AE37" i="2"/>
  <c r="AF36" i="2"/>
  <c r="AG36" i="2"/>
  <c r="X51" i="2"/>
  <c r="W51" i="2"/>
  <c r="Q51" i="2"/>
  <c r="AC51" i="2" s="1"/>
  <c r="AC50" i="2"/>
  <c r="AD50" i="2" s="1"/>
  <c r="Y51" i="2"/>
  <c r="Z51" i="2"/>
  <c r="AA51" i="2"/>
  <c r="AB51" i="2"/>
  <c r="R51" i="2"/>
  <c r="S51" i="2"/>
  <c r="T51" i="2"/>
  <c r="P52" i="2"/>
  <c r="AH36" i="2" l="1"/>
  <c r="AE38" i="2"/>
  <c r="AF37" i="2"/>
  <c r="AG37" i="2"/>
  <c r="W52" i="2"/>
  <c r="X52" i="2"/>
  <c r="AD51" i="2"/>
  <c r="Y52" i="2"/>
  <c r="Z52" i="2"/>
  <c r="AA52" i="2"/>
  <c r="AB52" i="2"/>
  <c r="R52" i="2"/>
  <c r="S52" i="2"/>
  <c r="T52" i="2"/>
  <c r="P53" i="2"/>
  <c r="Q52" i="2"/>
  <c r="AH37" i="2" l="1"/>
  <c r="AE39" i="2"/>
  <c r="AF38" i="2"/>
  <c r="AG38" i="2"/>
  <c r="W53" i="2"/>
  <c r="X53" i="2"/>
  <c r="Q53" i="2"/>
  <c r="AC53" i="2" s="1"/>
  <c r="AC52" i="2"/>
  <c r="AD52" i="2" s="1"/>
  <c r="Y53" i="2"/>
  <c r="Z53" i="2"/>
  <c r="AA53" i="2"/>
  <c r="AB53" i="2"/>
  <c r="R53" i="2"/>
  <c r="S53" i="2"/>
  <c r="T53" i="2"/>
  <c r="P54" i="2"/>
  <c r="AH38" i="2" l="1"/>
  <c r="AE40" i="2"/>
  <c r="AF39" i="2"/>
  <c r="AG39" i="2"/>
  <c r="W54" i="2"/>
  <c r="X54" i="2"/>
  <c r="AD53" i="2"/>
  <c r="Y54" i="2"/>
  <c r="Z54" i="2"/>
  <c r="AA54" i="2"/>
  <c r="AB54" i="2"/>
  <c r="R54" i="2"/>
  <c r="S54" i="2"/>
  <c r="T54" i="2"/>
  <c r="P55" i="2"/>
  <c r="Q54" i="2"/>
  <c r="AH39" i="2" l="1"/>
  <c r="AE41" i="2"/>
  <c r="AF40" i="2"/>
  <c r="AG40" i="2"/>
  <c r="X55" i="2"/>
  <c r="W55" i="2"/>
  <c r="Q55" i="2"/>
  <c r="AC55" i="2" s="1"/>
  <c r="AC54" i="2"/>
  <c r="AD54" i="2" s="1"/>
  <c r="Y55" i="2"/>
  <c r="Z55" i="2"/>
  <c r="AA55" i="2"/>
  <c r="AB55" i="2"/>
  <c r="R55" i="2"/>
  <c r="S55" i="2"/>
  <c r="T55" i="2"/>
  <c r="P56" i="2"/>
  <c r="AH40" i="2" l="1"/>
  <c r="AE42" i="2"/>
  <c r="AG41" i="2"/>
  <c r="AF41" i="2"/>
  <c r="X56" i="2"/>
  <c r="W56" i="2"/>
  <c r="AD55" i="2"/>
  <c r="Y56" i="2"/>
  <c r="Z56" i="2"/>
  <c r="AA56" i="2"/>
  <c r="AB56" i="2"/>
  <c r="R56" i="2"/>
  <c r="S56" i="2"/>
  <c r="T56" i="2"/>
  <c r="P57" i="2"/>
  <c r="Q56" i="2"/>
  <c r="AG42" i="2" l="1"/>
  <c r="AF42" i="2"/>
  <c r="AE43" i="2"/>
  <c r="AH41" i="2"/>
  <c r="W57" i="2"/>
  <c r="X57" i="2"/>
  <c r="Q57" i="2"/>
  <c r="AC57" i="2" s="1"/>
  <c r="AC56" i="2"/>
  <c r="AD56" i="2" s="1"/>
  <c r="Y57" i="2"/>
  <c r="Z57" i="2"/>
  <c r="AB57" i="2"/>
  <c r="AA57" i="2"/>
  <c r="R57" i="2"/>
  <c r="S57" i="2"/>
  <c r="T57" i="2"/>
  <c r="P58" i="2"/>
  <c r="AH42" i="2" l="1"/>
  <c r="AG43" i="2"/>
  <c r="AF43" i="2"/>
  <c r="AE44" i="2"/>
  <c r="W58" i="2"/>
  <c r="X58" i="2"/>
  <c r="AD57" i="2"/>
  <c r="Y58" i="2"/>
  <c r="Z58" i="2"/>
  <c r="AB58" i="2"/>
  <c r="AA58" i="2"/>
  <c r="R58" i="2"/>
  <c r="S58" i="2"/>
  <c r="T58" i="2"/>
  <c r="P59" i="2"/>
  <c r="Q58" i="2"/>
  <c r="AG44" i="2" l="1"/>
  <c r="AF44" i="2"/>
  <c r="AE45" i="2"/>
  <c r="AH43" i="2"/>
  <c r="X59" i="2"/>
  <c r="W59" i="2"/>
  <c r="Q59" i="2"/>
  <c r="AC59" i="2" s="1"/>
  <c r="AC58" i="2"/>
  <c r="AD58" i="2" s="1"/>
  <c r="Y59" i="2"/>
  <c r="Z59" i="2"/>
  <c r="AB59" i="2"/>
  <c r="AA59" i="2"/>
  <c r="R59" i="2"/>
  <c r="T59" i="2"/>
  <c r="P60" i="2"/>
  <c r="AG45" i="2" l="1"/>
  <c r="AF45" i="2"/>
  <c r="AE46" i="2"/>
  <c r="AH44" i="2"/>
  <c r="W60" i="2"/>
  <c r="X60" i="2"/>
  <c r="AD59" i="2"/>
  <c r="Y60" i="2"/>
  <c r="Z60" i="2"/>
  <c r="AB60" i="2"/>
  <c r="AA60" i="2"/>
  <c r="R60" i="2"/>
  <c r="S60" i="2"/>
  <c r="T60" i="2"/>
  <c r="P61" i="2"/>
  <c r="Q60" i="2"/>
  <c r="AG46" i="2" l="1"/>
  <c r="AF46" i="2"/>
  <c r="AE47" i="2"/>
  <c r="AH45" i="2"/>
  <c r="W61" i="2"/>
  <c r="X61" i="2"/>
  <c r="Q61" i="2"/>
  <c r="AC61" i="2" s="1"/>
  <c r="AC60" i="2"/>
  <c r="AD60" i="2" s="1"/>
  <c r="Y61" i="2"/>
  <c r="Z61" i="2"/>
  <c r="AB61" i="2"/>
  <c r="AA61" i="2"/>
  <c r="R61" i="2"/>
  <c r="S61" i="2"/>
  <c r="T61" i="2"/>
  <c r="P62" i="2"/>
  <c r="AG47" i="2" l="1"/>
  <c r="AF47" i="2"/>
  <c r="AE48" i="2"/>
  <c r="AH46" i="2"/>
  <c r="W62" i="2"/>
  <c r="X62" i="2"/>
  <c r="AD61" i="2"/>
  <c r="Y62" i="2"/>
  <c r="Z62" i="2"/>
  <c r="AB62" i="2"/>
  <c r="AA62" i="2"/>
  <c r="R62" i="2"/>
  <c r="S62" i="2"/>
  <c r="T62" i="2"/>
  <c r="P63" i="2"/>
  <c r="Q62" i="2"/>
  <c r="AC62" i="2" s="1"/>
  <c r="AG48" i="2" l="1"/>
  <c r="AF48" i="2"/>
  <c r="AE49" i="2"/>
  <c r="AH47" i="2"/>
  <c r="X63" i="2"/>
  <c r="W63" i="2"/>
  <c r="AD62" i="2"/>
  <c r="Y63" i="2"/>
  <c r="Z63" i="2"/>
  <c r="AA63" i="2"/>
  <c r="AB63" i="2"/>
  <c r="Q63" i="2"/>
  <c r="AC63" i="2" s="1"/>
  <c r="R63" i="2"/>
  <c r="S63" i="2"/>
  <c r="T63" i="2"/>
  <c r="P64" i="2"/>
  <c r="AG49" i="2" l="1"/>
  <c r="AF49" i="2"/>
  <c r="AE50" i="2"/>
  <c r="AH48" i="2"/>
  <c r="X64" i="2"/>
  <c r="W64" i="2"/>
  <c r="AD63" i="2"/>
  <c r="Y64" i="2"/>
  <c r="Z64" i="2"/>
  <c r="AA64" i="2"/>
  <c r="AB64" i="2"/>
  <c r="R64" i="2"/>
  <c r="S64" i="2"/>
  <c r="T64" i="2"/>
  <c r="P65" i="2"/>
  <c r="Q64" i="2"/>
  <c r="AG50" i="2" l="1"/>
  <c r="AF50" i="2"/>
  <c r="AE51" i="2"/>
  <c r="AH49" i="2"/>
  <c r="W65" i="2"/>
  <c r="X65" i="2"/>
  <c r="Q65" i="2"/>
  <c r="AC65" i="2" s="1"/>
  <c r="AC64" i="2"/>
  <c r="AD64" i="2" s="1"/>
  <c r="Y65" i="2"/>
  <c r="Z65" i="2"/>
  <c r="AB65" i="2"/>
  <c r="AA65" i="2"/>
  <c r="R65" i="2"/>
  <c r="S65" i="2"/>
  <c r="T65" i="2"/>
  <c r="P66" i="2"/>
  <c r="AG51" i="2" l="1"/>
  <c r="AF51" i="2"/>
  <c r="AE52" i="2"/>
  <c r="AH50" i="2"/>
  <c r="W66" i="2"/>
  <c r="X66" i="2"/>
  <c r="AD65" i="2"/>
  <c r="Y66" i="2"/>
  <c r="Z66" i="2"/>
  <c r="AA66" i="2"/>
  <c r="AB66" i="2"/>
  <c r="R66" i="2"/>
  <c r="S66" i="2"/>
  <c r="T66" i="2"/>
  <c r="P67" i="2"/>
  <c r="Q66" i="2"/>
  <c r="AG52" i="2" l="1"/>
  <c r="AF52" i="2"/>
  <c r="AE53" i="2"/>
  <c r="AH51" i="2"/>
  <c r="X67" i="2"/>
  <c r="W67" i="2"/>
  <c r="Q67" i="2"/>
  <c r="AC67" i="2" s="1"/>
  <c r="AC66" i="2"/>
  <c r="AD66" i="2" s="1"/>
  <c r="Y67" i="2"/>
  <c r="Z67" i="2"/>
  <c r="AA67" i="2"/>
  <c r="AB67" i="2"/>
  <c r="R67" i="2"/>
  <c r="S67" i="2"/>
  <c r="T67" i="2"/>
  <c r="P68" i="2"/>
  <c r="AG53" i="2" l="1"/>
  <c r="AF53" i="2"/>
  <c r="AE54" i="2"/>
  <c r="AH52" i="2"/>
  <c r="W68" i="2"/>
  <c r="X68" i="2"/>
  <c r="AD67" i="2"/>
  <c r="Y68" i="2"/>
  <c r="Z68" i="2"/>
  <c r="AA68" i="2"/>
  <c r="AB68" i="2"/>
  <c r="R68" i="2"/>
  <c r="S68" i="2"/>
  <c r="T68" i="2"/>
  <c r="P69" i="2"/>
  <c r="Q68" i="2"/>
  <c r="AG54" i="2" l="1"/>
  <c r="AF54" i="2"/>
  <c r="AE55" i="2"/>
  <c r="AH53" i="2"/>
  <c r="W69" i="2"/>
  <c r="X69" i="2"/>
  <c r="Q69" i="2"/>
  <c r="AC69" i="2" s="1"/>
  <c r="AC68" i="2"/>
  <c r="AD68" i="2" s="1"/>
  <c r="Y69" i="2"/>
  <c r="Z69" i="2"/>
  <c r="AA69" i="2"/>
  <c r="AB69" i="2"/>
  <c r="R69" i="2"/>
  <c r="S69" i="2"/>
  <c r="T69" i="2"/>
  <c r="P70" i="2"/>
  <c r="AG55" i="2" l="1"/>
  <c r="AF55" i="2"/>
  <c r="AE56" i="2"/>
  <c r="AH54" i="2"/>
  <c r="W70" i="2"/>
  <c r="X70" i="2"/>
  <c r="AD69" i="2"/>
  <c r="Y70" i="2"/>
  <c r="Z70" i="2"/>
  <c r="AA70" i="2"/>
  <c r="AB70" i="2"/>
  <c r="R70" i="2"/>
  <c r="S70" i="2"/>
  <c r="T70" i="2"/>
  <c r="P71" i="2"/>
  <c r="Q70" i="2"/>
  <c r="AF56" i="2" l="1"/>
  <c r="AG56" i="2"/>
  <c r="AE57" i="2"/>
  <c r="AH55" i="2"/>
  <c r="X71" i="2"/>
  <c r="W71" i="2"/>
  <c r="Q71" i="2"/>
  <c r="AC71" i="2" s="1"/>
  <c r="AC70" i="2"/>
  <c r="AD70" i="2" s="1"/>
  <c r="Y71" i="2"/>
  <c r="Z71" i="2"/>
  <c r="AA71" i="2"/>
  <c r="AB71" i="2"/>
  <c r="R71" i="2"/>
  <c r="S71" i="2"/>
  <c r="T71" i="2"/>
  <c r="P72" i="2"/>
  <c r="AH56" i="2" l="1"/>
  <c r="AF57" i="2"/>
  <c r="AG57" i="2"/>
  <c r="AE58" i="2"/>
  <c r="X72" i="2"/>
  <c r="W72" i="2"/>
  <c r="AD71" i="2"/>
  <c r="Y72" i="2"/>
  <c r="Z72" i="2"/>
  <c r="AA72" i="2"/>
  <c r="AB72" i="2"/>
  <c r="R72" i="2"/>
  <c r="S72" i="2"/>
  <c r="P73" i="2"/>
  <c r="Q72" i="2"/>
  <c r="AH57" i="2" l="1"/>
  <c r="AF58" i="2"/>
  <c r="AG58" i="2"/>
  <c r="AE59" i="2"/>
  <c r="W73" i="2"/>
  <c r="X73" i="2"/>
  <c r="Q73" i="2"/>
  <c r="AC73" i="2" s="1"/>
  <c r="AC72" i="2"/>
  <c r="AD72" i="2" s="1"/>
  <c r="Y73" i="2"/>
  <c r="Z73" i="2"/>
  <c r="AB73" i="2"/>
  <c r="AA73" i="2"/>
  <c r="R73" i="2"/>
  <c r="S73" i="2"/>
  <c r="T73" i="2"/>
  <c r="P74" i="2"/>
  <c r="AH58" i="2" l="1"/>
  <c r="AF59" i="2"/>
  <c r="AG59" i="2"/>
  <c r="AE60" i="2"/>
  <c r="W74" i="2"/>
  <c r="X74" i="2"/>
  <c r="AD73" i="2"/>
  <c r="Y74" i="2"/>
  <c r="Z74" i="2"/>
  <c r="AB74" i="2"/>
  <c r="AA74" i="2"/>
  <c r="R74" i="2"/>
  <c r="S74" i="2"/>
  <c r="T74" i="2"/>
  <c r="P75" i="2"/>
  <c r="Q74" i="2"/>
  <c r="AH59" i="2" l="1"/>
  <c r="AF60" i="2"/>
  <c r="AG60" i="2"/>
  <c r="AE61" i="2"/>
  <c r="X75" i="2"/>
  <c r="W75" i="2"/>
  <c r="Q75" i="2"/>
  <c r="AC75" i="2" s="1"/>
  <c r="AC74" i="2"/>
  <c r="AD74" i="2" s="1"/>
  <c r="Y75" i="2"/>
  <c r="Z75" i="2"/>
  <c r="AB75" i="2"/>
  <c r="AA75" i="2"/>
  <c r="R75" i="2"/>
  <c r="S75" i="2"/>
  <c r="T75" i="2"/>
  <c r="P76" i="2"/>
  <c r="AG61" i="2" l="1"/>
  <c r="AF61" i="2"/>
  <c r="AE62" i="2"/>
  <c r="AH60" i="2"/>
  <c r="W76" i="2"/>
  <c r="X76" i="2"/>
  <c r="AD75" i="2"/>
  <c r="Y76" i="2"/>
  <c r="Z76" i="2"/>
  <c r="AA76" i="2"/>
  <c r="AB76" i="2"/>
  <c r="R76" i="2"/>
  <c r="S76" i="2"/>
  <c r="T76" i="2"/>
  <c r="P77" i="2"/>
  <c r="Q76" i="2"/>
  <c r="AH61" i="2" l="1"/>
  <c r="AG62" i="2"/>
  <c r="AF62" i="2"/>
  <c r="AE63" i="2"/>
  <c r="W77" i="2"/>
  <c r="X77" i="2"/>
  <c r="Q77" i="2"/>
  <c r="AC77" i="2" s="1"/>
  <c r="AC76" i="2"/>
  <c r="AD76" i="2" s="1"/>
  <c r="Y77" i="2"/>
  <c r="Z77" i="2"/>
  <c r="AB77" i="2"/>
  <c r="AA77" i="2"/>
  <c r="R77" i="2"/>
  <c r="S77" i="2"/>
  <c r="T77" i="2"/>
  <c r="P78" i="2"/>
  <c r="AH62" i="2" l="1"/>
  <c r="AG63" i="2"/>
  <c r="AF63" i="2"/>
  <c r="AE64" i="2"/>
  <c r="W78" i="2"/>
  <c r="X78" i="2"/>
  <c r="AD77" i="2"/>
  <c r="Y78" i="2"/>
  <c r="Z78" i="2"/>
  <c r="AB78" i="2"/>
  <c r="AA78" i="2"/>
  <c r="R78" i="2"/>
  <c r="S78" i="2"/>
  <c r="T78" i="2"/>
  <c r="P79" i="2"/>
  <c r="Q78" i="2"/>
  <c r="AG64" i="2" l="1"/>
  <c r="AF64" i="2"/>
  <c r="AE65" i="2"/>
  <c r="AH63" i="2"/>
  <c r="X79" i="2"/>
  <c r="W79" i="2"/>
  <c r="Q79" i="2"/>
  <c r="AC79" i="2" s="1"/>
  <c r="AC78" i="2"/>
  <c r="AD78" i="2" s="1"/>
  <c r="Y79" i="2"/>
  <c r="Z79" i="2"/>
  <c r="AA79" i="2"/>
  <c r="AB79" i="2"/>
  <c r="R79" i="2"/>
  <c r="S79" i="2"/>
  <c r="T79" i="2"/>
  <c r="P80" i="2"/>
  <c r="AG65" i="2" l="1"/>
  <c r="AF65" i="2"/>
  <c r="AE66" i="2"/>
  <c r="AH64" i="2"/>
  <c r="X80" i="2"/>
  <c r="W80" i="2"/>
  <c r="AD79" i="2"/>
  <c r="Y80" i="2"/>
  <c r="Z80" i="2"/>
  <c r="AB80" i="2"/>
  <c r="AA80" i="2"/>
  <c r="R80" i="2"/>
  <c r="S80" i="2"/>
  <c r="T80" i="2"/>
  <c r="P81" i="2"/>
  <c r="Q80" i="2"/>
  <c r="AC80" i="2" s="1"/>
  <c r="AG66" i="2" l="1"/>
  <c r="AF66" i="2"/>
  <c r="AE67" i="2"/>
  <c r="AH65" i="2"/>
  <c r="W81" i="2"/>
  <c r="X81" i="2"/>
  <c r="AD80" i="2"/>
  <c r="Y81" i="2"/>
  <c r="Z81" i="2"/>
  <c r="AA81" i="2"/>
  <c r="AB81" i="2"/>
  <c r="R81" i="2"/>
  <c r="S81" i="2"/>
  <c r="T81" i="2"/>
  <c r="P82" i="2"/>
  <c r="Q81" i="2"/>
  <c r="AG67" i="2" l="1"/>
  <c r="AF67" i="2"/>
  <c r="AE68" i="2"/>
  <c r="AH66" i="2"/>
  <c r="W82" i="2"/>
  <c r="X82" i="2"/>
  <c r="Q82" i="2"/>
  <c r="AC82" i="2" s="1"/>
  <c r="AC81" i="2"/>
  <c r="AD81" i="2" s="1"/>
  <c r="Y82" i="2"/>
  <c r="Z82" i="2"/>
  <c r="AB82" i="2"/>
  <c r="AA82" i="2"/>
  <c r="R82" i="2"/>
  <c r="S82" i="2"/>
  <c r="T82" i="2"/>
  <c r="P83" i="2"/>
  <c r="AH67" i="2" l="1"/>
  <c r="AG68" i="2"/>
  <c r="AF68" i="2"/>
  <c r="AE69" i="2"/>
  <c r="X83" i="2"/>
  <c r="W83" i="2"/>
  <c r="AD82" i="2"/>
  <c r="Y83" i="2"/>
  <c r="Z83" i="2"/>
  <c r="AA83" i="2"/>
  <c r="AB83" i="2"/>
  <c r="R83" i="2"/>
  <c r="S83" i="2"/>
  <c r="T83" i="2"/>
  <c r="P84" i="2"/>
  <c r="Q83" i="2"/>
  <c r="AC83" i="2" s="1"/>
  <c r="AG69" i="2" l="1"/>
  <c r="AF69" i="2"/>
  <c r="AE70" i="2"/>
  <c r="AH68" i="2"/>
  <c r="W84" i="2"/>
  <c r="X84" i="2"/>
  <c r="AD83" i="2"/>
  <c r="Y84" i="2"/>
  <c r="Z84" i="2"/>
  <c r="AA84" i="2"/>
  <c r="AB84" i="2"/>
  <c r="Q84" i="2"/>
  <c r="AC84" i="2" s="1"/>
  <c r="R84" i="2"/>
  <c r="S84" i="2"/>
  <c r="T84" i="2"/>
  <c r="P85" i="2"/>
  <c r="AG70" i="2" l="1"/>
  <c r="AF70" i="2"/>
  <c r="AE71" i="2"/>
  <c r="AH69" i="2"/>
  <c r="W85" i="2"/>
  <c r="X85" i="2"/>
  <c r="AD84" i="2"/>
  <c r="Y85" i="2"/>
  <c r="Z85" i="2"/>
  <c r="AA85" i="2"/>
  <c r="AB85" i="2"/>
  <c r="R85" i="2"/>
  <c r="S85" i="2"/>
  <c r="T85" i="2"/>
  <c r="P86" i="2"/>
  <c r="Q85" i="2"/>
  <c r="AG71" i="2" l="1"/>
  <c r="AF71" i="2"/>
  <c r="AE72" i="2"/>
  <c r="AH70" i="2"/>
  <c r="W86" i="2"/>
  <c r="X86" i="2"/>
  <c r="Q86" i="2"/>
  <c r="AC86" i="2" s="1"/>
  <c r="AC85" i="2"/>
  <c r="AD85" i="2" s="1"/>
  <c r="Y86" i="2"/>
  <c r="Z86" i="2"/>
  <c r="AA86" i="2"/>
  <c r="AB86" i="2"/>
  <c r="R86" i="2"/>
  <c r="S86" i="2"/>
  <c r="T86" i="2"/>
  <c r="P87" i="2"/>
  <c r="AG72" i="2" l="1"/>
  <c r="AF72" i="2"/>
  <c r="AE73" i="2"/>
  <c r="AH71" i="2"/>
  <c r="X87" i="2"/>
  <c r="W87" i="2"/>
  <c r="AD86" i="2"/>
  <c r="Y87" i="2"/>
  <c r="Z87" i="2"/>
  <c r="AA87" i="2"/>
  <c r="AB87" i="2"/>
  <c r="R87" i="2"/>
  <c r="S87" i="2"/>
  <c r="T87" i="2"/>
  <c r="P88" i="2"/>
  <c r="Q87" i="2"/>
  <c r="AG73" i="2" l="1"/>
  <c r="AF73" i="2"/>
  <c r="AE74" i="2"/>
  <c r="AH72" i="2"/>
  <c r="X88" i="2"/>
  <c r="W88" i="2"/>
  <c r="Q88" i="2"/>
  <c r="AC88" i="2" s="1"/>
  <c r="AC87" i="2"/>
  <c r="AD87" i="2" s="1"/>
  <c r="Y88" i="2"/>
  <c r="Z88" i="2"/>
  <c r="AA88" i="2"/>
  <c r="AB88" i="2"/>
  <c r="R88" i="2"/>
  <c r="S88" i="2"/>
  <c r="T88" i="2"/>
  <c r="P89" i="2"/>
  <c r="AF74" i="2" l="1"/>
  <c r="AG74" i="2"/>
  <c r="AE75" i="2"/>
  <c r="AH73" i="2"/>
  <c r="W89" i="2"/>
  <c r="X89" i="2"/>
  <c r="AD88" i="2"/>
  <c r="Y89" i="2"/>
  <c r="Z89" i="2"/>
  <c r="AB89" i="2"/>
  <c r="AA89" i="2"/>
  <c r="R89" i="2"/>
  <c r="S89" i="2"/>
  <c r="T89" i="2"/>
  <c r="P90" i="2"/>
  <c r="Q89" i="2"/>
  <c r="AH74" i="2" l="1"/>
  <c r="AG75" i="2"/>
  <c r="AF75" i="2"/>
  <c r="AE76" i="2"/>
  <c r="W90" i="2"/>
  <c r="X90" i="2"/>
  <c r="Q90" i="2"/>
  <c r="AC90" i="2" s="1"/>
  <c r="AC89" i="2"/>
  <c r="AD89" i="2" s="1"/>
  <c r="Y90" i="2"/>
  <c r="Z90" i="2"/>
  <c r="AB90" i="2"/>
  <c r="AA90" i="2"/>
  <c r="R90" i="2"/>
  <c r="S90" i="2"/>
  <c r="T90" i="2"/>
  <c r="P91" i="2"/>
  <c r="AF76" i="2" l="1"/>
  <c r="AG76" i="2"/>
  <c r="AE77" i="2"/>
  <c r="AH75" i="2"/>
  <c r="X91" i="2"/>
  <c r="W91" i="2"/>
  <c r="AD90" i="2"/>
  <c r="Y91" i="2"/>
  <c r="Z91" i="2"/>
  <c r="AB91" i="2"/>
  <c r="AA91" i="2"/>
  <c r="R91" i="2"/>
  <c r="S91" i="2"/>
  <c r="T91" i="2"/>
  <c r="P92" i="2"/>
  <c r="Q91" i="2"/>
  <c r="AH76" i="2" l="1"/>
  <c r="AF77" i="2"/>
  <c r="AG77" i="2"/>
  <c r="AE78" i="2"/>
  <c r="W92" i="2"/>
  <c r="X92" i="2"/>
  <c r="Q92" i="2"/>
  <c r="AC92" i="2" s="1"/>
  <c r="AC91" i="2"/>
  <c r="AD91" i="2" s="1"/>
  <c r="Y92" i="2"/>
  <c r="Z92" i="2"/>
  <c r="AA92" i="2"/>
  <c r="AB92" i="2"/>
  <c r="R92" i="2"/>
  <c r="S92" i="2"/>
  <c r="T92" i="2"/>
  <c r="P93" i="2"/>
  <c r="AH77" i="2" l="1"/>
  <c r="AF78" i="2"/>
  <c r="AG78" i="2"/>
  <c r="AE79" i="2"/>
  <c r="W93" i="2"/>
  <c r="X93" i="2"/>
  <c r="AD92" i="2"/>
  <c r="Y93" i="2"/>
  <c r="Z93" i="2"/>
  <c r="AB93" i="2"/>
  <c r="AA93" i="2"/>
  <c r="R93" i="2"/>
  <c r="S93" i="2"/>
  <c r="T93" i="2"/>
  <c r="P94" i="2"/>
  <c r="Q93" i="2"/>
  <c r="AH78" i="2" l="1"/>
  <c r="AF79" i="2"/>
  <c r="AG79" i="2"/>
  <c r="AE80" i="2"/>
  <c r="W94" i="2"/>
  <c r="X94" i="2"/>
  <c r="Q94" i="2"/>
  <c r="AC94" i="2" s="1"/>
  <c r="AC93" i="2"/>
  <c r="AD93" i="2" s="1"/>
  <c r="Y94" i="2"/>
  <c r="Z94" i="2"/>
  <c r="AB94" i="2"/>
  <c r="AA94" i="2"/>
  <c r="R94" i="2"/>
  <c r="S94" i="2"/>
  <c r="T94" i="2"/>
  <c r="P95" i="2"/>
  <c r="AF80" i="2" l="1"/>
  <c r="AG80" i="2"/>
  <c r="AE81" i="2"/>
  <c r="AH79" i="2"/>
  <c r="X95" i="2"/>
  <c r="W95" i="2"/>
  <c r="AD94" i="2"/>
  <c r="Y95" i="2"/>
  <c r="Z95" i="2"/>
  <c r="AA95" i="2"/>
  <c r="AB95" i="2"/>
  <c r="R95" i="2"/>
  <c r="S95" i="2"/>
  <c r="T95" i="2"/>
  <c r="P96" i="2"/>
  <c r="Q95" i="2"/>
  <c r="AH80" i="2" l="1"/>
  <c r="AF81" i="2"/>
  <c r="AG81" i="2"/>
  <c r="AE82" i="2"/>
  <c r="X96" i="2"/>
  <c r="W96" i="2"/>
  <c r="Q96" i="2"/>
  <c r="AC96" i="2" s="1"/>
  <c r="AC95" i="2"/>
  <c r="AD95" i="2" s="1"/>
  <c r="Y96" i="2"/>
  <c r="Z96" i="2"/>
  <c r="AA96" i="2"/>
  <c r="AB96" i="2"/>
  <c r="R96" i="2"/>
  <c r="S96" i="2"/>
  <c r="T96" i="2"/>
  <c r="P97" i="2"/>
  <c r="AH81" i="2" l="1"/>
  <c r="AG82" i="2"/>
  <c r="AF82" i="2"/>
  <c r="AE83" i="2"/>
  <c r="W97" i="2"/>
  <c r="X97" i="2"/>
  <c r="AD96" i="2"/>
  <c r="Y97" i="2"/>
  <c r="Z97" i="2"/>
  <c r="AB97" i="2"/>
  <c r="AA97" i="2"/>
  <c r="R97" i="2"/>
  <c r="S97" i="2"/>
  <c r="T97" i="2"/>
  <c r="P98" i="2"/>
  <c r="Q97" i="2"/>
  <c r="AC97" i="2" s="1"/>
  <c r="AG83" i="2" l="1"/>
  <c r="AF83" i="2"/>
  <c r="AE84" i="2"/>
  <c r="AH82" i="2"/>
  <c r="W98" i="2"/>
  <c r="X98" i="2"/>
  <c r="AD97" i="2"/>
  <c r="Y98" i="2"/>
  <c r="Z98" i="2"/>
  <c r="AB98" i="2"/>
  <c r="AA98" i="2"/>
  <c r="R98" i="2"/>
  <c r="S98" i="2"/>
  <c r="T98" i="2"/>
  <c r="P99" i="2"/>
  <c r="Q98" i="2"/>
  <c r="AC98" i="2" s="1"/>
  <c r="AG84" i="2" l="1"/>
  <c r="AF84" i="2"/>
  <c r="AE85" i="2"/>
  <c r="AH83" i="2"/>
  <c r="AD98" i="2"/>
  <c r="X99" i="2"/>
  <c r="W99" i="2"/>
  <c r="Y99" i="2"/>
  <c r="Z99" i="2"/>
  <c r="AA99" i="2"/>
  <c r="AB99" i="2"/>
  <c r="R99" i="2"/>
  <c r="S99" i="2"/>
  <c r="T99" i="2"/>
  <c r="P100" i="2"/>
  <c r="Q99" i="2"/>
  <c r="AC99" i="2" s="1"/>
  <c r="AG85" i="2" l="1"/>
  <c r="AF85" i="2"/>
  <c r="AE86" i="2"/>
  <c r="AH84" i="2"/>
  <c r="AD99" i="2"/>
  <c r="W100" i="2"/>
  <c r="X100" i="2"/>
  <c r="Y100" i="2"/>
  <c r="Z100" i="2"/>
  <c r="AA100" i="2"/>
  <c r="AB100" i="2"/>
  <c r="R100" i="2"/>
  <c r="S100" i="2"/>
  <c r="T100" i="2"/>
  <c r="P101" i="2"/>
  <c r="Q100" i="2"/>
  <c r="AC100" i="2" s="1"/>
  <c r="AH85" i="2" l="1"/>
  <c r="AG86" i="2"/>
  <c r="AF86" i="2"/>
  <c r="AE87" i="2"/>
  <c r="AD100" i="2"/>
  <c r="W101" i="2"/>
  <c r="X101" i="2"/>
  <c r="Y101" i="2"/>
  <c r="Z101" i="2"/>
  <c r="AA101" i="2"/>
  <c r="AB101" i="2"/>
  <c r="R101" i="2"/>
  <c r="S101" i="2"/>
  <c r="T101" i="2"/>
  <c r="P102" i="2"/>
  <c r="Q101" i="2"/>
  <c r="AC101" i="2" s="1"/>
  <c r="AG87" i="2" l="1"/>
  <c r="AF87" i="2"/>
  <c r="AE88" i="2"/>
  <c r="AH86" i="2"/>
  <c r="AD101" i="2"/>
  <c r="P103" i="2"/>
  <c r="W102" i="2"/>
  <c r="X102" i="2"/>
  <c r="Y102" i="2"/>
  <c r="Z102" i="2"/>
  <c r="AB102" i="2"/>
  <c r="AA102" i="2"/>
  <c r="R102" i="2"/>
  <c r="S102" i="2"/>
  <c r="T102" i="2"/>
  <c r="Q102" i="2"/>
  <c r="AC102" i="2" s="1"/>
  <c r="AG88" i="2" l="1"/>
  <c r="AF88" i="2"/>
  <c r="AE89" i="2"/>
  <c r="AH87" i="2"/>
  <c r="AD102" i="2"/>
  <c r="P104" i="2"/>
  <c r="X103" i="2"/>
  <c r="W103" i="2"/>
  <c r="Y103" i="2"/>
  <c r="Z103" i="2"/>
  <c r="AA103" i="2"/>
  <c r="AB103" i="2"/>
  <c r="R103" i="2"/>
  <c r="S103" i="2"/>
  <c r="T103" i="2"/>
  <c r="Q103" i="2"/>
  <c r="AC103" i="2" s="1"/>
  <c r="AG89" i="2" l="1"/>
  <c r="AF89" i="2"/>
  <c r="AE90" i="2"/>
  <c r="AH88" i="2"/>
  <c r="AD103" i="2"/>
  <c r="P105" i="2"/>
  <c r="X104" i="2"/>
  <c r="W104" i="2"/>
  <c r="Y104" i="2"/>
  <c r="Z104" i="2"/>
  <c r="AA104" i="2"/>
  <c r="AB104" i="2"/>
  <c r="R104" i="2"/>
  <c r="S104" i="2"/>
  <c r="T104" i="2"/>
  <c r="Q104" i="2"/>
  <c r="AC104" i="2" s="1"/>
  <c r="AG90" i="2" l="1"/>
  <c r="AF90" i="2"/>
  <c r="AE91" i="2"/>
  <c r="AH89" i="2"/>
  <c r="AD104" i="2"/>
  <c r="P106" i="2"/>
  <c r="W105" i="2"/>
  <c r="X105" i="2"/>
  <c r="Y105" i="2"/>
  <c r="Z105" i="2"/>
  <c r="AB105" i="2"/>
  <c r="AA105" i="2"/>
  <c r="R105" i="2"/>
  <c r="S105" i="2"/>
  <c r="T105" i="2"/>
  <c r="Q105" i="2"/>
  <c r="AC105" i="2" s="1"/>
  <c r="AG91" i="2" l="1"/>
  <c r="AF91" i="2"/>
  <c r="AE92" i="2"/>
  <c r="AH90" i="2"/>
  <c r="AD105" i="2"/>
  <c r="P107" i="2"/>
  <c r="X106" i="2"/>
  <c r="W106" i="2"/>
  <c r="Y106" i="2"/>
  <c r="Z106" i="2"/>
  <c r="AB106" i="2"/>
  <c r="AA106" i="2"/>
  <c r="R106" i="2"/>
  <c r="S106" i="2"/>
  <c r="T106" i="2"/>
  <c r="Q106" i="2"/>
  <c r="AC106" i="2" s="1"/>
  <c r="AG92" i="2" l="1"/>
  <c r="AF92" i="2"/>
  <c r="AE93" i="2"/>
  <c r="AH91" i="2"/>
  <c r="AD106" i="2"/>
  <c r="W107" i="2"/>
  <c r="X107" i="2"/>
  <c r="Y107" i="2"/>
  <c r="Z107" i="2"/>
  <c r="AB107" i="2"/>
  <c r="AA107" i="2"/>
  <c r="R107" i="2"/>
  <c r="S107" i="2"/>
  <c r="T107" i="2"/>
  <c r="P108" i="2"/>
  <c r="Q107" i="2"/>
  <c r="AC107" i="2" s="1"/>
  <c r="AG93" i="2" l="1"/>
  <c r="AF93" i="2"/>
  <c r="AE94" i="2"/>
  <c r="AH92" i="2"/>
  <c r="AD107" i="2"/>
  <c r="W108" i="2"/>
  <c r="X108" i="2"/>
  <c r="Y108" i="2"/>
  <c r="Z108" i="2"/>
  <c r="AB108" i="2"/>
  <c r="AA108" i="2"/>
  <c r="R108" i="2"/>
  <c r="S108" i="2"/>
  <c r="T108" i="2"/>
  <c r="P109" i="2"/>
  <c r="Q108" i="2"/>
  <c r="AC108" i="2" s="1"/>
  <c r="AG94" i="2" l="1"/>
  <c r="AF94" i="2"/>
  <c r="AE95" i="2"/>
  <c r="AH93" i="2"/>
  <c r="AD108" i="2"/>
  <c r="X109" i="2"/>
  <c r="W109" i="2"/>
  <c r="Y109" i="2"/>
  <c r="Z109" i="2"/>
  <c r="AB109" i="2"/>
  <c r="AA109" i="2"/>
  <c r="R109" i="2"/>
  <c r="S109" i="2"/>
  <c r="T109" i="2"/>
  <c r="P110" i="2"/>
  <c r="Q109" i="2"/>
  <c r="AC109" i="2" s="1"/>
  <c r="AG95" i="2" l="1"/>
  <c r="AF95" i="2"/>
  <c r="AE96" i="2"/>
  <c r="AH94" i="2"/>
  <c r="AD109" i="2"/>
  <c r="W110" i="2"/>
  <c r="X110" i="2"/>
  <c r="Y110" i="2"/>
  <c r="Z110" i="2"/>
  <c r="AB110" i="2"/>
  <c r="AA110" i="2"/>
  <c r="R110" i="2"/>
  <c r="S110" i="2"/>
  <c r="T110" i="2"/>
  <c r="P111" i="2"/>
  <c r="Q110" i="2"/>
  <c r="AC110" i="2" s="1"/>
  <c r="AF96" i="2" l="1"/>
  <c r="AG96" i="2"/>
  <c r="AE97" i="2"/>
  <c r="AH95" i="2"/>
  <c r="AD110" i="2"/>
  <c r="W111" i="2"/>
  <c r="X111" i="2"/>
  <c r="Y111" i="2"/>
  <c r="Z111" i="2"/>
  <c r="AA111" i="2"/>
  <c r="AB111" i="2"/>
  <c r="R111" i="2"/>
  <c r="S111" i="2"/>
  <c r="T111" i="2"/>
  <c r="P112" i="2"/>
  <c r="Q111" i="2"/>
  <c r="AC111" i="2" s="1"/>
  <c r="AH96" i="2" l="1"/>
  <c r="AF97" i="2"/>
  <c r="AG97" i="2"/>
  <c r="AE98" i="2"/>
  <c r="AD111" i="2"/>
  <c r="W112" i="2"/>
  <c r="X112" i="2"/>
  <c r="Y112" i="2"/>
  <c r="Z112" i="2"/>
  <c r="AB112" i="2"/>
  <c r="AA112" i="2"/>
  <c r="R112" i="2"/>
  <c r="S112" i="2"/>
  <c r="T112" i="2"/>
  <c r="P113" i="2"/>
  <c r="Q112" i="2"/>
  <c r="AC112" i="2" s="1"/>
  <c r="AH97" i="2" l="1"/>
  <c r="AF98" i="2"/>
  <c r="AG98" i="2"/>
  <c r="AE99" i="2"/>
  <c r="AD112" i="2"/>
  <c r="X113" i="2"/>
  <c r="W113" i="2"/>
  <c r="Y113" i="2"/>
  <c r="Z113" i="2"/>
  <c r="AB113" i="2"/>
  <c r="AA113" i="2"/>
  <c r="R113" i="2"/>
  <c r="S113" i="2"/>
  <c r="T113" i="2"/>
  <c r="P114" i="2"/>
  <c r="Q113" i="2"/>
  <c r="AC113" i="2" s="1"/>
  <c r="AH98" i="2" l="1"/>
  <c r="AF99" i="2"/>
  <c r="AG99" i="2"/>
  <c r="AE100" i="2"/>
  <c r="AD113" i="2"/>
  <c r="W114" i="2"/>
  <c r="X114" i="2"/>
  <c r="Y114" i="2"/>
  <c r="Z114" i="2"/>
  <c r="AB114" i="2"/>
  <c r="AA114" i="2"/>
  <c r="R114" i="2"/>
  <c r="S114" i="2"/>
  <c r="T114" i="2"/>
  <c r="P115" i="2"/>
  <c r="Q114" i="2"/>
  <c r="AC114" i="2" s="1"/>
  <c r="AH99" i="2" l="1"/>
  <c r="AF100" i="2"/>
  <c r="AG100" i="2"/>
  <c r="AE101" i="2"/>
  <c r="AD114" i="2"/>
  <c r="W115" i="2"/>
  <c r="X115" i="2"/>
  <c r="Y115" i="2"/>
  <c r="Z115" i="2"/>
  <c r="AA115" i="2"/>
  <c r="AB115" i="2"/>
  <c r="R115" i="2"/>
  <c r="S115" i="2"/>
  <c r="T115" i="2"/>
  <c r="P116" i="2"/>
  <c r="Q115" i="2"/>
  <c r="AC115" i="2" s="1"/>
  <c r="AH100" i="2" l="1"/>
  <c r="AF101" i="2"/>
  <c r="AG101" i="2"/>
  <c r="AE102" i="2"/>
  <c r="AD115" i="2"/>
  <c r="W116" i="2"/>
  <c r="X116" i="2"/>
  <c r="Y116" i="2"/>
  <c r="Z116" i="2"/>
  <c r="AA116" i="2"/>
  <c r="AB116" i="2"/>
  <c r="R116" i="2"/>
  <c r="S116" i="2"/>
  <c r="T116" i="2"/>
  <c r="P117" i="2"/>
  <c r="Q116" i="2"/>
  <c r="AC116" i="2" s="1"/>
  <c r="AH101" i="2" l="1"/>
  <c r="AG102" i="2"/>
  <c r="AF102" i="2"/>
  <c r="AE103" i="2"/>
  <c r="AD116" i="2"/>
  <c r="X117" i="2"/>
  <c r="W117" i="2"/>
  <c r="Y117" i="2"/>
  <c r="Z117" i="2"/>
  <c r="AA117" i="2"/>
  <c r="AB117" i="2"/>
  <c r="R117" i="2"/>
  <c r="S117" i="2"/>
  <c r="T117" i="2"/>
  <c r="P118" i="2"/>
  <c r="Q117" i="2"/>
  <c r="AC117" i="2" s="1"/>
  <c r="AH102" i="2" l="1"/>
  <c r="AG103" i="2"/>
  <c r="AF103" i="2"/>
  <c r="AE104" i="2"/>
  <c r="AD117" i="2"/>
  <c r="W118" i="2"/>
  <c r="X118" i="2"/>
  <c r="Y118" i="2"/>
  <c r="Z118" i="2"/>
  <c r="AB118" i="2"/>
  <c r="AA118" i="2"/>
  <c r="R118" i="2"/>
  <c r="S118" i="2"/>
  <c r="T118" i="2"/>
  <c r="P119" i="2"/>
  <c r="Q118" i="2"/>
  <c r="AC118" i="2" s="1"/>
  <c r="AH103" i="2" l="1"/>
  <c r="AG104" i="2"/>
  <c r="AF104" i="2"/>
  <c r="AE105" i="2"/>
  <c r="AD118" i="2"/>
  <c r="W119" i="2"/>
  <c r="X119" i="2"/>
  <c r="Y119" i="2"/>
  <c r="Z119" i="2"/>
  <c r="AA119" i="2"/>
  <c r="AB119" i="2"/>
  <c r="R119" i="2"/>
  <c r="S119" i="2"/>
  <c r="T119" i="2"/>
  <c r="P120" i="2"/>
  <c r="Q119" i="2"/>
  <c r="AC119" i="2" s="1"/>
  <c r="AH104" i="2" l="1"/>
  <c r="AG105" i="2"/>
  <c r="AF105" i="2"/>
  <c r="AE106" i="2"/>
  <c r="AD119" i="2"/>
  <c r="W120" i="2"/>
  <c r="X120" i="2"/>
  <c r="Y120" i="2"/>
  <c r="Z120" i="2"/>
  <c r="AA120" i="2"/>
  <c r="AB120" i="2"/>
  <c r="R120" i="2"/>
  <c r="S120" i="2"/>
  <c r="T120" i="2"/>
  <c r="P121" i="2"/>
  <c r="Q120" i="2"/>
  <c r="AC120" i="2" s="1"/>
  <c r="AH105" i="2" l="1"/>
  <c r="AG106" i="2"/>
  <c r="AF106" i="2"/>
  <c r="AE107" i="2"/>
  <c r="AD120" i="2"/>
  <c r="X121" i="2"/>
  <c r="W121" i="2"/>
  <c r="Y121" i="2"/>
  <c r="Z121" i="2"/>
  <c r="AB121" i="2"/>
  <c r="AA121" i="2"/>
  <c r="R121" i="2"/>
  <c r="S121" i="2"/>
  <c r="T121" i="2"/>
  <c r="P122" i="2"/>
  <c r="Q121" i="2"/>
  <c r="AC121" i="2" s="1"/>
  <c r="AG107" i="2" l="1"/>
  <c r="AF107" i="2"/>
  <c r="AE108" i="2"/>
  <c r="AH106" i="2"/>
  <c r="AD121" i="2"/>
  <c r="W122" i="2"/>
  <c r="X122" i="2"/>
  <c r="Y122" i="2"/>
  <c r="Z122" i="2"/>
  <c r="AB122" i="2"/>
  <c r="AA122" i="2"/>
  <c r="R122" i="2"/>
  <c r="S122" i="2"/>
  <c r="T122" i="2"/>
  <c r="P123" i="2"/>
  <c r="Q122" i="2"/>
  <c r="AC122" i="2" s="1"/>
  <c r="AH107" i="2" l="1"/>
  <c r="AG108" i="2"/>
  <c r="AF108" i="2"/>
  <c r="AE109" i="2"/>
  <c r="AD122" i="2"/>
  <c r="W123" i="2"/>
  <c r="X123" i="2"/>
  <c r="Y123" i="2"/>
  <c r="Z123" i="2"/>
  <c r="AB123" i="2"/>
  <c r="AA123" i="2"/>
  <c r="R123" i="2"/>
  <c r="S123" i="2"/>
  <c r="T123" i="2"/>
  <c r="P124" i="2"/>
  <c r="Q123" i="2"/>
  <c r="AC123" i="2" s="1"/>
  <c r="AH108" i="2" l="1"/>
  <c r="AG109" i="2"/>
  <c r="AF109" i="2"/>
  <c r="AE110" i="2"/>
  <c r="AD123" i="2"/>
  <c r="W124" i="2"/>
  <c r="X124" i="2"/>
  <c r="Y124" i="2"/>
  <c r="Z124" i="2"/>
  <c r="AB124" i="2"/>
  <c r="AA124" i="2"/>
  <c r="R124" i="2"/>
  <c r="S124" i="2"/>
  <c r="T124" i="2"/>
  <c r="P125" i="2"/>
  <c r="Q124" i="2"/>
  <c r="AC124" i="2" s="1"/>
  <c r="AG110" i="2" l="1"/>
  <c r="AF110" i="2"/>
  <c r="AE111" i="2"/>
  <c r="AH109" i="2"/>
  <c r="AD124" i="2"/>
  <c r="X125" i="2"/>
  <c r="W125" i="2"/>
  <c r="Y125" i="2"/>
  <c r="Z125" i="2"/>
  <c r="AB125" i="2"/>
  <c r="AA125" i="2"/>
  <c r="R125" i="2"/>
  <c r="S125" i="2"/>
  <c r="T125" i="2"/>
  <c r="P126" i="2"/>
  <c r="Q125" i="2"/>
  <c r="AC125" i="2" s="1"/>
  <c r="AG111" i="2" l="1"/>
  <c r="AF111" i="2"/>
  <c r="AE112" i="2"/>
  <c r="AH110" i="2"/>
  <c r="AD125" i="2"/>
  <c r="W126" i="2"/>
  <c r="X126" i="2"/>
  <c r="Y126" i="2"/>
  <c r="Z126" i="2"/>
  <c r="AA126" i="2"/>
  <c r="AB126" i="2"/>
  <c r="R126" i="2"/>
  <c r="S126" i="2"/>
  <c r="T126" i="2"/>
  <c r="P127" i="2"/>
  <c r="Q126" i="2"/>
  <c r="AC126" i="2" s="1"/>
  <c r="AH111" i="2" l="1"/>
  <c r="AG112" i="2"/>
  <c r="AF112" i="2"/>
  <c r="AE113" i="2"/>
  <c r="AD126" i="2"/>
  <c r="W127" i="2"/>
  <c r="X127" i="2"/>
  <c r="Y127" i="2"/>
  <c r="Z127" i="2"/>
  <c r="AA127" i="2"/>
  <c r="AB127" i="2"/>
  <c r="R127" i="2"/>
  <c r="S127" i="2"/>
  <c r="T127" i="2"/>
  <c r="P128" i="2"/>
  <c r="Q127" i="2"/>
  <c r="AC127" i="2" s="1"/>
  <c r="AH112" i="2" l="1"/>
  <c r="AG113" i="2"/>
  <c r="AF113" i="2"/>
  <c r="AE114" i="2"/>
  <c r="AD127" i="2"/>
  <c r="W128" i="2"/>
  <c r="X128" i="2"/>
  <c r="Y128" i="2"/>
  <c r="Z128" i="2"/>
  <c r="AB128" i="2"/>
  <c r="AA128" i="2"/>
  <c r="R128" i="2"/>
  <c r="S128" i="2"/>
  <c r="T128" i="2"/>
  <c r="P129" i="2"/>
  <c r="Q128" i="2"/>
  <c r="AC128" i="2" s="1"/>
  <c r="AF114" i="2" l="1"/>
  <c r="AG114" i="2"/>
  <c r="AE115" i="2"/>
  <c r="AH113" i="2"/>
  <c r="AD128" i="2"/>
  <c r="X129" i="2"/>
  <c r="W129" i="2"/>
  <c r="Y129" i="2"/>
  <c r="Z129" i="2"/>
  <c r="AA129" i="2"/>
  <c r="AB129" i="2"/>
  <c r="R129" i="2"/>
  <c r="S129" i="2"/>
  <c r="T129" i="2"/>
  <c r="P130" i="2"/>
  <c r="Q129" i="2"/>
  <c r="AC129" i="2" s="1"/>
  <c r="AH114" i="2" l="1"/>
  <c r="AG115" i="2"/>
  <c r="AF115" i="2"/>
  <c r="AE116" i="2"/>
  <c r="AD129" i="2"/>
  <c r="W130" i="2"/>
  <c r="X130" i="2"/>
  <c r="Y130" i="2"/>
  <c r="Z130" i="2"/>
  <c r="AB130" i="2"/>
  <c r="AA130" i="2"/>
  <c r="R130" i="2"/>
  <c r="S130" i="2"/>
  <c r="T130" i="2"/>
  <c r="P131" i="2"/>
  <c r="Q130" i="2"/>
  <c r="AC130" i="2" s="1"/>
  <c r="AH115" i="2" l="1"/>
  <c r="AF116" i="2"/>
  <c r="AG116" i="2"/>
  <c r="AE117" i="2"/>
  <c r="AD130" i="2"/>
  <c r="W131" i="2"/>
  <c r="X131" i="2"/>
  <c r="Y131" i="2"/>
  <c r="Z131" i="2"/>
  <c r="AA131" i="2"/>
  <c r="AB131" i="2"/>
  <c r="R131" i="2"/>
  <c r="S131" i="2"/>
  <c r="T131" i="2"/>
  <c r="P132" i="2"/>
  <c r="Q131" i="2"/>
  <c r="AC131" i="2" s="1"/>
  <c r="AH116" i="2" l="1"/>
  <c r="AF117" i="2"/>
  <c r="AG117" i="2"/>
  <c r="AE118" i="2"/>
  <c r="AD131" i="2"/>
  <c r="W132" i="2"/>
  <c r="X132" i="2"/>
  <c r="Y132" i="2"/>
  <c r="Z132" i="2"/>
  <c r="AA132" i="2"/>
  <c r="AB132" i="2"/>
  <c r="R132" i="2"/>
  <c r="S132" i="2"/>
  <c r="T132" i="2"/>
  <c r="P133" i="2"/>
  <c r="Q132" i="2"/>
  <c r="AC132" i="2" s="1"/>
  <c r="AH117" i="2" l="1"/>
  <c r="AF118" i="2"/>
  <c r="AG118" i="2"/>
  <c r="AE119" i="2"/>
  <c r="AD132" i="2"/>
  <c r="X133" i="2"/>
  <c r="W133" i="2"/>
  <c r="Y133" i="2"/>
  <c r="Z133" i="2"/>
  <c r="AA133" i="2"/>
  <c r="AB133" i="2"/>
  <c r="R133" i="2"/>
  <c r="S133" i="2"/>
  <c r="T133" i="2"/>
  <c r="P134" i="2"/>
  <c r="Q133" i="2"/>
  <c r="AC133" i="2" s="1"/>
  <c r="AH118" i="2" l="1"/>
  <c r="AF119" i="2"/>
  <c r="AG119" i="2"/>
  <c r="AE120" i="2"/>
  <c r="AD133" i="2"/>
  <c r="W134" i="2"/>
  <c r="X134" i="2"/>
  <c r="Y134" i="2"/>
  <c r="Z134" i="2"/>
  <c r="AA134" i="2"/>
  <c r="AB134" i="2"/>
  <c r="R134" i="2"/>
  <c r="S134" i="2"/>
  <c r="T134" i="2"/>
  <c r="P135" i="2"/>
  <c r="Q134" i="2"/>
  <c r="AC134" i="2" s="1"/>
  <c r="AF120" i="2" l="1"/>
  <c r="AG120" i="2"/>
  <c r="AE121" i="2"/>
  <c r="AH119" i="2"/>
  <c r="AD134" i="2"/>
  <c r="W135" i="2"/>
  <c r="X135" i="2"/>
  <c r="Y135" i="2"/>
  <c r="Z135" i="2"/>
  <c r="AA135" i="2"/>
  <c r="AB135" i="2"/>
  <c r="R135" i="2"/>
  <c r="S135" i="2"/>
  <c r="T135" i="2"/>
  <c r="P136" i="2"/>
  <c r="Q135" i="2"/>
  <c r="AC135" i="2" s="1"/>
  <c r="AH120" i="2" l="1"/>
  <c r="AF121" i="2"/>
  <c r="AG121" i="2"/>
  <c r="AE122" i="2"/>
  <c r="AD135" i="2"/>
  <c r="W136" i="2"/>
  <c r="X136" i="2"/>
  <c r="Y136" i="2"/>
  <c r="Z136" i="2"/>
  <c r="AA136" i="2"/>
  <c r="AB136" i="2"/>
  <c r="R136" i="2"/>
  <c r="S136" i="2"/>
  <c r="T136" i="2"/>
  <c r="P137" i="2"/>
  <c r="Q136" i="2"/>
  <c r="AC136" i="2" s="1"/>
  <c r="AH121" i="2" l="1"/>
  <c r="AG122" i="2"/>
  <c r="AF122" i="2"/>
  <c r="AE123" i="2"/>
  <c r="AD136" i="2"/>
  <c r="X137" i="2"/>
  <c r="W137" i="2"/>
  <c r="Y137" i="2"/>
  <c r="Z137" i="2"/>
  <c r="AB137" i="2"/>
  <c r="AA137" i="2"/>
  <c r="R137" i="2"/>
  <c r="S137" i="2"/>
  <c r="T137" i="2"/>
  <c r="P138" i="2"/>
  <c r="Q137" i="2"/>
  <c r="AC137" i="2" s="1"/>
  <c r="AG123" i="2" l="1"/>
  <c r="AF123" i="2"/>
  <c r="AE124" i="2"/>
  <c r="AH122" i="2"/>
  <c r="AD137" i="2"/>
  <c r="W138" i="2"/>
  <c r="X138" i="2"/>
  <c r="Y138" i="2"/>
  <c r="Z138" i="2"/>
  <c r="AB138" i="2"/>
  <c r="AA138" i="2"/>
  <c r="R138" i="2"/>
  <c r="S138" i="2"/>
  <c r="T138" i="2"/>
  <c r="P139" i="2"/>
  <c r="Q138" i="2"/>
  <c r="AC138" i="2" s="1"/>
  <c r="AH123" i="2" l="1"/>
  <c r="AG124" i="2"/>
  <c r="AF124" i="2"/>
  <c r="AE125" i="2"/>
  <c r="AD138" i="2"/>
  <c r="W139" i="2"/>
  <c r="X139" i="2"/>
  <c r="Y139" i="2"/>
  <c r="Z139" i="2"/>
  <c r="AB139" i="2"/>
  <c r="AA139" i="2"/>
  <c r="R139" i="2"/>
  <c r="S139" i="2"/>
  <c r="T139" i="2"/>
  <c r="P140" i="2"/>
  <c r="Q139" i="2"/>
  <c r="AC139" i="2" s="1"/>
  <c r="AG125" i="2" l="1"/>
  <c r="AF125" i="2"/>
  <c r="AE126" i="2"/>
  <c r="AH124" i="2"/>
  <c r="AD139" i="2"/>
  <c r="W140" i="2"/>
  <c r="X140" i="2"/>
  <c r="Y140" i="2"/>
  <c r="Z140" i="2"/>
  <c r="AA140" i="2"/>
  <c r="AB140" i="2"/>
  <c r="R140" i="2"/>
  <c r="S140" i="2"/>
  <c r="T140" i="2"/>
  <c r="P141" i="2"/>
  <c r="Q140" i="2"/>
  <c r="AC140" i="2" s="1"/>
  <c r="AG126" i="2" l="1"/>
  <c r="AF126" i="2"/>
  <c r="AE127" i="2"/>
  <c r="AH125" i="2"/>
  <c r="AD140" i="2"/>
  <c r="X141" i="2"/>
  <c r="W141" i="2"/>
  <c r="Y141" i="2"/>
  <c r="Z141" i="2"/>
  <c r="AB141" i="2"/>
  <c r="AA141" i="2"/>
  <c r="R141" i="2"/>
  <c r="S141" i="2"/>
  <c r="T141" i="2"/>
  <c r="P142" i="2"/>
  <c r="Q141" i="2"/>
  <c r="AC141" i="2" s="1"/>
  <c r="AH126" i="2" l="1"/>
  <c r="AG127" i="2"/>
  <c r="AF127" i="2"/>
  <c r="AE128" i="2"/>
  <c r="AD141" i="2"/>
  <c r="W142" i="2"/>
  <c r="X142" i="2"/>
  <c r="Y142" i="2"/>
  <c r="Z142" i="2"/>
  <c r="AB142" i="2"/>
  <c r="AA142" i="2"/>
  <c r="R142" i="2"/>
  <c r="S142" i="2"/>
  <c r="T142" i="2"/>
  <c r="P143" i="2"/>
  <c r="Q142" i="2"/>
  <c r="AC142" i="2" s="1"/>
  <c r="AH127" i="2" l="1"/>
  <c r="AG128" i="2"/>
  <c r="AF128" i="2"/>
  <c r="AE129" i="2"/>
  <c r="AD142" i="2"/>
  <c r="W143" i="2"/>
  <c r="X143" i="2"/>
  <c r="Y143" i="2"/>
  <c r="Z143" i="2"/>
  <c r="AB143" i="2"/>
  <c r="AA143" i="2"/>
  <c r="R143" i="2"/>
  <c r="S143" i="2"/>
  <c r="T143" i="2"/>
  <c r="P144" i="2"/>
  <c r="Q143" i="2"/>
  <c r="AC143" i="2" s="1"/>
  <c r="AG129" i="2" l="1"/>
  <c r="AF129" i="2"/>
  <c r="AE130" i="2"/>
  <c r="AH128" i="2"/>
  <c r="AD143" i="2"/>
  <c r="W144" i="2"/>
  <c r="X144" i="2"/>
  <c r="Y144" i="2"/>
  <c r="Z144" i="2"/>
  <c r="AA144" i="2"/>
  <c r="AB144" i="2"/>
  <c r="R144" i="2"/>
  <c r="S144" i="2"/>
  <c r="T144" i="2"/>
  <c r="P145" i="2"/>
  <c r="Q144" i="2"/>
  <c r="AC144" i="2" s="1"/>
  <c r="AG130" i="2" l="1"/>
  <c r="AF130" i="2"/>
  <c r="AE131" i="2"/>
  <c r="AH129" i="2"/>
  <c r="AD144" i="2"/>
  <c r="X145" i="2"/>
  <c r="W145" i="2"/>
  <c r="Y145" i="2"/>
  <c r="Z145" i="2"/>
  <c r="AB145" i="2"/>
  <c r="AA145" i="2"/>
  <c r="R145" i="2"/>
  <c r="S145" i="2"/>
  <c r="T145" i="2"/>
  <c r="P146" i="2"/>
  <c r="Q145" i="2"/>
  <c r="AC145" i="2" s="1"/>
  <c r="AG131" i="2" l="1"/>
  <c r="AF131" i="2"/>
  <c r="AE132" i="2"/>
  <c r="AH130" i="2"/>
  <c r="AD145" i="2"/>
  <c r="X146" i="2"/>
  <c r="W146" i="2"/>
  <c r="Y146" i="2"/>
  <c r="Z146" i="2"/>
  <c r="AB146" i="2"/>
  <c r="AA146" i="2"/>
  <c r="R146" i="2"/>
  <c r="S146" i="2"/>
  <c r="T146" i="2"/>
  <c r="P147" i="2"/>
  <c r="Q146" i="2"/>
  <c r="AC146" i="2" s="1"/>
  <c r="AG132" i="2" l="1"/>
  <c r="AF132" i="2"/>
  <c r="AE133" i="2"/>
  <c r="AH131" i="2"/>
  <c r="AD146" i="2"/>
  <c r="W147" i="2"/>
  <c r="X147" i="2"/>
  <c r="Y147" i="2"/>
  <c r="Z147" i="2"/>
  <c r="AA147" i="2"/>
  <c r="AB147" i="2"/>
  <c r="R147" i="2"/>
  <c r="S147" i="2"/>
  <c r="T147" i="2"/>
  <c r="P148" i="2"/>
  <c r="Q147" i="2"/>
  <c r="AC147" i="2" s="1"/>
  <c r="AH132" i="2" l="1"/>
  <c r="AG133" i="2"/>
  <c r="AF133" i="2"/>
  <c r="AE134" i="2"/>
  <c r="AD147" i="2"/>
  <c r="W148" i="2"/>
  <c r="X148" i="2"/>
  <c r="Y148" i="2"/>
  <c r="Z148" i="2"/>
  <c r="AA148" i="2"/>
  <c r="AB148" i="2"/>
  <c r="R148" i="2"/>
  <c r="S148" i="2"/>
  <c r="T148" i="2"/>
  <c r="P149" i="2"/>
  <c r="Q148" i="2"/>
  <c r="AC148" i="2" s="1"/>
  <c r="AF134" i="2" l="1"/>
  <c r="AG134" i="2"/>
  <c r="AE135" i="2"/>
  <c r="AH133" i="2"/>
  <c r="AD148" i="2"/>
  <c r="X149" i="2"/>
  <c r="W149" i="2"/>
  <c r="Y149" i="2"/>
  <c r="Z149" i="2"/>
  <c r="AB149" i="2"/>
  <c r="AA149" i="2"/>
  <c r="R149" i="2"/>
  <c r="S149" i="2"/>
  <c r="T149" i="2"/>
  <c r="P150" i="2"/>
  <c r="Q149" i="2"/>
  <c r="AC149" i="2" s="1"/>
  <c r="AH134" i="2" l="1"/>
  <c r="AG135" i="2"/>
  <c r="AF135" i="2"/>
  <c r="AE136" i="2"/>
  <c r="AD149" i="2"/>
  <c r="X150" i="2"/>
  <c r="W150" i="2"/>
  <c r="Y150" i="2"/>
  <c r="Z150" i="2"/>
  <c r="AA150" i="2"/>
  <c r="AB150" i="2"/>
  <c r="R150" i="2"/>
  <c r="S150" i="2"/>
  <c r="T150" i="2"/>
  <c r="P151" i="2"/>
  <c r="Q150" i="2"/>
  <c r="AC150" i="2" s="1"/>
  <c r="AH135" i="2" l="1"/>
  <c r="AF136" i="2"/>
  <c r="AG136" i="2"/>
  <c r="AE137" i="2"/>
  <c r="AD150" i="2"/>
  <c r="W151" i="2"/>
  <c r="X151" i="2"/>
  <c r="Y151" i="2"/>
  <c r="Z151" i="2"/>
  <c r="AA151" i="2"/>
  <c r="AB151" i="2"/>
  <c r="R151" i="2"/>
  <c r="S151" i="2"/>
  <c r="T151" i="2"/>
  <c r="P152" i="2"/>
  <c r="Q151" i="2"/>
  <c r="AC151" i="2" s="1"/>
  <c r="AH136" i="2" l="1"/>
  <c r="AF137" i="2"/>
  <c r="AG137" i="2"/>
  <c r="AE138" i="2"/>
  <c r="AD151" i="2"/>
  <c r="W152" i="2"/>
  <c r="X152" i="2"/>
  <c r="Y152" i="2"/>
  <c r="Z152" i="2"/>
  <c r="AB152" i="2"/>
  <c r="AA152" i="2"/>
  <c r="R152" i="2"/>
  <c r="S152" i="2"/>
  <c r="T152" i="2"/>
  <c r="P153" i="2"/>
  <c r="Q152" i="2"/>
  <c r="AC152" i="2" s="1"/>
  <c r="AH137" i="2" l="1"/>
  <c r="AF138" i="2"/>
  <c r="AG138" i="2"/>
  <c r="AE139" i="2"/>
  <c r="AD152" i="2"/>
  <c r="X153" i="2"/>
  <c r="W153" i="2"/>
  <c r="Y153" i="2"/>
  <c r="Z153" i="2"/>
  <c r="AA153" i="2"/>
  <c r="AB153" i="2"/>
  <c r="R153" i="2"/>
  <c r="S153" i="2"/>
  <c r="T153" i="2"/>
  <c r="P154" i="2"/>
  <c r="Q153" i="2"/>
  <c r="AC153" i="2" s="1"/>
  <c r="AH138" i="2" l="1"/>
  <c r="AF139" i="2"/>
  <c r="AG139" i="2"/>
  <c r="AE140" i="2"/>
  <c r="AD153" i="2"/>
  <c r="X154" i="2"/>
  <c r="W154" i="2"/>
  <c r="Y154" i="2"/>
  <c r="Z154" i="2"/>
  <c r="AB154" i="2"/>
  <c r="AA154" i="2"/>
  <c r="R154" i="2"/>
  <c r="S154" i="2"/>
  <c r="T154" i="2"/>
  <c r="P155" i="2"/>
  <c r="Q154" i="2"/>
  <c r="AC154" i="2" s="1"/>
  <c r="AH139" i="2" l="1"/>
  <c r="AF140" i="2"/>
  <c r="AG140" i="2"/>
  <c r="AE141" i="2"/>
  <c r="AD154" i="2"/>
  <c r="W155" i="2"/>
  <c r="X155" i="2"/>
  <c r="Y155" i="2"/>
  <c r="Z155" i="2"/>
  <c r="AA155" i="2"/>
  <c r="AB155" i="2"/>
  <c r="R155" i="2"/>
  <c r="S155" i="2"/>
  <c r="T155" i="2"/>
  <c r="P156" i="2"/>
  <c r="Q155" i="2"/>
  <c r="AC155" i="2" s="1"/>
  <c r="AH140" i="2" l="1"/>
  <c r="AF141" i="2"/>
  <c r="AG141" i="2"/>
  <c r="AE142" i="2"/>
  <c r="AD155" i="2"/>
  <c r="W156" i="2"/>
  <c r="X156" i="2"/>
  <c r="Y156" i="2"/>
  <c r="Z156" i="2"/>
  <c r="AB156" i="2"/>
  <c r="AA156" i="2"/>
  <c r="R156" i="2"/>
  <c r="S156" i="2"/>
  <c r="T156" i="2"/>
  <c r="P157" i="2"/>
  <c r="Q156" i="2"/>
  <c r="AC156" i="2" s="1"/>
  <c r="AH141" i="2" l="1"/>
  <c r="AG142" i="2"/>
  <c r="AF142" i="2"/>
  <c r="AE143" i="2"/>
  <c r="AD156" i="2"/>
  <c r="X157" i="2"/>
  <c r="W157" i="2"/>
  <c r="Y157" i="2"/>
  <c r="Z157" i="2"/>
  <c r="AB157" i="2"/>
  <c r="AA157" i="2"/>
  <c r="R157" i="2"/>
  <c r="S157" i="2"/>
  <c r="T157" i="2"/>
  <c r="P158" i="2"/>
  <c r="Q157" i="2"/>
  <c r="AC157" i="2" s="1"/>
  <c r="AH142" i="2" l="1"/>
  <c r="AG143" i="2"/>
  <c r="AF143" i="2"/>
  <c r="AE144" i="2"/>
  <c r="AD157" i="2"/>
  <c r="X158" i="2"/>
  <c r="W158" i="2"/>
  <c r="Y158" i="2"/>
  <c r="Z158" i="2"/>
  <c r="AA158" i="2"/>
  <c r="AB158" i="2"/>
  <c r="R158" i="2"/>
  <c r="S158" i="2"/>
  <c r="T158" i="2"/>
  <c r="P159" i="2"/>
  <c r="Q158" i="2"/>
  <c r="AC158" i="2" s="1"/>
  <c r="AH143" i="2" l="1"/>
  <c r="AG144" i="2"/>
  <c r="AF144" i="2"/>
  <c r="AE145" i="2"/>
  <c r="AD158" i="2"/>
  <c r="W159" i="2"/>
  <c r="X159" i="2"/>
  <c r="Y159" i="2"/>
  <c r="Z159" i="2"/>
  <c r="AA159" i="2"/>
  <c r="AB159" i="2"/>
  <c r="R159" i="2"/>
  <c r="S159" i="2"/>
  <c r="T159" i="2"/>
  <c r="P160" i="2"/>
  <c r="Q159" i="2"/>
  <c r="AC159" i="2" s="1"/>
  <c r="AG145" i="2" l="1"/>
  <c r="AF145" i="2"/>
  <c r="AE146" i="2"/>
  <c r="AH144" i="2"/>
  <c r="AD159" i="2"/>
  <c r="W160" i="2"/>
  <c r="X160" i="2"/>
  <c r="Y160" i="2"/>
  <c r="Z160" i="2"/>
  <c r="AA160" i="2"/>
  <c r="AB160" i="2"/>
  <c r="R160" i="2"/>
  <c r="S160" i="2"/>
  <c r="T160" i="2"/>
  <c r="P161" i="2"/>
  <c r="Q160" i="2"/>
  <c r="AC160" i="2" s="1"/>
  <c r="AH145" i="2" l="1"/>
  <c r="AG146" i="2"/>
  <c r="AF146" i="2"/>
  <c r="AE147" i="2"/>
  <c r="AD160" i="2"/>
  <c r="X161" i="2"/>
  <c r="W161" i="2"/>
  <c r="Y161" i="2"/>
  <c r="Z161" i="2"/>
  <c r="AB161" i="2"/>
  <c r="AA161" i="2"/>
  <c r="R161" i="2"/>
  <c r="S161" i="2"/>
  <c r="T161" i="2"/>
  <c r="P162" i="2"/>
  <c r="Q161" i="2"/>
  <c r="AC161" i="2" s="1"/>
  <c r="AG147" i="2" l="1"/>
  <c r="AF147" i="2"/>
  <c r="AE148" i="2"/>
  <c r="AH146" i="2"/>
  <c r="AD161" i="2"/>
  <c r="X162" i="2"/>
  <c r="W162" i="2"/>
  <c r="Y162" i="2"/>
  <c r="Z162" i="2"/>
  <c r="AB162" i="2"/>
  <c r="AA162" i="2"/>
  <c r="R162" i="2"/>
  <c r="S162" i="2"/>
  <c r="T162" i="2"/>
  <c r="P163" i="2"/>
  <c r="Q162" i="2"/>
  <c r="AC162" i="2" s="1"/>
  <c r="AG148" i="2" l="1"/>
  <c r="AF148" i="2"/>
  <c r="AE149" i="2"/>
  <c r="AH147" i="2"/>
  <c r="AD162" i="2"/>
  <c r="W163" i="2"/>
  <c r="X163" i="2"/>
  <c r="Y163" i="2"/>
  <c r="Z163" i="2"/>
  <c r="AB163" i="2"/>
  <c r="AA163" i="2"/>
  <c r="R163" i="2"/>
  <c r="S163" i="2"/>
  <c r="T163" i="2"/>
  <c r="P164" i="2"/>
  <c r="Q163" i="2"/>
  <c r="AC163" i="2" s="1"/>
  <c r="AH148" i="2" l="1"/>
  <c r="AG149" i="2"/>
  <c r="AF149" i="2"/>
  <c r="AE150" i="2"/>
  <c r="AD163" i="2"/>
  <c r="W164" i="2"/>
  <c r="X164" i="2"/>
  <c r="Y164" i="2"/>
  <c r="Z164" i="2"/>
  <c r="AB164" i="2"/>
  <c r="AA164" i="2"/>
  <c r="R164" i="2"/>
  <c r="S164" i="2"/>
  <c r="T164" i="2"/>
  <c r="P165" i="2"/>
  <c r="Q164" i="2"/>
  <c r="AC164" i="2" s="1"/>
  <c r="AH149" i="2" l="1"/>
  <c r="AG150" i="2"/>
  <c r="AF150" i="2"/>
  <c r="AE151" i="2"/>
  <c r="AD164" i="2"/>
  <c r="X165" i="2"/>
  <c r="W165" i="2"/>
  <c r="Y165" i="2"/>
  <c r="Z165" i="2"/>
  <c r="AA165" i="2"/>
  <c r="AB165" i="2"/>
  <c r="R165" i="2"/>
  <c r="S165" i="2"/>
  <c r="T165" i="2"/>
  <c r="P166" i="2"/>
  <c r="Q165" i="2"/>
  <c r="AC165" i="2" s="1"/>
  <c r="AH150" i="2" l="1"/>
  <c r="AG151" i="2"/>
  <c r="AF151" i="2"/>
  <c r="AE152" i="2"/>
  <c r="AD165" i="2"/>
  <c r="X166" i="2"/>
  <c r="W166" i="2"/>
  <c r="Y166" i="2"/>
  <c r="Z166" i="2"/>
  <c r="AA166" i="2"/>
  <c r="AB166" i="2"/>
  <c r="R166" i="2"/>
  <c r="S166" i="2"/>
  <c r="T166" i="2"/>
  <c r="P167" i="2"/>
  <c r="Q166" i="2"/>
  <c r="AC166" i="2" s="1"/>
  <c r="AG152" i="2" l="1"/>
  <c r="AF152" i="2"/>
  <c r="AE153" i="2"/>
  <c r="AH151" i="2"/>
  <c r="AD166" i="2"/>
  <c r="W167" i="2"/>
  <c r="X167" i="2"/>
  <c r="Y167" i="2"/>
  <c r="Z167" i="2"/>
  <c r="AA167" i="2"/>
  <c r="AB167" i="2"/>
  <c r="R167" i="2"/>
  <c r="S167" i="2"/>
  <c r="T167" i="2"/>
  <c r="P168" i="2"/>
  <c r="Q167" i="2"/>
  <c r="AC167" i="2" s="1"/>
  <c r="AH152" i="2" l="1"/>
  <c r="AG153" i="2"/>
  <c r="AF153" i="2"/>
  <c r="AE154" i="2"/>
  <c r="AD167" i="2"/>
  <c r="W168" i="2"/>
  <c r="X168" i="2"/>
  <c r="Y168" i="2"/>
  <c r="Z168" i="2"/>
  <c r="AB168" i="2"/>
  <c r="AA168" i="2"/>
  <c r="R168" i="2"/>
  <c r="S168" i="2"/>
  <c r="T168" i="2"/>
  <c r="P169" i="2"/>
  <c r="Q168" i="2"/>
  <c r="AC168" i="2" s="1"/>
  <c r="AF154" i="2" l="1"/>
  <c r="AG154" i="2"/>
  <c r="AE155" i="2"/>
  <c r="AH153" i="2"/>
  <c r="AD168" i="2"/>
  <c r="X169" i="2"/>
  <c r="W169" i="2"/>
  <c r="Y169" i="2"/>
  <c r="Z169" i="2"/>
  <c r="AB169" i="2"/>
  <c r="AA169" i="2"/>
  <c r="R169" i="2"/>
  <c r="S169" i="2"/>
  <c r="T169" i="2"/>
  <c r="P170" i="2"/>
  <c r="Q169" i="2"/>
  <c r="AC169" i="2" s="1"/>
  <c r="AH154" i="2" l="1"/>
  <c r="AG155" i="2"/>
  <c r="AF155" i="2"/>
  <c r="AE156" i="2"/>
  <c r="AD169" i="2"/>
  <c r="X170" i="2"/>
  <c r="W170" i="2"/>
  <c r="Y170" i="2"/>
  <c r="Z170" i="2"/>
  <c r="AA170" i="2"/>
  <c r="AB170" i="2"/>
  <c r="R170" i="2"/>
  <c r="S170" i="2"/>
  <c r="T170" i="2"/>
  <c r="P171" i="2"/>
  <c r="Q170" i="2"/>
  <c r="AC170" i="2" s="1"/>
  <c r="AG156" i="2" l="1"/>
  <c r="AF156" i="2"/>
  <c r="AE157" i="2"/>
  <c r="AH155" i="2"/>
  <c r="AD170" i="2"/>
  <c r="W171" i="2"/>
  <c r="X171" i="2"/>
  <c r="Y171" i="2"/>
  <c r="Z171" i="2"/>
  <c r="AA171" i="2"/>
  <c r="AB171" i="2"/>
  <c r="R171" i="2"/>
  <c r="S171" i="2"/>
  <c r="T171" i="2"/>
  <c r="P172" i="2"/>
  <c r="Q171" i="2"/>
  <c r="AC171" i="2" s="1"/>
  <c r="AF157" i="2" l="1"/>
  <c r="AG157" i="2"/>
  <c r="AE158" i="2"/>
  <c r="AH156" i="2"/>
  <c r="AD171" i="2"/>
  <c r="W172" i="2"/>
  <c r="X172" i="2"/>
  <c r="Y172" i="2"/>
  <c r="Z172" i="2"/>
  <c r="AA172" i="2"/>
  <c r="AB172" i="2"/>
  <c r="R172" i="2"/>
  <c r="S172" i="2"/>
  <c r="T172" i="2"/>
  <c r="P173" i="2"/>
  <c r="Q172" i="2"/>
  <c r="AC172" i="2" s="1"/>
  <c r="AH157" i="2" l="1"/>
  <c r="AF158" i="2"/>
  <c r="AG158" i="2"/>
  <c r="AE159" i="2"/>
  <c r="AD172" i="2"/>
  <c r="X173" i="2"/>
  <c r="W173" i="2"/>
  <c r="Y173" i="2"/>
  <c r="Z173" i="2"/>
  <c r="AB173" i="2"/>
  <c r="AA173" i="2"/>
  <c r="R173" i="2"/>
  <c r="S173" i="2"/>
  <c r="T173" i="2"/>
  <c r="P174" i="2"/>
  <c r="Q173" i="2"/>
  <c r="AC173" i="2" s="1"/>
  <c r="AH158" i="2" l="1"/>
  <c r="AF159" i="2"/>
  <c r="AG159" i="2"/>
  <c r="AE160" i="2"/>
  <c r="AD173" i="2"/>
  <c r="X174" i="2"/>
  <c r="W174" i="2"/>
  <c r="Y174" i="2"/>
  <c r="Z174" i="2"/>
  <c r="AA174" i="2"/>
  <c r="AB174" i="2"/>
  <c r="R174" i="2"/>
  <c r="S174" i="2"/>
  <c r="T174" i="2"/>
  <c r="P175" i="2"/>
  <c r="Q174" i="2"/>
  <c r="AC174" i="2" s="1"/>
  <c r="AH159" i="2" l="1"/>
  <c r="AF160" i="2"/>
  <c r="AG160" i="2"/>
  <c r="AE161" i="2"/>
  <c r="AD174" i="2"/>
  <c r="W175" i="2"/>
  <c r="X175" i="2"/>
  <c r="Y175" i="2"/>
  <c r="Z175" i="2"/>
  <c r="AB175" i="2"/>
  <c r="AA175" i="2"/>
  <c r="R175" i="2"/>
  <c r="S175" i="2"/>
  <c r="T175" i="2"/>
  <c r="P176" i="2"/>
  <c r="Q175" i="2"/>
  <c r="AC175" i="2" s="1"/>
  <c r="AH160" i="2" l="1"/>
  <c r="AF161" i="2"/>
  <c r="AG161" i="2"/>
  <c r="AE162" i="2"/>
  <c r="AD175" i="2"/>
  <c r="W176" i="2"/>
  <c r="X176" i="2"/>
  <c r="Y176" i="2"/>
  <c r="Z176" i="2"/>
  <c r="AB176" i="2"/>
  <c r="AA176" i="2"/>
  <c r="R176" i="2"/>
  <c r="S176" i="2"/>
  <c r="T176" i="2"/>
  <c r="P177" i="2"/>
  <c r="Q176" i="2"/>
  <c r="AC176" i="2" s="1"/>
  <c r="AH161" i="2" l="1"/>
  <c r="AG162" i="2"/>
  <c r="AF162" i="2"/>
  <c r="AE163" i="2"/>
  <c r="AD176" i="2"/>
  <c r="X177" i="2"/>
  <c r="W177" i="2"/>
  <c r="Y177" i="2"/>
  <c r="Z177" i="2"/>
  <c r="AB177" i="2"/>
  <c r="AA177" i="2"/>
  <c r="R177" i="2"/>
  <c r="S177" i="2"/>
  <c r="T177" i="2"/>
  <c r="P178" i="2"/>
  <c r="Q177" i="2"/>
  <c r="AC177" i="2" s="1"/>
  <c r="AH162" i="2" l="1"/>
  <c r="AG163" i="2"/>
  <c r="AF163" i="2"/>
  <c r="AE164" i="2"/>
  <c r="AD177" i="2"/>
  <c r="X178" i="2"/>
  <c r="W178" i="2"/>
  <c r="Y178" i="2"/>
  <c r="Z178" i="2"/>
  <c r="AA178" i="2"/>
  <c r="AB178" i="2"/>
  <c r="R178" i="2"/>
  <c r="S178" i="2"/>
  <c r="T178" i="2"/>
  <c r="P179" i="2"/>
  <c r="Q178" i="2"/>
  <c r="AC178" i="2" s="1"/>
  <c r="AG164" i="2" l="1"/>
  <c r="AF164" i="2"/>
  <c r="AE165" i="2"/>
  <c r="AH163" i="2"/>
  <c r="AD178" i="2"/>
  <c r="X179" i="2"/>
  <c r="W179" i="2"/>
  <c r="Y179" i="2"/>
  <c r="Z179" i="2"/>
  <c r="AB179" i="2"/>
  <c r="AA179" i="2"/>
  <c r="R179" i="2"/>
  <c r="S179" i="2"/>
  <c r="T179" i="2"/>
  <c r="P180" i="2"/>
  <c r="Q179" i="2"/>
  <c r="AC179" i="2" s="1"/>
  <c r="AH164" i="2" l="1"/>
  <c r="AG165" i="2"/>
  <c r="AF165" i="2"/>
  <c r="AE166" i="2"/>
  <c r="AD179" i="2"/>
  <c r="W180" i="2"/>
  <c r="X180" i="2"/>
  <c r="Y180" i="2"/>
  <c r="Z180" i="2"/>
  <c r="AB180" i="2"/>
  <c r="AA180" i="2"/>
  <c r="R180" i="2"/>
  <c r="S180" i="2"/>
  <c r="T180" i="2"/>
  <c r="P181" i="2"/>
  <c r="Q180" i="2"/>
  <c r="AC180" i="2" s="1"/>
  <c r="AH165" i="2" l="1"/>
  <c r="AG166" i="2"/>
  <c r="AF166" i="2"/>
  <c r="AE167" i="2"/>
  <c r="AD180" i="2"/>
  <c r="X181" i="2"/>
  <c r="W181" i="2"/>
  <c r="Y181" i="2"/>
  <c r="Z181" i="2"/>
  <c r="AA181" i="2"/>
  <c r="AB181" i="2"/>
  <c r="R181" i="2"/>
  <c r="S181" i="2"/>
  <c r="T181" i="2"/>
  <c r="P182" i="2"/>
  <c r="Q181" i="2"/>
  <c r="AC181" i="2" s="1"/>
  <c r="AG167" i="2" l="1"/>
  <c r="AF167" i="2"/>
  <c r="AE168" i="2"/>
  <c r="AH166" i="2"/>
  <c r="AD181" i="2"/>
  <c r="X182" i="2"/>
  <c r="W182" i="2"/>
  <c r="Y182" i="2"/>
  <c r="Z182" i="2"/>
  <c r="AB182" i="2"/>
  <c r="AA182" i="2"/>
  <c r="R182" i="2"/>
  <c r="S182" i="2"/>
  <c r="T182" i="2"/>
  <c r="P183" i="2"/>
  <c r="Q182" i="2"/>
  <c r="AC182" i="2" s="1"/>
  <c r="AH167" i="2" l="1"/>
  <c r="AG168" i="2"/>
  <c r="AF168" i="2"/>
  <c r="AE169" i="2"/>
  <c r="AD182" i="2"/>
  <c r="W183" i="2"/>
  <c r="X183" i="2"/>
  <c r="Y183" i="2"/>
  <c r="Z183" i="2"/>
  <c r="AA183" i="2"/>
  <c r="AB183" i="2"/>
  <c r="R183" i="2"/>
  <c r="S183" i="2"/>
  <c r="T183" i="2"/>
  <c r="P184" i="2"/>
  <c r="Q183" i="2"/>
  <c r="AC183" i="2" s="1"/>
  <c r="AG169" i="2" l="1"/>
  <c r="AF169" i="2"/>
  <c r="AE170" i="2"/>
  <c r="AH168" i="2"/>
  <c r="AD183" i="2"/>
  <c r="W184" i="2"/>
  <c r="X184" i="2"/>
  <c r="Y184" i="2"/>
  <c r="Z184" i="2"/>
  <c r="AB184" i="2"/>
  <c r="AA184" i="2"/>
  <c r="R184" i="2"/>
  <c r="S184" i="2"/>
  <c r="T184" i="2"/>
  <c r="P185" i="2"/>
  <c r="Q184" i="2"/>
  <c r="AC184" i="2" s="1"/>
  <c r="AG170" i="2" l="1"/>
  <c r="AF170" i="2"/>
  <c r="AE171" i="2"/>
  <c r="AH169" i="2"/>
  <c r="AD184" i="2"/>
  <c r="X185" i="2"/>
  <c r="W185" i="2"/>
  <c r="Y185" i="2"/>
  <c r="Z185" i="2"/>
  <c r="AB185" i="2"/>
  <c r="AA185" i="2"/>
  <c r="R185" i="2"/>
  <c r="S185" i="2"/>
  <c r="T185" i="2"/>
  <c r="P186" i="2"/>
  <c r="Q185" i="2"/>
  <c r="AC185" i="2" s="1"/>
  <c r="AH170" i="2" l="1"/>
  <c r="AG171" i="2"/>
  <c r="AF171" i="2"/>
  <c r="AE172" i="2"/>
  <c r="AD185" i="2"/>
  <c r="X186" i="2"/>
  <c r="W186" i="2"/>
  <c r="Y186" i="2"/>
  <c r="Z186" i="2"/>
  <c r="AA186" i="2"/>
  <c r="AB186" i="2"/>
  <c r="R186" i="2"/>
  <c r="S186" i="2"/>
  <c r="T186" i="2"/>
  <c r="P187" i="2"/>
  <c r="Q186" i="2"/>
  <c r="AC186" i="2" s="1"/>
  <c r="AG172" i="2" l="1"/>
  <c r="AF172" i="2"/>
  <c r="AE173" i="2"/>
  <c r="AH171" i="2"/>
  <c r="AD186" i="2"/>
  <c r="W187" i="2"/>
  <c r="X187" i="2"/>
  <c r="Y187" i="2"/>
  <c r="Z187" i="2"/>
  <c r="AB187" i="2"/>
  <c r="AA187" i="2"/>
  <c r="R187" i="2"/>
  <c r="S187" i="2"/>
  <c r="T187" i="2"/>
  <c r="P188" i="2"/>
  <c r="Q187" i="2"/>
  <c r="AC187" i="2" s="1"/>
  <c r="AH172" i="2" l="1"/>
  <c r="AG173" i="2"/>
  <c r="AF173" i="2"/>
  <c r="AE174" i="2"/>
  <c r="AD187" i="2"/>
  <c r="W188" i="2"/>
  <c r="X188" i="2"/>
  <c r="Y188" i="2"/>
  <c r="Z188" i="2"/>
  <c r="AB188" i="2"/>
  <c r="AA188" i="2"/>
  <c r="R188" i="2"/>
  <c r="S188" i="2"/>
  <c r="T188" i="2"/>
  <c r="P189" i="2"/>
  <c r="Q188" i="2"/>
  <c r="AC188" i="2" s="1"/>
  <c r="AH173" i="2" l="1"/>
  <c r="AG174" i="2"/>
  <c r="AF174" i="2"/>
  <c r="AE175" i="2"/>
  <c r="AD188" i="2"/>
  <c r="X189" i="2"/>
  <c r="W189" i="2"/>
  <c r="Y189" i="2"/>
  <c r="Z189" i="2"/>
  <c r="AB189" i="2"/>
  <c r="AA189" i="2"/>
  <c r="R189" i="2"/>
  <c r="S189" i="2"/>
  <c r="T189" i="2"/>
  <c r="P190" i="2"/>
  <c r="Q189" i="2"/>
  <c r="AC189" i="2" s="1"/>
  <c r="AG175" i="2" l="1"/>
  <c r="AF175" i="2"/>
  <c r="AE176" i="2"/>
  <c r="AH174" i="2"/>
  <c r="AD189" i="2"/>
  <c r="X190" i="2"/>
  <c r="W190" i="2"/>
  <c r="Y190" i="2"/>
  <c r="Z190" i="2"/>
  <c r="AB190" i="2"/>
  <c r="AA190" i="2"/>
  <c r="R190" i="2"/>
  <c r="S190" i="2"/>
  <c r="T190" i="2"/>
  <c r="P191" i="2"/>
  <c r="Q190" i="2"/>
  <c r="AC190" i="2" s="1"/>
  <c r="AH175" i="2" l="1"/>
  <c r="AG176" i="2"/>
  <c r="AF176" i="2"/>
  <c r="AE177" i="2"/>
  <c r="AD190" i="2"/>
  <c r="X191" i="2"/>
  <c r="W191" i="2"/>
  <c r="Y191" i="2"/>
  <c r="Z191" i="2"/>
  <c r="AB191" i="2"/>
  <c r="AA191" i="2"/>
  <c r="R191" i="2"/>
  <c r="S191" i="2"/>
  <c r="T191" i="2"/>
  <c r="P192" i="2"/>
  <c r="Q191" i="2"/>
  <c r="AC191" i="2" s="1"/>
  <c r="AF177" i="2" l="1"/>
  <c r="AG177" i="2"/>
  <c r="AE178" i="2"/>
  <c r="AH176" i="2"/>
  <c r="AD191" i="2"/>
  <c r="W192" i="2"/>
  <c r="X192" i="2"/>
  <c r="Y192" i="2"/>
  <c r="Z192" i="2"/>
  <c r="AB192" i="2"/>
  <c r="AA192" i="2"/>
  <c r="R192" i="2"/>
  <c r="S192" i="2"/>
  <c r="T192" i="2"/>
  <c r="P193" i="2"/>
  <c r="Q192" i="2"/>
  <c r="AC192" i="2" s="1"/>
  <c r="AH177" i="2" l="1"/>
  <c r="AF178" i="2"/>
  <c r="AG178" i="2"/>
  <c r="AE179" i="2"/>
  <c r="AD192" i="2"/>
  <c r="X193" i="2"/>
  <c r="W193" i="2"/>
  <c r="Y193" i="2"/>
  <c r="Z193" i="2"/>
  <c r="AB193" i="2"/>
  <c r="AA193" i="2"/>
  <c r="R193" i="2"/>
  <c r="S193" i="2"/>
  <c r="T193" i="2"/>
  <c r="P194" i="2"/>
  <c r="Q193" i="2"/>
  <c r="AC193" i="2" s="1"/>
  <c r="AH178" i="2" l="1"/>
  <c r="AF179" i="2"/>
  <c r="AG179" i="2"/>
  <c r="AE180" i="2"/>
  <c r="AD193" i="2"/>
  <c r="X194" i="2"/>
  <c r="W194" i="2"/>
  <c r="Y194" i="2"/>
  <c r="Z194" i="2"/>
  <c r="AA194" i="2"/>
  <c r="AB194" i="2"/>
  <c r="R194" i="2"/>
  <c r="S194" i="2"/>
  <c r="T194" i="2"/>
  <c r="P195" i="2"/>
  <c r="Q194" i="2"/>
  <c r="AC194" i="2" s="1"/>
  <c r="AH179" i="2" l="1"/>
  <c r="AF180" i="2"/>
  <c r="AG180" i="2"/>
  <c r="AE181" i="2"/>
  <c r="AD194" i="2"/>
  <c r="W195" i="2"/>
  <c r="X195" i="2"/>
  <c r="Y195" i="2"/>
  <c r="Z195" i="2"/>
  <c r="AB195" i="2"/>
  <c r="AA195" i="2"/>
  <c r="R195" i="2"/>
  <c r="S195" i="2"/>
  <c r="T195" i="2"/>
  <c r="P196" i="2"/>
  <c r="Q195" i="2"/>
  <c r="AC195" i="2" s="1"/>
  <c r="AH180" i="2" l="1"/>
  <c r="AG181" i="2"/>
  <c r="AF181" i="2"/>
  <c r="AE182" i="2"/>
  <c r="AD195" i="2"/>
  <c r="W196" i="2"/>
  <c r="X196" i="2"/>
  <c r="Y196" i="2"/>
  <c r="Z196" i="2"/>
  <c r="AA196" i="2"/>
  <c r="AB196" i="2"/>
  <c r="R196" i="2"/>
  <c r="S196" i="2"/>
  <c r="T196" i="2"/>
  <c r="P197" i="2"/>
  <c r="Q196" i="2"/>
  <c r="AC196" i="2" s="1"/>
  <c r="AH181" i="2" l="1"/>
  <c r="AG182" i="2"/>
  <c r="AF182" i="2"/>
  <c r="AE183" i="2"/>
  <c r="AD196" i="2"/>
  <c r="X197" i="2"/>
  <c r="W197" i="2"/>
  <c r="Y197" i="2"/>
  <c r="Z197" i="2"/>
  <c r="AA197" i="2"/>
  <c r="AB197" i="2"/>
  <c r="R197" i="2"/>
  <c r="S197" i="2"/>
  <c r="T197" i="2"/>
  <c r="P198" i="2"/>
  <c r="Q197" i="2"/>
  <c r="AC197" i="2" s="1"/>
  <c r="AG183" i="2" l="1"/>
  <c r="AF183" i="2"/>
  <c r="AE184" i="2"/>
  <c r="AH182" i="2"/>
  <c r="AD197" i="2"/>
  <c r="X198" i="2"/>
  <c r="W198" i="2"/>
  <c r="Y198" i="2"/>
  <c r="Z198" i="2"/>
  <c r="AA198" i="2"/>
  <c r="AB198" i="2"/>
  <c r="R198" i="2"/>
  <c r="S198" i="2"/>
  <c r="T198" i="2"/>
  <c r="P199" i="2"/>
  <c r="Q198" i="2"/>
  <c r="AC198" i="2" s="1"/>
  <c r="AG184" i="2" l="1"/>
  <c r="AF184" i="2"/>
  <c r="AE185" i="2"/>
  <c r="AH183" i="2"/>
  <c r="AD198" i="2"/>
  <c r="W199" i="2"/>
  <c r="X199" i="2"/>
  <c r="Y199" i="2"/>
  <c r="Z199" i="2"/>
  <c r="AA199" i="2"/>
  <c r="AB199" i="2"/>
  <c r="R199" i="2"/>
  <c r="S199" i="2"/>
  <c r="T199" i="2"/>
  <c r="P200" i="2"/>
  <c r="Q199" i="2"/>
  <c r="AC199" i="2" s="1"/>
  <c r="AG185" i="2" l="1"/>
  <c r="AF185" i="2"/>
  <c r="AE186" i="2"/>
  <c r="AH184" i="2"/>
  <c r="AD199" i="2"/>
  <c r="W200" i="2"/>
  <c r="X200" i="2"/>
  <c r="Y200" i="2"/>
  <c r="Z200" i="2"/>
  <c r="AB200" i="2"/>
  <c r="AA200" i="2"/>
  <c r="R200" i="2"/>
  <c r="S200" i="2"/>
  <c r="T200" i="2"/>
  <c r="P201" i="2"/>
  <c r="Q200" i="2"/>
  <c r="AC200" i="2" s="1"/>
  <c r="AG186" i="2" l="1"/>
  <c r="AF186" i="2"/>
  <c r="AE187" i="2"/>
  <c r="AH185" i="2"/>
  <c r="AD200" i="2"/>
  <c r="X201" i="2"/>
  <c r="W201" i="2"/>
  <c r="Y201" i="2"/>
  <c r="Z201" i="2"/>
  <c r="AB201" i="2"/>
  <c r="AA201" i="2"/>
  <c r="R201" i="2"/>
  <c r="S201" i="2"/>
  <c r="T201" i="2"/>
  <c r="P202" i="2"/>
  <c r="Q201" i="2"/>
  <c r="AC201" i="2" s="1"/>
  <c r="AH186" i="2" l="1"/>
  <c r="AG187" i="2"/>
  <c r="AF187" i="2"/>
  <c r="AE188" i="2"/>
  <c r="AD201" i="2"/>
  <c r="X202" i="2"/>
  <c r="W202" i="2"/>
  <c r="Y202" i="2"/>
  <c r="Z202" i="2"/>
  <c r="AA202" i="2"/>
  <c r="AB202" i="2"/>
  <c r="R202" i="2"/>
  <c r="S202" i="2"/>
  <c r="T202" i="2"/>
  <c r="P203" i="2"/>
  <c r="Q202" i="2"/>
  <c r="AC202" i="2" s="1"/>
  <c r="AG188" i="2" l="1"/>
  <c r="AF188" i="2"/>
  <c r="AE189" i="2"/>
  <c r="AH187" i="2"/>
  <c r="AD202" i="2"/>
  <c r="W203" i="2"/>
  <c r="X203" i="2"/>
  <c r="Y203" i="2"/>
  <c r="Z203" i="2"/>
  <c r="AA203" i="2"/>
  <c r="AB203" i="2"/>
  <c r="R203" i="2"/>
  <c r="S203" i="2"/>
  <c r="T203" i="2"/>
  <c r="P204" i="2"/>
  <c r="Q203" i="2"/>
  <c r="AC203" i="2" s="1"/>
  <c r="AG189" i="2" l="1"/>
  <c r="AF189" i="2"/>
  <c r="AE190" i="2"/>
  <c r="AH188" i="2"/>
  <c r="AD203" i="2"/>
  <c r="W204" i="2"/>
  <c r="X204" i="2"/>
  <c r="Y204" i="2"/>
  <c r="Z204" i="2"/>
  <c r="AB204" i="2"/>
  <c r="AA204" i="2"/>
  <c r="R204" i="2"/>
  <c r="S204" i="2"/>
  <c r="T204" i="2"/>
  <c r="P205" i="2"/>
  <c r="Q204" i="2"/>
  <c r="AC204" i="2" s="1"/>
  <c r="AH189" i="2" l="1"/>
  <c r="AG190" i="2"/>
  <c r="AF190" i="2"/>
  <c r="AE191" i="2"/>
  <c r="AD204" i="2"/>
  <c r="X205" i="2"/>
  <c r="W205" i="2"/>
  <c r="Y205" i="2"/>
  <c r="Z205" i="2"/>
  <c r="AB205" i="2"/>
  <c r="AA205" i="2"/>
  <c r="R205" i="2"/>
  <c r="S205" i="2"/>
  <c r="T205" i="2"/>
  <c r="P206" i="2"/>
  <c r="Q205" i="2"/>
  <c r="AC205" i="2" s="1"/>
  <c r="AG191" i="2" l="1"/>
  <c r="AF191" i="2"/>
  <c r="AE192" i="2"/>
  <c r="AH190" i="2"/>
  <c r="AD205" i="2"/>
  <c r="X206" i="2"/>
  <c r="W206" i="2"/>
  <c r="Y206" i="2"/>
  <c r="Z206" i="2"/>
  <c r="AA206" i="2"/>
  <c r="AB206" i="2"/>
  <c r="R206" i="2"/>
  <c r="S206" i="2"/>
  <c r="T206" i="2"/>
  <c r="P207" i="2"/>
  <c r="Q206" i="2"/>
  <c r="AC206" i="2" s="1"/>
  <c r="AG192" i="2" l="1"/>
  <c r="AF192" i="2"/>
  <c r="AE193" i="2"/>
  <c r="AH191" i="2"/>
  <c r="AD206" i="2"/>
  <c r="W207" i="2"/>
  <c r="X207" i="2"/>
  <c r="Y207" i="2"/>
  <c r="Z207" i="2"/>
  <c r="AB207" i="2"/>
  <c r="AA207" i="2"/>
  <c r="R207" i="2"/>
  <c r="S207" i="2"/>
  <c r="T207" i="2"/>
  <c r="P208" i="2"/>
  <c r="Q207" i="2"/>
  <c r="AC207" i="2" s="1"/>
  <c r="AH192" i="2" l="1"/>
  <c r="AG193" i="2"/>
  <c r="AF193" i="2"/>
  <c r="AE194" i="2"/>
  <c r="AD207" i="2"/>
  <c r="W208" i="2"/>
  <c r="X208" i="2"/>
  <c r="Y208" i="2"/>
  <c r="Z208" i="2"/>
  <c r="AA208" i="2"/>
  <c r="AB208" i="2"/>
  <c r="R208" i="2"/>
  <c r="S208" i="2"/>
  <c r="T208" i="2"/>
  <c r="P209" i="2"/>
  <c r="Q208" i="2"/>
  <c r="AC208" i="2" s="1"/>
  <c r="AH193" i="2" l="1"/>
  <c r="AF194" i="2"/>
  <c r="AG194" i="2"/>
  <c r="AE195" i="2"/>
  <c r="AD208" i="2"/>
  <c r="X209" i="2"/>
  <c r="W209" i="2"/>
  <c r="Y209" i="2"/>
  <c r="Z209" i="2"/>
  <c r="AB209" i="2"/>
  <c r="AA209" i="2"/>
  <c r="R209" i="2"/>
  <c r="S209" i="2"/>
  <c r="T209" i="2"/>
  <c r="P210" i="2"/>
  <c r="Q209" i="2"/>
  <c r="AC209" i="2" s="1"/>
  <c r="AH194" i="2" l="1"/>
  <c r="AG195" i="2"/>
  <c r="AF195" i="2"/>
  <c r="AE196" i="2"/>
  <c r="AD209" i="2"/>
  <c r="X210" i="2"/>
  <c r="W210" i="2"/>
  <c r="Y210" i="2"/>
  <c r="Z210" i="2"/>
  <c r="AB210" i="2"/>
  <c r="AA210" i="2"/>
  <c r="R210" i="2"/>
  <c r="S210" i="2"/>
  <c r="T210" i="2"/>
  <c r="P211" i="2"/>
  <c r="Q210" i="2"/>
  <c r="AC210" i="2" s="1"/>
  <c r="AH195" i="2" l="1"/>
  <c r="AF196" i="2"/>
  <c r="AG196" i="2"/>
  <c r="AE197" i="2"/>
  <c r="AD210" i="2"/>
  <c r="W211" i="2"/>
  <c r="X211" i="2"/>
  <c r="Y211" i="2"/>
  <c r="Z211" i="2"/>
  <c r="AB211" i="2"/>
  <c r="AA211" i="2"/>
  <c r="R211" i="2"/>
  <c r="S211" i="2"/>
  <c r="T211" i="2"/>
  <c r="P212" i="2"/>
  <c r="Q211" i="2"/>
  <c r="AC211" i="2" s="1"/>
  <c r="AH196" i="2" l="1"/>
  <c r="AF197" i="2"/>
  <c r="AG197" i="2"/>
  <c r="AE198" i="2"/>
  <c r="AD211" i="2"/>
  <c r="W212" i="2"/>
  <c r="X212" i="2"/>
  <c r="Y212" i="2"/>
  <c r="Z212" i="2"/>
  <c r="AB212" i="2"/>
  <c r="AA212" i="2"/>
  <c r="R212" i="2"/>
  <c r="S212" i="2"/>
  <c r="T212" i="2"/>
  <c r="P213" i="2"/>
  <c r="Q212" i="2"/>
  <c r="AC212" i="2" s="1"/>
  <c r="AH197" i="2" l="1"/>
  <c r="AF198" i="2"/>
  <c r="AG198" i="2"/>
  <c r="AE199" i="2"/>
  <c r="AD212" i="2"/>
  <c r="X213" i="2"/>
  <c r="W213" i="2"/>
  <c r="Y213" i="2"/>
  <c r="Z213" i="2"/>
  <c r="AA213" i="2"/>
  <c r="AB213" i="2"/>
  <c r="R213" i="2"/>
  <c r="S213" i="2"/>
  <c r="T213" i="2"/>
  <c r="P214" i="2"/>
  <c r="Q213" i="2"/>
  <c r="AC213" i="2" s="1"/>
  <c r="AH198" i="2" l="1"/>
  <c r="AF199" i="2"/>
  <c r="AG199" i="2"/>
  <c r="AE200" i="2"/>
  <c r="AD213" i="2"/>
  <c r="X214" i="2"/>
  <c r="W214" i="2"/>
  <c r="Y214" i="2"/>
  <c r="Z214" i="2"/>
  <c r="AB214" i="2"/>
  <c r="AA214" i="2"/>
  <c r="R214" i="2"/>
  <c r="S214" i="2"/>
  <c r="T214" i="2"/>
  <c r="P215" i="2"/>
  <c r="Q214" i="2"/>
  <c r="AC214" i="2" s="1"/>
  <c r="AH199" i="2" l="1"/>
  <c r="AF200" i="2"/>
  <c r="AG200" i="2"/>
  <c r="AE201" i="2"/>
  <c r="AD214" i="2"/>
  <c r="W215" i="2"/>
  <c r="X215" i="2"/>
  <c r="Y215" i="2"/>
  <c r="Z215" i="2"/>
  <c r="AA215" i="2"/>
  <c r="AB215" i="2"/>
  <c r="R215" i="2"/>
  <c r="S215" i="2"/>
  <c r="T215" i="2"/>
  <c r="P216" i="2"/>
  <c r="Q215" i="2"/>
  <c r="AC215" i="2" s="1"/>
  <c r="AH200" i="2" l="1"/>
  <c r="AF201" i="2"/>
  <c r="AG201" i="2"/>
  <c r="AE202" i="2"/>
  <c r="AD215" i="2"/>
  <c r="W216" i="2"/>
  <c r="X216" i="2"/>
  <c r="Y216" i="2"/>
  <c r="Z216" i="2"/>
  <c r="AB216" i="2"/>
  <c r="AA216" i="2"/>
  <c r="R216" i="2"/>
  <c r="S216" i="2"/>
  <c r="T216" i="2"/>
  <c r="P217" i="2"/>
  <c r="Q216" i="2"/>
  <c r="AC216" i="2" s="1"/>
  <c r="AH201" i="2" l="1"/>
  <c r="AG202" i="2"/>
  <c r="AF202" i="2"/>
  <c r="AE203" i="2"/>
  <c r="AD216" i="2"/>
  <c r="X217" i="2"/>
  <c r="W217" i="2"/>
  <c r="Y217" i="2"/>
  <c r="Z217" i="2"/>
  <c r="AB217" i="2"/>
  <c r="AA217" i="2"/>
  <c r="R217" i="2"/>
  <c r="S217" i="2"/>
  <c r="T217" i="2"/>
  <c r="P218" i="2"/>
  <c r="Q217" i="2"/>
  <c r="AC217" i="2" s="1"/>
  <c r="AG203" i="2" l="1"/>
  <c r="AF203" i="2"/>
  <c r="AE204" i="2"/>
  <c r="AH202" i="2"/>
  <c r="AD217" i="2"/>
  <c r="X218" i="2"/>
  <c r="W218" i="2"/>
  <c r="Y218" i="2"/>
  <c r="Z218" i="2"/>
  <c r="AB218" i="2"/>
  <c r="AA218" i="2"/>
  <c r="R218" i="2"/>
  <c r="S218" i="2"/>
  <c r="T218" i="2"/>
  <c r="P219" i="2"/>
  <c r="Q218" i="2"/>
  <c r="AC218" i="2" s="1"/>
  <c r="AH203" i="2" l="1"/>
  <c r="AG204" i="2"/>
  <c r="AF204" i="2"/>
  <c r="AE205" i="2"/>
  <c r="AD218" i="2"/>
  <c r="X219" i="2"/>
  <c r="W219" i="2"/>
  <c r="Y219" i="2"/>
  <c r="Z219" i="2"/>
  <c r="AA219" i="2"/>
  <c r="AB219" i="2"/>
  <c r="R219" i="2"/>
  <c r="S219" i="2"/>
  <c r="T219" i="2"/>
  <c r="P220" i="2"/>
  <c r="Q219" i="2"/>
  <c r="AC219" i="2" s="1"/>
  <c r="AH204" i="2" l="1"/>
  <c r="AG205" i="2"/>
  <c r="AF205" i="2"/>
  <c r="AE206" i="2"/>
  <c r="AD219" i="2"/>
  <c r="W220" i="2"/>
  <c r="X220" i="2"/>
  <c r="Y220" i="2"/>
  <c r="Z220" i="2"/>
  <c r="AB220" i="2"/>
  <c r="AA220" i="2"/>
  <c r="R220" i="2"/>
  <c r="S220" i="2"/>
  <c r="T220" i="2"/>
  <c r="P221" i="2"/>
  <c r="Q220" i="2"/>
  <c r="AC220" i="2" s="1"/>
  <c r="AG206" i="2" l="1"/>
  <c r="AF206" i="2"/>
  <c r="AE207" i="2"/>
  <c r="AH205" i="2"/>
  <c r="AD220" i="2"/>
  <c r="X221" i="2"/>
  <c r="W221" i="2"/>
  <c r="Y221" i="2"/>
  <c r="Z221" i="2"/>
  <c r="AB221" i="2"/>
  <c r="AA221" i="2"/>
  <c r="R221" i="2"/>
  <c r="S221" i="2"/>
  <c r="T221" i="2"/>
  <c r="P222" i="2"/>
  <c r="Q221" i="2"/>
  <c r="AC221" i="2" s="1"/>
  <c r="AG207" i="2" l="1"/>
  <c r="AF207" i="2"/>
  <c r="AE208" i="2"/>
  <c r="AH206" i="2"/>
  <c r="AD221" i="2"/>
  <c r="X222" i="2"/>
  <c r="W222" i="2"/>
  <c r="Y222" i="2"/>
  <c r="Z222" i="2"/>
  <c r="AA222" i="2"/>
  <c r="AB222" i="2"/>
  <c r="R222" i="2"/>
  <c r="S222" i="2"/>
  <c r="T222" i="2"/>
  <c r="P223" i="2"/>
  <c r="Q222" i="2"/>
  <c r="AC222" i="2" s="1"/>
  <c r="AH207" i="2" l="1"/>
  <c r="AG208" i="2"/>
  <c r="AF208" i="2"/>
  <c r="AE209" i="2"/>
  <c r="AD222" i="2"/>
  <c r="W223" i="2"/>
  <c r="X223" i="2"/>
  <c r="Y223" i="2"/>
  <c r="Z223" i="2"/>
  <c r="AB223" i="2"/>
  <c r="AA223" i="2"/>
  <c r="R223" i="2"/>
  <c r="S223" i="2"/>
  <c r="T223" i="2"/>
  <c r="P224" i="2"/>
  <c r="Q223" i="2"/>
  <c r="AC223" i="2" s="1"/>
  <c r="AG209" i="2" l="1"/>
  <c r="AF209" i="2"/>
  <c r="AE210" i="2"/>
  <c r="AH208" i="2"/>
  <c r="AD223" i="2"/>
  <c r="W224" i="2"/>
  <c r="X224" i="2"/>
  <c r="Y224" i="2"/>
  <c r="Z224" i="2"/>
  <c r="AA224" i="2"/>
  <c r="AB224" i="2"/>
  <c r="R224" i="2"/>
  <c r="S224" i="2"/>
  <c r="T224" i="2"/>
  <c r="P225" i="2"/>
  <c r="Q224" i="2"/>
  <c r="AC224" i="2" s="1"/>
  <c r="AG210" i="2" l="1"/>
  <c r="AF210" i="2"/>
  <c r="AE211" i="2"/>
  <c r="AH209" i="2"/>
  <c r="AD224" i="2"/>
  <c r="X225" i="2"/>
  <c r="W225" i="2"/>
  <c r="Y225" i="2"/>
  <c r="Z225" i="2"/>
  <c r="AB225" i="2"/>
  <c r="AA225" i="2"/>
  <c r="R225" i="2"/>
  <c r="S225" i="2"/>
  <c r="T225" i="2"/>
  <c r="P226" i="2"/>
  <c r="Q225" i="2"/>
  <c r="AC225" i="2" s="1"/>
  <c r="AH210" i="2" l="1"/>
  <c r="AG211" i="2"/>
  <c r="AF211" i="2"/>
  <c r="AE212" i="2"/>
  <c r="AD225" i="2"/>
  <c r="X226" i="2"/>
  <c r="W226" i="2"/>
  <c r="Y226" i="2"/>
  <c r="Z226" i="2"/>
  <c r="AB226" i="2"/>
  <c r="AA226" i="2"/>
  <c r="R226" i="2"/>
  <c r="S226" i="2"/>
  <c r="T226" i="2"/>
  <c r="P227" i="2"/>
  <c r="Q226" i="2"/>
  <c r="AC226" i="2" s="1"/>
  <c r="AG212" i="2" l="1"/>
  <c r="AF212" i="2"/>
  <c r="AE213" i="2"/>
  <c r="AH211" i="2"/>
  <c r="AD226" i="2"/>
  <c r="W227" i="2"/>
  <c r="X227" i="2"/>
  <c r="Y227" i="2"/>
  <c r="Z227" i="2"/>
  <c r="AB227" i="2"/>
  <c r="AA227" i="2"/>
  <c r="R227" i="2"/>
  <c r="S227" i="2"/>
  <c r="T227" i="2"/>
  <c r="P228" i="2"/>
  <c r="Q227" i="2"/>
  <c r="AC227" i="2" s="1"/>
  <c r="AH212" i="2" l="1"/>
  <c r="AG213" i="2"/>
  <c r="AF213" i="2"/>
  <c r="AE214" i="2"/>
  <c r="AD227" i="2"/>
  <c r="W228" i="2"/>
  <c r="X228" i="2"/>
  <c r="Y228" i="2"/>
  <c r="Z228" i="2"/>
  <c r="AA228" i="2"/>
  <c r="AB228" i="2"/>
  <c r="R228" i="2"/>
  <c r="S228" i="2"/>
  <c r="T228" i="2"/>
  <c r="P229" i="2"/>
  <c r="Q228" i="2"/>
  <c r="AC228" i="2" s="1"/>
  <c r="AG214" i="2" l="1"/>
  <c r="AF214" i="2"/>
  <c r="AE215" i="2"/>
  <c r="AH213" i="2"/>
  <c r="AD228" i="2"/>
  <c r="X229" i="2"/>
  <c r="W229" i="2"/>
  <c r="Y229" i="2"/>
  <c r="Z229" i="2"/>
  <c r="AA229" i="2"/>
  <c r="AB229" i="2"/>
  <c r="R229" i="2"/>
  <c r="S229" i="2"/>
  <c r="T229" i="2"/>
  <c r="P230" i="2"/>
  <c r="Q229" i="2"/>
  <c r="AC229" i="2" s="1"/>
  <c r="AH214" i="2" l="1"/>
  <c r="AG215" i="2"/>
  <c r="AF215" i="2"/>
  <c r="AE216" i="2"/>
  <c r="AD229" i="2"/>
  <c r="X230" i="2"/>
  <c r="W230" i="2"/>
  <c r="Y230" i="2"/>
  <c r="Z230" i="2"/>
  <c r="AB230" i="2"/>
  <c r="AA230" i="2"/>
  <c r="R230" i="2"/>
  <c r="S230" i="2"/>
  <c r="T230" i="2"/>
  <c r="P231" i="2"/>
  <c r="Q230" i="2"/>
  <c r="AC230" i="2" s="1"/>
  <c r="AH215" i="2" l="1"/>
  <c r="AF216" i="2"/>
  <c r="AG216" i="2"/>
  <c r="AE217" i="2"/>
  <c r="AD230" i="2"/>
  <c r="W231" i="2"/>
  <c r="X231" i="2"/>
  <c r="Y231" i="2"/>
  <c r="Z231" i="2"/>
  <c r="AA231" i="2"/>
  <c r="AB231" i="2"/>
  <c r="R231" i="2"/>
  <c r="S231" i="2"/>
  <c r="T231" i="2"/>
  <c r="P232" i="2"/>
  <c r="Q231" i="2"/>
  <c r="AC231" i="2" s="1"/>
  <c r="AH216" i="2" l="1"/>
  <c r="AF217" i="2"/>
  <c r="AG217" i="2"/>
  <c r="AE218" i="2"/>
  <c r="AD231" i="2"/>
  <c r="W232" i="2"/>
  <c r="X232" i="2"/>
  <c r="Y232" i="2"/>
  <c r="Z232" i="2"/>
  <c r="AA232" i="2"/>
  <c r="AB232" i="2"/>
  <c r="R232" i="2"/>
  <c r="S232" i="2"/>
  <c r="T232" i="2"/>
  <c r="P233" i="2"/>
  <c r="Q232" i="2"/>
  <c r="AC232" i="2" s="1"/>
  <c r="AH217" i="2" l="1"/>
  <c r="AF218" i="2"/>
  <c r="AG218" i="2"/>
  <c r="AE219" i="2"/>
  <c r="AD232" i="2"/>
  <c r="X233" i="2"/>
  <c r="W233" i="2"/>
  <c r="Y233" i="2"/>
  <c r="Z233" i="2"/>
  <c r="AB233" i="2"/>
  <c r="AA233" i="2"/>
  <c r="R233" i="2"/>
  <c r="S233" i="2"/>
  <c r="T233" i="2"/>
  <c r="P234" i="2"/>
  <c r="Q233" i="2"/>
  <c r="AC233" i="2" s="1"/>
  <c r="AH218" i="2" l="1"/>
  <c r="AG219" i="2"/>
  <c r="AF219" i="2"/>
  <c r="AE220" i="2"/>
  <c r="AD233" i="2"/>
  <c r="X234" i="2"/>
  <c r="W234" i="2"/>
  <c r="Y234" i="2"/>
  <c r="Z234" i="2"/>
  <c r="AA234" i="2"/>
  <c r="AB234" i="2"/>
  <c r="R234" i="2"/>
  <c r="S234" i="2"/>
  <c r="T234" i="2"/>
  <c r="P235" i="2"/>
  <c r="Q234" i="2"/>
  <c r="AC234" i="2" s="1"/>
  <c r="AF220" i="2" l="1"/>
  <c r="AG220" i="2"/>
  <c r="AE221" i="2"/>
  <c r="AH219" i="2"/>
  <c r="AD234" i="2"/>
  <c r="X235" i="2"/>
  <c r="W235" i="2"/>
  <c r="Y235" i="2"/>
  <c r="Z235" i="2"/>
  <c r="AB235" i="2"/>
  <c r="AA235" i="2"/>
  <c r="R235" i="2"/>
  <c r="S235" i="2"/>
  <c r="T235" i="2"/>
  <c r="P236" i="2"/>
  <c r="Q235" i="2"/>
  <c r="AC235" i="2" s="1"/>
  <c r="AH220" i="2" l="1"/>
  <c r="AF221" i="2"/>
  <c r="AG221" i="2"/>
  <c r="AE222" i="2"/>
  <c r="AD235" i="2"/>
  <c r="W236" i="2"/>
  <c r="X236" i="2"/>
  <c r="Y236" i="2"/>
  <c r="Z236" i="2"/>
  <c r="AB236" i="2"/>
  <c r="AA236" i="2"/>
  <c r="R236" i="2"/>
  <c r="S236" i="2"/>
  <c r="T236" i="2"/>
  <c r="P237" i="2"/>
  <c r="Q236" i="2"/>
  <c r="AC236" i="2" s="1"/>
  <c r="AH221" i="2" l="1"/>
  <c r="AG222" i="2"/>
  <c r="AF222" i="2"/>
  <c r="AE223" i="2"/>
  <c r="AD236" i="2"/>
  <c r="X237" i="2"/>
  <c r="W237" i="2"/>
  <c r="Y237" i="2"/>
  <c r="Z237" i="2"/>
  <c r="AB237" i="2"/>
  <c r="AA237" i="2"/>
  <c r="R237" i="2"/>
  <c r="S237" i="2"/>
  <c r="T237" i="2"/>
  <c r="P238" i="2"/>
  <c r="Q237" i="2"/>
  <c r="AC237" i="2" s="1"/>
  <c r="AH222" i="2" l="1"/>
  <c r="AG223" i="2"/>
  <c r="AF223" i="2"/>
  <c r="AE224" i="2"/>
  <c r="AD237" i="2"/>
  <c r="X238" i="2"/>
  <c r="W238" i="2"/>
  <c r="Y238" i="2"/>
  <c r="Z238" i="2"/>
  <c r="AB238" i="2"/>
  <c r="AA238" i="2"/>
  <c r="R238" i="2"/>
  <c r="S238" i="2"/>
  <c r="T238" i="2"/>
  <c r="P239" i="2"/>
  <c r="Q238" i="2"/>
  <c r="AC238" i="2" s="1"/>
  <c r="AG224" i="2" l="1"/>
  <c r="AF224" i="2"/>
  <c r="AE225" i="2"/>
  <c r="AH223" i="2"/>
  <c r="AD238" i="2"/>
  <c r="W239" i="2"/>
  <c r="X239" i="2"/>
  <c r="Y239" i="2"/>
  <c r="Z239" i="2"/>
  <c r="AB239" i="2"/>
  <c r="AA239" i="2"/>
  <c r="R239" i="2"/>
  <c r="S239" i="2"/>
  <c r="T239" i="2"/>
  <c r="P240" i="2"/>
  <c r="Q239" i="2"/>
  <c r="AC239" i="2" s="1"/>
  <c r="AH224" i="2" l="1"/>
  <c r="AG225" i="2"/>
  <c r="AF225" i="2"/>
  <c r="AE226" i="2"/>
  <c r="AD239" i="2"/>
  <c r="W240" i="2"/>
  <c r="X240" i="2"/>
  <c r="Y240" i="2"/>
  <c r="Z240" i="2"/>
  <c r="AB240" i="2"/>
  <c r="AA240" i="2"/>
  <c r="R240" i="2"/>
  <c r="S240" i="2"/>
  <c r="T240" i="2"/>
  <c r="P241" i="2"/>
  <c r="Q240" i="2"/>
  <c r="AC240" i="2" s="1"/>
  <c r="AH225" i="2" l="1"/>
  <c r="AG226" i="2"/>
  <c r="AF226" i="2"/>
  <c r="AE227" i="2"/>
  <c r="AD240" i="2"/>
  <c r="X241" i="2"/>
  <c r="W241" i="2"/>
  <c r="Y241" i="2"/>
  <c r="Z241" i="2"/>
  <c r="AB241" i="2"/>
  <c r="AA241" i="2"/>
  <c r="R241" i="2"/>
  <c r="S241" i="2"/>
  <c r="T241" i="2"/>
  <c r="P242" i="2"/>
  <c r="Q241" i="2"/>
  <c r="AC241" i="2" s="1"/>
  <c r="AH226" i="2" l="1"/>
  <c r="AG227" i="2"/>
  <c r="AF227" i="2"/>
  <c r="AE228" i="2"/>
  <c r="AD241" i="2"/>
  <c r="X242" i="2"/>
  <c r="W242" i="2"/>
  <c r="Y242" i="2"/>
  <c r="Z242" i="2"/>
  <c r="AB242" i="2"/>
  <c r="AA242" i="2"/>
  <c r="R242" i="2"/>
  <c r="S242" i="2"/>
  <c r="T242" i="2"/>
  <c r="P243" i="2"/>
  <c r="Q242" i="2"/>
  <c r="AC242" i="2" s="1"/>
  <c r="AH227" i="2" l="1"/>
  <c r="AG228" i="2"/>
  <c r="AF228" i="2"/>
  <c r="AE229" i="2"/>
  <c r="AD242" i="2"/>
  <c r="W243" i="2"/>
  <c r="X243" i="2"/>
  <c r="Y243" i="2"/>
  <c r="Z243" i="2"/>
  <c r="AB243" i="2"/>
  <c r="AA243" i="2"/>
  <c r="R243" i="2"/>
  <c r="S243" i="2"/>
  <c r="T243" i="2"/>
  <c r="P244" i="2"/>
  <c r="Q243" i="2"/>
  <c r="AC243" i="2" s="1"/>
  <c r="AH228" i="2" l="1"/>
  <c r="AG229" i="2"/>
  <c r="AF229" i="2"/>
  <c r="AE230" i="2"/>
  <c r="AD243" i="2"/>
  <c r="W244" i="2"/>
  <c r="X244" i="2"/>
  <c r="Y244" i="2"/>
  <c r="Z244" i="2"/>
  <c r="AB244" i="2"/>
  <c r="AA244" i="2"/>
  <c r="R244" i="2"/>
  <c r="S244" i="2"/>
  <c r="T244" i="2"/>
  <c r="P245" i="2"/>
  <c r="Q244" i="2"/>
  <c r="AC244" i="2" s="1"/>
  <c r="AG230" i="2" l="1"/>
  <c r="AF230" i="2"/>
  <c r="AE231" i="2"/>
  <c r="AH229" i="2"/>
  <c r="AD244" i="2"/>
  <c r="X245" i="2"/>
  <c r="W245" i="2"/>
  <c r="Y245" i="2"/>
  <c r="Z245" i="2"/>
  <c r="AA245" i="2"/>
  <c r="AB245" i="2"/>
  <c r="R245" i="2"/>
  <c r="S245" i="2"/>
  <c r="T245" i="2"/>
  <c r="P246" i="2"/>
  <c r="Q245" i="2"/>
  <c r="AC245" i="2" s="1"/>
  <c r="AH230" i="2" l="1"/>
  <c r="AG231" i="2"/>
  <c r="AF231" i="2"/>
  <c r="AE232" i="2"/>
  <c r="AD245" i="2"/>
  <c r="X246" i="2"/>
  <c r="W246" i="2"/>
  <c r="Y246" i="2"/>
  <c r="Z246" i="2"/>
  <c r="AB246" i="2"/>
  <c r="AA246" i="2"/>
  <c r="R246" i="2"/>
  <c r="S246" i="2"/>
  <c r="T246" i="2"/>
  <c r="P247" i="2"/>
  <c r="Q246" i="2"/>
  <c r="AC246" i="2" s="1"/>
  <c r="AG232" i="2" l="1"/>
  <c r="AF232" i="2"/>
  <c r="AE233" i="2"/>
  <c r="AH231" i="2"/>
  <c r="AD246" i="2"/>
  <c r="X247" i="2"/>
  <c r="W247" i="2"/>
  <c r="Y247" i="2"/>
  <c r="Z247" i="2"/>
  <c r="AA247" i="2"/>
  <c r="AB247" i="2"/>
  <c r="R247" i="2"/>
  <c r="S247" i="2"/>
  <c r="T247" i="2"/>
  <c r="P248" i="2"/>
  <c r="Q247" i="2"/>
  <c r="AC247" i="2" s="1"/>
  <c r="AG233" i="2" l="1"/>
  <c r="AF233" i="2"/>
  <c r="AE234" i="2"/>
  <c r="AH232" i="2"/>
  <c r="AD247" i="2"/>
  <c r="W248" i="2"/>
  <c r="X248" i="2"/>
  <c r="Y248" i="2"/>
  <c r="Z248" i="2"/>
  <c r="AB248" i="2"/>
  <c r="AA248" i="2"/>
  <c r="R248" i="2"/>
  <c r="S248" i="2"/>
  <c r="T248" i="2"/>
  <c r="P249" i="2"/>
  <c r="Q248" i="2"/>
  <c r="AC248" i="2" s="1"/>
  <c r="AH233" i="2" l="1"/>
  <c r="AF234" i="2"/>
  <c r="AG234" i="2"/>
  <c r="AE235" i="2"/>
  <c r="AD248" i="2"/>
  <c r="X249" i="2"/>
  <c r="W249" i="2"/>
  <c r="Y249" i="2"/>
  <c r="Z249" i="2"/>
  <c r="AB249" i="2"/>
  <c r="AA249" i="2"/>
  <c r="R249" i="2"/>
  <c r="S249" i="2"/>
  <c r="T249" i="2"/>
  <c r="P250" i="2"/>
  <c r="Q249" i="2"/>
  <c r="AC249" i="2" s="1"/>
  <c r="AH234" i="2" l="1"/>
  <c r="AG235" i="2"/>
  <c r="AF235" i="2"/>
  <c r="AE236" i="2"/>
  <c r="AD249" i="2"/>
  <c r="X250" i="2"/>
  <c r="W250" i="2"/>
  <c r="Y250" i="2"/>
  <c r="Z250" i="2"/>
  <c r="AA250" i="2"/>
  <c r="AB250" i="2"/>
  <c r="R250" i="2"/>
  <c r="S250" i="2"/>
  <c r="T250" i="2"/>
  <c r="P251" i="2"/>
  <c r="Q250" i="2"/>
  <c r="AC250" i="2" s="1"/>
  <c r="AH235" i="2" l="1"/>
  <c r="AF236" i="2"/>
  <c r="AG236" i="2"/>
  <c r="AE237" i="2"/>
  <c r="AD250" i="2"/>
  <c r="W251" i="2"/>
  <c r="W24" i="2" s="1"/>
  <c r="X251" i="2"/>
  <c r="X24" i="2" s="1"/>
  <c r="Y251" i="2"/>
  <c r="Y24" i="2" s="1"/>
  <c r="Z251" i="2"/>
  <c r="Z24" i="2" s="1"/>
  <c r="AA251" i="2"/>
  <c r="AA24" i="2" s="1"/>
  <c r="AB251" i="2"/>
  <c r="AB24" i="2" s="1"/>
  <c r="R251" i="2"/>
  <c r="S251" i="2"/>
  <c r="T251" i="2"/>
  <c r="Q251" i="2"/>
  <c r="P20" i="2" s="1"/>
  <c r="AH236" i="2" l="1"/>
  <c r="AF237" i="2"/>
  <c r="AG237" i="2"/>
  <c r="AE238" i="2"/>
  <c r="AC251" i="2"/>
  <c r="AC24" i="2" s="1"/>
  <c r="Q24" i="2"/>
  <c r="AH237" i="2" l="1"/>
  <c r="AF238" i="2"/>
  <c r="AG238" i="2"/>
  <c r="AE239" i="2"/>
  <c r="AD251" i="2"/>
  <c r="AD24" i="2"/>
  <c r="Q19" i="2"/>
  <c r="AH238" i="2" l="1"/>
  <c r="AF239" i="2"/>
  <c r="AG239" i="2"/>
  <c r="AE240" i="2"/>
  <c r="AH239" i="2" l="1"/>
  <c r="AF240" i="2"/>
  <c r="AG240" i="2"/>
  <c r="AE241" i="2"/>
  <c r="AH240" i="2" l="1"/>
  <c r="AG241" i="2"/>
  <c r="AF241" i="2"/>
  <c r="AE242" i="2"/>
  <c r="AG242" i="2" l="1"/>
  <c r="AF242" i="2"/>
  <c r="AE243" i="2"/>
  <c r="AH241" i="2"/>
  <c r="AG243" i="2" l="1"/>
  <c r="AF243" i="2"/>
  <c r="AE244" i="2"/>
  <c r="AH242" i="2"/>
  <c r="AF244" i="2" l="1"/>
  <c r="AG244" i="2"/>
  <c r="AE245" i="2"/>
  <c r="AH243" i="2"/>
  <c r="AH244" i="2" l="1"/>
  <c r="AG245" i="2"/>
  <c r="AF245" i="2"/>
  <c r="AE246" i="2"/>
  <c r="AG246" i="2" l="1"/>
  <c r="AF246" i="2"/>
  <c r="AE247" i="2"/>
  <c r="AH245" i="2"/>
  <c r="AG247" i="2" l="1"/>
  <c r="AF247" i="2"/>
  <c r="AE248" i="2"/>
  <c r="AH246" i="2"/>
  <c r="AG248" i="2" l="1"/>
  <c r="AF248" i="2"/>
  <c r="AE249" i="2"/>
  <c r="AH247" i="2"/>
  <c r="AG249" i="2" l="1"/>
  <c r="AF249" i="2"/>
  <c r="AE250" i="2"/>
  <c r="AH248" i="2"/>
  <c r="AG250" i="2" l="1"/>
  <c r="AF250" i="2"/>
  <c r="AE251" i="2"/>
  <c r="AH249" i="2"/>
  <c r="AG251" i="2" l="1"/>
  <c r="AF251" i="2"/>
  <c r="AH250" i="2"/>
  <c r="AH251" i="2" l="1"/>
  <c r="B23" i="3" l="1"/>
  <c r="B25" i="3"/>
  <c r="B22" i="3"/>
  <c r="B27" i="3"/>
  <c r="B21" i="3"/>
  <c r="S59" i="2" l="1"/>
  <c r="T72" i="2"/>
  <c r="R44" i="2"/>
  <c r="A58" i="1" a="1"/>
  <c r="A58" i="1" s="1"/>
  <c r="B29" i="3" s="1"/>
  <c r="A45" i="1"/>
  <c r="B7" i="3" l="1"/>
  <c r="G52" i="1"/>
  <c r="B16" i="3" s="1"/>
  <c r="G48" i="1"/>
  <c r="B12" i="3" s="1"/>
  <c r="G47" i="1"/>
  <c r="B11" i="3" s="1"/>
  <c r="G46" i="1"/>
  <c r="B10" i="3" s="1"/>
  <c r="G51" i="1"/>
  <c r="B14" i="3" s="1"/>
  <c r="B15" i="3"/>
  <c r="B13" i="3"/>
  <c r="H6" i="3"/>
  <c r="H7" i="3"/>
  <c r="G7" i="3" s="1"/>
  <c r="I7" i="3" s="1"/>
  <c r="H8" i="3"/>
  <c r="G8" i="3" s="1"/>
  <c r="I8" i="3" s="1"/>
  <c r="G6" i="3" l="1"/>
  <c r="I6" i="3" s="1"/>
  <c r="H9" i="3"/>
  <c r="G9" i="3" l="1"/>
  <c r="I9" i="3" s="1"/>
  <c r="H10" i="3"/>
  <c r="G10" i="3" l="1"/>
  <c r="I10" i="3" s="1"/>
  <c r="H11" i="3"/>
  <c r="G11" i="3" l="1"/>
  <c r="I11" i="3" s="1"/>
  <c r="H12" i="3"/>
  <c r="G12" i="3" l="1"/>
  <c r="I12" i="3" s="1"/>
  <c r="H13" i="3"/>
  <c r="G13" i="3" l="1"/>
  <c r="I13" i="3" s="1"/>
  <c r="H14" i="3"/>
  <c r="G14" i="3" l="1"/>
  <c r="I14" i="3" s="1"/>
  <c r="H15" i="3"/>
  <c r="G15" i="3" l="1"/>
  <c r="I15" i="3" s="1"/>
  <c r="H16" i="3"/>
  <c r="G16" i="3" l="1"/>
  <c r="I16" i="3" s="1"/>
  <c r="H17" i="3"/>
  <c r="G17" i="3" l="1"/>
  <c r="I17" i="3" s="1"/>
  <c r="H18" i="3"/>
  <c r="G18" i="3" l="1"/>
  <c r="I18" i="3" s="1"/>
  <c r="H19" i="3"/>
  <c r="H20" i="3" l="1"/>
  <c r="G19" i="3"/>
  <c r="I19" i="3" s="1"/>
  <c r="G20" i="3" l="1"/>
  <c r="I20" i="3" s="1"/>
  <c r="H21" i="3"/>
  <c r="G21" i="3" l="1"/>
  <c r="I21" i="3" s="1"/>
  <c r="H22" i="3"/>
  <c r="G22" i="3" l="1"/>
  <c r="I22" i="3" s="1"/>
  <c r="H23" i="3"/>
  <c r="G23" i="3" l="1"/>
  <c r="I23" i="3" s="1"/>
  <c r="H24" i="3"/>
  <c r="G24" i="3" l="1"/>
  <c r="I24" i="3" s="1"/>
  <c r="H25" i="3"/>
  <c r="H26" i="3" l="1"/>
  <c r="G25" i="3"/>
  <c r="I25" i="3" s="1"/>
  <c r="H27" i="3" l="1"/>
  <c r="G26" i="3"/>
  <c r="I26" i="3" s="1"/>
  <c r="G27" i="3" l="1"/>
  <c r="I27" i="3" s="1"/>
  <c r="H28" i="3"/>
  <c r="G28" i="3" l="1"/>
  <c r="I28" i="3" s="1"/>
  <c r="H29" i="3"/>
  <c r="G29" i="3" l="1"/>
  <c r="I29" i="3" s="1"/>
  <c r="H30" i="3"/>
  <c r="G30" i="3" l="1"/>
  <c r="I30" i="3" s="1"/>
  <c r="H31" i="3"/>
  <c r="G31" i="3" l="1"/>
  <c r="I31" i="3" s="1"/>
  <c r="H32" i="3"/>
  <c r="G32" i="3" l="1"/>
  <c r="I32" i="3" s="1"/>
  <c r="H33" i="3"/>
  <c r="G33" i="3" l="1"/>
  <c r="I33" i="3" s="1"/>
  <c r="H34" i="3"/>
  <c r="G34" i="3" l="1"/>
  <c r="I34" i="3" s="1"/>
  <c r="H35" i="3"/>
  <c r="G35" i="3" l="1"/>
  <c r="I35" i="3" s="1"/>
  <c r="H36" i="3"/>
  <c r="G36" i="3" l="1"/>
  <c r="I36" i="3" s="1"/>
  <c r="H37" i="3"/>
  <c r="H38" i="3" l="1"/>
  <c r="G37" i="3"/>
  <c r="I37" i="3" s="1"/>
  <c r="G38" i="3" l="1"/>
  <c r="I38" i="3" s="1"/>
  <c r="H39" i="3"/>
  <c r="G39" i="3" l="1"/>
  <c r="I39" i="3" s="1"/>
  <c r="H40" i="3"/>
  <c r="G40" i="3" l="1"/>
  <c r="I40" i="3" s="1"/>
  <c r="H41" i="3"/>
  <c r="G41" i="3" l="1"/>
  <c r="I41" i="3" s="1"/>
  <c r="H42" i="3"/>
  <c r="G42" i="3" l="1"/>
  <c r="I42" i="3" s="1"/>
  <c r="H43" i="3"/>
  <c r="G43" i="3" l="1"/>
  <c r="I43" i="3" s="1"/>
  <c r="H44" i="3"/>
  <c r="G44" i="3" l="1"/>
  <c r="I44" i="3" s="1"/>
  <c r="H45" i="3"/>
  <c r="G45" i="3" l="1"/>
  <c r="I45" i="3" s="1"/>
  <c r="H46" i="3"/>
  <c r="G46" i="3" l="1"/>
  <c r="I46" i="3" s="1"/>
  <c r="H47" i="3"/>
  <c r="G47" i="3" l="1"/>
  <c r="I47" i="3" s="1"/>
  <c r="H48" i="3"/>
  <c r="G48" i="3" l="1"/>
  <c r="I48" i="3" s="1"/>
  <c r="H49" i="3"/>
  <c r="G49" i="3" l="1"/>
  <c r="I49" i="3" s="1"/>
  <c r="H50" i="3"/>
  <c r="H51" i="3" l="1"/>
  <c r="G50" i="3"/>
  <c r="I50" i="3" s="1"/>
  <c r="G51" i="3" l="1"/>
  <c r="I51" i="3" s="1"/>
  <c r="H52" i="3"/>
  <c r="H53" i="3" l="1"/>
  <c r="G52" i="3"/>
  <c r="I52" i="3" s="1"/>
  <c r="G53" i="3" l="1"/>
  <c r="I53" i="3" s="1"/>
  <c r="H54" i="3"/>
  <c r="H55" i="3" l="1"/>
  <c r="G54" i="3"/>
  <c r="I54" i="3" s="1"/>
  <c r="G55" i="3" l="1"/>
  <c r="I55" i="3" s="1"/>
  <c r="H56" i="3"/>
  <c r="G56" i="3" l="1"/>
  <c r="I56" i="3" s="1"/>
  <c r="H57" i="3"/>
  <c r="G57" i="3" l="1"/>
  <c r="I57" i="3" s="1"/>
  <c r="H58" i="3"/>
  <c r="G58" i="3" l="1"/>
  <c r="I58" i="3" s="1"/>
  <c r="H59" i="3"/>
  <c r="H60" i="3" l="1"/>
  <c r="G59" i="3"/>
  <c r="I59" i="3" s="1"/>
  <c r="H61" i="3" l="1"/>
  <c r="G60" i="3"/>
  <c r="I60" i="3" s="1"/>
  <c r="G61" i="3" l="1"/>
  <c r="I61" i="3" s="1"/>
  <c r="H62" i="3"/>
  <c r="G62" i="3" l="1"/>
  <c r="I62" i="3" s="1"/>
  <c r="H63" i="3"/>
  <c r="G63" i="3" l="1"/>
  <c r="I63" i="3" s="1"/>
  <c r="H64" i="3"/>
  <c r="H65" i="3" l="1"/>
  <c r="G64" i="3"/>
  <c r="I64" i="3" s="1"/>
  <c r="G65" i="3" l="1"/>
  <c r="I65" i="3" s="1"/>
  <c r="H66" i="3"/>
  <c r="G66" i="3" l="1"/>
  <c r="I66" i="3" s="1"/>
  <c r="H67" i="3"/>
  <c r="H68" i="3" l="1"/>
  <c r="G67" i="3"/>
  <c r="I67" i="3" s="1"/>
  <c r="H69" i="3" l="1"/>
  <c r="G68" i="3"/>
  <c r="I68" i="3" s="1"/>
  <c r="G69" i="3" l="1"/>
  <c r="I69" i="3" s="1"/>
  <c r="H70" i="3"/>
  <c r="H71" i="3" l="1"/>
  <c r="G70" i="3"/>
  <c r="I70" i="3" s="1"/>
  <c r="G71" i="3" l="1"/>
  <c r="I71" i="3" s="1"/>
  <c r="H72" i="3"/>
  <c r="G72" i="3" l="1"/>
  <c r="I72" i="3" s="1"/>
  <c r="H73" i="3"/>
  <c r="G73" i="3" l="1"/>
  <c r="I73" i="3" s="1"/>
  <c r="H74" i="3"/>
  <c r="G74" i="3" l="1"/>
  <c r="I74" i="3" s="1"/>
  <c r="H75" i="3"/>
  <c r="H76" i="3" l="1"/>
  <c r="G75" i="3"/>
  <c r="I75" i="3" s="1"/>
  <c r="H77" i="3" l="1"/>
  <c r="G76" i="3"/>
  <c r="I76" i="3" s="1"/>
  <c r="G77" i="3" l="1"/>
  <c r="I77" i="3" s="1"/>
  <c r="H78" i="3"/>
  <c r="G78" i="3" l="1"/>
  <c r="I78" i="3" s="1"/>
  <c r="H79" i="3"/>
  <c r="H80" i="3" l="1"/>
  <c r="G79" i="3"/>
  <c r="I79" i="3" s="1"/>
  <c r="G80" i="3" l="1"/>
  <c r="I80" i="3" s="1"/>
  <c r="H81" i="3"/>
  <c r="G81" i="3" l="1"/>
  <c r="I81" i="3" s="1"/>
  <c r="H82" i="3"/>
  <c r="G82" i="3" l="1"/>
  <c r="I82" i="3" s="1"/>
  <c r="H83" i="3"/>
  <c r="H84" i="3" l="1"/>
  <c r="G83" i="3"/>
  <c r="I83" i="3" s="1"/>
  <c r="G84" i="3" l="1"/>
  <c r="I84" i="3" s="1"/>
  <c r="H85" i="3"/>
  <c r="H86" i="3" l="1"/>
  <c r="G85" i="3"/>
  <c r="I85" i="3" s="1"/>
  <c r="G86" i="3" l="1"/>
  <c r="I86" i="3" s="1"/>
  <c r="H87" i="3"/>
  <c r="G87" i="3" l="1"/>
  <c r="I87" i="3" s="1"/>
  <c r="H88" i="3"/>
  <c r="G88" i="3" l="1"/>
  <c r="I88" i="3" s="1"/>
  <c r="H89" i="3"/>
  <c r="G89" i="3" l="1"/>
  <c r="I89" i="3" s="1"/>
  <c r="H90" i="3"/>
  <c r="G90" i="3" l="1"/>
  <c r="I90" i="3" s="1"/>
  <c r="H91" i="3"/>
  <c r="H92" i="3" l="1"/>
  <c r="G91" i="3"/>
  <c r="I91" i="3" s="1"/>
  <c r="H93" i="3" l="1"/>
  <c r="G92" i="3"/>
  <c r="I92" i="3" s="1"/>
  <c r="G93" i="3" l="1"/>
  <c r="I93" i="3" s="1"/>
  <c r="H94" i="3"/>
  <c r="H95" i="3" l="1"/>
  <c r="G94" i="3"/>
  <c r="I94" i="3" s="1"/>
  <c r="G95" i="3" l="1"/>
  <c r="I95" i="3" s="1"/>
  <c r="H96" i="3"/>
  <c r="H97" i="3" l="1"/>
  <c r="G96" i="3"/>
  <c r="I96" i="3" s="1"/>
  <c r="G97" i="3" l="1"/>
  <c r="I97" i="3" s="1"/>
  <c r="H98" i="3"/>
  <c r="H99" i="3" l="1"/>
  <c r="G98" i="3"/>
  <c r="I98" i="3" s="1"/>
  <c r="G99" i="3" l="1"/>
  <c r="I99" i="3" s="1"/>
  <c r="H100" i="3"/>
  <c r="H101" i="3" l="1"/>
  <c r="G100" i="3"/>
  <c r="I100" i="3" s="1"/>
  <c r="G101" i="3" l="1"/>
  <c r="I101" i="3" s="1"/>
  <c r="H102" i="3"/>
  <c r="G102" i="3" l="1"/>
  <c r="I102" i="3" s="1"/>
  <c r="H103" i="3"/>
  <c r="G103" i="3" l="1"/>
  <c r="I103" i="3" s="1"/>
  <c r="H104" i="3"/>
  <c r="H105" i="3" l="1"/>
  <c r="G104" i="3"/>
  <c r="I104" i="3" s="1"/>
  <c r="G105" i="3" l="1"/>
  <c r="I105" i="3" s="1"/>
  <c r="H106" i="3"/>
  <c r="G106" i="3" l="1"/>
  <c r="I106" i="3" s="1"/>
  <c r="H107" i="3"/>
  <c r="H108" i="3" l="1"/>
  <c r="G107" i="3"/>
  <c r="I107" i="3" s="1"/>
  <c r="G108" i="3" l="1"/>
  <c r="I108" i="3" s="1"/>
  <c r="H109" i="3"/>
  <c r="G109" i="3" l="1"/>
  <c r="I109" i="3" s="1"/>
  <c r="H110" i="3"/>
  <c r="H111" i="3" l="1"/>
  <c r="G110" i="3"/>
  <c r="I110" i="3" s="1"/>
  <c r="G111" i="3" l="1"/>
  <c r="I111" i="3" s="1"/>
  <c r="H112" i="3"/>
  <c r="H113" i="3" l="1"/>
  <c r="G112" i="3"/>
  <c r="I112" i="3" s="1"/>
  <c r="G113" i="3" l="1"/>
  <c r="I113" i="3" s="1"/>
  <c r="H114" i="3"/>
  <c r="G114" i="3" l="1"/>
  <c r="I114" i="3" s="1"/>
  <c r="H115" i="3"/>
  <c r="G115" i="3" l="1"/>
  <c r="I115" i="3" s="1"/>
  <c r="H116" i="3"/>
  <c r="G116" i="3" l="1"/>
  <c r="I116" i="3" s="1"/>
  <c r="H117" i="3"/>
  <c r="G117" i="3" l="1"/>
  <c r="I117" i="3" s="1"/>
  <c r="H118" i="3"/>
  <c r="H119" i="3" l="1"/>
  <c r="G118" i="3"/>
  <c r="I118" i="3" s="1"/>
  <c r="G119" i="3" l="1"/>
  <c r="I119" i="3" s="1"/>
  <c r="H120" i="3"/>
  <c r="H121" i="3" l="1"/>
  <c r="G120" i="3"/>
  <c r="I120" i="3" s="1"/>
  <c r="G121" i="3" l="1"/>
  <c r="I121" i="3" s="1"/>
  <c r="H122" i="3"/>
  <c r="G122" i="3" l="1"/>
  <c r="I122" i="3" s="1"/>
  <c r="H123" i="3"/>
  <c r="G123" i="3" l="1"/>
  <c r="I123" i="3" s="1"/>
  <c r="H124" i="3"/>
  <c r="G124" i="3" l="1"/>
  <c r="I124" i="3" s="1"/>
  <c r="H125" i="3"/>
  <c r="G125" i="3" l="1"/>
  <c r="I125" i="3" s="1"/>
  <c r="H126" i="3"/>
  <c r="H127" i="3" l="1"/>
  <c r="G126" i="3"/>
  <c r="I126" i="3" s="1"/>
  <c r="G127" i="3" l="1"/>
  <c r="I127" i="3" s="1"/>
  <c r="H128" i="3"/>
  <c r="G128" i="3" l="1"/>
  <c r="I128" i="3" s="1"/>
  <c r="H129" i="3"/>
  <c r="G129" i="3" l="1"/>
  <c r="I129" i="3" s="1"/>
  <c r="H130" i="3"/>
  <c r="G130" i="3" l="1"/>
  <c r="I130" i="3" s="1"/>
  <c r="H131" i="3"/>
  <c r="G131" i="3" l="1"/>
  <c r="I131" i="3" s="1"/>
  <c r="H132" i="3"/>
  <c r="G132" i="3" l="1"/>
  <c r="I132" i="3" s="1"/>
  <c r="H133" i="3"/>
  <c r="G133" i="3" l="1"/>
  <c r="I133" i="3" s="1"/>
  <c r="H134" i="3"/>
  <c r="H135" i="3" l="1"/>
  <c r="G134" i="3"/>
  <c r="I134" i="3" s="1"/>
  <c r="G135" i="3" l="1"/>
  <c r="I135" i="3" s="1"/>
  <c r="H136" i="3"/>
  <c r="G136" i="3" l="1"/>
  <c r="I136" i="3" s="1"/>
  <c r="H137" i="3"/>
  <c r="G137" i="3" l="1"/>
  <c r="I137" i="3" s="1"/>
  <c r="H138" i="3"/>
  <c r="G138" i="3" l="1"/>
  <c r="I138" i="3" s="1"/>
  <c r="H139" i="3"/>
  <c r="G139" i="3" l="1"/>
  <c r="I139" i="3" s="1"/>
  <c r="H140" i="3"/>
  <c r="G140" i="3" l="1"/>
  <c r="I140" i="3" s="1"/>
  <c r="H141" i="3"/>
  <c r="G141" i="3" l="1"/>
  <c r="I141" i="3" s="1"/>
  <c r="H142" i="3"/>
  <c r="G142" i="3" l="1"/>
  <c r="I142" i="3" s="1"/>
  <c r="H143" i="3"/>
  <c r="G143" i="3" l="1"/>
  <c r="I143" i="3" s="1"/>
  <c r="H144" i="3"/>
  <c r="G144" i="3" l="1"/>
  <c r="I144" i="3" s="1"/>
  <c r="H145" i="3"/>
  <c r="G145" i="3" l="1"/>
  <c r="I145" i="3" s="1"/>
  <c r="H146" i="3"/>
  <c r="G146" i="3" l="1"/>
  <c r="I146" i="3" s="1"/>
  <c r="H147" i="3"/>
  <c r="G147" i="3" l="1"/>
  <c r="I147" i="3" s="1"/>
  <c r="H148" i="3"/>
  <c r="G148" i="3" l="1"/>
  <c r="I148" i="3" s="1"/>
  <c r="H149" i="3"/>
  <c r="G149" i="3" l="1"/>
  <c r="I149" i="3" s="1"/>
  <c r="H150" i="3"/>
  <c r="G150" i="3" l="1"/>
  <c r="I150" i="3" s="1"/>
  <c r="H151" i="3"/>
  <c r="G151" i="3" l="1"/>
  <c r="I151" i="3" s="1"/>
  <c r="H152" i="3"/>
  <c r="G152" i="3" l="1"/>
  <c r="I152" i="3" s="1"/>
  <c r="H153" i="3"/>
  <c r="G153" i="3" l="1"/>
  <c r="I153" i="3" s="1"/>
  <c r="H154" i="3"/>
  <c r="G154" i="3" l="1"/>
  <c r="I154" i="3" s="1"/>
  <c r="H155" i="3"/>
  <c r="G155" i="3" l="1"/>
  <c r="I155" i="3" s="1"/>
  <c r="H156" i="3"/>
  <c r="G156" i="3" l="1"/>
  <c r="I156" i="3" s="1"/>
  <c r="H157" i="3"/>
  <c r="G157" i="3" l="1"/>
  <c r="I157" i="3" s="1"/>
  <c r="H158" i="3"/>
  <c r="G158" i="3" l="1"/>
  <c r="I158" i="3" s="1"/>
  <c r="H159" i="3"/>
  <c r="G159" i="3" l="1"/>
  <c r="I159" i="3" s="1"/>
  <c r="H160" i="3"/>
  <c r="G160" i="3" l="1"/>
  <c r="I160" i="3" s="1"/>
  <c r="H161" i="3"/>
  <c r="G161" i="3" l="1"/>
  <c r="I161" i="3" s="1"/>
  <c r="H162" i="3"/>
  <c r="G162" i="3" l="1"/>
  <c r="I162" i="3" s="1"/>
  <c r="H163" i="3"/>
  <c r="G163" i="3" l="1"/>
  <c r="I163" i="3" s="1"/>
  <c r="H164" i="3"/>
  <c r="G164" i="3" l="1"/>
  <c r="I164" i="3" s="1"/>
  <c r="H165" i="3"/>
  <c r="G165" i="3" l="1"/>
  <c r="I165" i="3" s="1"/>
  <c r="H166" i="3"/>
  <c r="G166" i="3" l="1"/>
  <c r="I166" i="3" s="1"/>
  <c r="H167" i="3"/>
  <c r="G167" i="3" l="1"/>
  <c r="I167" i="3" s="1"/>
  <c r="H168" i="3"/>
  <c r="G168" i="3" l="1"/>
  <c r="I168" i="3" s="1"/>
  <c r="H169" i="3"/>
  <c r="H170" i="3" l="1"/>
  <c r="G169" i="3"/>
  <c r="I169" i="3" s="1"/>
  <c r="G170" i="3" l="1"/>
  <c r="I170" i="3" s="1"/>
  <c r="H171" i="3"/>
  <c r="G171" i="3" l="1"/>
  <c r="I171" i="3" s="1"/>
  <c r="H172" i="3"/>
  <c r="G172" i="3" l="1"/>
  <c r="I172" i="3" s="1"/>
  <c r="H173" i="3"/>
  <c r="H174" i="3" l="1"/>
  <c r="G173" i="3"/>
  <c r="I173" i="3" s="1"/>
  <c r="G174" i="3" l="1"/>
  <c r="I174" i="3" s="1"/>
  <c r="H175" i="3"/>
  <c r="G175" i="3" l="1"/>
  <c r="I175" i="3" s="1"/>
  <c r="H176" i="3"/>
  <c r="G176" i="3" l="1"/>
  <c r="I176" i="3" s="1"/>
  <c r="H177" i="3"/>
  <c r="G177" i="3" l="1"/>
  <c r="I177" i="3" s="1"/>
  <c r="H178" i="3"/>
  <c r="G178" i="3" l="1"/>
  <c r="I178" i="3" s="1"/>
  <c r="H179" i="3"/>
  <c r="G179" i="3" l="1"/>
  <c r="I179" i="3" s="1"/>
  <c r="H180" i="3"/>
  <c r="G180" i="3" l="1"/>
  <c r="I180" i="3" s="1"/>
  <c r="H181" i="3"/>
  <c r="G181" i="3" l="1"/>
  <c r="I181" i="3" s="1"/>
  <c r="H182" i="3"/>
  <c r="G182" i="3" l="1"/>
  <c r="I182" i="3" s="1"/>
  <c r="H183" i="3"/>
  <c r="G183" i="3" l="1"/>
  <c r="I183" i="3" s="1"/>
  <c r="H184" i="3"/>
  <c r="H185" i="3" l="1"/>
  <c r="G184" i="3"/>
  <c r="I184" i="3" s="1"/>
  <c r="G185" i="3" l="1"/>
  <c r="I185" i="3" s="1"/>
  <c r="H186" i="3"/>
  <c r="G186" i="3" l="1"/>
  <c r="I186" i="3" s="1"/>
  <c r="H187" i="3"/>
  <c r="G187" i="3" l="1"/>
  <c r="I187" i="3" s="1"/>
  <c r="H188" i="3"/>
  <c r="G188" i="3" l="1"/>
  <c r="I188" i="3" s="1"/>
  <c r="H189" i="3"/>
  <c r="G189" i="3" l="1"/>
  <c r="I189" i="3" s="1"/>
  <c r="H190" i="3"/>
  <c r="G190" i="3" l="1"/>
  <c r="I190" i="3" s="1"/>
  <c r="H191" i="3"/>
  <c r="G191" i="3" l="1"/>
  <c r="I191" i="3" s="1"/>
  <c r="H192" i="3"/>
  <c r="G192" i="3" l="1"/>
  <c r="I192" i="3" s="1"/>
  <c r="H193" i="3"/>
  <c r="G193" i="3" l="1"/>
  <c r="I193" i="3" s="1"/>
  <c r="H194" i="3"/>
  <c r="G194" i="3" l="1"/>
  <c r="I194" i="3" s="1"/>
  <c r="H195" i="3"/>
  <c r="H196" i="3" l="1"/>
  <c r="G195" i="3"/>
  <c r="I195" i="3" s="1"/>
  <c r="G196" i="3" l="1"/>
  <c r="I196" i="3" s="1"/>
  <c r="H197" i="3"/>
  <c r="G197" i="3" l="1"/>
  <c r="I197" i="3" s="1"/>
  <c r="H198" i="3"/>
  <c r="H199" i="3" l="1"/>
  <c r="G198" i="3"/>
  <c r="I198" i="3" s="1"/>
  <c r="G199" i="3" l="1"/>
  <c r="I199" i="3" s="1"/>
  <c r="H200" i="3"/>
  <c r="G200" i="3" l="1"/>
  <c r="I200" i="3" s="1"/>
  <c r="H201" i="3"/>
  <c r="G201" i="3" l="1"/>
  <c r="I201" i="3" s="1"/>
  <c r="H202" i="3"/>
  <c r="G202" i="3" l="1"/>
  <c r="I202" i="3" s="1"/>
  <c r="H203" i="3"/>
  <c r="G203" i="3" l="1"/>
  <c r="I203" i="3" s="1"/>
  <c r="H204" i="3"/>
  <c r="G204" i="3" l="1"/>
  <c r="I204" i="3" s="1"/>
  <c r="H205" i="3"/>
  <c r="G205" i="3" l="1"/>
  <c r="I205" i="3" s="1"/>
  <c r="H206" i="3"/>
  <c r="H207" i="3" l="1"/>
  <c r="G206" i="3"/>
  <c r="I206" i="3" s="1"/>
  <c r="G207" i="3" l="1"/>
  <c r="I207" i="3" s="1"/>
  <c r="H208" i="3"/>
  <c r="H209" i="3" l="1"/>
  <c r="G208" i="3"/>
  <c r="I208" i="3" s="1"/>
  <c r="G209" i="3" l="1"/>
  <c r="I209" i="3" s="1"/>
  <c r="H210" i="3"/>
  <c r="G210" i="3" l="1"/>
  <c r="I210" i="3" s="1"/>
  <c r="H211" i="3"/>
  <c r="G211" i="3" l="1"/>
  <c r="I211" i="3" s="1"/>
  <c r="H212" i="3"/>
  <c r="G212" i="3" l="1"/>
  <c r="I212" i="3" s="1"/>
  <c r="H213" i="3"/>
  <c r="G213" i="3" l="1"/>
  <c r="I213" i="3" s="1"/>
  <c r="H214" i="3"/>
  <c r="G214" i="3" l="1"/>
  <c r="I214" i="3" s="1"/>
  <c r="H215" i="3"/>
  <c r="G215" i="3" l="1"/>
  <c r="I215" i="3" s="1"/>
  <c r="H216" i="3"/>
  <c r="G216" i="3" l="1"/>
  <c r="I216" i="3" s="1"/>
  <c r="H217" i="3"/>
  <c r="H218" i="3" l="1"/>
  <c r="G217" i="3"/>
  <c r="I217" i="3" s="1"/>
  <c r="G218" i="3" l="1"/>
  <c r="I218" i="3" s="1"/>
  <c r="H219" i="3"/>
  <c r="G219" i="3" l="1"/>
  <c r="I219" i="3" s="1"/>
  <c r="H220" i="3"/>
  <c r="G220" i="3" l="1"/>
  <c r="I220" i="3" s="1"/>
  <c r="H221" i="3"/>
  <c r="G221" i="3" l="1"/>
  <c r="I221" i="3" s="1"/>
  <c r="H222" i="3"/>
  <c r="G222" i="3" l="1"/>
  <c r="I222" i="3" s="1"/>
  <c r="H223" i="3"/>
  <c r="G223" i="3" l="1"/>
  <c r="I223" i="3" s="1"/>
  <c r="H224" i="3"/>
  <c r="G224" i="3" l="1"/>
  <c r="I224" i="3" s="1"/>
  <c r="H225" i="3"/>
  <c r="G225" i="3" l="1"/>
  <c r="I225" i="3" s="1"/>
  <c r="H226" i="3"/>
  <c r="G226" i="3" l="1"/>
  <c r="I226" i="3" s="1"/>
  <c r="H227" i="3"/>
  <c r="G227" i="3" l="1"/>
  <c r="I227" i="3" s="1"/>
  <c r="H228" i="3"/>
  <c r="G228" i="3" l="1"/>
  <c r="I228" i="3" s="1"/>
  <c r="H229" i="3"/>
  <c r="G229" i="3" l="1"/>
  <c r="I229" i="3" s="1"/>
  <c r="H230" i="3"/>
  <c r="H231" i="3" l="1"/>
  <c r="G230" i="3"/>
  <c r="I230" i="3" s="1"/>
  <c r="G231" i="3" l="1"/>
  <c r="I231" i="3" s="1"/>
  <c r="H232" i="3"/>
  <c r="G232" i="3" l="1"/>
  <c r="I232" i="3" s="1"/>
  <c r="H233" i="3"/>
  <c r="G233" i="3" l="1"/>
  <c r="I233" i="3" s="1"/>
  <c r="H234" i="3"/>
  <c r="G234" i="3" l="1"/>
  <c r="I234" i="3" s="1"/>
  <c r="H235" i="3"/>
  <c r="G235" i="3" l="1"/>
  <c r="I235" i="3" s="1"/>
  <c r="H236" i="3"/>
  <c r="H237" i="3" l="1"/>
  <c r="G236" i="3"/>
  <c r="I236" i="3" s="1"/>
  <c r="G237" i="3" l="1"/>
  <c r="I237" i="3" s="1"/>
  <c r="H238" i="3"/>
  <c r="G238" i="3" l="1"/>
  <c r="I238" i="3" s="1"/>
  <c r="H239" i="3"/>
  <c r="G239" i="3" l="1"/>
  <c r="I239" i="3" s="1"/>
  <c r="H240" i="3"/>
  <c r="G240" i="3" l="1"/>
  <c r="I240" i="3" s="1"/>
  <c r="H241" i="3"/>
  <c r="G241" i="3" l="1"/>
  <c r="I241" i="3" s="1"/>
  <c r="H242" i="3"/>
  <c r="G242" i="3" l="1"/>
  <c r="I242" i="3" s="1"/>
  <c r="H243" i="3"/>
  <c r="G243" i="3" l="1"/>
  <c r="I243" i="3" s="1"/>
  <c r="H244" i="3"/>
  <c r="G244" i="3" l="1"/>
  <c r="I244" i="3" s="1"/>
  <c r="H245" i="3"/>
  <c r="G245" i="3" l="1"/>
  <c r="I245" i="3" s="1"/>
  <c r="H246" i="3"/>
  <c r="H247" i="3" l="1"/>
  <c r="G246" i="3"/>
  <c r="I246" i="3" s="1"/>
  <c r="G247" i="3" l="1"/>
  <c r="I247" i="3" s="1"/>
  <c r="H248" i="3"/>
  <c r="G248" i="3" l="1"/>
  <c r="I248" i="3" s="1"/>
  <c r="H249" i="3"/>
  <c r="G249" i="3" l="1"/>
  <c r="I249" i="3" s="1"/>
  <c r="H250" i="3"/>
  <c r="G250" i="3" l="1"/>
  <c r="I250" i="3" s="1"/>
  <c r="H251" i="3"/>
  <c r="G251" i="3" l="1"/>
  <c r="I251" i="3" s="1"/>
  <c r="H252" i="3"/>
  <c r="G252" i="3" l="1"/>
  <c r="I252" i="3" s="1"/>
  <c r="H253" i="3"/>
  <c r="H254" i="3" l="1"/>
  <c r="G253" i="3"/>
  <c r="I253" i="3" s="1"/>
  <c r="H255" i="3" l="1"/>
  <c r="G254" i="3"/>
  <c r="I254" i="3" s="1"/>
  <c r="G255" i="3" l="1"/>
  <c r="I255" i="3" s="1"/>
  <c r="H256" i="3"/>
  <c r="G256" i="3" l="1"/>
  <c r="I256" i="3" s="1"/>
  <c r="H257" i="3"/>
  <c r="G257" i="3" l="1"/>
  <c r="I257" i="3" s="1"/>
  <c r="H258" i="3"/>
  <c r="G258" i="3" l="1"/>
  <c r="I258" i="3" s="1"/>
  <c r="H259" i="3"/>
  <c r="G259" i="3" l="1"/>
  <c r="I259" i="3" s="1"/>
  <c r="H260" i="3"/>
  <c r="G260" i="3" l="1"/>
  <c r="I260" i="3" s="1"/>
  <c r="H261" i="3"/>
  <c r="G261" i="3" l="1"/>
  <c r="I261" i="3" s="1"/>
  <c r="H262" i="3"/>
  <c r="H263" i="3" l="1"/>
  <c r="G262" i="3"/>
  <c r="I262" i="3" s="1"/>
  <c r="H264" i="3" l="1"/>
  <c r="G263" i="3"/>
  <c r="I263" i="3" s="1"/>
  <c r="G264" i="3" l="1"/>
  <c r="I264" i="3" s="1"/>
  <c r="H265" i="3"/>
  <c r="G265" i="3" l="1"/>
  <c r="I265" i="3" s="1"/>
  <c r="H266" i="3"/>
  <c r="G266" i="3" l="1"/>
  <c r="I266" i="3" s="1"/>
  <c r="H267" i="3"/>
  <c r="G267" i="3" l="1"/>
  <c r="I267" i="3" s="1"/>
  <c r="H268" i="3"/>
  <c r="G268" i="3" l="1"/>
  <c r="I268" i="3" s="1"/>
  <c r="H269" i="3"/>
  <c r="G269" i="3" l="1"/>
  <c r="I269" i="3" s="1"/>
  <c r="H270" i="3"/>
  <c r="H271" i="3" l="1"/>
  <c r="G270" i="3"/>
  <c r="I270" i="3" s="1"/>
  <c r="G271" i="3" l="1"/>
  <c r="I271" i="3" s="1"/>
  <c r="H272" i="3"/>
  <c r="G272" i="3" l="1"/>
  <c r="I272" i="3" s="1"/>
  <c r="H273" i="3"/>
  <c r="G273" i="3" l="1"/>
  <c r="I273" i="3" s="1"/>
  <c r="H274" i="3"/>
  <c r="G274" i="3" l="1"/>
  <c r="I274" i="3" s="1"/>
  <c r="H275" i="3"/>
  <c r="G275" i="3" l="1"/>
  <c r="I275" i="3" s="1"/>
  <c r="H276" i="3"/>
  <c r="G276" i="3" l="1"/>
  <c r="I276" i="3" s="1"/>
  <c r="H277" i="3"/>
  <c r="G277" i="3" l="1"/>
  <c r="I277" i="3" s="1"/>
  <c r="H278" i="3"/>
  <c r="H279" i="3" l="1"/>
  <c r="G278" i="3"/>
  <c r="I278" i="3" s="1"/>
  <c r="H280" i="3" l="1"/>
  <c r="G279" i="3"/>
  <c r="I279" i="3" s="1"/>
  <c r="G280" i="3" l="1"/>
  <c r="I280" i="3" s="1"/>
  <c r="H281" i="3"/>
  <c r="G281" i="3" l="1"/>
  <c r="I281" i="3" s="1"/>
  <c r="H282" i="3"/>
  <c r="G282" i="3" l="1"/>
  <c r="I282" i="3" s="1"/>
  <c r="H283" i="3"/>
  <c r="G283" i="3" l="1"/>
  <c r="I283" i="3" s="1"/>
  <c r="H284" i="3"/>
  <c r="G284" i="3" l="1"/>
  <c r="I284" i="3" s="1"/>
  <c r="H285" i="3"/>
  <c r="G285" i="3" l="1"/>
  <c r="I285" i="3" s="1"/>
  <c r="H286" i="3"/>
  <c r="G286" i="3" l="1"/>
  <c r="I286" i="3" s="1"/>
  <c r="H287" i="3"/>
  <c r="G287" i="3" l="1"/>
  <c r="I287" i="3" s="1"/>
  <c r="H288" i="3"/>
  <c r="G288" i="3" l="1"/>
  <c r="I288" i="3" s="1"/>
  <c r="H289" i="3"/>
  <c r="G289" i="3" l="1"/>
  <c r="I289" i="3" s="1"/>
  <c r="H290" i="3"/>
  <c r="G290" i="3" l="1"/>
  <c r="I290" i="3" s="1"/>
  <c r="H291" i="3"/>
  <c r="G291" i="3" l="1"/>
  <c r="I291" i="3" s="1"/>
  <c r="H292" i="3"/>
  <c r="G292" i="3" l="1"/>
  <c r="I292" i="3" s="1"/>
  <c r="H293" i="3"/>
  <c r="G293" i="3" l="1"/>
  <c r="I293" i="3" s="1"/>
  <c r="H294" i="3"/>
  <c r="G294" i="3" l="1"/>
  <c r="I294" i="3" s="1"/>
  <c r="H295" i="3"/>
  <c r="G295" i="3" l="1"/>
  <c r="I295" i="3" s="1"/>
  <c r="H296" i="3"/>
  <c r="G296" i="3" l="1"/>
  <c r="I296" i="3" s="1"/>
  <c r="H297" i="3"/>
  <c r="G297" i="3" l="1"/>
  <c r="I297" i="3" s="1"/>
  <c r="H298" i="3"/>
  <c r="G298" i="3" l="1"/>
  <c r="I298" i="3" s="1"/>
  <c r="H299" i="3"/>
  <c r="H300" i="3" l="1"/>
  <c r="G299" i="3"/>
  <c r="I299" i="3" s="1"/>
  <c r="G300" i="3" l="1"/>
  <c r="I300" i="3" s="1"/>
  <c r="H301" i="3"/>
  <c r="G301" i="3" l="1"/>
  <c r="I301" i="3" s="1"/>
  <c r="H302" i="3"/>
  <c r="G302" i="3" l="1"/>
  <c r="I302" i="3" s="1"/>
  <c r="H303" i="3"/>
  <c r="G303" i="3" l="1"/>
  <c r="I303" i="3" s="1"/>
  <c r="H304" i="3"/>
  <c r="G304" i="3" l="1"/>
  <c r="I304" i="3" s="1"/>
  <c r="H305" i="3"/>
  <c r="G305" i="3" l="1"/>
  <c r="I305" i="3" s="1"/>
  <c r="H306" i="3"/>
  <c r="G306" i="3" l="1"/>
  <c r="I306" i="3" s="1"/>
  <c r="H307" i="3"/>
  <c r="G307" i="3" l="1"/>
  <c r="I307" i="3" s="1"/>
  <c r="H308" i="3"/>
  <c r="G308" i="3" l="1"/>
  <c r="I308" i="3" s="1"/>
  <c r="H309" i="3"/>
  <c r="G309" i="3" l="1"/>
  <c r="I309" i="3" s="1"/>
  <c r="H310" i="3"/>
  <c r="G310" i="3" l="1"/>
  <c r="I310" i="3" s="1"/>
  <c r="H311" i="3"/>
  <c r="G311" i="3" l="1"/>
  <c r="I311" i="3" s="1"/>
  <c r="H312" i="3"/>
  <c r="G312" i="3" l="1"/>
  <c r="I312" i="3" s="1"/>
  <c r="H313" i="3"/>
  <c r="G313" i="3" l="1"/>
  <c r="I313" i="3" s="1"/>
  <c r="H314" i="3"/>
  <c r="G314" i="3" l="1"/>
  <c r="I314" i="3" s="1"/>
  <c r="H315" i="3"/>
  <c r="G315" i="3" l="1"/>
  <c r="I315" i="3" s="1"/>
  <c r="H316" i="3"/>
  <c r="G316" i="3" l="1"/>
  <c r="I316" i="3" s="1"/>
  <c r="H317" i="3"/>
  <c r="G317" i="3" l="1"/>
  <c r="I317" i="3" s="1"/>
  <c r="H318" i="3"/>
  <c r="H319" i="3" l="1"/>
  <c r="G318" i="3"/>
  <c r="I318" i="3" s="1"/>
  <c r="G319" i="3" l="1"/>
  <c r="I319" i="3" s="1"/>
  <c r="H320" i="3"/>
  <c r="G320" i="3" l="1"/>
  <c r="I320" i="3" s="1"/>
  <c r="H321" i="3"/>
  <c r="G321" i="3" l="1"/>
  <c r="I321" i="3" s="1"/>
  <c r="H322" i="3"/>
  <c r="G322" i="3" l="1"/>
  <c r="I322" i="3" s="1"/>
  <c r="H323" i="3"/>
  <c r="G323" i="3" l="1"/>
  <c r="I323" i="3" s="1"/>
  <c r="H324" i="3"/>
  <c r="G324" i="3" l="1"/>
  <c r="I324" i="3" s="1"/>
  <c r="H325" i="3"/>
  <c r="G325" i="3" l="1"/>
  <c r="I325" i="3" s="1"/>
  <c r="H326" i="3"/>
  <c r="H327" i="3" l="1"/>
  <c r="G326" i="3"/>
  <c r="I326" i="3" s="1"/>
  <c r="H328" i="3" l="1"/>
  <c r="G327" i="3"/>
  <c r="I327" i="3" s="1"/>
  <c r="G328" i="3" l="1"/>
  <c r="I328" i="3" s="1"/>
  <c r="H329" i="3"/>
  <c r="G329" i="3" l="1"/>
  <c r="I329" i="3" s="1"/>
  <c r="H330" i="3"/>
  <c r="G330" i="3" l="1"/>
  <c r="I330" i="3" s="1"/>
  <c r="H331" i="3"/>
  <c r="G331" i="3" l="1"/>
  <c r="I331" i="3" s="1"/>
  <c r="H332" i="3"/>
  <c r="G332" i="3" l="1"/>
  <c r="I332" i="3" s="1"/>
  <c r="H333" i="3"/>
  <c r="G333" i="3" l="1"/>
  <c r="I333" i="3" s="1"/>
  <c r="H334" i="3"/>
  <c r="H335" i="3" l="1"/>
  <c r="G334" i="3"/>
  <c r="I334" i="3" s="1"/>
  <c r="G335" i="3" l="1"/>
  <c r="I335" i="3" s="1"/>
  <c r="H336" i="3"/>
  <c r="G336" i="3" l="1"/>
  <c r="I336" i="3" s="1"/>
  <c r="H337" i="3"/>
  <c r="G337" i="3" l="1"/>
  <c r="I337" i="3" s="1"/>
  <c r="H338" i="3"/>
  <c r="G338" i="3" l="1"/>
  <c r="I338" i="3" s="1"/>
  <c r="H339" i="3"/>
  <c r="G339" i="3" l="1"/>
  <c r="I339" i="3" s="1"/>
  <c r="H340" i="3"/>
  <c r="G340" i="3" l="1"/>
  <c r="I340" i="3" s="1"/>
  <c r="H341" i="3"/>
  <c r="G341" i="3" l="1"/>
  <c r="I341" i="3" s="1"/>
  <c r="H342" i="3"/>
  <c r="G342" i="3" l="1"/>
  <c r="I342" i="3" s="1"/>
  <c r="H343" i="3"/>
  <c r="G343" i="3" l="1"/>
  <c r="I343" i="3" s="1"/>
  <c r="H344" i="3"/>
  <c r="G344" i="3" l="1"/>
  <c r="I344" i="3" s="1"/>
  <c r="H345" i="3"/>
  <c r="G345" i="3" l="1"/>
  <c r="I345" i="3" s="1"/>
  <c r="H346" i="3"/>
  <c r="G346" i="3" l="1"/>
  <c r="I346" i="3" s="1"/>
  <c r="H347" i="3"/>
  <c r="G347" i="3" l="1"/>
  <c r="I347" i="3" s="1"/>
  <c r="H348" i="3"/>
  <c r="G348" i="3" l="1"/>
  <c r="I348" i="3" s="1"/>
  <c r="H349" i="3"/>
  <c r="G349" i="3" l="1"/>
  <c r="I349" i="3" s="1"/>
  <c r="H350" i="3"/>
  <c r="H351" i="3" l="1"/>
  <c r="G350" i="3"/>
  <c r="I350" i="3" s="1"/>
  <c r="G351" i="3" l="1"/>
  <c r="I351" i="3" s="1"/>
  <c r="H352" i="3"/>
  <c r="G352" i="3" l="1"/>
  <c r="I352" i="3" s="1"/>
  <c r="H353" i="3"/>
  <c r="G353" i="3" l="1"/>
  <c r="I353" i="3" s="1"/>
  <c r="H354" i="3"/>
  <c r="H355" i="3" l="1"/>
  <c r="G354" i="3"/>
  <c r="I354" i="3" s="1"/>
  <c r="G355" i="3" l="1"/>
  <c r="I355" i="3" s="1"/>
  <c r="H356" i="3"/>
  <c r="G356" i="3" l="1"/>
  <c r="I356" i="3" s="1"/>
  <c r="H357" i="3"/>
  <c r="H358" i="3" l="1"/>
  <c r="G357" i="3"/>
  <c r="I357" i="3" s="1"/>
  <c r="G358" i="3" l="1"/>
  <c r="I358" i="3" s="1"/>
  <c r="H359" i="3"/>
  <c r="G359" i="3" l="1"/>
  <c r="I359" i="3" s="1"/>
  <c r="H360" i="3"/>
  <c r="G360" i="3" l="1"/>
  <c r="I360" i="3" s="1"/>
  <c r="H361" i="3"/>
  <c r="G361" i="3" l="1"/>
  <c r="I361" i="3" s="1"/>
  <c r="H362" i="3"/>
  <c r="G362" i="3" l="1"/>
  <c r="I362" i="3" s="1"/>
  <c r="H363" i="3"/>
  <c r="G363" i="3" l="1"/>
  <c r="I363" i="3" s="1"/>
  <c r="H364" i="3"/>
  <c r="G364" i="3" l="1"/>
  <c r="I364" i="3" s="1"/>
  <c r="H365" i="3"/>
  <c r="G365" i="3" l="1"/>
  <c r="I365" i="3" s="1"/>
  <c r="H366" i="3"/>
  <c r="G366" i="3" l="1"/>
  <c r="I366" i="3" s="1"/>
  <c r="H367" i="3"/>
  <c r="G367" i="3" l="1"/>
  <c r="I367" i="3" s="1"/>
  <c r="H368" i="3"/>
  <c r="G368" i="3" l="1"/>
  <c r="I368" i="3" s="1"/>
  <c r="H369" i="3"/>
  <c r="G369" i="3" l="1"/>
  <c r="I369" i="3" s="1"/>
  <c r="H370" i="3"/>
  <c r="G370" i="3" l="1"/>
  <c r="I370" i="3" s="1"/>
  <c r="H371" i="3"/>
  <c r="G371" i="3" l="1"/>
  <c r="I371" i="3" s="1"/>
  <c r="H372" i="3"/>
  <c r="G372" i="3" l="1"/>
  <c r="I372" i="3" s="1"/>
  <c r="H373" i="3"/>
  <c r="H374" i="3" l="1"/>
  <c r="G373" i="3"/>
  <c r="I373" i="3" s="1"/>
  <c r="H375" i="3" l="1"/>
  <c r="G374" i="3"/>
  <c r="I374" i="3" s="1"/>
  <c r="G375" i="3" l="1"/>
  <c r="I375" i="3" s="1"/>
  <c r="H376" i="3"/>
  <c r="G376" i="3" l="1"/>
  <c r="I376" i="3" s="1"/>
  <c r="H377" i="3"/>
  <c r="G377" i="3" l="1"/>
  <c r="I377" i="3" s="1"/>
  <c r="H378" i="3"/>
  <c r="G378" i="3" l="1"/>
  <c r="I378" i="3" s="1"/>
  <c r="H379" i="3"/>
  <c r="G379" i="3" l="1"/>
  <c r="I379" i="3" s="1"/>
  <c r="H380" i="3"/>
  <c r="G380" i="3" l="1"/>
  <c r="I380" i="3" s="1"/>
  <c r="H381" i="3"/>
  <c r="G381" i="3" l="1"/>
  <c r="I381" i="3" s="1"/>
  <c r="H382" i="3"/>
  <c r="G382" i="3" l="1"/>
  <c r="I382" i="3" s="1"/>
  <c r="H383" i="3"/>
  <c r="H384" i="3" l="1"/>
  <c r="G383" i="3"/>
  <c r="I383" i="3" s="1"/>
  <c r="G384" i="3" l="1"/>
  <c r="I384" i="3" s="1"/>
  <c r="H385" i="3"/>
  <c r="G385" i="3" l="1"/>
  <c r="I385" i="3" s="1"/>
  <c r="H386" i="3"/>
  <c r="G386" i="3" l="1"/>
  <c r="I386" i="3" s="1"/>
  <c r="H387" i="3"/>
  <c r="G387" i="3" l="1"/>
  <c r="I387" i="3" s="1"/>
  <c r="H388" i="3"/>
  <c r="G388" i="3" l="1"/>
  <c r="I388" i="3" s="1"/>
  <c r="H389" i="3"/>
  <c r="G389" i="3" l="1"/>
  <c r="I389" i="3" s="1"/>
  <c r="H390" i="3"/>
  <c r="H391" i="3" l="1"/>
  <c r="G390" i="3"/>
  <c r="I390" i="3" s="1"/>
  <c r="G391" i="3" l="1"/>
  <c r="I391" i="3" s="1"/>
  <c r="H392" i="3"/>
  <c r="G392" i="3" l="1"/>
  <c r="I392" i="3" s="1"/>
  <c r="H393" i="3"/>
  <c r="G393" i="3" l="1"/>
  <c r="I393" i="3" s="1"/>
  <c r="H394" i="3"/>
  <c r="G394" i="3" l="1"/>
  <c r="I394" i="3" s="1"/>
  <c r="H395" i="3"/>
  <c r="H396" i="3" l="1"/>
  <c r="G395" i="3"/>
  <c r="I395" i="3" s="1"/>
  <c r="G396" i="3" l="1"/>
  <c r="I396" i="3" s="1"/>
  <c r="H397" i="3"/>
  <c r="G397" i="3" l="1"/>
  <c r="I397" i="3" s="1"/>
  <c r="H398" i="3"/>
  <c r="G398" i="3" l="1"/>
  <c r="I398" i="3" s="1"/>
  <c r="H399" i="3"/>
  <c r="G399" i="3" l="1"/>
  <c r="I399" i="3" s="1"/>
  <c r="H400" i="3"/>
  <c r="G400" i="3" l="1"/>
  <c r="I400" i="3" s="1"/>
  <c r="H401" i="3"/>
  <c r="G401" i="3" l="1"/>
  <c r="I401" i="3" s="1"/>
  <c r="H402" i="3"/>
  <c r="G402" i="3" l="1"/>
  <c r="I402" i="3" s="1"/>
  <c r="H403" i="3"/>
  <c r="G403" i="3" l="1"/>
  <c r="I403" i="3" s="1"/>
  <c r="H404" i="3"/>
  <c r="G404" i="3" l="1"/>
  <c r="I404" i="3" s="1"/>
  <c r="H405" i="3"/>
  <c r="G405" i="3" l="1"/>
  <c r="I405" i="3" s="1"/>
  <c r="H406" i="3"/>
  <c r="G406" i="3" l="1"/>
  <c r="I406" i="3" s="1"/>
  <c r="H407" i="3"/>
  <c r="G407" i="3" l="1"/>
  <c r="I407" i="3" s="1"/>
  <c r="H408" i="3"/>
  <c r="G408" i="3" l="1"/>
  <c r="I408" i="3" s="1"/>
  <c r="H409" i="3"/>
  <c r="G409" i="3" l="1"/>
  <c r="I409" i="3" s="1"/>
  <c r="H410" i="3"/>
  <c r="H411" i="3" l="1"/>
  <c r="G410" i="3"/>
  <c r="I410" i="3" s="1"/>
  <c r="G411" i="3" l="1"/>
  <c r="I411" i="3" s="1"/>
  <c r="H412" i="3"/>
  <c r="G412" i="3" l="1"/>
  <c r="I412" i="3" s="1"/>
  <c r="H413" i="3"/>
  <c r="G413" i="3" l="1"/>
  <c r="I413" i="3" s="1"/>
  <c r="H414" i="3"/>
  <c r="H415" i="3" l="1"/>
  <c r="G414" i="3"/>
  <c r="I414" i="3" s="1"/>
  <c r="G415" i="3" l="1"/>
  <c r="I415" i="3" s="1"/>
  <c r="H416" i="3"/>
  <c r="G416" i="3" l="1"/>
  <c r="I416" i="3" s="1"/>
  <c r="H417" i="3"/>
  <c r="G417" i="3" l="1"/>
  <c r="I417" i="3" s="1"/>
  <c r="H418" i="3"/>
  <c r="G418" i="3" l="1"/>
  <c r="I418" i="3" s="1"/>
  <c r="H419" i="3"/>
  <c r="G419" i="3" l="1"/>
  <c r="I419" i="3" s="1"/>
  <c r="H420" i="3"/>
  <c r="G420" i="3" l="1"/>
  <c r="I420" i="3" s="1"/>
  <c r="H421" i="3"/>
  <c r="G421" i="3" l="1"/>
  <c r="I421" i="3" s="1"/>
  <c r="H422" i="3"/>
  <c r="H423" i="3" l="1"/>
  <c r="G422" i="3"/>
  <c r="I422" i="3" s="1"/>
  <c r="G423" i="3" l="1"/>
  <c r="I423" i="3" s="1"/>
  <c r="H424" i="3"/>
  <c r="G424" i="3" l="1"/>
  <c r="I424" i="3" s="1"/>
  <c r="H425" i="3"/>
  <c r="G425" i="3" l="1"/>
  <c r="I425" i="3" s="1"/>
  <c r="H426" i="3"/>
  <c r="G426" i="3" l="1"/>
  <c r="I426" i="3" s="1"/>
  <c r="H427" i="3"/>
  <c r="G427" i="3" l="1"/>
  <c r="I427" i="3" s="1"/>
  <c r="H428" i="3"/>
  <c r="G428" i="3" l="1"/>
  <c r="I428" i="3" s="1"/>
  <c r="H429" i="3"/>
  <c r="H430" i="3" l="1"/>
  <c r="G429" i="3"/>
  <c r="I429" i="3" s="1"/>
  <c r="G430" i="3" l="1"/>
  <c r="I430" i="3" s="1"/>
  <c r="H431" i="3"/>
  <c r="G431" i="3" l="1"/>
  <c r="I431" i="3" s="1"/>
  <c r="H432" i="3"/>
  <c r="G432" i="3" l="1"/>
  <c r="I432" i="3" s="1"/>
  <c r="H433" i="3"/>
  <c r="G433" i="3" l="1"/>
  <c r="I433" i="3" s="1"/>
  <c r="H434" i="3"/>
  <c r="G434" i="3" l="1"/>
  <c r="I434" i="3" s="1"/>
  <c r="H435" i="3"/>
  <c r="G435" i="3" l="1"/>
  <c r="I435" i="3" s="1"/>
  <c r="H436" i="3"/>
  <c r="G436" i="3" l="1"/>
  <c r="I436" i="3" s="1"/>
  <c r="H437" i="3"/>
  <c r="G437" i="3" l="1"/>
  <c r="I437" i="3" s="1"/>
  <c r="H438" i="3"/>
  <c r="G438" i="3" l="1"/>
  <c r="I438" i="3" s="1"/>
  <c r="H439" i="3"/>
  <c r="G439" i="3" l="1"/>
  <c r="I439" i="3" s="1"/>
  <c r="H440" i="3"/>
  <c r="G440" i="3" l="1"/>
  <c r="I440" i="3" s="1"/>
  <c r="H441" i="3"/>
  <c r="G441" i="3" l="1"/>
  <c r="I441" i="3" s="1"/>
  <c r="H442" i="3"/>
  <c r="G442" i="3" l="1"/>
  <c r="I442" i="3" s="1"/>
  <c r="H443" i="3"/>
  <c r="G443" i="3" l="1"/>
  <c r="I443" i="3" s="1"/>
  <c r="H444" i="3"/>
  <c r="H445" i="3" l="1"/>
  <c r="G444" i="3"/>
  <c r="I444" i="3" s="1"/>
  <c r="G445" i="3" l="1"/>
  <c r="I445" i="3" s="1"/>
  <c r="H446" i="3"/>
  <c r="H447" i="3" l="1"/>
  <c r="G446" i="3"/>
  <c r="I446" i="3" s="1"/>
  <c r="H448" i="3" l="1"/>
  <c r="G447" i="3"/>
  <c r="I447" i="3" s="1"/>
  <c r="G448" i="3" l="1"/>
  <c r="I448" i="3" s="1"/>
  <c r="H449" i="3"/>
  <c r="G449" i="3" l="1"/>
  <c r="I449" i="3" s="1"/>
  <c r="H450" i="3"/>
  <c r="G450" i="3" l="1"/>
  <c r="I450" i="3" s="1"/>
  <c r="H451" i="3"/>
  <c r="G451" i="3" l="1"/>
  <c r="I451" i="3" s="1"/>
  <c r="H452" i="3"/>
  <c r="G452" i="3" l="1"/>
  <c r="I452" i="3" s="1"/>
  <c r="H453" i="3"/>
  <c r="G453" i="3" l="1"/>
  <c r="I453" i="3" s="1"/>
  <c r="H454" i="3"/>
  <c r="G454" i="3" l="1"/>
  <c r="I454" i="3" s="1"/>
  <c r="H455" i="3"/>
  <c r="G455" i="3" l="1"/>
  <c r="I455" i="3" s="1"/>
  <c r="H456" i="3"/>
  <c r="G456" i="3" l="1"/>
  <c r="I456" i="3" s="1"/>
  <c r="H457" i="3"/>
  <c r="G457" i="3" l="1"/>
  <c r="I457" i="3" s="1"/>
  <c r="H458" i="3"/>
  <c r="G458" i="3" l="1"/>
  <c r="I458" i="3" s="1"/>
  <c r="H459" i="3"/>
  <c r="G459" i="3" l="1"/>
  <c r="I459" i="3" s="1"/>
  <c r="H460" i="3"/>
  <c r="H461" i="3" l="1"/>
  <c r="G460" i="3"/>
  <c r="I460" i="3" s="1"/>
  <c r="G461" i="3" l="1"/>
  <c r="I461" i="3" s="1"/>
  <c r="H462" i="3"/>
  <c r="G462" i="3" l="1"/>
  <c r="I462" i="3" s="1"/>
  <c r="H463" i="3"/>
  <c r="G463" i="3" l="1"/>
  <c r="I463" i="3" s="1"/>
  <c r="H464" i="3"/>
  <c r="G464" i="3" l="1"/>
  <c r="I464" i="3" s="1"/>
  <c r="H465" i="3"/>
  <c r="G465" i="3" l="1"/>
  <c r="I465" i="3" s="1"/>
  <c r="H466" i="3"/>
  <c r="H467" i="3" l="1"/>
  <c r="G466" i="3"/>
  <c r="I466" i="3" s="1"/>
  <c r="G467" i="3" l="1"/>
  <c r="I467" i="3" s="1"/>
  <c r="H468" i="3"/>
  <c r="G468" i="3" l="1"/>
  <c r="I468" i="3" s="1"/>
  <c r="H469" i="3"/>
  <c r="G469" i="3" l="1"/>
  <c r="I469" i="3" s="1"/>
  <c r="H470" i="3"/>
  <c r="H471" i="3" l="1"/>
  <c r="G470" i="3"/>
  <c r="I470" i="3" s="1"/>
  <c r="G471" i="3" l="1"/>
  <c r="I471" i="3" s="1"/>
  <c r="H472" i="3"/>
  <c r="G472" i="3" l="1"/>
  <c r="I472" i="3" s="1"/>
  <c r="H473" i="3"/>
  <c r="G473" i="3" l="1"/>
  <c r="I473" i="3" s="1"/>
  <c r="H474" i="3"/>
  <c r="H475" i="3" l="1"/>
  <c r="G474" i="3"/>
  <c r="I474" i="3" s="1"/>
  <c r="G475" i="3" l="1"/>
  <c r="I475" i="3" s="1"/>
  <c r="H476" i="3"/>
  <c r="H477" i="3" l="1"/>
  <c r="G476" i="3"/>
  <c r="I476" i="3" s="1"/>
  <c r="H478" i="3" l="1"/>
  <c r="G477" i="3"/>
  <c r="I477" i="3" s="1"/>
  <c r="G478" i="3" l="1"/>
  <c r="I478" i="3" s="1"/>
  <c r="H479" i="3"/>
  <c r="H480" i="3" l="1"/>
  <c r="G479" i="3"/>
  <c r="I479" i="3" s="1"/>
  <c r="G480" i="3" l="1"/>
  <c r="I480" i="3" s="1"/>
  <c r="H481" i="3"/>
  <c r="G481" i="3" l="1"/>
  <c r="I481" i="3" s="1"/>
  <c r="H482" i="3"/>
  <c r="H483" i="3" l="1"/>
  <c r="G482" i="3"/>
  <c r="I482" i="3" s="1"/>
  <c r="G483" i="3" l="1"/>
  <c r="I483" i="3" s="1"/>
  <c r="H484" i="3"/>
  <c r="G484" i="3" l="1"/>
  <c r="I484" i="3" s="1"/>
  <c r="H485" i="3"/>
  <c r="H486" i="3" l="1"/>
  <c r="G485" i="3"/>
  <c r="I485" i="3" s="1"/>
  <c r="H487" i="3" l="1"/>
  <c r="G486" i="3"/>
  <c r="I486" i="3" s="1"/>
  <c r="G487" i="3" l="1"/>
  <c r="I487" i="3" s="1"/>
  <c r="H488" i="3"/>
  <c r="H489" i="3" l="1"/>
  <c r="G488" i="3"/>
  <c r="I488" i="3" s="1"/>
  <c r="H490" i="3" l="1"/>
  <c r="G489" i="3"/>
  <c r="I489" i="3" s="1"/>
  <c r="G490" i="3" l="1"/>
  <c r="I490" i="3" s="1"/>
  <c r="H491" i="3"/>
  <c r="G491" i="3" l="1"/>
  <c r="I491" i="3" s="1"/>
  <c r="H492" i="3"/>
  <c r="G492" i="3" l="1"/>
  <c r="I492" i="3" s="1"/>
  <c r="H493" i="3"/>
  <c r="H494" i="3" l="1"/>
  <c r="G493" i="3"/>
  <c r="I493" i="3" s="1"/>
  <c r="H495" i="3" l="1"/>
  <c r="G495" i="3" s="1"/>
  <c r="I495" i="3" s="1"/>
  <c r="G494" i="3"/>
  <c r="I494" i="3" s="1"/>
  <c r="B30" i="3"/>
  <c r="B9" i="3"/>
  <c r="K318" i="3" l="1"/>
  <c r="K362" i="3"/>
  <c r="K62" i="3"/>
  <c r="K227" i="3"/>
  <c r="K388" i="3"/>
  <c r="K346" i="3"/>
  <c r="K327" i="3"/>
  <c r="K290" i="3"/>
  <c r="K280" i="3"/>
  <c r="K474" i="3"/>
  <c r="K477" i="3"/>
  <c r="K273" i="3"/>
  <c r="K328" i="3"/>
  <c r="K434" i="3"/>
  <c r="K331" i="3"/>
  <c r="K156" i="3"/>
  <c r="K286" i="3"/>
  <c r="K373" i="3"/>
  <c r="K132" i="3"/>
  <c r="K446" i="3"/>
  <c r="K413" i="3"/>
  <c r="K392" i="3"/>
  <c r="K257" i="3"/>
  <c r="K462" i="3"/>
  <c r="K241" i="3"/>
  <c r="K336" i="3"/>
  <c r="K298" i="3"/>
  <c r="K249" i="3"/>
  <c r="K180" i="3"/>
  <c r="K436" i="3"/>
  <c r="K107" i="3"/>
  <c r="K468" i="3"/>
  <c r="K269" i="3"/>
  <c r="K484" i="3"/>
  <c r="K471" i="3"/>
  <c r="K352" i="3"/>
  <c r="K294" i="3"/>
  <c r="K387" i="3"/>
  <c r="K148" i="3"/>
  <c r="K441" i="3"/>
  <c r="K324" i="3"/>
  <c r="K248" i="3"/>
  <c r="K380" i="3"/>
  <c r="K355" i="3"/>
  <c r="K334" i="3"/>
  <c r="K461" i="3"/>
  <c r="K114" i="3"/>
  <c r="K432" i="3"/>
  <c r="K412" i="3"/>
  <c r="K482" i="3"/>
  <c r="K258" i="3"/>
  <c r="K410" i="3"/>
  <c r="K228" i="3"/>
  <c r="K281" i="3"/>
  <c r="K320" i="3"/>
  <c r="K217" i="3"/>
  <c r="K319" i="3"/>
  <c r="K368" i="3"/>
  <c r="K208" i="3"/>
  <c r="K367" i="3"/>
  <c r="K457" i="3"/>
  <c r="K91" i="3"/>
  <c r="K313" i="3"/>
  <c r="K56" i="3"/>
  <c r="K470" i="3"/>
  <c r="K448" i="3"/>
  <c r="K376" i="3"/>
  <c r="K299" i="3"/>
  <c r="K492" i="3"/>
  <c r="K321" i="3"/>
  <c r="K72" i="3"/>
  <c r="K118" i="3"/>
  <c r="K425" i="3"/>
  <c r="K485" i="3"/>
  <c r="K259" i="3"/>
  <c r="K344" i="3"/>
  <c r="K350" i="3"/>
  <c r="K416" i="3"/>
  <c r="K443" i="3"/>
  <c r="K125" i="3"/>
  <c r="K433" i="3"/>
  <c r="K332" i="3"/>
  <c r="K371" i="3"/>
  <c r="K419" i="3"/>
  <c r="K186" i="3"/>
  <c r="K455" i="3"/>
  <c r="K67" i="3"/>
  <c r="K481" i="3"/>
  <c r="K267" i="3"/>
  <c r="K451" i="3"/>
  <c r="K475" i="3"/>
  <c r="K188" i="3"/>
  <c r="K486" i="3"/>
  <c r="K447" i="3"/>
  <c r="K198" i="3"/>
  <c r="K363" i="3"/>
  <c r="K137" i="3"/>
  <c r="K467" i="3"/>
  <c r="K356" i="3"/>
  <c r="K203" i="3"/>
  <c r="K183" i="3"/>
  <c r="K438" i="3"/>
  <c r="K384" i="3"/>
  <c r="K210" i="3"/>
  <c r="K94" i="3"/>
  <c r="K445" i="3"/>
  <c r="K39" i="3"/>
  <c r="K20" i="3"/>
  <c r="K147" i="3"/>
  <c r="K229" i="3"/>
  <c r="K359" i="3"/>
  <c r="K442" i="3"/>
  <c r="K285" i="3"/>
  <c r="K68" i="3"/>
  <c r="K353" i="3"/>
  <c r="K49" i="3"/>
  <c r="K44" i="3"/>
  <c r="K301" i="3"/>
  <c r="K50" i="3"/>
  <c r="K345" i="3"/>
  <c r="K264" i="3"/>
  <c r="K235" i="3"/>
  <c r="K213" i="3"/>
  <c r="K428" i="3"/>
  <c r="K365" i="3"/>
  <c r="K266" i="3"/>
  <c r="K297" i="3"/>
  <c r="K306" i="3"/>
  <c r="K195" i="3"/>
  <c r="K341" i="3"/>
  <c r="K177" i="3"/>
  <c r="K476" i="3"/>
  <c r="K88" i="3"/>
  <c r="K283" i="3"/>
  <c r="K418" i="3"/>
  <c r="K394" i="3"/>
  <c r="K158" i="3"/>
  <c r="K454" i="3"/>
  <c r="K420" i="3"/>
  <c r="K427" i="3"/>
  <c r="K479" i="3"/>
  <c r="K275" i="3"/>
  <c r="K36" i="3"/>
  <c r="K487" i="3"/>
  <c r="K343" i="3"/>
  <c r="K138" i="3"/>
  <c r="K369" i="3"/>
  <c r="K104" i="3"/>
  <c r="K480" i="3"/>
  <c r="K80" i="3"/>
  <c r="K37" i="3"/>
  <c r="K478" i="3"/>
  <c r="K338" i="3"/>
  <c r="K262" i="3"/>
  <c r="K292" i="3"/>
  <c r="K184" i="3"/>
  <c r="K197" i="3"/>
  <c r="K223" i="3"/>
  <c r="K354" i="3"/>
  <c r="K14" i="3"/>
  <c r="K253" i="3"/>
  <c r="K449" i="3"/>
  <c r="K308" i="3"/>
  <c r="K333" i="3"/>
  <c r="K494" i="3"/>
  <c r="K304" i="3"/>
  <c r="K233" i="3"/>
  <c r="K26" i="3"/>
  <c r="K200" i="3"/>
  <c r="K159" i="3"/>
  <c r="K358" i="3"/>
  <c r="K393" i="3"/>
  <c r="K379" i="3"/>
  <c r="K293" i="3"/>
  <c r="K330" i="3"/>
  <c r="K112" i="3"/>
  <c r="K245" i="3"/>
  <c r="K422" i="3"/>
  <c r="K360" i="3"/>
  <c r="K303" i="3"/>
  <c r="K415" i="3"/>
  <c r="K370" i="3"/>
  <c r="K154" i="3"/>
  <c r="K117" i="3"/>
  <c r="K272" i="3"/>
  <c r="K167" i="3"/>
  <c r="K25" i="3"/>
  <c r="K270" i="3"/>
  <c r="K202" i="3"/>
  <c r="K361" i="3"/>
  <c r="K63" i="3"/>
  <c r="K398" i="3"/>
  <c r="K28" i="3"/>
  <c r="K189" i="3"/>
  <c r="K364" i="3"/>
  <c r="K255" i="3"/>
  <c r="K307" i="3"/>
  <c r="K408" i="3"/>
  <c r="K399" i="3"/>
  <c r="K404" i="3"/>
  <c r="K411" i="3"/>
  <c r="K310" i="3"/>
  <c r="K242" i="3"/>
  <c r="K348" i="3"/>
  <c r="K403" i="3"/>
  <c r="K236" i="3"/>
  <c r="K444" i="3"/>
  <c r="K59" i="3"/>
  <c r="K165" i="3"/>
  <c r="K16" i="3"/>
  <c r="K22" i="3"/>
  <c r="K375" i="3"/>
  <c r="K429" i="3"/>
  <c r="K136" i="3"/>
  <c r="K23" i="3"/>
  <c r="K271" i="3"/>
  <c r="K243" i="3"/>
  <c r="K289" i="3"/>
  <c r="K300" i="3"/>
  <c r="K149" i="3"/>
  <c r="K231" i="3"/>
  <c r="K220" i="3"/>
  <c r="K254" i="3"/>
  <c r="K161" i="3"/>
  <c r="K41" i="3"/>
  <c r="K42" i="3"/>
  <c r="K246" i="3"/>
  <c r="K247" i="3"/>
  <c r="K33" i="3"/>
  <c r="K18" i="3"/>
  <c r="K284" i="3"/>
  <c r="K193" i="3"/>
  <c r="K473" i="3"/>
  <c r="K103" i="3"/>
  <c r="K122" i="3"/>
  <c r="K212" i="3"/>
  <c r="K261" i="3"/>
  <c r="K194" i="3"/>
  <c r="K27" i="3"/>
  <c r="K312" i="3"/>
  <c r="K110" i="3"/>
  <c r="K386" i="3"/>
  <c r="K340" i="3"/>
  <c r="K46" i="3"/>
  <c r="K277" i="3"/>
  <c r="K287" i="3"/>
  <c r="K463" i="3"/>
  <c r="K19" i="3"/>
  <c r="K15" i="3"/>
  <c r="K302" i="3"/>
  <c r="K409" i="3"/>
  <c r="K169" i="3"/>
  <c r="K414" i="3"/>
  <c r="K60" i="3"/>
  <c r="K232" i="3"/>
  <c r="K157" i="3"/>
  <c r="K234" i="3"/>
  <c r="K450" i="3"/>
  <c r="K316" i="3"/>
  <c r="K55" i="3"/>
  <c r="K129" i="3"/>
  <c r="K381" i="3"/>
  <c r="K466" i="3"/>
  <c r="K426" i="3"/>
  <c r="K488" i="3"/>
  <c r="K493" i="3"/>
  <c r="K144" i="3"/>
  <c r="K51" i="3"/>
  <c r="K406" i="3"/>
  <c r="K64" i="3"/>
  <c r="K124" i="3"/>
  <c r="K342" i="3"/>
  <c r="K218" i="3"/>
  <c r="K111" i="3"/>
  <c r="K239" i="3"/>
  <c r="K84" i="3"/>
  <c r="K76" i="3"/>
  <c r="K113" i="3"/>
  <c r="K357" i="3"/>
  <c r="K119" i="3"/>
  <c r="K52" i="3"/>
  <c r="K240" i="3"/>
  <c r="K256" i="3"/>
  <c r="K142" i="3"/>
  <c r="K205" i="3"/>
  <c r="K190" i="3"/>
  <c r="K155" i="3"/>
  <c r="K437" i="3"/>
  <c r="K305" i="3"/>
  <c r="K215" i="3"/>
  <c r="K81" i="3"/>
  <c r="K244" i="3"/>
  <c r="K30" i="3"/>
  <c r="K139" i="3"/>
  <c r="K315" i="3"/>
  <c r="K31" i="3"/>
  <c r="K146" i="3"/>
  <c r="K163" i="3"/>
  <c r="K47" i="3"/>
  <c r="K440" i="3"/>
  <c r="K224" i="3"/>
  <c r="K162" i="3"/>
  <c r="K69" i="3"/>
  <c r="K347" i="3"/>
  <c r="K225" i="3"/>
  <c r="K109" i="3"/>
  <c r="K276" i="3"/>
  <c r="K483" i="3"/>
  <c r="K396" i="3"/>
  <c r="K278" i="3"/>
  <c r="K314" i="3"/>
  <c r="K405" i="3"/>
  <c r="K374" i="3"/>
  <c r="K382" i="3"/>
  <c r="K120" i="3"/>
  <c r="K295" i="3"/>
  <c r="K288" i="3"/>
  <c r="K196" i="3"/>
  <c r="K424" i="3"/>
  <c r="K206" i="3"/>
  <c r="K61" i="3"/>
  <c r="K325" i="3"/>
  <c r="K219" i="3"/>
  <c r="K71" i="3"/>
  <c r="K99" i="3"/>
  <c r="K268" i="3"/>
  <c r="K21" i="3"/>
  <c r="K263" i="3"/>
  <c r="K378" i="3"/>
  <c r="K13" i="3"/>
  <c r="K326" i="3"/>
  <c r="K150" i="3"/>
  <c r="K252" i="3"/>
  <c r="K185" i="3"/>
  <c r="K153" i="3"/>
  <c r="K108" i="3"/>
  <c r="K391" i="3"/>
  <c r="K335" i="3"/>
  <c r="K491" i="3"/>
  <c r="K201" i="3"/>
  <c r="K102" i="3"/>
  <c r="K86" i="3"/>
  <c r="K192" i="3"/>
  <c r="K141" i="3"/>
  <c r="K366" i="3"/>
  <c r="K175" i="3"/>
  <c r="K322" i="3"/>
  <c r="K128" i="3"/>
  <c r="K78" i="3"/>
  <c r="K430" i="3"/>
  <c r="K351" i="3"/>
  <c r="K126" i="3"/>
  <c r="K237" i="3"/>
  <c r="K98" i="3"/>
  <c r="K216" i="3"/>
  <c r="K377" i="3"/>
  <c r="K417" i="3"/>
  <c r="K251" i="3"/>
  <c r="K282" i="3"/>
  <c r="K97" i="3"/>
  <c r="K181" i="3"/>
  <c r="K48" i="3"/>
  <c r="K291" i="3"/>
  <c r="K389" i="3"/>
  <c r="K431" i="3"/>
  <c r="K221" i="3"/>
  <c r="K58" i="3"/>
  <c r="K115" i="3"/>
  <c r="K85" i="3"/>
  <c r="K164" i="3"/>
  <c r="K83" i="3"/>
  <c r="K453" i="3"/>
  <c r="K178" i="3"/>
  <c r="K121" i="3"/>
  <c r="K439" i="3"/>
  <c r="K75" i="3"/>
  <c r="K135" i="3"/>
  <c r="K209" i="3"/>
  <c r="K34" i="3"/>
  <c r="K176" i="3"/>
  <c r="K191" i="3"/>
  <c r="K274" i="3"/>
  <c r="K35" i="3"/>
  <c r="K250" i="3"/>
  <c r="K172" i="3"/>
  <c r="K93" i="3"/>
  <c r="K402" i="3"/>
  <c r="K489" i="3"/>
  <c r="K95" i="3"/>
  <c r="K182" i="3"/>
  <c r="K29" i="3"/>
  <c r="K400" i="3"/>
  <c r="K133" i="3"/>
  <c r="K207" i="3"/>
  <c r="K143" i="3"/>
  <c r="K152" i="3"/>
  <c r="K407" i="3"/>
  <c r="K73" i="3"/>
  <c r="K329" i="3"/>
  <c r="K12" i="3"/>
  <c r="K401" i="3"/>
  <c r="K458" i="3"/>
  <c r="K74" i="3"/>
  <c r="K199" i="3"/>
  <c r="K43" i="3"/>
  <c r="K311" i="3"/>
  <c r="K145" i="3"/>
  <c r="K452" i="3"/>
  <c r="K459" i="3"/>
  <c r="K265" i="3"/>
  <c r="K92" i="3"/>
  <c r="K296" i="3"/>
  <c r="K123" i="3"/>
  <c r="K171" i="3"/>
  <c r="K495" i="3"/>
  <c r="K187" i="3"/>
  <c r="K339" i="3"/>
  <c r="K131" i="3"/>
  <c r="K464" i="3"/>
  <c r="K174" i="3"/>
  <c r="K54" i="3"/>
  <c r="K17" i="3"/>
  <c r="K337" i="3"/>
  <c r="K87" i="3"/>
  <c r="K10" i="3"/>
  <c r="K151" i="3"/>
  <c r="K106" i="3"/>
  <c r="K460" i="3"/>
  <c r="K127" i="3"/>
  <c r="K90" i="3"/>
  <c r="K160" i="3"/>
  <c r="K390" i="3"/>
  <c r="K140" i="3"/>
  <c r="K70" i="3"/>
  <c r="K465" i="3"/>
  <c r="K130" i="3"/>
  <c r="K309" i="3"/>
  <c r="K79" i="3"/>
  <c r="K89" i="3"/>
  <c r="K317" i="3"/>
  <c r="K279" i="3"/>
  <c r="K456" i="3"/>
  <c r="K349" i="3"/>
  <c r="K222" i="3"/>
  <c r="K226" i="3"/>
  <c r="K101" i="3"/>
  <c r="K38" i="3"/>
  <c r="K166" i="3"/>
  <c r="K40" i="3"/>
  <c r="K116" i="3"/>
  <c r="K9" i="3"/>
  <c r="K96" i="3"/>
  <c r="K65" i="3"/>
  <c r="K423" i="3"/>
  <c r="K168" i="3"/>
  <c r="K323" i="3"/>
  <c r="K490" i="3"/>
  <c r="K100" i="3"/>
  <c r="K170" i="3"/>
  <c r="K472" i="3"/>
  <c r="K8" i="3"/>
  <c r="K24" i="3"/>
  <c r="K57" i="3"/>
  <c r="K82" i="3"/>
  <c r="K469" i="3"/>
  <c r="K77" i="3"/>
  <c r="K7" i="3"/>
  <c r="K179" i="3"/>
  <c r="K383" i="3"/>
  <c r="K45" i="3"/>
  <c r="K105" i="3"/>
  <c r="K397" i="3"/>
  <c r="K230" i="3"/>
  <c r="K395" i="3"/>
  <c r="K32" i="3"/>
  <c r="K238" i="3"/>
  <c r="K173" i="3"/>
  <c r="K214" i="3"/>
  <c r="K53" i="3"/>
  <c r="K66" i="3"/>
  <c r="K260" i="3"/>
  <c r="K435" i="3"/>
  <c r="K211" i="3"/>
  <c r="K372" i="3"/>
  <c r="K421" i="3"/>
  <c r="K11" i="3"/>
  <c r="K134" i="3"/>
  <c r="K385" i="3"/>
  <c r="K204" i="3"/>
  <c r="R3" i="3" l="1"/>
  <c r="S3" i="3"/>
  <c r="M3" i="3"/>
  <c r="M2" i="3"/>
  <c r="K6" i="3"/>
  <c r="T3" i="3" l="1"/>
  <c r="P2" i="3"/>
  <c r="O2" i="3"/>
  <c r="Q2" i="3"/>
  <c r="L23" i="1" s="1"/>
  <c r="L2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tc={9A9B53D7-1F12-41EA-B10D-0EB04DEE4416}</author>
  </authors>
  <commentList>
    <comment ref="B17" authorId="0" shapeId="0" xr:uid="{9A9B53D7-1F12-41EA-B10D-0EB04DEE4416}">
      <text>
        <t>[Threaded comment]
Your version of Excel allows you to read this threaded comment; however, any edits to it will get removed if the file is opened in a newer version of Excel. Learn more: https://go.microsoft.com/fwlink/?linkid=870924
Comment:
    Taken from NZ_Erosivity_Data (Klik et al) from DMTW tool.</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<sst xmlns="http://schemas.openxmlformats.org/spreadsheetml/2006/main" count="1738" uniqueCount="452">
  <si>
    <t>Inputs</t>
  </si>
  <si>
    <t>Crop Type</t>
  </si>
  <si>
    <t>Region</t>
  </si>
  <si>
    <t>Units</t>
  </si>
  <si>
    <t>The inputs below are considered to constitute the bare minimum requirement for generating a nitrogen budget.</t>
  </si>
  <si>
    <t>t/ha</t>
  </si>
  <si>
    <t>Soil mineralisation</t>
  </si>
  <si>
    <t>kg N/ha</t>
  </si>
  <si>
    <t>Inputs - Level 1</t>
  </si>
  <si>
    <t>Inputs - Level 2</t>
  </si>
  <si>
    <t>1 (minimum)</t>
  </si>
  <si>
    <t>Input level</t>
  </si>
  <si>
    <t>2 (standard)</t>
  </si>
  <si>
    <t>3 (advanced)</t>
  </si>
  <si>
    <t>Inputs - Level 3</t>
  </si>
  <si>
    <t>Crop residue</t>
  </si>
  <si>
    <t>Planting date</t>
  </si>
  <si>
    <t>Harvest date</t>
  </si>
  <si>
    <t>The inputs below increase the accuracy of the calculated plant uptake curves and nutrient budget but require additional information from the grower. The data fields are populated with default figures that can be overwritten.</t>
  </si>
  <si>
    <t>Crop uptake</t>
  </si>
  <si>
    <t>Lettuce</t>
  </si>
  <si>
    <t>Onion</t>
  </si>
  <si>
    <t>Potato</t>
  </si>
  <si>
    <t>Northland</t>
  </si>
  <si>
    <t>Pukekohe</t>
  </si>
  <si>
    <t>Matamata</t>
  </si>
  <si>
    <t>Bay of Plenty</t>
  </si>
  <si>
    <t>Default rainfall</t>
  </si>
  <si>
    <t>Default soil texture</t>
  </si>
  <si>
    <t>Taranaki</t>
  </si>
  <si>
    <t>Hawke's Bay</t>
  </si>
  <si>
    <t>Levin</t>
  </si>
  <si>
    <t>Wairarapa</t>
  </si>
  <si>
    <t>Nelson</t>
  </si>
  <si>
    <t>Marlborough</t>
  </si>
  <si>
    <t>Canterbury</t>
  </si>
  <si>
    <t>West Coast</t>
  </si>
  <si>
    <t>Otago</t>
  </si>
  <si>
    <t>Central Otago</t>
  </si>
  <si>
    <t>Southland</t>
  </si>
  <si>
    <t>Clay Loam</t>
  </si>
  <si>
    <t>Silt Loam</t>
  </si>
  <si>
    <t>Gisborne</t>
  </si>
  <si>
    <t>N per application</t>
  </si>
  <si>
    <t>1st application</t>
  </si>
  <si>
    <t>2nd application</t>
  </si>
  <si>
    <t>3rd application</t>
  </si>
  <si>
    <t>4th application</t>
  </si>
  <si>
    <t>Cauliflower</t>
  </si>
  <si>
    <t>Leaching assumption</t>
  </si>
  <si>
    <t>Mineralisation assumption</t>
  </si>
  <si>
    <t>Summer</t>
  </si>
  <si>
    <t>kgN/ha over 3 months</t>
  </si>
  <si>
    <t>Winter</t>
  </si>
  <si>
    <t>If rainfall &gt; 800 mm during crop growth period then assumed 30% of applied N is also leached</t>
  </si>
  <si>
    <t>Assumed that leaching is equivalent to 80% of mineralisation.</t>
  </si>
  <si>
    <t>N uptake</t>
  </si>
  <si>
    <t>Previous crop residue</t>
  </si>
  <si>
    <t>Outputs</t>
  </si>
  <si>
    <t>Fertiliser</t>
  </si>
  <si>
    <t>Leaching</t>
  </si>
  <si>
    <t>Exported crop</t>
  </si>
  <si>
    <t>Soil mineral N</t>
  </si>
  <si>
    <t>Fert 1</t>
  </si>
  <si>
    <t>Fert 2</t>
  </si>
  <si>
    <t>Fert 3</t>
  </si>
  <si>
    <t>Fert 4</t>
  </si>
  <si>
    <t>Crop uptake assumptions</t>
  </si>
  <si>
    <t>First 20% of crop accounts for 10% of uptake</t>
  </si>
  <si>
    <t>2nd 20% accounts for 40% of uptake</t>
  </si>
  <si>
    <t>4th 20% accounts for 15% of uptake</t>
  </si>
  <si>
    <t>Stage</t>
  </si>
  <si>
    <t>Date</t>
  </si>
  <si>
    <t>Fert application</t>
  </si>
  <si>
    <t>This guidance is based on the inputs entered in the data fields to the left. They are based on crop nitrogen requirements from the Nutrient Management for Vegetable Crops in New Zealand guide, adjusted for input values.</t>
  </si>
  <si>
    <t xml:space="preserve">Lettuce </t>
  </si>
  <si>
    <t>Reid &amp; Morton - pg 74</t>
  </si>
  <si>
    <t>Soil avail. N</t>
  </si>
  <si>
    <t>multiplier</t>
  </si>
  <si>
    <t>heads/ha</t>
  </si>
  <si>
    <t>Target Yield</t>
  </si>
  <si>
    <t>Harvest index</t>
  </si>
  <si>
    <t>Yield metric</t>
  </si>
  <si>
    <t>Heads planted</t>
  </si>
  <si>
    <t>units</t>
  </si>
  <si>
    <t>Heads/ha</t>
  </si>
  <si>
    <t>Potential Yield</t>
  </si>
  <si>
    <t>Fert guidance</t>
  </si>
  <si>
    <t>kgN/ha</t>
  </si>
  <si>
    <t># side dressings</t>
  </si>
  <si>
    <t>table 7-1 Harvested</t>
  </si>
  <si>
    <t>N</t>
  </si>
  <si>
    <t>kgN/t removed</t>
  </si>
  <si>
    <t>table 7-2 pg 79 Reid &amp; Morton</t>
  </si>
  <si>
    <t>Dry mass (g/plant)</t>
  </si>
  <si>
    <t>Fresh mass (g/plant)</t>
  </si>
  <si>
    <t>DW% of FW</t>
  </si>
  <si>
    <t>N% of DM</t>
  </si>
  <si>
    <t>N% of FW</t>
  </si>
  <si>
    <t>Crop N</t>
  </si>
  <si>
    <t>Crop N%</t>
  </si>
  <si>
    <t>Harvested Yield</t>
  </si>
  <si>
    <t>Field Yield</t>
  </si>
  <si>
    <t>Marketable Yield</t>
  </si>
  <si>
    <t>Harvested</t>
  </si>
  <si>
    <t>Marketable %</t>
  </si>
  <si>
    <t>Crop N removed</t>
  </si>
  <si>
    <t>Crop N residue</t>
  </si>
  <si>
    <t>N required kgN/ha</t>
  </si>
  <si>
    <r>
      <t xml:space="preserve">This file is a demonstrator for planned functions, inputs, and outputs of the NSight tool at the minimum viable level of input complexity.
</t>
    </r>
    <r>
      <rPr>
        <b/>
        <sz val="11"/>
        <color theme="1"/>
        <rFont val="Calibri"/>
        <family val="2"/>
        <scheme val="minor"/>
      </rPr>
      <t>This is not the N-Sight tool itself</t>
    </r>
    <r>
      <rPr>
        <sz val="11"/>
        <color theme="1"/>
        <rFont val="Calibri"/>
        <family val="2"/>
        <scheme val="minor"/>
      </rPr>
      <t xml:space="preserve"> - the tool when released will look and function differently to this demonstrator.</t>
    </r>
  </si>
  <si>
    <t>Reid &amp; Morton - pg 97</t>
  </si>
  <si>
    <t>Fert N guidance</t>
  </si>
  <si>
    <t>table 10-2</t>
  </si>
  <si>
    <t>Multiplier</t>
  </si>
  <si>
    <r>
      <rPr>
        <b/>
        <sz val="18"/>
        <color theme="1"/>
        <rFont val="Calibri"/>
        <family val="2"/>
        <scheme val="minor"/>
      </rPr>
      <t>Sustainable Vegetable Systems: N-Sight Tool</t>
    </r>
    <r>
      <rPr>
        <b/>
        <sz val="14"/>
        <color theme="1"/>
        <rFont val="Calibri"/>
        <family val="2"/>
        <scheme val="minor"/>
      </rPr>
      <t xml:space="preserve">
</t>
    </r>
    <r>
      <rPr>
        <b/>
        <i/>
        <sz val="14"/>
        <color theme="1"/>
        <rFont val="Calibri"/>
        <family val="2"/>
        <scheme val="minor"/>
      </rPr>
      <t>Concept Demonstrator - Level Complexity</t>
    </r>
  </si>
  <si>
    <t>Planned N fert</t>
  </si>
  <si>
    <t>kg/head</t>
  </si>
  <si>
    <t>3rd 20% accounts for 35% of uptake</t>
  </si>
  <si>
    <t>N fert. required</t>
  </si>
  <si>
    <t>Release rates</t>
  </si>
  <si>
    <t>80% release rates - days</t>
  </si>
  <si>
    <t>crop length - days</t>
  </si>
  <si>
    <t>Release rate kgN/day</t>
  </si>
  <si>
    <t>N released per application</t>
  </si>
  <si>
    <t>Soil N</t>
  </si>
  <si>
    <t>Soil N - reset</t>
  </si>
  <si>
    <t>Uncertainty 1</t>
  </si>
  <si>
    <t>Uncertainty 2</t>
  </si>
  <si>
    <t>Lower</t>
  </si>
  <si>
    <t>Actual</t>
  </si>
  <si>
    <t>Upper - 90 days</t>
  </si>
  <si>
    <t>Max Date</t>
  </si>
  <si>
    <t>Variability</t>
  </si>
  <si>
    <t>Reid &amp; Morton - pg 81</t>
  </si>
  <si>
    <t>t/ha (dry)</t>
  </si>
  <si>
    <t>t/ha (wet)</t>
  </si>
  <si>
    <t>Dry mass (t/ha)</t>
  </si>
  <si>
    <t>Fresh mass (t/ha)</t>
  </si>
  <si>
    <t>table 8-1 pg87 Reid &amp; Morton</t>
  </si>
  <si>
    <t>MeanT</t>
  </si>
  <si>
    <t>InitialN</t>
  </si>
  <si>
    <t>Value</t>
  </si>
  <si>
    <t>Seed</t>
  </si>
  <si>
    <t>Vegetative</t>
  </si>
  <si>
    <t>Seedling</t>
  </si>
  <si>
    <t>EarlyReproductive</t>
  </si>
  <si>
    <t>MidReproductive</t>
  </si>
  <si>
    <t>LateReproductive</t>
  </si>
  <si>
    <t>Maturity</t>
  </si>
  <si>
    <t>HWEON</t>
  </si>
  <si>
    <t>Trigger</t>
  </si>
  <si>
    <t>Efficiency</t>
  </si>
  <si>
    <t>Splits</t>
  </si>
  <si>
    <t>Family</t>
  </si>
  <si>
    <t>Genus</t>
  </si>
  <si>
    <t>Specific epithet</t>
  </si>
  <si>
    <t>Sub species</t>
  </si>
  <si>
    <t>Species name</t>
  </si>
  <si>
    <t>Epithet and sub species</t>
  </si>
  <si>
    <t>EndUse</t>
  </si>
  <si>
    <t>Group</t>
  </si>
  <si>
    <t>Colloquial Name</t>
  </si>
  <si>
    <t>Type</t>
  </si>
  <si>
    <t>UniqueName</t>
  </si>
  <si>
    <t>Pos</t>
  </si>
  <si>
    <t>Typical Establish Stage</t>
  </si>
  <si>
    <t>Typical Establish month</t>
  </si>
  <si>
    <t>Typical Harvest Stage</t>
  </si>
  <si>
    <t>Typical Harvest month</t>
  </si>
  <si>
    <t>Typical Yield</t>
  </si>
  <si>
    <t>Typical Yield Units</t>
  </si>
  <si>
    <t>Yield type</t>
  </si>
  <si>
    <t>TotalOrDry</t>
  </si>
  <si>
    <t>Typical Dressing Loss %</t>
  </si>
  <si>
    <t>Typical Field Loss %</t>
  </si>
  <si>
    <t>Typical HI</t>
  </si>
  <si>
    <t>HI Range</t>
  </si>
  <si>
    <t>Moisture %</t>
  </si>
  <si>
    <t>P Root</t>
  </si>
  <si>
    <t>Max RD</t>
  </si>
  <si>
    <t>A cover</t>
  </si>
  <si>
    <t>rCover</t>
  </si>
  <si>
    <t>Root [N]</t>
  </si>
  <si>
    <t>Stover [N]</t>
  </si>
  <si>
    <t>Product [N]</t>
  </si>
  <si>
    <t>Lilliaceae</t>
  </si>
  <si>
    <t>Tulipa</t>
  </si>
  <si>
    <t>x</t>
  </si>
  <si>
    <t/>
  </si>
  <si>
    <t>Bulb</t>
  </si>
  <si>
    <t>Ornamental</t>
  </si>
  <si>
    <t>Tulip</t>
  </si>
  <si>
    <t>General</t>
  </si>
  <si>
    <t>May</t>
  </si>
  <si>
    <t>Feb</t>
  </si>
  <si>
    <t xml:space="preserve">Saleable bulb </t>
  </si>
  <si>
    <t>Total</t>
  </si>
  <si>
    <t xml:space="preserve">Cannabaceae </t>
  </si>
  <si>
    <t>Cannabis</t>
  </si>
  <si>
    <t>Fibre</t>
  </si>
  <si>
    <t>Hemp</t>
  </si>
  <si>
    <t>Oct</t>
  </si>
  <si>
    <t xml:space="preserve">Baled straw </t>
  </si>
  <si>
    <t xml:space="preserve">Poaceae </t>
  </si>
  <si>
    <t>Avena</t>
  </si>
  <si>
    <t>sativa</t>
  </si>
  <si>
    <t>Fodder</t>
  </si>
  <si>
    <t>Cereal</t>
  </si>
  <si>
    <t>Oat</t>
  </si>
  <si>
    <t>Jul</t>
  </si>
  <si>
    <t>Nov</t>
  </si>
  <si>
    <t>Standing DM</t>
  </si>
  <si>
    <t>Dry</t>
  </si>
  <si>
    <t xml:space="preserve">Amaranthaceae </t>
  </si>
  <si>
    <t>Beta</t>
  </si>
  <si>
    <t>vulgaris</t>
  </si>
  <si>
    <t>crassa</t>
  </si>
  <si>
    <t>Fodder beet</t>
  </si>
  <si>
    <t>Brassicaceae</t>
  </si>
  <si>
    <t>Brassica</t>
  </si>
  <si>
    <t>napus</t>
  </si>
  <si>
    <t>napobrassica</t>
  </si>
  <si>
    <t>Swede</t>
  </si>
  <si>
    <t>Leafy brassica</t>
  </si>
  <si>
    <t>Rape</t>
  </si>
  <si>
    <t>Jan</t>
  </si>
  <si>
    <t>oleracea</t>
  </si>
  <si>
    <t>acephala</t>
  </si>
  <si>
    <t>Kale</t>
  </si>
  <si>
    <t>rapa</t>
  </si>
  <si>
    <t>Turnip</t>
  </si>
  <si>
    <t>Dec</t>
  </si>
  <si>
    <t>rapa x napus</t>
  </si>
  <si>
    <t>Leafy</t>
  </si>
  <si>
    <t>Mar</t>
  </si>
  <si>
    <t>Hordeum</t>
  </si>
  <si>
    <t>vulgure</t>
  </si>
  <si>
    <t>Barley</t>
  </si>
  <si>
    <t>Lolium</t>
  </si>
  <si>
    <t>multiflorum</t>
  </si>
  <si>
    <t>Grass</t>
  </si>
  <si>
    <t>Annual ryegrass</t>
  </si>
  <si>
    <t>Apr</t>
  </si>
  <si>
    <t>Secale</t>
  </si>
  <si>
    <t>cereale</t>
  </si>
  <si>
    <t>Rye corn</t>
  </si>
  <si>
    <t>Sep</t>
  </si>
  <si>
    <t>Triticum</t>
  </si>
  <si>
    <t>astevium</t>
  </si>
  <si>
    <t>Wheat</t>
  </si>
  <si>
    <t>Triticum x Secale</t>
  </si>
  <si>
    <t>Triticale</t>
  </si>
  <si>
    <t>Zea</t>
  </si>
  <si>
    <t>mays</t>
  </si>
  <si>
    <t>Maize</t>
  </si>
  <si>
    <t>Grain</t>
  </si>
  <si>
    <t xml:space="preserve">Saleable grain </t>
  </si>
  <si>
    <t>Oilseed</t>
  </si>
  <si>
    <t>Canola</t>
  </si>
  <si>
    <t xml:space="preserve">Fabaceae </t>
  </si>
  <si>
    <t>Cicer</t>
  </si>
  <si>
    <t>arietinum</t>
  </si>
  <si>
    <t>Pulse</t>
  </si>
  <si>
    <t>Chickpea</t>
  </si>
  <si>
    <t xml:space="preserve">Asteraceae </t>
  </si>
  <si>
    <t>Helianthus</t>
  </si>
  <si>
    <t>annus</t>
  </si>
  <si>
    <t>Sunflower</t>
  </si>
  <si>
    <t>Lens</t>
  </si>
  <si>
    <t>culinaris</t>
  </si>
  <si>
    <t>Lentil</t>
  </si>
  <si>
    <t xml:space="preserve">Linaceae </t>
  </si>
  <si>
    <t>Linum</t>
  </si>
  <si>
    <t>usitatissimum</t>
  </si>
  <si>
    <t>Linseed</t>
  </si>
  <si>
    <t>Phaseolus</t>
  </si>
  <si>
    <t>Bean</t>
  </si>
  <si>
    <t>Pisum</t>
  </si>
  <si>
    <t>sativum</t>
  </si>
  <si>
    <t>Pea</t>
  </si>
  <si>
    <t>Breed</t>
  </si>
  <si>
    <t>Feed</t>
  </si>
  <si>
    <t>Green manure</t>
  </si>
  <si>
    <t>Lupinus</t>
  </si>
  <si>
    <t>angustifolius</t>
  </si>
  <si>
    <t>Lupin</t>
  </si>
  <si>
    <t xml:space="preserve">Boraginaceae </t>
  </si>
  <si>
    <t>Phacelia</t>
  </si>
  <si>
    <t>tanacetifolia</t>
  </si>
  <si>
    <t>Sinapis</t>
  </si>
  <si>
    <t>alba</t>
  </si>
  <si>
    <t>Mustard</t>
  </si>
  <si>
    <t>conditiva</t>
  </si>
  <si>
    <t>Vegetable, root</t>
  </si>
  <si>
    <t>Red beet</t>
  </si>
  <si>
    <t xml:space="preserve">Saleable seed </t>
  </si>
  <si>
    <t>chinensis</t>
  </si>
  <si>
    <t>Vegetable, green</t>
  </si>
  <si>
    <t>Pak choi</t>
  </si>
  <si>
    <t>Dactylus</t>
  </si>
  <si>
    <t>glomerata</t>
  </si>
  <si>
    <t>Forage</t>
  </si>
  <si>
    <t>Cocksfoot</t>
  </si>
  <si>
    <t xml:space="preserve">Apiaceae </t>
  </si>
  <si>
    <t>Daucus</t>
  </si>
  <si>
    <t>carota</t>
  </si>
  <si>
    <t>Carrot</t>
  </si>
  <si>
    <t>perenne</t>
  </si>
  <si>
    <t>Ryegrass</t>
  </si>
  <si>
    <t>Raphanus</t>
  </si>
  <si>
    <t>raphanistrum</t>
  </si>
  <si>
    <t>Radish</t>
  </si>
  <si>
    <t>Open pollinated</t>
  </si>
  <si>
    <t>Trifolium</t>
  </si>
  <si>
    <t>repens</t>
  </si>
  <si>
    <t>White clover</t>
  </si>
  <si>
    <t>Amaryllidaceae</t>
  </si>
  <si>
    <t>Allium</t>
  </si>
  <si>
    <t>ampeloprasum</t>
  </si>
  <si>
    <t>Vegetable</t>
  </si>
  <si>
    <t>Green</t>
  </si>
  <si>
    <t>Leek</t>
  </si>
  <si>
    <t xml:space="preserve">Saleable product </t>
  </si>
  <si>
    <t>cepa</t>
  </si>
  <si>
    <t>Root</t>
  </si>
  <si>
    <t>Brown</t>
  </si>
  <si>
    <t>Red</t>
  </si>
  <si>
    <t>Shallot</t>
  </si>
  <si>
    <t>fistulosum</t>
  </si>
  <si>
    <t>Spring onion</t>
  </si>
  <si>
    <t>Garlic</t>
  </si>
  <si>
    <t>Jun</t>
  </si>
  <si>
    <t>Apium</t>
  </si>
  <si>
    <t>graveolens</t>
  </si>
  <si>
    <t>Celery</t>
  </si>
  <si>
    <t>cicla</t>
  </si>
  <si>
    <t>Silver beet</t>
  </si>
  <si>
    <t>botrytis</t>
  </si>
  <si>
    <t>capitata</t>
  </si>
  <si>
    <t>Cabbage</t>
  </si>
  <si>
    <t>gemmifera</t>
  </si>
  <si>
    <t xml:space="preserve">Brussel sprout </t>
  </si>
  <si>
    <t>italica</t>
  </si>
  <si>
    <t>Broccoli</t>
  </si>
  <si>
    <t>Head only</t>
  </si>
  <si>
    <t>Chinese cut</t>
  </si>
  <si>
    <t>Aug</t>
  </si>
  <si>
    <t>parachinensis</t>
  </si>
  <si>
    <t>Choy sum</t>
  </si>
  <si>
    <t>pekinensis</t>
  </si>
  <si>
    <t>Wong bok</t>
  </si>
  <si>
    <t>Coriandrum</t>
  </si>
  <si>
    <t>Coriander</t>
  </si>
  <si>
    <t>Cucurbitaceae</t>
  </si>
  <si>
    <t>Cucumis</t>
  </si>
  <si>
    <t>lanatus</t>
  </si>
  <si>
    <t>Fruit</t>
  </si>
  <si>
    <t>Water melon</t>
  </si>
  <si>
    <t>melo</t>
  </si>
  <si>
    <t>Rock melon</t>
  </si>
  <si>
    <t>Cucurbita</t>
  </si>
  <si>
    <t>argyrosperma</t>
  </si>
  <si>
    <t>Squash</t>
  </si>
  <si>
    <t>pepo</t>
  </si>
  <si>
    <t>Pumpkin</t>
  </si>
  <si>
    <t>Zucchini</t>
  </si>
  <si>
    <t>Convolvulaceae</t>
  </si>
  <si>
    <t>Ipomoea</t>
  </si>
  <si>
    <t>batatas</t>
  </si>
  <si>
    <t>Kumara</t>
  </si>
  <si>
    <t>Lactuca</t>
  </si>
  <si>
    <t>Ice berg</t>
  </si>
  <si>
    <t>Leafy-salad</t>
  </si>
  <si>
    <t>Pastinaca</t>
  </si>
  <si>
    <t>Parsnip</t>
  </si>
  <si>
    <t>Solanaceae</t>
  </si>
  <si>
    <t xml:space="preserve">Solanum </t>
  </si>
  <si>
    <t>lycopersicum</t>
  </si>
  <si>
    <t>Tomato</t>
  </si>
  <si>
    <t>tuberosum</t>
  </si>
  <si>
    <t>Spinacia</t>
  </si>
  <si>
    <t>loeracea</t>
  </si>
  <si>
    <t>Spinach</t>
  </si>
  <si>
    <t>Vicia</t>
  </si>
  <si>
    <t>faba</t>
  </si>
  <si>
    <t>Broad bean</t>
  </si>
  <si>
    <t>Sweetcorn</t>
  </si>
  <si>
    <t>Crop</t>
  </si>
  <si>
    <t>Variety</t>
  </si>
  <si>
    <t>DOY</t>
  </si>
  <si>
    <t>Linocln</t>
  </si>
  <si>
    <t>Hastings</t>
  </si>
  <si>
    <t>Day</t>
  </si>
  <si>
    <t>Gore</t>
  </si>
  <si>
    <t>Yield</t>
  </si>
  <si>
    <t>Establish Stages</t>
  </si>
  <si>
    <t>Harvest Stages</t>
  </si>
  <si>
    <t>ResTreats</t>
  </si>
  <si>
    <t>None</t>
  </si>
  <si>
    <t>Baled</t>
  </si>
  <si>
    <t>kg/ha</t>
  </si>
  <si>
    <t>Burnt</t>
  </si>
  <si>
    <t>Grazed</t>
  </si>
  <si>
    <t>Incorporated</t>
  </si>
  <si>
    <t>Late</t>
  </si>
  <si>
    <t>current Crop</t>
  </si>
  <si>
    <t>Current Crop Summary</t>
  </si>
  <si>
    <t>Model Inputs from front sheet</t>
  </si>
  <si>
    <t>Amount</t>
  </si>
  <si>
    <t>PriorSaleableYield</t>
  </si>
  <si>
    <t>PriorUnits</t>
  </si>
  <si>
    <t>PriorFieldLoss</t>
  </si>
  <si>
    <t>PriorDressingLoss</t>
  </si>
  <si>
    <t>PriorMoistureContent</t>
  </si>
  <si>
    <t>PriorEstablishDate</t>
  </si>
  <si>
    <t>PriorEstablishStage</t>
  </si>
  <si>
    <t>PriorHarvestDate</t>
  </si>
  <si>
    <t>PriorHarvestStage</t>
  </si>
  <si>
    <t>PriorResidueTreatment</t>
  </si>
  <si>
    <t>CurrentSaleableYield</t>
  </si>
  <si>
    <t>CurrentUnits</t>
  </si>
  <si>
    <t>CurrentFieldLoss</t>
  </si>
  <si>
    <t>CurrentDressingLoss</t>
  </si>
  <si>
    <t>CurrentMoistureContent</t>
  </si>
  <si>
    <t>CurrentEstablishDate</t>
  </si>
  <si>
    <t>CurrentEstablishStage</t>
  </si>
  <si>
    <t>CurrentHarvestDate</t>
  </si>
  <si>
    <t>CurrentHarvestStage</t>
  </si>
  <si>
    <t>CurrentResidueTreatment</t>
  </si>
  <si>
    <t>FollowingSaleableYield</t>
  </si>
  <si>
    <t>FollowingUnits</t>
  </si>
  <si>
    <t>FollowingFieldLoss</t>
  </si>
  <si>
    <t>FollowingDressingLoss</t>
  </si>
  <si>
    <t>FollowingMoistureContent</t>
  </si>
  <si>
    <t>FollowingEstablishDate</t>
  </si>
  <si>
    <t>FollowingEstablishStage</t>
  </si>
  <si>
    <t>FollowingHarvestDate</t>
  </si>
  <si>
    <t>FollowingHarvestStage</t>
  </si>
  <si>
    <t>FollowingResidueTreatment</t>
  </si>
  <si>
    <t>stage</t>
  </si>
  <si>
    <t>Field Loss (%)</t>
  </si>
  <si>
    <t>Moisture Content (%)</t>
  </si>
  <si>
    <t>Dressing loss (%)</t>
  </si>
  <si>
    <t>Population (/ha)</t>
  </si>
  <si>
    <t>No. of side dressings remaining</t>
  </si>
  <si>
    <t>Fertiliser already applied or planned</t>
  </si>
  <si>
    <t>Soil Mineral N Test Results</t>
  </si>
  <si>
    <t>PriorCropNameFull</t>
  </si>
  <si>
    <t>CurrentCropNameFull</t>
  </si>
  <si>
    <t>FollowingCropNameFull</t>
  </si>
  <si>
    <t>Inputs - Level 4</t>
  </si>
  <si>
    <t>Typical Population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</si>
</sst>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6" formatCode="0.0%"/>
    <numFmt numFmtId="167" formatCode="0.0"/>
    <numFmt numFmtId="168" formatCode="_-* #,##0.0_-;\-* #,##0.0_-;_-* &quot;-&quot;??_-;_-@_-"/>
    <numFmt numFmtId="169" formatCode="0.0000000"/>
  </numFmts>
  <fonts count="1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i/>
      <sz val="14"/>
      <color theme="1"/>
      <name val="Calibri"/>
      <family val="2"/>
      <scheme val="minor"/>
    </font>
    <font>
      <b/>
      <sz val="18"/>
      <color theme="1"/>
      <name val="Calibri"/>
      <family val="2"/>
      <scheme val="minor"/>
    </font>
    <font>
      <i/>
      <sz val="10"/>
      <color theme="1"/>
      <name val="Calibri"/>
      <family val="2"/>
      <scheme val="minor"/>
    </font>
    <font>
      <sz val="11"/>
      <color theme="1"/>
      <name val="Calibri"/>
      <family val="2"/>
    </font>
    <font>
      <b/>
      <sz val="11"/>
      <name val="Calibri"/>
      <family val="2"/>
      <scheme val="minor"/>
    </font>
    <font>
      <b/>
      <sz val="20"/>
      <color theme="1"/>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2"/>
        <bgColor indexed="64"/>
      </patternFill>
    </fill>
  </fills>
  <borders count="29">
    <border>
      <left/>
      <right/>
      <top/>
      <bottom/>
      <diagonal/>
    </border>
    <border>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thin">
        <color theme="4" tint="0.39997558519241921"/>
      </bottom>
      <diagonal/>
    </border>
    <border>
      <left/>
      <right/>
      <top/>
      <bottom style="medium">
        <color indexed="64"/>
      </bottom>
      <diagonal/>
    </border>
    <border>
      <left style="thin">
        <color indexed="64"/>
      </left>
      <right style="thin">
        <color indexed="64"/>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58">
    <xf numFmtId="0" fontId="0" fillId="0" borderId="0" xfId="0"/>
    <xf numFmtId="0" fontId="0" fillId="3" borderId="0" xfId="0" applyFill="1"/>
    <xf numFmtId="0" fontId="0" fillId="3" borderId="0" xfId="0" applyFill="1" applyAlignment="1">
      <alignment horizontal="center"/>
    </xf>
    <xf numFmtId="0" fontId="0" fillId="3" borderId="0" xfId="0" applyFill="1" applyAlignment="1"/>
    <xf numFmtId="0" fontId="0" fillId="0" borderId="0" xfId="0" applyFont="1"/>
    <xf numFmtId="0" fontId="3" fillId="0" borderId="0" xfId="0" applyFont="1"/>
    <xf numFmtId="164" fontId="0" fillId="0" borderId="0" xfId="1" applyNumberFormat="1" applyFont="1"/>
    <xf numFmtId="0" fontId="3" fillId="3" borderId="0" xfId="0" applyFont="1" applyFill="1"/>
    <xf numFmtId="166" fontId="0" fillId="0" borderId="0" xfId="2" applyNumberFormat="1" applyFont="1"/>
    <xf numFmtId="9" fontId="0" fillId="0" borderId="0" xfId="0" applyNumberFormat="1"/>
    <xf numFmtId="167" fontId="0" fillId="0" borderId="0" xfId="0" applyNumberFormat="1"/>
    <xf numFmtId="167" fontId="0" fillId="3" borderId="0" xfId="0" applyNumberFormat="1" applyFill="1"/>
    <xf numFmtId="14" fontId="0" fillId="0" borderId="0" xfId="0" applyNumberFormat="1"/>
    <xf numFmtId="0" fontId="2" fillId="0" borderId="0" xfId="0" applyFont="1"/>
    <xf numFmtId="168" fontId="0" fillId="0" borderId="0" xfId="1" applyNumberFormat="1" applyFont="1"/>
    <xf numFmtId="168" fontId="0" fillId="0" borderId="0" xfId="0" applyNumberFormat="1"/>
    <xf numFmtId="164" fontId="0" fillId="0" borderId="0" xfId="0" applyNumberFormat="1"/>
    <xf numFmtId="164" fontId="8" fillId="0" borderId="0" xfId="0" applyNumberFormat="1" applyFont="1" applyAlignment="1">
      <alignment vertical="center"/>
    </xf>
    <xf numFmtId="2" fontId="0" fillId="0" borderId="0" xfId="0" applyNumberFormat="1"/>
    <xf numFmtId="1" fontId="0" fillId="0" borderId="0" xfId="0" applyNumberFormat="1"/>
    <xf numFmtId="0" fontId="0" fillId="0" borderId="0" xfId="0" applyFont="1" applyAlignment="1">
      <alignment wrapText="1"/>
    </xf>
    <xf numFmtId="0" fontId="0" fillId="0" borderId="0" xfId="0" applyAlignment="1">
      <alignment horizontal="right" wrapText="1"/>
    </xf>
    <xf numFmtId="0" fontId="0" fillId="0" borderId="0" xfId="0" applyFont="1" applyAlignment="1">
      <alignment horizontal="right" wrapText="1"/>
    </xf>
    <xf numFmtId="0" fontId="0" fillId="0" borderId="0" xfId="0" applyAlignment="1">
      <alignment horizontal="right"/>
    </xf>
    <xf numFmtId="10" fontId="0" fillId="0" borderId="0" xfId="2" applyNumberFormat="1" applyFont="1"/>
    <xf numFmtId="1" fontId="0" fillId="0" borderId="0" xfId="1" applyNumberFormat="1" applyFont="1" applyAlignment="1"/>
    <xf numFmtId="2" fontId="0" fillId="0" borderId="0" xfId="2" applyNumberFormat="1" applyFont="1"/>
    <xf numFmtId="0" fontId="9" fillId="3" borderId="0" xfId="0" applyFont="1" applyFill="1" applyBorder="1" applyAlignment="1">
      <alignment horizontal="center" vertical="center"/>
    </xf>
    <xf numFmtId="0" fontId="9" fillId="3" borderId="1" xfId="0" applyFont="1" applyFill="1" applyBorder="1" applyAlignment="1">
      <alignment horizontal="center" vertical="center"/>
    </xf>
    <xf numFmtId="9" fontId="0" fillId="0" borderId="0" xfId="2" applyFont="1"/>
    <xf numFmtId="169" fontId="0" fillId="0" borderId="0" xfId="0" applyNumberFormat="1"/>
    <xf numFmtId="0" fontId="3" fillId="0" borderId="0" xfId="0" quotePrefix="1" applyFont="1"/>
    <xf numFmtId="0" fontId="0" fillId="0" borderId="2" xfId="0" applyBorder="1"/>
    <xf numFmtId="0" fontId="0" fillId="0" borderId="3" xfId="0" applyBorder="1"/>
    <xf numFmtId="16" fontId="0" fillId="0" borderId="0" xfId="0" applyNumberFormat="1"/>
    <xf numFmtId="0" fontId="0" fillId="7" borderId="15" xfId="0" applyFill="1" applyBorder="1"/>
    <xf numFmtId="0" fontId="0" fillId="7" borderId="18" xfId="0" applyFill="1" applyBorder="1"/>
    <xf numFmtId="0" fontId="0" fillId="7" borderId="20" xfId="0" applyFill="1" applyBorder="1"/>
    <xf numFmtId="0" fontId="0" fillId="8" borderId="15" xfId="0" applyFill="1" applyBorder="1"/>
    <xf numFmtId="0" fontId="0" fillId="8" borderId="18" xfId="0" applyFill="1" applyBorder="1"/>
    <xf numFmtId="0" fontId="0" fillId="8" borderId="19" xfId="0" applyFill="1" applyBorder="1"/>
    <xf numFmtId="0" fontId="0" fillId="8" borderId="20" xfId="0" applyFill="1" applyBorder="1"/>
    <xf numFmtId="0" fontId="0" fillId="8" borderId="21" xfId="0" applyFill="1" applyBorder="1"/>
    <xf numFmtId="0" fontId="0" fillId="0" borderId="0" xfId="0" quotePrefix="1"/>
    <xf numFmtId="0" fontId="0" fillId="0" borderId="16" xfId="0" applyBorder="1"/>
    <xf numFmtId="0" fontId="0" fillId="0" borderId="18" xfId="0" applyBorder="1"/>
    <xf numFmtId="0" fontId="0" fillId="0" borderId="19" xfId="0" applyBorder="1"/>
    <xf numFmtId="0" fontId="0" fillId="0" borderId="20" xfId="0" applyBorder="1"/>
    <xf numFmtId="0" fontId="0" fillId="0" borderId="21" xfId="0" applyBorder="1"/>
    <xf numFmtId="0" fontId="3" fillId="8" borderId="0" xfId="0" applyFont="1" applyFill="1"/>
    <xf numFmtId="0" fontId="3" fillId="7" borderId="0" xfId="0" applyFont="1" applyFill="1"/>
    <xf numFmtId="0" fontId="3" fillId="8" borderId="19" xfId="0" applyFont="1" applyFill="1" applyBorder="1"/>
    <xf numFmtId="0" fontId="3" fillId="8" borderId="18" xfId="0" applyFont="1" applyFill="1" applyBorder="1"/>
    <xf numFmtId="0" fontId="0" fillId="8" borderId="0" xfId="0" applyFill="1"/>
    <xf numFmtId="0" fontId="3" fillId="8" borderId="25" xfId="0" applyFont="1" applyFill="1" applyBorder="1"/>
    <xf numFmtId="0" fontId="0" fillId="8" borderId="25" xfId="0" applyFill="1" applyBorder="1"/>
    <xf numFmtId="0" fontId="3" fillId="8" borderId="16" xfId="0" applyFont="1" applyFill="1" applyBorder="1"/>
    <xf numFmtId="0" fontId="3" fillId="8" borderId="22" xfId="0" applyFont="1" applyFill="1" applyBorder="1"/>
    <xf numFmtId="0" fontId="3" fillId="8" borderId="15" xfId="0" applyFont="1" applyFill="1" applyBorder="1"/>
    <xf numFmtId="0" fontId="0" fillId="0" borderId="0" xfId="0" applyAlignment="1">
      <alignment horizontal="left" indent="1"/>
    </xf>
    <xf numFmtId="0" fontId="0" fillId="5" borderId="4" xfId="0" applyFill="1" applyBorder="1" applyAlignment="1" applyProtection="1">
      <protection locked="0"/>
    </xf>
    <xf numFmtId="0" fontId="3" fillId="3" borderId="0" xfId="0" applyFont="1" applyFill="1" applyAlignment="1"/>
    <xf numFmtId="0" fontId="3" fillId="3" borderId="0" xfId="0" applyFont="1" applyFill="1" applyAlignment="1">
      <alignment vertical="center"/>
    </xf>
    <xf numFmtId="0" fontId="0" fillId="5" borderId="5" xfId="0" applyFill="1" applyBorder="1" applyAlignment="1" applyProtection="1">
      <alignment vertical="center"/>
      <protection locked="0"/>
    </xf>
    <xf numFmtId="0" fontId="0" fillId="5" borderId="5" xfId="0" applyFill="1" applyBorder="1" applyAlignment="1" applyProtection="1">
      <protection locked="0"/>
    </xf>
    <xf numFmtId="0" fontId="0" fillId="5" borderId="6" xfId="0" applyFill="1" applyBorder="1" applyAlignment="1" applyProtection="1">
      <protection locked="0"/>
    </xf>
    <xf numFmtId="0" fontId="7" fillId="3" borderId="0" xfId="0" applyFont="1" applyFill="1" applyAlignment="1">
      <alignment vertical="center" wrapText="1"/>
    </xf>
    <xf numFmtId="0" fontId="3" fillId="3" borderId="1" xfId="0" applyFont="1" applyFill="1" applyBorder="1" applyAlignment="1"/>
    <xf numFmtId="3" fontId="0" fillId="5" borderId="4" xfId="0" applyNumberFormat="1" applyFill="1" applyBorder="1" applyAlignment="1" applyProtection="1">
      <protection locked="0"/>
    </xf>
    <xf numFmtId="0" fontId="4" fillId="2" borderId="7" xfId="0" applyFont="1" applyFill="1" applyBorder="1" applyAlignment="1">
      <alignment vertical="center" wrapText="1"/>
    </xf>
    <xf numFmtId="0" fontId="4" fillId="2" borderId="8" xfId="0" applyFont="1" applyFill="1" applyBorder="1" applyAlignment="1">
      <alignment vertical="center" wrapText="1"/>
    </xf>
    <xf numFmtId="0" fontId="4" fillId="2" borderId="9" xfId="0" applyFont="1" applyFill="1" applyBorder="1" applyAlignment="1">
      <alignment vertical="center" wrapText="1"/>
    </xf>
    <xf numFmtId="0" fontId="4" fillId="2" borderId="10" xfId="0" applyFont="1" applyFill="1" applyBorder="1" applyAlignment="1">
      <alignment vertical="center" wrapText="1"/>
    </xf>
    <xf numFmtId="0" fontId="4" fillId="2" borderId="4" xfId="0" applyFont="1" applyFill="1" applyBorder="1" applyAlignment="1">
      <alignment vertical="center" wrapText="1"/>
    </xf>
    <xf numFmtId="0" fontId="4" fillId="2" borderId="11" xfId="0" applyFont="1" applyFill="1" applyBorder="1" applyAlignment="1">
      <alignment vertical="center" wrapText="1"/>
    </xf>
    <xf numFmtId="0" fontId="0" fillId="2" borderId="10" xfId="0" applyFill="1" applyBorder="1" applyAlignment="1">
      <alignment vertical="center" wrapText="1"/>
    </xf>
    <xf numFmtId="0" fontId="0" fillId="2" borderId="4" xfId="0" applyFill="1" applyBorder="1" applyAlignment="1">
      <alignment vertical="center" wrapText="1"/>
    </xf>
    <xf numFmtId="0" fontId="0" fillId="2" borderId="11" xfId="0" applyFill="1" applyBorder="1" applyAlignment="1">
      <alignment vertical="center" wrapText="1"/>
    </xf>
    <xf numFmtId="0" fontId="0" fillId="2" borderId="12" xfId="0" applyFill="1" applyBorder="1" applyAlignment="1">
      <alignment vertical="center" wrapText="1"/>
    </xf>
    <xf numFmtId="0" fontId="0" fillId="2" borderId="13" xfId="0" applyFill="1" applyBorder="1" applyAlignment="1">
      <alignment vertical="center" wrapText="1"/>
    </xf>
    <xf numFmtId="0" fontId="0" fillId="2" borderId="14" xfId="0" applyFill="1" applyBorder="1" applyAlignment="1">
      <alignment vertical="center" wrapText="1"/>
    </xf>
    <xf numFmtId="14" fontId="0" fillId="6" borderId="5" xfId="0" applyNumberFormat="1" applyFill="1" applyBorder="1" applyAlignment="1"/>
    <xf numFmtId="14" fontId="0" fillId="6" borderId="6" xfId="0" applyNumberFormat="1" applyFill="1" applyBorder="1" applyAlignment="1"/>
    <xf numFmtId="1" fontId="0" fillId="6" borderId="5" xfId="0" applyNumberFormat="1" applyFill="1" applyBorder="1" applyAlignment="1"/>
    <xf numFmtId="1" fontId="0" fillId="6" borderId="6" xfId="0" applyNumberFormat="1" applyFill="1" applyBorder="1" applyAlignment="1"/>
    <xf numFmtId="1" fontId="0" fillId="6" borderId="4" xfId="0" applyNumberFormat="1" applyFill="1" applyBorder="1" applyAlignment="1"/>
    <xf numFmtId="0" fontId="3" fillId="0" borderId="26" xfId="0" applyFont="1" applyBorder="1" applyAlignment="1">
      <alignment horizontal="left"/>
    </xf>
    <xf numFmtId="0" fontId="0" fillId="9" borderId="19" xfId="0" applyFill="1" applyBorder="1"/>
    <xf numFmtId="16" fontId="0" fillId="9" borderId="18" xfId="0" applyNumberFormat="1" applyFill="1" applyBorder="1"/>
    <xf numFmtId="0" fontId="0" fillId="9" borderId="20" xfId="0" applyFill="1" applyBorder="1"/>
    <xf numFmtId="0" fontId="0" fillId="9" borderId="21" xfId="0" applyFill="1" applyBorder="1"/>
    <xf numFmtId="14" fontId="0" fillId="5" borderId="4" xfId="0" applyNumberFormat="1" applyFill="1" applyBorder="1" applyAlignment="1" applyProtection="1">
      <protection locked="0"/>
    </xf>
    <xf numFmtId="0" fontId="0" fillId="0" borderId="25" xfId="0" applyBorder="1" applyAlignment="1">
      <alignment horizontal="right" wrapText="1"/>
    </xf>
    <xf numFmtId="0" fontId="0" fillId="0" borderId="25" xfId="0" applyBorder="1"/>
    <xf numFmtId="0" fontId="0" fillId="0" borderId="25" xfId="0" applyFont="1" applyBorder="1" applyAlignment="1">
      <alignment horizontal="right" wrapText="1"/>
    </xf>
    <xf numFmtId="0" fontId="0" fillId="0" borderId="16" xfId="0" applyBorder="1" applyAlignment="1">
      <alignment horizontal="right" wrapText="1"/>
    </xf>
    <xf numFmtId="1" fontId="0" fillId="0" borderId="0" xfId="0" applyNumberFormat="1" applyBorder="1"/>
    <xf numFmtId="0" fontId="0" fillId="0" borderId="0" xfId="0" applyBorder="1"/>
    <xf numFmtId="1" fontId="0" fillId="0" borderId="27" xfId="0" applyNumberFormat="1" applyBorder="1"/>
    <xf numFmtId="0" fontId="0" fillId="0" borderId="27" xfId="0" applyBorder="1"/>
    <xf numFmtId="1" fontId="0" fillId="0" borderId="27" xfId="1" applyNumberFormat="1" applyFont="1" applyBorder="1" applyAlignment="1"/>
    <xf numFmtId="1" fontId="0" fillId="0" borderId="21" xfId="0" applyNumberFormat="1" applyBorder="1"/>
    <xf numFmtId="16" fontId="0" fillId="0" borderId="0" xfId="0" applyNumberFormat="1" applyBorder="1"/>
    <xf numFmtId="16" fontId="0" fillId="0" borderId="27" xfId="0" applyNumberFormat="1" applyBorder="1"/>
    <xf numFmtId="0" fontId="3" fillId="0" borderId="15" xfId="0" applyFont="1" applyBorder="1"/>
    <xf numFmtId="14" fontId="0" fillId="8" borderId="19" xfId="0" applyNumberFormat="1" applyFill="1" applyBorder="1"/>
    <xf numFmtId="0" fontId="0" fillId="7" borderId="22" xfId="0" applyFill="1" applyBorder="1"/>
    <xf numFmtId="0" fontId="0" fillId="7" borderId="23" xfId="0" applyFill="1" applyBorder="1"/>
    <xf numFmtId="0" fontId="0" fillId="7" borderId="24" xfId="0" applyFill="1" applyBorder="1"/>
    <xf numFmtId="14" fontId="0" fillId="7" borderId="23" xfId="0" applyNumberFormat="1" applyFill="1" applyBorder="1"/>
    <xf numFmtId="0" fontId="7" fillId="3" borderId="0" xfId="0" applyFont="1" applyFill="1" applyAlignment="1">
      <alignment horizontal="center" vertical="center" wrapText="1"/>
    </xf>
    <xf numFmtId="16" fontId="0" fillId="9" borderId="20" xfId="0" applyNumberFormat="1" applyFill="1" applyBorder="1"/>
    <xf numFmtId="0" fontId="7" fillId="3" borderId="0" xfId="0" applyFont="1" applyFill="1" applyAlignment="1">
      <alignment horizontal="center" vertical="center" wrapText="1"/>
    </xf>
    <xf numFmtId="0" fontId="0" fillId="7" borderId="19" xfId="0" applyFill="1" applyBorder="1"/>
    <xf numFmtId="16" fontId="0" fillId="3" borderId="17" xfId="0" applyNumberFormat="1" applyFill="1" applyBorder="1"/>
    <xf numFmtId="0" fontId="0" fillId="3" borderId="17" xfId="0" applyFill="1" applyBorder="1"/>
    <xf numFmtId="0" fontId="0" fillId="5" borderId="9" xfId="0" applyFill="1" applyBorder="1"/>
    <xf numFmtId="16" fontId="0" fillId="5" borderId="10" xfId="0" applyNumberFormat="1" applyFill="1" applyBorder="1"/>
    <xf numFmtId="0" fontId="0" fillId="5" borderId="11" xfId="0" applyFill="1" applyBorder="1"/>
    <xf numFmtId="0" fontId="0" fillId="5" borderId="10" xfId="0" applyFill="1" applyBorder="1"/>
    <xf numFmtId="0" fontId="0" fillId="5" borderId="12" xfId="0" applyFill="1" applyBorder="1"/>
    <xf numFmtId="0" fontId="0" fillId="5" borderId="14" xfId="0" applyFill="1" applyBorder="1"/>
    <xf numFmtId="0" fontId="7" fillId="3" borderId="0" xfId="0" applyFont="1" applyFill="1" applyAlignment="1">
      <alignment horizontal="center" vertical="center" wrapText="1"/>
    </xf>
    <xf numFmtId="16" fontId="3" fillId="3" borderId="2" xfId="0" applyNumberFormat="1" applyFont="1" applyFill="1" applyBorder="1" applyAlignment="1">
      <alignment horizontal="center"/>
    </xf>
    <xf numFmtId="16" fontId="3" fillId="3" borderId="3" xfId="0" applyNumberFormat="1" applyFont="1" applyFill="1" applyBorder="1" applyAlignment="1">
      <alignment horizontal="center"/>
    </xf>
    <xf numFmtId="0" fontId="0" fillId="9" borderId="15" xfId="0" applyFill="1" applyBorder="1" applyAlignment="1">
      <alignment horizontal="center"/>
    </xf>
    <xf numFmtId="0" fontId="0" fillId="9" borderId="16" xfId="0" applyFill="1" applyBorder="1" applyAlignment="1">
      <alignment horizontal="center"/>
    </xf>
    <xf numFmtId="0" fontId="10" fillId="0" borderId="2" xfId="0" applyFont="1" applyBorder="1" applyAlignment="1">
      <alignment horizontal="center"/>
    </xf>
    <xf numFmtId="0" fontId="10" fillId="0" borderId="3" xfId="0" applyFont="1" applyBorder="1" applyAlignment="1">
      <alignment horizontal="center"/>
    </xf>
    <xf numFmtId="14" fontId="0" fillId="0" borderId="19" xfId="0" applyNumberFormat="1" applyBorder="1"/>
    <xf numFmtId="0" fontId="0" fillId="10" borderId="0" xfId="0" applyFill="1"/>
    <xf numFmtId="16" fontId="3" fillId="3" borderId="0" xfId="0" applyNumberFormat="1" applyFont="1" applyFill="1" applyBorder="1" applyAlignment="1">
      <alignment horizontal="center"/>
    </xf>
    <xf numFmtId="0" fontId="0" fillId="3" borderId="0" xfId="0" applyFill="1" applyBorder="1"/>
    <xf numFmtId="0" fontId="4" fillId="3" borderId="8" xfId="0" applyFont="1" applyFill="1" applyBorder="1" applyAlignment="1">
      <alignment vertical="center" wrapText="1"/>
    </xf>
    <xf numFmtId="0" fontId="4" fillId="3" borderId="4" xfId="0" applyFont="1" applyFill="1" applyBorder="1" applyAlignment="1">
      <alignment vertical="center" wrapText="1"/>
    </xf>
    <xf numFmtId="0" fontId="0" fillId="3" borderId="4" xfId="0" applyFill="1" applyBorder="1" applyAlignment="1">
      <alignment vertical="center" wrapText="1"/>
    </xf>
    <xf numFmtId="0" fontId="0" fillId="3" borderId="13" xfId="0" applyFill="1" applyBorder="1" applyAlignment="1">
      <alignment vertical="center" wrapText="1"/>
    </xf>
    <xf numFmtId="0" fontId="0" fillId="3" borderId="0" xfId="0" applyFill="1" applyBorder="1" applyAlignment="1" applyProtection="1">
      <alignment vertical="center"/>
      <protection locked="0"/>
    </xf>
    <xf numFmtId="0" fontId="0" fillId="3" borderId="0" xfId="0" applyFill="1" applyBorder="1" applyAlignment="1" applyProtection="1">
      <protection locked="0"/>
    </xf>
    <xf numFmtId="3" fontId="0" fillId="3" borderId="0" xfId="0" applyNumberFormat="1" applyFill="1" applyBorder="1" applyAlignment="1" applyProtection="1">
      <protection locked="0"/>
    </xf>
    <xf numFmtId="14" fontId="0" fillId="3" borderId="0" xfId="0" applyNumberFormat="1" applyFill="1" applyBorder="1" applyAlignment="1" applyProtection="1">
      <protection locked="0"/>
    </xf>
    <xf numFmtId="4" fontId="0" fillId="3" borderId="0" xfId="0" applyNumberFormat="1" applyFill="1" applyBorder="1" applyAlignment="1" applyProtection="1">
      <protection locked="0"/>
    </xf>
    <xf numFmtId="0" fontId="3" fillId="3" borderId="0" xfId="0" applyFont="1" applyFill="1" applyAlignment="1">
      <alignment horizontal="right"/>
    </xf>
    <xf numFmtId="1" fontId="0" fillId="6" borderId="0" xfId="0" applyNumberFormat="1" applyFill="1" applyBorder="1" applyAlignment="1"/>
    <xf numFmtId="0" fontId="3" fillId="4" borderId="18" xfId="0" applyFont="1" applyFill="1" applyBorder="1" applyAlignment="1">
      <alignment horizontal="center"/>
    </xf>
    <xf numFmtId="0" fontId="3" fillId="4" borderId="0" xfId="0" applyFont="1" applyFill="1" applyBorder="1" applyAlignment="1">
      <alignment horizontal="center"/>
    </xf>
    <xf numFmtId="0" fontId="0" fillId="4" borderId="0" xfId="0" applyFill="1"/>
    <xf numFmtId="0" fontId="3" fillId="4" borderId="0" xfId="0" applyFont="1" applyFill="1" applyBorder="1" applyAlignment="1"/>
    <xf numFmtId="0" fontId="0" fillId="7" borderId="4" xfId="0" applyFill="1" applyBorder="1"/>
    <xf numFmtId="14" fontId="0" fillId="5" borderId="28" xfId="0" applyNumberFormat="1" applyFill="1" applyBorder="1" applyAlignment="1" applyProtection="1">
      <protection locked="0"/>
    </xf>
    <xf numFmtId="4" fontId="0" fillId="5" borderId="4" xfId="0" applyNumberFormat="1" applyFill="1" applyBorder="1" applyAlignment="1" applyProtection="1">
      <protection locked="0"/>
    </xf>
    <xf numFmtId="16" fontId="0" fillId="9" borderId="15" xfId="0" applyNumberFormat="1" applyFill="1" applyBorder="1"/>
    <xf numFmtId="0" fontId="0" fillId="9" borderId="16" xfId="0" applyFill="1" applyBorder="1"/>
    <xf numFmtId="14" fontId="0" fillId="5" borderId="7" xfId="0" applyNumberFormat="1" applyFill="1" applyBorder="1"/>
    <xf numFmtId="3" fontId="0" fillId="11" borderId="4" xfId="0" applyNumberFormat="1" applyFill="1" applyBorder="1" applyAlignment="1" applyProtection="1">
      <protection locked="0"/>
    </xf>
    <xf numFmtId="14" fontId="0" fillId="11" borderId="4" xfId="0" applyNumberFormat="1" applyFill="1" applyBorder="1" applyAlignment="1" applyProtection="1">
      <protection locked="0"/>
    </xf>
    <xf numFmtId="4" fontId="0" fillId="11" borderId="4" xfId="0" applyNumberFormat="1" applyFill="1" applyBorder="1" applyAlignment="1" applyProtection="1">
      <protection locked="0"/>
    </xf>
    <xf numFmtId="0" fontId="3" fillId="8" borderId="0" xfId="0" applyFont="1" applyFill="1" applyBorder="1"/>
  </cellXfs>
  <cellStyles count="3">
    <cellStyle name="Comma" xfId="1" builtinId="3"/>
    <cellStyle name="Normal" xfId="0" builtinId="0"/>
    <cellStyle name="Percent" xfId="2" builtinId="5"/>
  </cellStyles>
  <dxfs count="11">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
      <font>
        <color theme="9" tint="0.79998168889431442"/>
      </font>
      <fill>
        <patternFill>
          <bgColor theme="9" tint="0.79998168889431442"/>
        </patternFill>
      </fill>
      <border>
        <left/>
        <right/>
        <top/>
        <bottom/>
        <vertical/>
        <horizontal/>
      </border>
    </dxf>
  </dxfs>
  <tableStyles count="0" defaultTableStyle="TableStyleMedium2" defaultPivotStyle="PivotStyleLight16"/>
  <colors>
    <mruColors>
      <color rgb="FFFBFB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b="1"/>
              <a:t>Crop</a:t>
            </a:r>
            <a:r>
              <a:rPr lang="en-NZ" b="1" baseline="0"/>
              <a:t> Nitrogen Budget - Planned</a:t>
            </a:r>
            <a:endParaRPr lang="en-NZ"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424554330708662"/>
          <c:y val="6.7661892329509005E-2"/>
          <c:w val="0.82604128083989503"/>
          <c:h val="0.86205778438857628"/>
        </c:manualLayout>
      </c:layout>
      <c:barChart>
        <c:barDir val="col"/>
        <c:grouping val="stacked"/>
        <c:varyColors val="0"/>
        <c:ser>
          <c:idx val="0"/>
          <c:order val="0"/>
          <c:tx>
            <c:strRef>
              <c:f>'Model Interface'!$M$1</c:f>
              <c:strCache>
                <c:ptCount val="1"/>
                <c:pt idx="0">
                  <c:v>Soil mineral 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'Model Interface'!$K$2:$K$3</c:f>
              <c:strCache>
                <c:ptCount val="2"/>
                <c:pt idx="0">
                  <c:v>Inputs</c:v>
                </c:pt>
                <c:pt idx="1">
                  <c:v>Outputs</c:v>
                </c:pt>
              </c:strCache>
            </c:strRef>
          </c:cat>
          <c:val>
            <c:numRef>
              <c:f>'Model Interface'!$M$2:$M$3</c:f>
              <c:numCache>
                <c:formatCode>0</c:formatCode>
                <c:ptCount val="2"/>
                <c:pt idx="0">
                  <c:v>25.454783476593263</c:v>
                </c:pt>
                <c:pt idx="1">
                  <c:v>-29.783709704542176</c:v>
                </c:pt>
              </c:numCache>
            </c:numRef>
          </c:val>
          <c:extLst>
            <c:ext xmlns:c16="http://schemas.microsoft.com/office/drawing/2014/chart" uri="{C3380CC4-5D6E-409C-BE32-E72D297353CC}">
              <c16:uniqueId val="{00000000-F8A2-4807-BF3D-7B70C143FF8D}"/>
            </c:ext>
          </c:extLst>
        </c:ser>
        <c:ser>
          <c:idx val="1"/>
          <c:order val="1"/>
          <c:tx>
            <c:strRef>
              <c:f>'Model Interface'!$O$1</c:f>
              <c:strCache>
                <c:ptCount val="1"/>
                <c:pt idx="0">
                  <c:v>Previous crop residue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 Interface'!$K$2:$K$3</c:f>
              <c:strCache>
                <c:ptCount val="2"/>
                <c:pt idx="0">
                  <c:v>Inputs</c:v>
                </c:pt>
                <c:pt idx="1">
                  <c:v>Outputs</c:v>
                </c:pt>
              </c:strCache>
            </c:strRef>
          </c:cat>
          <c:val>
            <c:numRef>
              <c:f>'Model Interface'!$O$2:$O$3</c:f>
              <c:numCache>
                <c:formatCode>General</c:formatCode>
                <c:ptCount val="2"/>
                <c:pt idx="0" formatCode="0">
                  <c:v>0.94184944696874529</c:v>
                </c:pt>
              </c:numCache>
            </c:numRef>
          </c:val>
          <c:extLst>
            <c:ext xmlns:c16="http://schemas.microsoft.com/office/drawing/2014/chart" uri="{C3380CC4-5D6E-409C-BE32-E72D297353CC}">
              <c16:uniqueId val="{00000001-F8A2-4807-BF3D-7B70C143FF8D}"/>
            </c:ext>
          </c:extLst>
        </c:ser>
        <c:ser>
          <c:idx val="2"/>
          <c:order val="2"/>
          <c:tx>
            <c:strRef>
              <c:f>'Model Interface'!$P$1</c:f>
              <c:strCache>
                <c:ptCount val="1"/>
                <c:pt idx="0">
                  <c:v>Soil mineralisation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'Model Interface'!$K$2:$K$3</c:f>
              <c:strCache>
                <c:ptCount val="2"/>
                <c:pt idx="0">
                  <c:v>Inputs</c:v>
                </c:pt>
                <c:pt idx="1">
                  <c:v>Outputs</c:v>
                </c:pt>
              </c:strCache>
            </c:strRef>
          </c:cat>
          <c:val>
            <c:numRef>
              <c:f>'Model Interface'!$P$2:$P$3</c:f>
              <c:numCache>
                <c:formatCode>General</c:formatCode>
                <c:ptCount val="2"/>
                <c:pt idx="0" formatCode="0">
                  <c:v>0</c:v>
                </c:pt>
              </c:numCache>
            </c:numRef>
          </c:val>
          <c:extLst>
            <c:ext xmlns:c16="http://schemas.microsoft.com/office/drawing/2014/chart" uri="{C3380CC4-5D6E-409C-BE32-E72D297353CC}">
              <c16:uniqueId val="{00000002-F8A2-4807-BF3D-7B70C143FF8D}"/>
            </c:ext>
          </c:extLst>
        </c:ser>
        <c:ser>
          <c:idx val="3"/>
          <c:order val="3"/>
          <c:tx>
            <c:strRef>
              <c:f>'Model Interface'!$Q$1</c:f>
              <c:strCache>
                <c:ptCount val="1"/>
                <c:pt idx="0">
                  <c:v>Fertiliser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'Model Interface'!$K$2:$K$3</c:f>
              <c:strCache>
                <c:ptCount val="2"/>
                <c:pt idx="0">
                  <c:v>Inputs</c:v>
                </c:pt>
                <c:pt idx="1">
                  <c:v>Outputs</c:v>
                </c:pt>
              </c:strCache>
            </c:strRef>
          </c:cat>
          <c:val>
            <c:numRef>
              <c:f>'Model Interface'!$Q$2:$Q$3</c:f>
              <c:numCache>
                <c:formatCode>General</c:formatCode>
                <c:ptCount val="2"/>
                <c:pt idx="0" formatCode="0">
                  <c:v>63</c:v>
                </c:pt>
              </c:numCache>
            </c:numRef>
          </c:val>
          <c:extLst>
            <c:ext xmlns:c16="http://schemas.microsoft.com/office/drawing/2014/chart" uri="{C3380CC4-5D6E-409C-BE32-E72D297353CC}">
              <c16:uniqueId val="{00000003-F8A2-4807-BF3D-7B70C143FF8D}"/>
            </c:ext>
          </c:extLst>
        </c:ser>
        <c:ser>
          <c:idx val="4"/>
          <c:order val="4"/>
          <c:tx>
            <c:strRef>
              <c:f>'Model Interface'!$T$1</c:f>
              <c:strCache>
                <c:ptCount val="1"/>
                <c:pt idx="0">
                  <c:v>Leaching</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 Interface'!$K$2:$K$3</c:f>
              <c:strCache>
                <c:ptCount val="2"/>
                <c:pt idx="0">
                  <c:v>Inputs</c:v>
                </c:pt>
                <c:pt idx="1">
                  <c:v>Outputs</c:v>
                </c:pt>
              </c:strCache>
            </c:strRef>
          </c:cat>
          <c:val>
            <c:numRef>
              <c:f>'Model Interface'!$T$2:$T$3</c:f>
              <c:numCache>
                <c:formatCode>0</c:formatCode>
                <c:ptCount val="2"/>
                <c:pt idx="1">
                  <c:v>15.749999999999996</c:v>
                </c:pt>
              </c:numCache>
            </c:numRef>
          </c:val>
          <c:extLst>
            <c:ext xmlns:c16="http://schemas.microsoft.com/office/drawing/2014/chart" uri="{C3380CC4-5D6E-409C-BE32-E72D297353CC}">
              <c16:uniqueId val="{00000004-F8A2-4807-BF3D-7B70C143FF8D}"/>
            </c:ext>
          </c:extLst>
        </c:ser>
        <c:ser>
          <c:idx val="5"/>
          <c:order val="5"/>
          <c:tx>
            <c:strRef>
              <c:f>'Model Interface'!$S$1</c:f>
              <c:strCache>
                <c:ptCount val="1"/>
                <c:pt idx="0">
                  <c:v>Exported crop</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cat>
            <c:strRef>
              <c:f>'Model Interface'!$K$2:$K$3</c:f>
              <c:strCache>
                <c:ptCount val="2"/>
                <c:pt idx="0">
                  <c:v>Inputs</c:v>
                </c:pt>
                <c:pt idx="1">
                  <c:v>Outputs</c:v>
                </c:pt>
              </c:strCache>
            </c:strRef>
          </c:cat>
          <c:val>
            <c:numRef>
              <c:f>'Model Interface'!$S$2:$S$3</c:f>
              <c:numCache>
                <c:formatCode>0</c:formatCode>
                <c:ptCount val="2"/>
                <c:pt idx="1">
                  <c:v>38.469148371352297</c:v>
                </c:pt>
              </c:numCache>
            </c:numRef>
          </c:val>
          <c:extLst>
            <c:ext xmlns:c16="http://schemas.microsoft.com/office/drawing/2014/chart" uri="{C3380CC4-5D6E-409C-BE32-E72D297353CC}">
              <c16:uniqueId val="{00000005-F8A2-4807-BF3D-7B70C143FF8D}"/>
            </c:ext>
          </c:extLst>
        </c:ser>
        <c:ser>
          <c:idx val="6"/>
          <c:order val="6"/>
          <c:tx>
            <c:strRef>
              <c:f>'Model Interface'!$R$1</c:f>
              <c:strCache>
                <c:ptCount val="1"/>
                <c:pt idx="0">
                  <c:v>Crop residue</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 Interface'!$K$2:$K$3</c:f>
              <c:strCache>
                <c:ptCount val="2"/>
                <c:pt idx="0">
                  <c:v>Inputs</c:v>
                </c:pt>
                <c:pt idx="1">
                  <c:v>Outputs</c:v>
                </c:pt>
              </c:strCache>
            </c:strRef>
          </c:cat>
          <c:val>
            <c:numRef>
              <c:f>'Model Interface'!$R$2:$R$3</c:f>
              <c:numCache>
                <c:formatCode>0</c:formatCode>
                <c:ptCount val="2"/>
                <c:pt idx="1">
                  <c:v>20.925525762438802</c:v>
                </c:pt>
              </c:numCache>
            </c:numRef>
          </c:val>
          <c:extLst>
            <c:ext xmlns:c16="http://schemas.microsoft.com/office/drawing/2014/chart" uri="{C3380CC4-5D6E-409C-BE32-E72D297353CC}">
              <c16:uniqueId val="{00000006-F8A2-4807-BF3D-7B70C143FF8D}"/>
            </c:ext>
          </c:extLst>
        </c:ser>
        <c:ser>
          <c:idx val="7"/>
          <c:order val="7"/>
          <c:tx>
            <c:strRef>
              <c:f>Backend!$M$19</c:f>
              <c:strCache>
                <c:ptCount val="1"/>
              </c:strCache>
            </c:strRef>
          </c:tx>
          <c:spPr>
            <a:solidFill>
              <a:schemeClr val="accent2">
                <a:lumMod val="60000"/>
              </a:schemeClr>
            </a:solidFill>
            <a:ln>
              <a:noFill/>
            </a:ln>
            <a:effectLst/>
          </c:spPr>
          <c:invertIfNegative val="0"/>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8-F8A2-4807-BF3D-7B70C143FF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 Interface'!$K$2:$K$3</c:f>
              <c:strCache>
                <c:ptCount val="2"/>
                <c:pt idx="0">
                  <c:v>Inputs</c:v>
                </c:pt>
                <c:pt idx="1">
                  <c:v>Outputs</c:v>
                </c:pt>
              </c:strCache>
            </c:strRef>
          </c:cat>
          <c:val>
            <c:numRef>
              <c:f>Backend!$M$20:$M$21</c:f>
              <c:numCache>
                <c:formatCode>General</c:formatCode>
                <c:ptCount val="2"/>
              </c:numCache>
            </c:numRef>
          </c:val>
          <c:extLst>
            <c:ext xmlns:c16="http://schemas.microsoft.com/office/drawing/2014/chart" uri="{C3380CC4-5D6E-409C-BE32-E72D297353CC}">
              <c16:uniqueId val="{00000009-F8A2-4807-BF3D-7B70C143FF8D}"/>
            </c:ext>
          </c:extLst>
        </c:ser>
        <c:dLbls>
          <c:showLegendKey val="0"/>
          <c:showVal val="0"/>
          <c:showCatName val="0"/>
          <c:showSerName val="0"/>
          <c:showPercent val="0"/>
          <c:showBubbleSize val="0"/>
        </c:dLbls>
        <c:gapWidth val="150"/>
        <c:overlap val="100"/>
        <c:axId val="565468608"/>
        <c:axId val="565471936"/>
      </c:barChart>
      <c:catAx>
        <c:axId val="5654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565471936"/>
        <c:crosses val="autoZero"/>
        <c:auto val="1"/>
        <c:lblAlgn val="ctr"/>
        <c:lblOffset val="100"/>
        <c:noMultiLvlLbl val="0"/>
      </c:catAx>
      <c:valAx>
        <c:axId val="56547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NZ" sz="1600"/>
                  <a:t>kg N/ha</a:t>
                </a:r>
              </a:p>
            </c:rich>
          </c:tx>
          <c:layout>
            <c:manualLayout>
              <c:xMode val="edge"/>
              <c:yMode val="edge"/>
              <c:x val="1.4483653543307084E-2"/>
              <c:y val="0.44409306361162948"/>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65468608"/>
        <c:crosses val="autoZero"/>
        <c:crossBetween val="between"/>
      </c:valAx>
      <c:spPr>
        <a:solidFill>
          <a:sysClr val="window" lastClr="FFFFFF"/>
        </a:solid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7"/>
          <c:order val="5"/>
          <c:tx>
            <c:strRef>
              <c:f>Backend!$AF$25</c:f>
              <c:strCache>
                <c:ptCount val="1"/>
                <c:pt idx="0">
                  <c:v>Uncertainty 1</c:v>
                </c:pt>
              </c:strCache>
            </c:strRef>
          </c:tx>
          <c:spPr>
            <a:noFill/>
            <a:ln>
              <a:noFill/>
            </a:ln>
            <a:effectLst/>
          </c:spPr>
          <c:val>
            <c:numRef>
              <c:f>Backend!$AF$26:$AF$251</c:f>
              <c:numCache>
                <c:formatCode>0.00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A-BB71-4759-84DE-8D500B621860}"/>
            </c:ext>
          </c:extLst>
        </c:ser>
        <c:ser>
          <c:idx val="9"/>
          <c:order val="7"/>
          <c:tx>
            <c:strRef>
              <c:f>Backend!$AH$25</c:f>
              <c:strCache>
                <c:ptCount val="1"/>
                <c:pt idx="0">
                  <c:v>Variability</c:v>
                </c:pt>
              </c:strCache>
            </c:strRef>
          </c:tx>
          <c:spPr>
            <a:solidFill>
              <a:schemeClr val="accent2">
                <a:lumMod val="20000"/>
                <a:lumOff val="80000"/>
              </a:schemeClr>
            </a:solidFill>
            <a:ln>
              <a:noFill/>
            </a:ln>
            <a:effectLst/>
          </c:spPr>
          <c:val>
            <c:numRef>
              <c:f>Backend!$AH$26:$AH$251</c:f>
              <c:numCache>
                <c:formatCode>0.00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C-BB71-4759-84DE-8D500B621860}"/>
            </c:ext>
          </c:extLst>
        </c:ser>
        <c:dLbls>
          <c:showLegendKey val="0"/>
          <c:showVal val="0"/>
          <c:showCatName val="0"/>
          <c:showSerName val="0"/>
          <c:showPercent val="0"/>
          <c:showBubbleSize val="0"/>
        </c:dLbls>
        <c:axId val="811186704"/>
        <c:axId val="811187536"/>
      </c:areaChart>
      <c:barChart>
        <c:barDir val="col"/>
        <c:grouping val="clustered"/>
        <c:varyColors val="0"/>
        <c:ser>
          <c:idx val="1"/>
          <c:order val="1"/>
          <c:tx>
            <c:v>Fert N</c:v>
          </c:tx>
          <c:spPr>
            <a:solidFill>
              <a:schemeClr val="accent2"/>
            </a:solidFill>
            <a:ln>
              <a:solidFill>
                <a:schemeClr val="accent2"/>
              </a:solidFill>
            </a:ln>
            <a:effectLst/>
          </c:spPr>
          <c:invertIfNegative val="0"/>
          <c:dPt>
            <c:idx val="70"/>
            <c:invertIfNegative val="0"/>
            <c:bubble3D val="0"/>
            <c:spPr>
              <a:solidFill>
                <a:schemeClr val="accent2"/>
              </a:solidFill>
              <a:ln w="19050">
                <a:solidFill>
                  <a:schemeClr val="accent2"/>
                </a:solidFill>
              </a:ln>
              <a:effectLst/>
            </c:spPr>
            <c:extLst>
              <c:ext xmlns:c16="http://schemas.microsoft.com/office/drawing/2014/chart" uri="{C3380CC4-5D6E-409C-BE32-E72D297353CC}">
                <c16:uniqueId val="{00000001-BBAE-4D0A-A3B8-193AE7A0B701}"/>
              </c:ext>
            </c:extLst>
          </c:dPt>
          <c:cat>
            <c:numRef>
              <c:f>'Model Interface'!$L$6:$L$495</c:f>
              <c:numCache>
                <c:formatCode>m/d/yyyy</c:formatCode>
                <c:ptCount val="490"/>
                <c:pt idx="0">
                  <c:v>44394</c:v>
                </c:pt>
                <c:pt idx="1">
                  <c:v>44395</c:v>
                </c:pt>
                <c:pt idx="2">
                  <c:v>44396</c:v>
                </c:pt>
                <c:pt idx="3">
                  <c:v>44397</c:v>
                </c:pt>
                <c:pt idx="4">
                  <c:v>44398</c:v>
                </c:pt>
                <c:pt idx="5">
                  <c:v>44399</c:v>
                </c:pt>
                <c:pt idx="6">
                  <c:v>44400</c:v>
                </c:pt>
                <c:pt idx="7">
                  <c:v>44401</c:v>
                </c:pt>
                <c:pt idx="8">
                  <c:v>44402</c:v>
                </c:pt>
                <c:pt idx="9">
                  <c:v>44403</c:v>
                </c:pt>
                <c:pt idx="10">
                  <c:v>44404</c:v>
                </c:pt>
                <c:pt idx="11">
                  <c:v>44405</c:v>
                </c:pt>
                <c:pt idx="12">
                  <c:v>44406</c:v>
                </c:pt>
                <c:pt idx="13">
                  <c:v>44407</c:v>
                </c:pt>
                <c:pt idx="14">
                  <c:v>44408</c:v>
                </c:pt>
                <c:pt idx="15">
                  <c:v>44409</c:v>
                </c:pt>
                <c:pt idx="16">
                  <c:v>44410</c:v>
                </c:pt>
                <c:pt idx="17">
                  <c:v>44411</c:v>
                </c:pt>
                <c:pt idx="18">
                  <c:v>44412</c:v>
                </c:pt>
                <c:pt idx="19">
                  <c:v>44413</c:v>
                </c:pt>
                <c:pt idx="20">
                  <c:v>44414</c:v>
                </c:pt>
                <c:pt idx="21">
                  <c:v>44415</c:v>
                </c:pt>
                <c:pt idx="22">
                  <c:v>44416</c:v>
                </c:pt>
                <c:pt idx="23">
                  <c:v>44417</c:v>
                </c:pt>
                <c:pt idx="24">
                  <c:v>44418</c:v>
                </c:pt>
                <c:pt idx="25">
                  <c:v>44419</c:v>
                </c:pt>
                <c:pt idx="26">
                  <c:v>44420</c:v>
                </c:pt>
                <c:pt idx="27">
                  <c:v>44421</c:v>
                </c:pt>
                <c:pt idx="28">
                  <c:v>44422</c:v>
                </c:pt>
                <c:pt idx="29">
                  <c:v>44423</c:v>
                </c:pt>
                <c:pt idx="30">
                  <c:v>44424</c:v>
                </c:pt>
                <c:pt idx="31">
                  <c:v>44425</c:v>
                </c:pt>
                <c:pt idx="32">
                  <c:v>44426</c:v>
                </c:pt>
                <c:pt idx="33">
                  <c:v>44427</c:v>
                </c:pt>
                <c:pt idx="34">
                  <c:v>44428</c:v>
                </c:pt>
                <c:pt idx="35">
                  <c:v>44429</c:v>
                </c:pt>
                <c:pt idx="36">
                  <c:v>44430</c:v>
                </c:pt>
                <c:pt idx="37">
                  <c:v>44431</c:v>
                </c:pt>
                <c:pt idx="38">
                  <c:v>44432</c:v>
                </c:pt>
                <c:pt idx="39">
                  <c:v>44433</c:v>
                </c:pt>
                <c:pt idx="40">
                  <c:v>44434</c:v>
                </c:pt>
                <c:pt idx="41">
                  <c:v>44435</c:v>
                </c:pt>
                <c:pt idx="42">
                  <c:v>44436</c:v>
                </c:pt>
                <c:pt idx="43">
                  <c:v>44437</c:v>
                </c:pt>
                <c:pt idx="44">
                  <c:v>44438</c:v>
                </c:pt>
                <c:pt idx="45">
                  <c:v>44439</c:v>
                </c:pt>
                <c:pt idx="46">
                  <c:v>44440</c:v>
                </c:pt>
                <c:pt idx="47">
                  <c:v>44441</c:v>
                </c:pt>
                <c:pt idx="48">
                  <c:v>44442</c:v>
                </c:pt>
                <c:pt idx="49">
                  <c:v>44443</c:v>
                </c:pt>
                <c:pt idx="50">
                  <c:v>44444</c:v>
                </c:pt>
                <c:pt idx="51">
                  <c:v>44445</c:v>
                </c:pt>
                <c:pt idx="52">
                  <c:v>44446</c:v>
                </c:pt>
                <c:pt idx="53">
                  <c:v>44447</c:v>
                </c:pt>
                <c:pt idx="54">
                  <c:v>44448</c:v>
                </c:pt>
                <c:pt idx="55">
                  <c:v>44449</c:v>
                </c:pt>
                <c:pt idx="56">
                  <c:v>44450</c:v>
                </c:pt>
                <c:pt idx="57">
                  <c:v>44451</c:v>
                </c:pt>
                <c:pt idx="58">
                  <c:v>44452</c:v>
                </c:pt>
                <c:pt idx="59">
                  <c:v>44453</c:v>
                </c:pt>
                <c:pt idx="60">
                  <c:v>44454</c:v>
                </c:pt>
                <c:pt idx="61">
                  <c:v>44455</c:v>
                </c:pt>
                <c:pt idx="62">
                  <c:v>44456</c:v>
                </c:pt>
                <c:pt idx="63">
                  <c:v>44457</c:v>
                </c:pt>
                <c:pt idx="64">
                  <c:v>44458</c:v>
                </c:pt>
                <c:pt idx="65">
                  <c:v>44459</c:v>
                </c:pt>
                <c:pt idx="66">
                  <c:v>44460</c:v>
                </c:pt>
                <c:pt idx="67">
                  <c:v>44461</c:v>
                </c:pt>
                <c:pt idx="68">
                  <c:v>44462</c:v>
                </c:pt>
                <c:pt idx="69">
                  <c:v>44463</c:v>
                </c:pt>
                <c:pt idx="70">
                  <c:v>44464</c:v>
                </c:pt>
                <c:pt idx="71">
                  <c:v>44465</c:v>
                </c:pt>
                <c:pt idx="72">
                  <c:v>44466</c:v>
                </c:pt>
                <c:pt idx="73">
                  <c:v>44467</c:v>
                </c:pt>
                <c:pt idx="74">
                  <c:v>44468</c:v>
                </c:pt>
                <c:pt idx="75">
                  <c:v>44469</c:v>
                </c:pt>
                <c:pt idx="76">
                  <c:v>44470</c:v>
                </c:pt>
                <c:pt idx="77">
                  <c:v>44471</c:v>
                </c:pt>
                <c:pt idx="78">
                  <c:v>44472</c:v>
                </c:pt>
                <c:pt idx="79">
                  <c:v>44473</c:v>
                </c:pt>
                <c:pt idx="80">
                  <c:v>44474</c:v>
                </c:pt>
                <c:pt idx="81">
                  <c:v>44475</c:v>
                </c:pt>
                <c:pt idx="82">
                  <c:v>44476</c:v>
                </c:pt>
                <c:pt idx="83">
                  <c:v>44477</c:v>
                </c:pt>
                <c:pt idx="84">
                  <c:v>44478</c:v>
                </c:pt>
                <c:pt idx="85">
                  <c:v>44479</c:v>
                </c:pt>
                <c:pt idx="86">
                  <c:v>44480</c:v>
                </c:pt>
                <c:pt idx="87">
                  <c:v>44481</c:v>
                </c:pt>
                <c:pt idx="88">
                  <c:v>44482</c:v>
                </c:pt>
                <c:pt idx="89">
                  <c:v>44483</c:v>
                </c:pt>
                <c:pt idx="90">
                  <c:v>44484</c:v>
                </c:pt>
                <c:pt idx="91">
                  <c:v>44485</c:v>
                </c:pt>
                <c:pt idx="92">
                  <c:v>44486</c:v>
                </c:pt>
                <c:pt idx="93">
                  <c:v>44487</c:v>
                </c:pt>
                <c:pt idx="94">
                  <c:v>44488</c:v>
                </c:pt>
                <c:pt idx="95">
                  <c:v>44489</c:v>
                </c:pt>
                <c:pt idx="96">
                  <c:v>44490</c:v>
                </c:pt>
                <c:pt idx="97">
                  <c:v>44491</c:v>
                </c:pt>
                <c:pt idx="98">
                  <c:v>44492</c:v>
                </c:pt>
                <c:pt idx="99">
                  <c:v>44493</c:v>
                </c:pt>
                <c:pt idx="100">
                  <c:v>44494</c:v>
                </c:pt>
                <c:pt idx="101">
                  <c:v>44495</c:v>
                </c:pt>
                <c:pt idx="102">
                  <c:v>44496</c:v>
                </c:pt>
                <c:pt idx="103">
                  <c:v>44497</c:v>
                </c:pt>
                <c:pt idx="104">
                  <c:v>44498</c:v>
                </c:pt>
                <c:pt idx="105">
                  <c:v>44499</c:v>
                </c:pt>
                <c:pt idx="106">
                  <c:v>44500</c:v>
                </c:pt>
                <c:pt idx="107">
                  <c:v>44501</c:v>
                </c:pt>
                <c:pt idx="108">
                  <c:v>44502</c:v>
                </c:pt>
                <c:pt idx="109">
                  <c:v>44503</c:v>
                </c:pt>
                <c:pt idx="110">
                  <c:v>44504</c:v>
                </c:pt>
                <c:pt idx="111">
                  <c:v>44505</c:v>
                </c:pt>
                <c:pt idx="112">
                  <c:v>44506</c:v>
                </c:pt>
                <c:pt idx="113">
                  <c:v>44507</c:v>
                </c:pt>
                <c:pt idx="114">
                  <c:v>44508</c:v>
                </c:pt>
                <c:pt idx="115">
                  <c:v>44509</c:v>
                </c:pt>
                <c:pt idx="116">
                  <c:v>44510</c:v>
                </c:pt>
                <c:pt idx="117">
                  <c:v>44511</c:v>
                </c:pt>
                <c:pt idx="118">
                  <c:v>44512</c:v>
                </c:pt>
                <c:pt idx="119">
                  <c:v>44513</c:v>
                </c:pt>
                <c:pt idx="120">
                  <c:v>44514</c:v>
                </c:pt>
                <c:pt idx="121">
                  <c:v>44515</c:v>
                </c:pt>
                <c:pt idx="122">
                  <c:v>44516</c:v>
                </c:pt>
                <c:pt idx="123">
                  <c:v>44517</c:v>
                </c:pt>
                <c:pt idx="124">
                  <c:v>44518</c:v>
                </c:pt>
                <c:pt idx="125">
                  <c:v>44519</c:v>
                </c:pt>
                <c:pt idx="126">
                  <c:v>44520</c:v>
                </c:pt>
                <c:pt idx="127">
                  <c:v>44521</c:v>
                </c:pt>
                <c:pt idx="128">
                  <c:v>44522</c:v>
                </c:pt>
                <c:pt idx="129">
                  <c:v>44523</c:v>
                </c:pt>
                <c:pt idx="130">
                  <c:v>44524</c:v>
                </c:pt>
                <c:pt idx="131">
                  <c:v>44525</c:v>
                </c:pt>
                <c:pt idx="132">
                  <c:v>44526</c:v>
                </c:pt>
                <c:pt idx="133">
                  <c:v>44527</c:v>
                </c:pt>
                <c:pt idx="134">
                  <c:v>44528</c:v>
                </c:pt>
                <c:pt idx="135">
                  <c:v>44529</c:v>
                </c:pt>
                <c:pt idx="136">
                  <c:v>44530</c:v>
                </c:pt>
                <c:pt idx="137">
                  <c:v>44531</c:v>
                </c:pt>
                <c:pt idx="138">
                  <c:v>44532</c:v>
                </c:pt>
                <c:pt idx="139">
                  <c:v>44533</c:v>
                </c:pt>
                <c:pt idx="140">
                  <c:v>44534</c:v>
                </c:pt>
                <c:pt idx="141">
                  <c:v>44535</c:v>
                </c:pt>
                <c:pt idx="142">
                  <c:v>44536</c:v>
                </c:pt>
                <c:pt idx="143">
                  <c:v>44537</c:v>
                </c:pt>
                <c:pt idx="144">
                  <c:v>44538</c:v>
                </c:pt>
                <c:pt idx="145">
                  <c:v>44539</c:v>
                </c:pt>
                <c:pt idx="146">
                  <c:v>44540</c:v>
                </c:pt>
                <c:pt idx="147">
                  <c:v>44541</c:v>
                </c:pt>
                <c:pt idx="148">
                  <c:v>44542</c:v>
                </c:pt>
                <c:pt idx="149">
                  <c:v>44543</c:v>
                </c:pt>
                <c:pt idx="150">
                  <c:v>44544</c:v>
                </c:pt>
                <c:pt idx="151">
                  <c:v>44545</c:v>
                </c:pt>
                <c:pt idx="152">
                  <c:v>44546</c:v>
                </c:pt>
                <c:pt idx="153">
                  <c:v>44547</c:v>
                </c:pt>
                <c:pt idx="154">
                  <c:v>44548</c:v>
                </c:pt>
                <c:pt idx="155">
                  <c:v>44549</c:v>
                </c:pt>
                <c:pt idx="156">
                  <c:v>44550</c:v>
                </c:pt>
                <c:pt idx="157">
                  <c:v>44551</c:v>
                </c:pt>
                <c:pt idx="158">
                  <c:v>44552</c:v>
                </c:pt>
                <c:pt idx="159">
                  <c:v>44553</c:v>
                </c:pt>
                <c:pt idx="160">
                  <c:v>44554</c:v>
                </c:pt>
                <c:pt idx="161">
                  <c:v>44555</c:v>
                </c:pt>
                <c:pt idx="162">
                  <c:v>44556</c:v>
                </c:pt>
                <c:pt idx="163">
                  <c:v>44557</c:v>
                </c:pt>
                <c:pt idx="164">
                  <c:v>44558</c:v>
                </c:pt>
                <c:pt idx="165">
                  <c:v>44559</c:v>
                </c:pt>
                <c:pt idx="166">
                  <c:v>44560</c:v>
                </c:pt>
                <c:pt idx="167">
                  <c:v>44561</c:v>
                </c:pt>
                <c:pt idx="168">
                  <c:v>44562</c:v>
                </c:pt>
                <c:pt idx="169">
                  <c:v>44563</c:v>
                </c:pt>
                <c:pt idx="170">
                  <c:v>44564</c:v>
                </c:pt>
                <c:pt idx="171">
                  <c:v>44565</c:v>
                </c:pt>
                <c:pt idx="172">
                  <c:v>44566</c:v>
                </c:pt>
                <c:pt idx="173">
                  <c:v>44567</c:v>
                </c:pt>
                <c:pt idx="174">
                  <c:v>44568</c:v>
                </c:pt>
                <c:pt idx="175">
                  <c:v>44569</c:v>
                </c:pt>
                <c:pt idx="176">
                  <c:v>44570</c:v>
                </c:pt>
                <c:pt idx="177">
                  <c:v>44571</c:v>
                </c:pt>
                <c:pt idx="178">
                  <c:v>44572</c:v>
                </c:pt>
                <c:pt idx="179">
                  <c:v>44573</c:v>
                </c:pt>
                <c:pt idx="180">
                  <c:v>44574</c:v>
                </c:pt>
                <c:pt idx="181">
                  <c:v>44575</c:v>
                </c:pt>
                <c:pt idx="182">
                  <c:v>44576</c:v>
                </c:pt>
                <c:pt idx="183">
                  <c:v>44577</c:v>
                </c:pt>
                <c:pt idx="184">
                  <c:v>44578</c:v>
                </c:pt>
                <c:pt idx="185">
                  <c:v>44579</c:v>
                </c:pt>
                <c:pt idx="186">
                  <c:v>44580</c:v>
                </c:pt>
                <c:pt idx="187">
                  <c:v>44581</c:v>
                </c:pt>
                <c:pt idx="188">
                  <c:v>44582</c:v>
                </c:pt>
                <c:pt idx="189">
                  <c:v>44583</c:v>
                </c:pt>
                <c:pt idx="190">
                  <c:v>44584</c:v>
                </c:pt>
                <c:pt idx="191">
                  <c:v>44585</c:v>
                </c:pt>
                <c:pt idx="192">
                  <c:v>44586</c:v>
                </c:pt>
                <c:pt idx="193">
                  <c:v>44587</c:v>
                </c:pt>
                <c:pt idx="194">
                  <c:v>44588</c:v>
                </c:pt>
                <c:pt idx="195">
                  <c:v>44589</c:v>
                </c:pt>
                <c:pt idx="196">
                  <c:v>44590</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cat>
          <c:val>
            <c:numRef>
              <c:f>'Model Interface'!$Q$6:$Q$495</c:f>
              <c:numCache>
                <c:formatCode>General</c:formatCode>
                <c:ptCount val="4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63</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val>
          <c:extLst>
            <c:ext xmlns:c16="http://schemas.microsoft.com/office/drawing/2014/chart" uri="{C3380CC4-5D6E-409C-BE32-E72D297353CC}">
              <c16:uniqueId val="{00000002-8F3A-4CED-B35A-9EFBA0F917EB}"/>
            </c:ext>
          </c:extLst>
        </c:ser>
        <c:ser>
          <c:idx val="4"/>
          <c:order val="2"/>
          <c:tx>
            <c:strRef>
              <c:f>Backend!$U$25</c:f>
              <c:strCache>
                <c:ptCount val="1"/>
                <c:pt idx="0">
                  <c:v>Fert 4</c:v>
                </c:pt>
              </c:strCache>
            </c:strRef>
          </c:tx>
          <c:spPr>
            <a:solidFill>
              <a:schemeClr val="accent5"/>
            </a:solidFill>
            <a:ln>
              <a:noFill/>
            </a:ln>
            <a:effectLst/>
          </c:spPr>
          <c:invertIfNegative val="0"/>
          <c:cat>
            <c:numRef>
              <c:f>'Model Interface'!$L$6:$L$495</c:f>
              <c:numCache>
                <c:formatCode>m/d/yyyy</c:formatCode>
                <c:ptCount val="490"/>
                <c:pt idx="0">
                  <c:v>44394</c:v>
                </c:pt>
                <c:pt idx="1">
                  <c:v>44395</c:v>
                </c:pt>
                <c:pt idx="2">
                  <c:v>44396</c:v>
                </c:pt>
                <c:pt idx="3">
                  <c:v>44397</c:v>
                </c:pt>
                <c:pt idx="4">
                  <c:v>44398</c:v>
                </c:pt>
                <c:pt idx="5">
                  <c:v>44399</c:v>
                </c:pt>
                <c:pt idx="6">
                  <c:v>44400</c:v>
                </c:pt>
                <c:pt idx="7">
                  <c:v>44401</c:v>
                </c:pt>
                <c:pt idx="8">
                  <c:v>44402</c:v>
                </c:pt>
                <c:pt idx="9">
                  <c:v>44403</c:v>
                </c:pt>
                <c:pt idx="10">
                  <c:v>44404</c:v>
                </c:pt>
                <c:pt idx="11">
                  <c:v>44405</c:v>
                </c:pt>
                <c:pt idx="12">
                  <c:v>44406</c:v>
                </c:pt>
                <c:pt idx="13">
                  <c:v>44407</c:v>
                </c:pt>
                <c:pt idx="14">
                  <c:v>44408</c:v>
                </c:pt>
                <c:pt idx="15">
                  <c:v>44409</c:v>
                </c:pt>
                <c:pt idx="16">
                  <c:v>44410</c:v>
                </c:pt>
                <c:pt idx="17">
                  <c:v>44411</c:v>
                </c:pt>
                <c:pt idx="18">
                  <c:v>44412</c:v>
                </c:pt>
                <c:pt idx="19">
                  <c:v>44413</c:v>
                </c:pt>
                <c:pt idx="20">
                  <c:v>44414</c:v>
                </c:pt>
                <c:pt idx="21">
                  <c:v>44415</c:v>
                </c:pt>
                <c:pt idx="22">
                  <c:v>44416</c:v>
                </c:pt>
                <c:pt idx="23">
                  <c:v>44417</c:v>
                </c:pt>
                <c:pt idx="24">
                  <c:v>44418</c:v>
                </c:pt>
                <c:pt idx="25">
                  <c:v>44419</c:v>
                </c:pt>
                <c:pt idx="26">
                  <c:v>44420</c:v>
                </c:pt>
                <c:pt idx="27">
                  <c:v>44421</c:v>
                </c:pt>
                <c:pt idx="28">
                  <c:v>44422</c:v>
                </c:pt>
                <c:pt idx="29">
                  <c:v>44423</c:v>
                </c:pt>
                <c:pt idx="30">
                  <c:v>44424</c:v>
                </c:pt>
                <c:pt idx="31">
                  <c:v>44425</c:v>
                </c:pt>
                <c:pt idx="32">
                  <c:v>44426</c:v>
                </c:pt>
                <c:pt idx="33">
                  <c:v>44427</c:v>
                </c:pt>
                <c:pt idx="34">
                  <c:v>44428</c:v>
                </c:pt>
                <c:pt idx="35">
                  <c:v>44429</c:v>
                </c:pt>
                <c:pt idx="36">
                  <c:v>44430</c:v>
                </c:pt>
                <c:pt idx="37">
                  <c:v>44431</c:v>
                </c:pt>
                <c:pt idx="38">
                  <c:v>44432</c:v>
                </c:pt>
                <c:pt idx="39">
                  <c:v>44433</c:v>
                </c:pt>
                <c:pt idx="40">
                  <c:v>44434</c:v>
                </c:pt>
                <c:pt idx="41">
                  <c:v>44435</c:v>
                </c:pt>
                <c:pt idx="42">
                  <c:v>44436</c:v>
                </c:pt>
                <c:pt idx="43">
                  <c:v>44437</c:v>
                </c:pt>
                <c:pt idx="44">
                  <c:v>44438</c:v>
                </c:pt>
                <c:pt idx="45">
                  <c:v>44439</c:v>
                </c:pt>
                <c:pt idx="46">
                  <c:v>44440</c:v>
                </c:pt>
                <c:pt idx="47">
                  <c:v>44441</c:v>
                </c:pt>
                <c:pt idx="48">
                  <c:v>44442</c:v>
                </c:pt>
                <c:pt idx="49">
                  <c:v>44443</c:v>
                </c:pt>
                <c:pt idx="50">
                  <c:v>44444</c:v>
                </c:pt>
                <c:pt idx="51">
                  <c:v>44445</c:v>
                </c:pt>
                <c:pt idx="52">
                  <c:v>44446</c:v>
                </c:pt>
                <c:pt idx="53">
                  <c:v>44447</c:v>
                </c:pt>
                <c:pt idx="54">
                  <c:v>44448</c:v>
                </c:pt>
                <c:pt idx="55">
                  <c:v>44449</c:v>
                </c:pt>
                <c:pt idx="56">
                  <c:v>44450</c:v>
                </c:pt>
                <c:pt idx="57">
                  <c:v>44451</c:v>
                </c:pt>
                <c:pt idx="58">
                  <c:v>44452</c:v>
                </c:pt>
                <c:pt idx="59">
                  <c:v>44453</c:v>
                </c:pt>
                <c:pt idx="60">
                  <c:v>44454</c:v>
                </c:pt>
                <c:pt idx="61">
                  <c:v>44455</c:v>
                </c:pt>
                <c:pt idx="62">
                  <c:v>44456</c:v>
                </c:pt>
                <c:pt idx="63">
                  <c:v>44457</c:v>
                </c:pt>
                <c:pt idx="64">
                  <c:v>44458</c:v>
                </c:pt>
                <c:pt idx="65">
                  <c:v>44459</c:v>
                </c:pt>
                <c:pt idx="66">
                  <c:v>44460</c:v>
                </c:pt>
                <c:pt idx="67">
                  <c:v>44461</c:v>
                </c:pt>
                <c:pt idx="68">
                  <c:v>44462</c:v>
                </c:pt>
                <c:pt idx="69">
                  <c:v>44463</c:v>
                </c:pt>
                <c:pt idx="70">
                  <c:v>44464</c:v>
                </c:pt>
                <c:pt idx="71">
                  <c:v>44465</c:v>
                </c:pt>
                <c:pt idx="72">
                  <c:v>44466</c:v>
                </c:pt>
                <c:pt idx="73">
                  <c:v>44467</c:v>
                </c:pt>
                <c:pt idx="74">
                  <c:v>44468</c:v>
                </c:pt>
                <c:pt idx="75">
                  <c:v>44469</c:v>
                </c:pt>
                <c:pt idx="76">
                  <c:v>44470</c:v>
                </c:pt>
                <c:pt idx="77">
                  <c:v>44471</c:v>
                </c:pt>
                <c:pt idx="78">
                  <c:v>44472</c:v>
                </c:pt>
                <c:pt idx="79">
                  <c:v>44473</c:v>
                </c:pt>
                <c:pt idx="80">
                  <c:v>44474</c:v>
                </c:pt>
                <c:pt idx="81">
                  <c:v>44475</c:v>
                </c:pt>
                <c:pt idx="82">
                  <c:v>44476</c:v>
                </c:pt>
                <c:pt idx="83">
                  <c:v>44477</c:v>
                </c:pt>
                <c:pt idx="84">
                  <c:v>44478</c:v>
                </c:pt>
                <c:pt idx="85">
                  <c:v>44479</c:v>
                </c:pt>
                <c:pt idx="86">
                  <c:v>44480</c:v>
                </c:pt>
                <c:pt idx="87">
                  <c:v>44481</c:v>
                </c:pt>
                <c:pt idx="88">
                  <c:v>44482</c:v>
                </c:pt>
                <c:pt idx="89">
                  <c:v>44483</c:v>
                </c:pt>
                <c:pt idx="90">
                  <c:v>44484</c:v>
                </c:pt>
                <c:pt idx="91">
                  <c:v>44485</c:v>
                </c:pt>
                <c:pt idx="92">
                  <c:v>44486</c:v>
                </c:pt>
                <c:pt idx="93">
                  <c:v>44487</c:v>
                </c:pt>
                <c:pt idx="94">
                  <c:v>44488</c:v>
                </c:pt>
                <c:pt idx="95">
                  <c:v>44489</c:v>
                </c:pt>
                <c:pt idx="96">
                  <c:v>44490</c:v>
                </c:pt>
                <c:pt idx="97">
                  <c:v>44491</c:v>
                </c:pt>
                <c:pt idx="98">
                  <c:v>44492</c:v>
                </c:pt>
                <c:pt idx="99">
                  <c:v>44493</c:v>
                </c:pt>
                <c:pt idx="100">
                  <c:v>44494</c:v>
                </c:pt>
                <c:pt idx="101">
                  <c:v>44495</c:v>
                </c:pt>
                <c:pt idx="102">
                  <c:v>44496</c:v>
                </c:pt>
                <c:pt idx="103">
                  <c:v>44497</c:v>
                </c:pt>
                <c:pt idx="104">
                  <c:v>44498</c:v>
                </c:pt>
                <c:pt idx="105">
                  <c:v>44499</c:v>
                </c:pt>
                <c:pt idx="106">
                  <c:v>44500</c:v>
                </c:pt>
                <c:pt idx="107">
                  <c:v>44501</c:v>
                </c:pt>
                <c:pt idx="108">
                  <c:v>44502</c:v>
                </c:pt>
                <c:pt idx="109">
                  <c:v>44503</c:v>
                </c:pt>
                <c:pt idx="110">
                  <c:v>44504</c:v>
                </c:pt>
                <c:pt idx="111">
                  <c:v>44505</c:v>
                </c:pt>
                <c:pt idx="112">
                  <c:v>44506</c:v>
                </c:pt>
                <c:pt idx="113">
                  <c:v>44507</c:v>
                </c:pt>
                <c:pt idx="114">
                  <c:v>44508</c:v>
                </c:pt>
                <c:pt idx="115">
                  <c:v>44509</c:v>
                </c:pt>
                <c:pt idx="116">
                  <c:v>44510</c:v>
                </c:pt>
                <c:pt idx="117">
                  <c:v>44511</c:v>
                </c:pt>
                <c:pt idx="118">
                  <c:v>44512</c:v>
                </c:pt>
                <c:pt idx="119">
                  <c:v>44513</c:v>
                </c:pt>
                <c:pt idx="120">
                  <c:v>44514</c:v>
                </c:pt>
                <c:pt idx="121">
                  <c:v>44515</c:v>
                </c:pt>
                <c:pt idx="122">
                  <c:v>44516</c:v>
                </c:pt>
                <c:pt idx="123">
                  <c:v>44517</c:v>
                </c:pt>
                <c:pt idx="124">
                  <c:v>44518</c:v>
                </c:pt>
                <c:pt idx="125">
                  <c:v>44519</c:v>
                </c:pt>
                <c:pt idx="126">
                  <c:v>44520</c:v>
                </c:pt>
                <c:pt idx="127">
                  <c:v>44521</c:v>
                </c:pt>
                <c:pt idx="128">
                  <c:v>44522</c:v>
                </c:pt>
                <c:pt idx="129">
                  <c:v>44523</c:v>
                </c:pt>
                <c:pt idx="130">
                  <c:v>44524</c:v>
                </c:pt>
                <c:pt idx="131">
                  <c:v>44525</c:v>
                </c:pt>
                <c:pt idx="132">
                  <c:v>44526</c:v>
                </c:pt>
                <c:pt idx="133">
                  <c:v>44527</c:v>
                </c:pt>
                <c:pt idx="134">
                  <c:v>44528</c:v>
                </c:pt>
                <c:pt idx="135">
                  <c:v>44529</c:v>
                </c:pt>
                <c:pt idx="136">
                  <c:v>44530</c:v>
                </c:pt>
                <c:pt idx="137">
                  <c:v>44531</c:v>
                </c:pt>
                <c:pt idx="138">
                  <c:v>44532</c:v>
                </c:pt>
                <c:pt idx="139">
                  <c:v>44533</c:v>
                </c:pt>
                <c:pt idx="140">
                  <c:v>44534</c:v>
                </c:pt>
                <c:pt idx="141">
                  <c:v>44535</c:v>
                </c:pt>
                <c:pt idx="142">
                  <c:v>44536</c:v>
                </c:pt>
                <c:pt idx="143">
                  <c:v>44537</c:v>
                </c:pt>
                <c:pt idx="144">
                  <c:v>44538</c:v>
                </c:pt>
                <c:pt idx="145">
                  <c:v>44539</c:v>
                </c:pt>
                <c:pt idx="146">
                  <c:v>44540</c:v>
                </c:pt>
                <c:pt idx="147">
                  <c:v>44541</c:v>
                </c:pt>
                <c:pt idx="148">
                  <c:v>44542</c:v>
                </c:pt>
                <c:pt idx="149">
                  <c:v>44543</c:v>
                </c:pt>
                <c:pt idx="150">
                  <c:v>44544</c:v>
                </c:pt>
                <c:pt idx="151">
                  <c:v>44545</c:v>
                </c:pt>
                <c:pt idx="152">
                  <c:v>44546</c:v>
                </c:pt>
                <c:pt idx="153">
                  <c:v>44547</c:v>
                </c:pt>
                <c:pt idx="154">
                  <c:v>44548</c:v>
                </c:pt>
                <c:pt idx="155">
                  <c:v>44549</c:v>
                </c:pt>
                <c:pt idx="156">
                  <c:v>44550</c:v>
                </c:pt>
                <c:pt idx="157">
                  <c:v>44551</c:v>
                </c:pt>
                <c:pt idx="158">
                  <c:v>44552</c:v>
                </c:pt>
                <c:pt idx="159">
                  <c:v>44553</c:v>
                </c:pt>
                <c:pt idx="160">
                  <c:v>44554</c:v>
                </c:pt>
                <c:pt idx="161">
                  <c:v>44555</c:v>
                </c:pt>
                <c:pt idx="162">
                  <c:v>44556</c:v>
                </c:pt>
                <c:pt idx="163">
                  <c:v>44557</c:v>
                </c:pt>
                <c:pt idx="164">
                  <c:v>44558</c:v>
                </c:pt>
                <c:pt idx="165">
                  <c:v>44559</c:v>
                </c:pt>
                <c:pt idx="166">
                  <c:v>44560</c:v>
                </c:pt>
                <c:pt idx="167">
                  <c:v>44561</c:v>
                </c:pt>
                <c:pt idx="168">
                  <c:v>44562</c:v>
                </c:pt>
                <c:pt idx="169">
                  <c:v>44563</c:v>
                </c:pt>
                <c:pt idx="170">
                  <c:v>44564</c:v>
                </c:pt>
                <c:pt idx="171">
                  <c:v>44565</c:v>
                </c:pt>
                <c:pt idx="172">
                  <c:v>44566</c:v>
                </c:pt>
                <c:pt idx="173">
                  <c:v>44567</c:v>
                </c:pt>
                <c:pt idx="174">
                  <c:v>44568</c:v>
                </c:pt>
                <c:pt idx="175">
                  <c:v>44569</c:v>
                </c:pt>
                <c:pt idx="176">
                  <c:v>44570</c:v>
                </c:pt>
                <c:pt idx="177">
                  <c:v>44571</c:v>
                </c:pt>
                <c:pt idx="178">
                  <c:v>44572</c:v>
                </c:pt>
                <c:pt idx="179">
                  <c:v>44573</c:v>
                </c:pt>
                <c:pt idx="180">
                  <c:v>44574</c:v>
                </c:pt>
                <c:pt idx="181">
                  <c:v>44575</c:v>
                </c:pt>
                <c:pt idx="182">
                  <c:v>44576</c:v>
                </c:pt>
                <c:pt idx="183">
                  <c:v>44577</c:v>
                </c:pt>
                <c:pt idx="184">
                  <c:v>44578</c:v>
                </c:pt>
                <c:pt idx="185">
                  <c:v>44579</c:v>
                </c:pt>
                <c:pt idx="186">
                  <c:v>44580</c:v>
                </c:pt>
                <c:pt idx="187">
                  <c:v>44581</c:v>
                </c:pt>
                <c:pt idx="188">
                  <c:v>44582</c:v>
                </c:pt>
                <c:pt idx="189">
                  <c:v>44583</c:v>
                </c:pt>
                <c:pt idx="190">
                  <c:v>44584</c:v>
                </c:pt>
                <c:pt idx="191">
                  <c:v>44585</c:v>
                </c:pt>
                <c:pt idx="192">
                  <c:v>44586</c:v>
                </c:pt>
                <c:pt idx="193">
                  <c:v>44587</c:v>
                </c:pt>
                <c:pt idx="194">
                  <c:v>44588</c:v>
                </c:pt>
                <c:pt idx="195">
                  <c:v>44589</c:v>
                </c:pt>
                <c:pt idx="196">
                  <c:v>44590</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cat>
          <c:val>
            <c:numRef>
              <c:f>Backend!$U$26:$U$251</c:f>
              <c:numCache>
                <c:formatCode>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extLst>
            <c:ext xmlns:c16="http://schemas.microsoft.com/office/drawing/2014/chart" uri="{C3380CC4-5D6E-409C-BE32-E72D297353CC}">
              <c16:uniqueId val="{00000009-8F3A-4CED-B35A-9EFBA0F917EB}"/>
            </c:ext>
          </c:extLst>
        </c:ser>
        <c:dLbls>
          <c:showLegendKey val="0"/>
          <c:showVal val="0"/>
          <c:showCatName val="0"/>
          <c:showSerName val="0"/>
          <c:showPercent val="0"/>
          <c:showBubbleSize val="0"/>
        </c:dLbls>
        <c:gapWidth val="150"/>
        <c:axId val="811186704"/>
        <c:axId val="811187536"/>
      </c:barChart>
      <c:lineChart>
        <c:grouping val="standard"/>
        <c:varyColors val="0"/>
        <c:ser>
          <c:idx val="0"/>
          <c:order val="0"/>
          <c:tx>
            <c:v>Crop N uptake</c:v>
          </c:tx>
          <c:spPr>
            <a:ln w="28575" cap="rnd">
              <a:solidFill>
                <a:schemeClr val="accent1"/>
              </a:solidFill>
              <a:round/>
            </a:ln>
            <a:effectLst/>
          </c:spPr>
          <c:marker>
            <c:symbol val="none"/>
          </c:marker>
          <c:cat>
            <c:numRef>
              <c:f>'Model Interface'!$L$6:$L$495</c:f>
              <c:numCache>
                <c:formatCode>m/d/yyyy</c:formatCode>
                <c:ptCount val="490"/>
                <c:pt idx="0">
                  <c:v>44394</c:v>
                </c:pt>
                <c:pt idx="1">
                  <c:v>44395</c:v>
                </c:pt>
                <c:pt idx="2">
                  <c:v>44396</c:v>
                </c:pt>
                <c:pt idx="3">
                  <c:v>44397</c:v>
                </c:pt>
                <c:pt idx="4">
                  <c:v>44398</c:v>
                </c:pt>
                <c:pt idx="5">
                  <c:v>44399</c:v>
                </c:pt>
                <c:pt idx="6">
                  <c:v>44400</c:v>
                </c:pt>
                <c:pt idx="7">
                  <c:v>44401</c:v>
                </c:pt>
                <c:pt idx="8">
                  <c:v>44402</c:v>
                </c:pt>
                <c:pt idx="9">
                  <c:v>44403</c:v>
                </c:pt>
                <c:pt idx="10">
                  <c:v>44404</c:v>
                </c:pt>
                <c:pt idx="11">
                  <c:v>44405</c:v>
                </c:pt>
                <c:pt idx="12">
                  <c:v>44406</c:v>
                </c:pt>
                <c:pt idx="13">
                  <c:v>44407</c:v>
                </c:pt>
                <c:pt idx="14">
                  <c:v>44408</c:v>
                </c:pt>
                <c:pt idx="15">
                  <c:v>44409</c:v>
                </c:pt>
                <c:pt idx="16">
                  <c:v>44410</c:v>
                </c:pt>
                <c:pt idx="17">
                  <c:v>44411</c:v>
                </c:pt>
                <c:pt idx="18">
                  <c:v>44412</c:v>
                </c:pt>
                <c:pt idx="19">
                  <c:v>44413</c:v>
                </c:pt>
                <c:pt idx="20">
                  <c:v>44414</c:v>
                </c:pt>
                <c:pt idx="21">
                  <c:v>44415</c:v>
                </c:pt>
                <c:pt idx="22">
                  <c:v>44416</c:v>
                </c:pt>
                <c:pt idx="23">
                  <c:v>44417</c:v>
                </c:pt>
                <c:pt idx="24">
                  <c:v>44418</c:v>
                </c:pt>
                <c:pt idx="25">
                  <c:v>44419</c:v>
                </c:pt>
                <c:pt idx="26">
                  <c:v>44420</c:v>
                </c:pt>
                <c:pt idx="27">
                  <c:v>44421</c:v>
                </c:pt>
                <c:pt idx="28">
                  <c:v>44422</c:v>
                </c:pt>
                <c:pt idx="29">
                  <c:v>44423</c:v>
                </c:pt>
                <c:pt idx="30">
                  <c:v>44424</c:v>
                </c:pt>
                <c:pt idx="31">
                  <c:v>44425</c:v>
                </c:pt>
                <c:pt idx="32">
                  <c:v>44426</c:v>
                </c:pt>
                <c:pt idx="33">
                  <c:v>44427</c:v>
                </c:pt>
                <c:pt idx="34">
                  <c:v>44428</c:v>
                </c:pt>
                <c:pt idx="35">
                  <c:v>44429</c:v>
                </c:pt>
                <c:pt idx="36">
                  <c:v>44430</c:v>
                </c:pt>
                <c:pt idx="37">
                  <c:v>44431</c:v>
                </c:pt>
                <c:pt idx="38">
                  <c:v>44432</c:v>
                </c:pt>
                <c:pt idx="39">
                  <c:v>44433</c:v>
                </c:pt>
                <c:pt idx="40">
                  <c:v>44434</c:v>
                </c:pt>
                <c:pt idx="41">
                  <c:v>44435</c:v>
                </c:pt>
                <c:pt idx="42">
                  <c:v>44436</c:v>
                </c:pt>
                <c:pt idx="43">
                  <c:v>44437</c:v>
                </c:pt>
                <c:pt idx="44">
                  <c:v>44438</c:v>
                </c:pt>
                <c:pt idx="45">
                  <c:v>44439</c:v>
                </c:pt>
                <c:pt idx="46">
                  <c:v>44440</c:v>
                </c:pt>
                <c:pt idx="47">
                  <c:v>44441</c:v>
                </c:pt>
                <c:pt idx="48">
                  <c:v>44442</c:v>
                </c:pt>
                <c:pt idx="49">
                  <c:v>44443</c:v>
                </c:pt>
                <c:pt idx="50">
                  <c:v>44444</c:v>
                </c:pt>
                <c:pt idx="51">
                  <c:v>44445</c:v>
                </c:pt>
                <c:pt idx="52">
                  <c:v>44446</c:v>
                </c:pt>
                <c:pt idx="53">
                  <c:v>44447</c:v>
                </c:pt>
                <c:pt idx="54">
                  <c:v>44448</c:v>
                </c:pt>
                <c:pt idx="55">
                  <c:v>44449</c:v>
                </c:pt>
                <c:pt idx="56">
                  <c:v>44450</c:v>
                </c:pt>
                <c:pt idx="57">
                  <c:v>44451</c:v>
                </c:pt>
                <c:pt idx="58">
                  <c:v>44452</c:v>
                </c:pt>
                <c:pt idx="59">
                  <c:v>44453</c:v>
                </c:pt>
                <c:pt idx="60">
                  <c:v>44454</c:v>
                </c:pt>
                <c:pt idx="61">
                  <c:v>44455</c:v>
                </c:pt>
                <c:pt idx="62">
                  <c:v>44456</c:v>
                </c:pt>
                <c:pt idx="63">
                  <c:v>44457</c:v>
                </c:pt>
                <c:pt idx="64">
                  <c:v>44458</c:v>
                </c:pt>
                <c:pt idx="65">
                  <c:v>44459</c:v>
                </c:pt>
                <c:pt idx="66">
                  <c:v>44460</c:v>
                </c:pt>
                <c:pt idx="67">
                  <c:v>44461</c:v>
                </c:pt>
                <c:pt idx="68">
                  <c:v>44462</c:v>
                </c:pt>
                <c:pt idx="69">
                  <c:v>44463</c:v>
                </c:pt>
                <c:pt idx="70">
                  <c:v>44464</c:v>
                </c:pt>
                <c:pt idx="71">
                  <c:v>44465</c:v>
                </c:pt>
                <c:pt idx="72">
                  <c:v>44466</c:v>
                </c:pt>
                <c:pt idx="73">
                  <c:v>44467</c:v>
                </c:pt>
                <c:pt idx="74">
                  <c:v>44468</c:v>
                </c:pt>
                <c:pt idx="75">
                  <c:v>44469</c:v>
                </c:pt>
                <c:pt idx="76">
                  <c:v>44470</c:v>
                </c:pt>
                <c:pt idx="77">
                  <c:v>44471</c:v>
                </c:pt>
                <c:pt idx="78">
                  <c:v>44472</c:v>
                </c:pt>
                <c:pt idx="79">
                  <c:v>44473</c:v>
                </c:pt>
                <c:pt idx="80">
                  <c:v>44474</c:v>
                </c:pt>
                <c:pt idx="81">
                  <c:v>44475</c:v>
                </c:pt>
                <c:pt idx="82">
                  <c:v>44476</c:v>
                </c:pt>
                <c:pt idx="83">
                  <c:v>44477</c:v>
                </c:pt>
                <c:pt idx="84">
                  <c:v>44478</c:v>
                </c:pt>
                <c:pt idx="85">
                  <c:v>44479</c:v>
                </c:pt>
                <c:pt idx="86">
                  <c:v>44480</c:v>
                </c:pt>
                <c:pt idx="87">
                  <c:v>44481</c:v>
                </c:pt>
                <c:pt idx="88">
                  <c:v>44482</c:v>
                </c:pt>
                <c:pt idx="89">
                  <c:v>44483</c:v>
                </c:pt>
                <c:pt idx="90">
                  <c:v>44484</c:v>
                </c:pt>
                <c:pt idx="91">
                  <c:v>44485</c:v>
                </c:pt>
                <c:pt idx="92">
                  <c:v>44486</c:v>
                </c:pt>
                <c:pt idx="93">
                  <c:v>44487</c:v>
                </c:pt>
                <c:pt idx="94">
                  <c:v>44488</c:v>
                </c:pt>
                <c:pt idx="95">
                  <c:v>44489</c:v>
                </c:pt>
                <c:pt idx="96">
                  <c:v>44490</c:v>
                </c:pt>
                <c:pt idx="97">
                  <c:v>44491</c:v>
                </c:pt>
                <c:pt idx="98">
                  <c:v>44492</c:v>
                </c:pt>
                <c:pt idx="99">
                  <c:v>44493</c:v>
                </c:pt>
                <c:pt idx="100">
                  <c:v>44494</c:v>
                </c:pt>
                <c:pt idx="101">
                  <c:v>44495</c:v>
                </c:pt>
                <c:pt idx="102">
                  <c:v>44496</c:v>
                </c:pt>
                <c:pt idx="103">
                  <c:v>44497</c:v>
                </c:pt>
                <c:pt idx="104">
                  <c:v>44498</c:v>
                </c:pt>
                <c:pt idx="105">
                  <c:v>44499</c:v>
                </c:pt>
                <c:pt idx="106">
                  <c:v>44500</c:v>
                </c:pt>
                <c:pt idx="107">
                  <c:v>44501</c:v>
                </c:pt>
                <c:pt idx="108">
                  <c:v>44502</c:v>
                </c:pt>
                <c:pt idx="109">
                  <c:v>44503</c:v>
                </c:pt>
                <c:pt idx="110">
                  <c:v>44504</c:v>
                </c:pt>
                <c:pt idx="111">
                  <c:v>44505</c:v>
                </c:pt>
                <c:pt idx="112">
                  <c:v>44506</c:v>
                </c:pt>
                <c:pt idx="113">
                  <c:v>44507</c:v>
                </c:pt>
                <c:pt idx="114">
                  <c:v>44508</c:v>
                </c:pt>
                <c:pt idx="115">
                  <c:v>44509</c:v>
                </c:pt>
                <c:pt idx="116">
                  <c:v>44510</c:v>
                </c:pt>
                <c:pt idx="117">
                  <c:v>44511</c:v>
                </c:pt>
                <c:pt idx="118">
                  <c:v>44512</c:v>
                </c:pt>
                <c:pt idx="119">
                  <c:v>44513</c:v>
                </c:pt>
                <c:pt idx="120">
                  <c:v>44514</c:v>
                </c:pt>
                <c:pt idx="121">
                  <c:v>44515</c:v>
                </c:pt>
                <c:pt idx="122">
                  <c:v>44516</c:v>
                </c:pt>
                <c:pt idx="123">
                  <c:v>44517</c:v>
                </c:pt>
                <c:pt idx="124">
                  <c:v>44518</c:v>
                </c:pt>
                <c:pt idx="125">
                  <c:v>44519</c:v>
                </c:pt>
                <c:pt idx="126">
                  <c:v>44520</c:v>
                </c:pt>
                <c:pt idx="127">
                  <c:v>44521</c:v>
                </c:pt>
                <c:pt idx="128">
                  <c:v>44522</c:v>
                </c:pt>
                <c:pt idx="129">
                  <c:v>44523</c:v>
                </c:pt>
                <c:pt idx="130">
                  <c:v>44524</c:v>
                </c:pt>
                <c:pt idx="131">
                  <c:v>44525</c:v>
                </c:pt>
                <c:pt idx="132">
                  <c:v>44526</c:v>
                </c:pt>
                <c:pt idx="133">
                  <c:v>44527</c:v>
                </c:pt>
                <c:pt idx="134">
                  <c:v>44528</c:v>
                </c:pt>
                <c:pt idx="135">
                  <c:v>44529</c:v>
                </c:pt>
                <c:pt idx="136">
                  <c:v>44530</c:v>
                </c:pt>
                <c:pt idx="137">
                  <c:v>44531</c:v>
                </c:pt>
                <c:pt idx="138">
                  <c:v>44532</c:v>
                </c:pt>
                <c:pt idx="139">
                  <c:v>44533</c:v>
                </c:pt>
                <c:pt idx="140">
                  <c:v>44534</c:v>
                </c:pt>
                <c:pt idx="141">
                  <c:v>44535</c:v>
                </c:pt>
                <c:pt idx="142">
                  <c:v>44536</c:v>
                </c:pt>
                <c:pt idx="143">
                  <c:v>44537</c:v>
                </c:pt>
                <c:pt idx="144">
                  <c:v>44538</c:v>
                </c:pt>
                <c:pt idx="145">
                  <c:v>44539</c:v>
                </c:pt>
                <c:pt idx="146">
                  <c:v>44540</c:v>
                </c:pt>
                <c:pt idx="147">
                  <c:v>44541</c:v>
                </c:pt>
                <c:pt idx="148">
                  <c:v>44542</c:v>
                </c:pt>
                <c:pt idx="149">
                  <c:v>44543</c:v>
                </c:pt>
                <c:pt idx="150">
                  <c:v>44544</c:v>
                </c:pt>
                <c:pt idx="151">
                  <c:v>44545</c:v>
                </c:pt>
                <c:pt idx="152">
                  <c:v>44546</c:v>
                </c:pt>
                <c:pt idx="153">
                  <c:v>44547</c:v>
                </c:pt>
                <c:pt idx="154">
                  <c:v>44548</c:v>
                </c:pt>
                <c:pt idx="155">
                  <c:v>44549</c:v>
                </c:pt>
                <c:pt idx="156">
                  <c:v>44550</c:v>
                </c:pt>
                <c:pt idx="157">
                  <c:v>44551</c:v>
                </c:pt>
                <c:pt idx="158">
                  <c:v>44552</c:v>
                </c:pt>
                <c:pt idx="159">
                  <c:v>44553</c:v>
                </c:pt>
                <c:pt idx="160">
                  <c:v>44554</c:v>
                </c:pt>
                <c:pt idx="161">
                  <c:v>44555</c:v>
                </c:pt>
                <c:pt idx="162">
                  <c:v>44556</c:v>
                </c:pt>
                <c:pt idx="163">
                  <c:v>44557</c:v>
                </c:pt>
                <c:pt idx="164">
                  <c:v>44558</c:v>
                </c:pt>
                <c:pt idx="165">
                  <c:v>44559</c:v>
                </c:pt>
                <c:pt idx="166">
                  <c:v>44560</c:v>
                </c:pt>
                <c:pt idx="167">
                  <c:v>44561</c:v>
                </c:pt>
                <c:pt idx="168">
                  <c:v>44562</c:v>
                </c:pt>
                <c:pt idx="169">
                  <c:v>44563</c:v>
                </c:pt>
                <c:pt idx="170">
                  <c:v>44564</c:v>
                </c:pt>
                <c:pt idx="171">
                  <c:v>44565</c:v>
                </c:pt>
                <c:pt idx="172">
                  <c:v>44566</c:v>
                </c:pt>
                <c:pt idx="173">
                  <c:v>44567</c:v>
                </c:pt>
                <c:pt idx="174">
                  <c:v>44568</c:v>
                </c:pt>
                <c:pt idx="175">
                  <c:v>44569</c:v>
                </c:pt>
                <c:pt idx="176">
                  <c:v>44570</c:v>
                </c:pt>
                <c:pt idx="177">
                  <c:v>44571</c:v>
                </c:pt>
                <c:pt idx="178">
                  <c:v>44572</c:v>
                </c:pt>
                <c:pt idx="179">
                  <c:v>44573</c:v>
                </c:pt>
                <c:pt idx="180">
                  <c:v>44574</c:v>
                </c:pt>
                <c:pt idx="181">
                  <c:v>44575</c:v>
                </c:pt>
                <c:pt idx="182">
                  <c:v>44576</c:v>
                </c:pt>
                <c:pt idx="183">
                  <c:v>44577</c:v>
                </c:pt>
                <c:pt idx="184">
                  <c:v>44578</c:v>
                </c:pt>
                <c:pt idx="185">
                  <c:v>44579</c:v>
                </c:pt>
                <c:pt idx="186">
                  <c:v>44580</c:v>
                </c:pt>
                <c:pt idx="187">
                  <c:v>44581</c:v>
                </c:pt>
                <c:pt idx="188">
                  <c:v>44582</c:v>
                </c:pt>
                <c:pt idx="189">
                  <c:v>44583</c:v>
                </c:pt>
                <c:pt idx="190">
                  <c:v>44584</c:v>
                </c:pt>
                <c:pt idx="191">
                  <c:v>44585</c:v>
                </c:pt>
                <c:pt idx="192">
                  <c:v>44586</c:v>
                </c:pt>
                <c:pt idx="193">
                  <c:v>44587</c:v>
                </c:pt>
                <c:pt idx="194">
                  <c:v>44588</c:v>
                </c:pt>
                <c:pt idx="195">
                  <c:v>44589</c:v>
                </c:pt>
                <c:pt idx="196">
                  <c:v>44590</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cat>
          <c:val>
            <c:numRef>
              <c:f>'Model Interface'!$R$6:$R$495</c:f>
              <c:numCache>
                <c:formatCode>General</c:formatCode>
                <c:ptCount val="490"/>
                <c:pt idx="0">
                  <c:v>0.71293275069747797</c:v>
                </c:pt>
                <c:pt idx="1">
                  <c:v>0.79718746031580201</c:v>
                </c:pt>
                <c:pt idx="2">
                  <c:v>0.88986858143673597</c:v>
                </c:pt>
                <c:pt idx="3">
                  <c:v>0.99813569716522899</c:v>
                </c:pt>
                <c:pt idx="4">
                  <c:v>1.1133298881275899</c:v>
                </c:pt>
                <c:pt idx="5">
                  <c:v>1.24904165459534</c:v>
                </c:pt>
                <c:pt idx="6">
                  <c:v>1.3985625204580701</c:v>
                </c:pt>
                <c:pt idx="7">
                  <c:v>1.5656833686129299</c:v>
                </c:pt>
                <c:pt idx="8">
                  <c:v>1.7412789952258401</c:v>
                </c:pt>
                <c:pt idx="9">
                  <c:v>1.9335174519073699</c:v>
                </c:pt>
                <c:pt idx="10">
                  <c:v>2.1550376023421101</c:v>
                </c:pt>
                <c:pt idx="11">
                  <c:v>2.4021733867284101</c:v>
                </c:pt>
                <c:pt idx="12">
                  <c:v>2.6805619601721098</c:v>
                </c:pt>
                <c:pt idx="13">
                  <c:v>2.9880807007375498</c:v>
                </c:pt>
                <c:pt idx="14">
                  <c:v>3.3302437059223502</c:v>
                </c:pt>
                <c:pt idx="15">
                  <c:v>3.70884463325369</c:v>
                </c:pt>
                <c:pt idx="16">
                  <c:v>4.1387162072481196</c:v>
                </c:pt>
                <c:pt idx="17">
                  <c:v>4.6080929059356501</c:v>
                </c:pt>
                <c:pt idx="18">
                  <c:v>5.1175290201897896</c:v>
                </c:pt>
                <c:pt idx="19">
                  <c:v>5.6576149402476901</c:v>
                </c:pt>
                <c:pt idx="20">
                  <c:v>6.2387261826927203</c:v>
                </c:pt>
                <c:pt idx="21">
                  <c:v>6.8720279033158098</c:v>
                </c:pt>
                <c:pt idx="22">
                  <c:v>7.5527192906550598</c:v>
                </c:pt>
                <c:pt idx="23">
                  <c:v>8.2900737471509593</c:v>
                </c:pt>
                <c:pt idx="24">
                  <c:v>9.0595988571351</c:v>
                </c:pt>
                <c:pt idx="25">
                  <c:v>9.8946369914672303</c:v>
                </c:pt>
                <c:pt idx="26">
                  <c:v>10.7520095188857</c:v>
                </c:pt>
                <c:pt idx="27">
                  <c:v>11.669607233113201</c:v>
                </c:pt>
                <c:pt idx="28">
                  <c:v>12.613030145713999</c:v>
                </c:pt>
                <c:pt idx="29">
                  <c:v>13.538635388765</c:v>
                </c:pt>
                <c:pt idx="30">
                  <c:v>14.4917738888155</c:v>
                </c:pt>
                <c:pt idx="31">
                  <c:v>15.452796671686</c:v>
                </c:pt>
                <c:pt idx="32">
                  <c:v>16.427233074295799</c:v>
                </c:pt>
                <c:pt idx="33">
                  <c:v>17.414578606302399</c:v>
                </c:pt>
                <c:pt idx="34">
                  <c:v>18.430989703117099</c:v>
                </c:pt>
                <c:pt idx="35">
                  <c:v>19.469427519725201</c:v>
                </c:pt>
                <c:pt idx="36">
                  <c:v>20.507001264938101</c:v>
                </c:pt>
                <c:pt idx="37">
                  <c:v>21.5478890635498</c:v>
                </c:pt>
                <c:pt idx="38">
                  <c:v>22.562074106555301</c:v>
                </c:pt>
                <c:pt idx="39">
                  <c:v>23.559167002474801</c:v>
                </c:pt>
                <c:pt idx="40">
                  <c:v>24.5034944064958</c:v>
                </c:pt>
                <c:pt idx="41">
                  <c:v>25.4017925229663</c:v>
                </c:pt>
                <c:pt idx="42">
                  <c:v>26.227548125076702</c:v>
                </c:pt>
                <c:pt idx="43">
                  <c:v>27.005562342083401</c:v>
                </c:pt>
                <c:pt idx="44">
                  <c:v>27.7451441735857</c:v>
                </c:pt>
                <c:pt idx="45">
                  <c:v>28.4393218844221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3.2348461921878702</c:v>
                </c:pt>
                <c:pt idx="61">
                  <c:v>3.3997073158684299</c:v>
                </c:pt>
                <c:pt idx="62">
                  <c:v>3.5714609010387401</c:v>
                </c:pt>
                <c:pt idx="63">
                  <c:v>3.7484308795662402</c:v>
                </c:pt>
                <c:pt idx="64">
                  <c:v>3.9325152514553001</c:v>
                </c:pt>
                <c:pt idx="65">
                  <c:v>4.1244228722842999</c:v>
                </c:pt>
                <c:pt idx="66">
                  <c:v>4.3238641196006098</c:v>
                </c:pt>
                <c:pt idx="67">
                  <c:v>4.5353278621020996</c:v>
                </c:pt>
                <c:pt idx="68">
                  <c:v>4.7591542550838799</c:v>
                </c:pt>
                <c:pt idx="69">
                  <c:v>5.0023386441255999</c:v>
                </c:pt>
                <c:pt idx="70">
                  <c:v>5.25153084909096</c:v>
                </c:pt>
                <c:pt idx="71">
                  <c:v>5.51074259416073</c:v>
                </c:pt>
                <c:pt idx="72">
                  <c:v>5.7907910984916002</c:v>
                </c:pt>
                <c:pt idx="73">
                  <c:v>6.0921615169377104</c:v>
                </c:pt>
                <c:pt idx="74">
                  <c:v>6.4170932126693101</c:v>
                </c:pt>
                <c:pt idx="75">
                  <c:v>6.75584983650272</c:v>
                </c:pt>
                <c:pt idx="76">
                  <c:v>7.1048305839159802</c:v>
                </c:pt>
                <c:pt idx="77">
                  <c:v>7.4685721135421002</c:v>
                </c:pt>
                <c:pt idx="78">
                  <c:v>7.8592580583953904</c:v>
                </c:pt>
                <c:pt idx="79">
                  <c:v>8.2568816394951696</c:v>
                </c:pt>
                <c:pt idx="80">
                  <c:v>8.6744107878193404</c:v>
                </c:pt>
                <c:pt idx="81">
                  <c:v>9.1160763264101092</c:v>
                </c:pt>
                <c:pt idx="82">
                  <c:v>9.5704037496011001</c:v>
                </c:pt>
                <c:pt idx="83">
                  <c:v>10.073384970041699</c:v>
                </c:pt>
                <c:pt idx="84">
                  <c:v>10.609554762436501</c:v>
                </c:pt>
                <c:pt idx="85">
                  <c:v>11.1413268468274</c:v>
                </c:pt>
                <c:pt idx="86">
                  <c:v>11.7097834710959</c:v>
                </c:pt>
                <c:pt idx="87">
                  <c:v>12.328686489831499</c:v>
                </c:pt>
                <c:pt idx="88">
                  <c:v>12.9733897119104</c:v>
                </c:pt>
                <c:pt idx="89">
                  <c:v>13.632684207421899</c:v>
                </c:pt>
                <c:pt idx="90">
                  <c:v>14.3067723224607</c:v>
                </c:pt>
                <c:pt idx="91">
                  <c:v>15.014158198130801</c:v>
                </c:pt>
                <c:pt idx="92">
                  <c:v>15.7866384289599</c:v>
                </c:pt>
                <c:pt idx="93">
                  <c:v>16.565192422944499</c:v>
                </c:pt>
                <c:pt idx="94">
                  <c:v>17.362324986088201</c:v>
                </c:pt>
                <c:pt idx="95">
                  <c:v>18.185231192345</c:v>
                </c:pt>
                <c:pt idx="96">
                  <c:v>19.073641980607999</c:v>
                </c:pt>
                <c:pt idx="97">
                  <c:v>20.020006593480399</c:v>
                </c:pt>
                <c:pt idx="98">
                  <c:v>21.034235041749898</c:v>
                </c:pt>
                <c:pt idx="99">
                  <c:v>22.046248082996499</c:v>
                </c:pt>
                <c:pt idx="100">
                  <c:v>23.136010824252299</c:v>
                </c:pt>
                <c:pt idx="101">
                  <c:v>24.295352732289899</c:v>
                </c:pt>
                <c:pt idx="102">
                  <c:v>25.569221883771199</c:v>
                </c:pt>
                <c:pt idx="103">
                  <c:v>26.846020246581599</c:v>
                </c:pt>
                <c:pt idx="104">
                  <c:v>28.175749961107101</c:v>
                </c:pt>
                <c:pt idx="105">
                  <c:v>29.5997773189311</c:v>
                </c:pt>
                <c:pt idx="106">
                  <c:v>31.060836184521001</c:v>
                </c:pt>
                <c:pt idx="107">
                  <c:v>32.5258915384454</c:v>
                </c:pt>
                <c:pt idx="108">
                  <c:v>34.049498733536304</c:v>
                </c:pt>
                <c:pt idx="109">
                  <c:v>35.614208370766697</c:v>
                </c:pt>
                <c:pt idx="110">
                  <c:v>37.255781583681902</c:v>
                </c:pt>
                <c:pt idx="111">
                  <c:v>38.993351663916698</c:v>
                </c:pt>
                <c:pt idx="112">
                  <c:v>40.738261241333198</c:v>
                </c:pt>
                <c:pt idx="113">
                  <c:v>42.5760987204035</c:v>
                </c:pt>
                <c:pt idx="114">
                  <c:v>44.5033260222405</c:v>
                </c:pt>
                <c:pt idx="115">
                  <c:v>46.4373770915875</c:v>
                </c:pt>
                <c:pt idx="116">
                  <c:v>48.472609472694302</c:v>
                </c:pt>
                <c:pt idx="117">
                  <c:v>50.574551384124803</c:v>
                </c:pt>
                <c:pt idx="118">
                  <c:v>52.724328767412203</c:v>
                </c:pt>
                <c:pt idx="119">
                  <c:v>54.889316590994802</c:v>
                </c:pt>
                <c:pt idx="120">
                  <c:v>57.092450367828498</c:v>
                </c:pt>
                <c:pt idx="121">
                  <c:v>59.394674133791099</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0.68619225976779097</c:v>
                </c:pt>
                <c:pt idx="137">
                  <c:v>0.74246947070534997</c:v>
                </c:pt>
                <c:pt idx="138">
                  <c:v>0.80486795606862804</c:v>
                </c:pt>
                <c:pt idx="139">
                  <c:v>0.87360001806957099</c:v>
                </c:pt>
                <c:pt idx="140">
                  <c:v>0.94825555861657096</c:v>
                </c:pt>
                <c:pt idx="141">
                  <c:v>1.0282259860060501</c:v>
                </c:pt>
                <c:pt idx="142">
                  <c:v>1.1148748095005401</c:v>
                </c:pt>
                <c:pt idx="143">
                  <c:v>1.20552590660206</c:v>
                </c:pt>
                <c:pt idx="144">
                  <c:v>1.3029320541290701</c:v>
                </c:pt>
                <c:pt idx="145">
                  <c:v>1.4109972954576699</c:v>
                </c:pt>
                <c:pt idx="146">
                  <c:v>1.5270257620695</c:v>
                </c:pt>
                <c:pt idx="147">
                  <c:v>1.6563236053839001</c:v>
                </c:pt>
                <c:pt idx="148">
                  <c:v>1.79998493732203</c:v>
                </c:pt>
                <c:pt idx="149">
                  <c:v>1.95324309345339</c:v>
                </c:pt>
                <c:pt idx="150">
                  <c:v>2.1179446942247901</c:v>
                </c:pt>
                <c:pt idx="151">
                  <c:v>2.2937918995810902</c:v>
                </c:pt>
                <c:pt idx="152">
                  <c:v>2.4842816764250299</c:v>
                </c:pt>
                <c:pt idx="153">
                  <c:v>2.6899018436675899</c:v>
                </c:pt>
                <c:pt idx="154">
                  <c:v>2.90702528699632</c:v>
                </c:pt>
                <c:pt idx="155">
                  <c:v>3.1425193540420699</c:v>
                </c:pt>
                <c:pt idx="156">
                  <c:v>3.3993646048721802</c:v>
                </c:pt>
                <c:pt idx="157">
                  <c:v>3.6748033431164902</c:v>
                </c:pt>
                <c:pt idx="158">
                  <c:v>3.9727006418380499</c:v>
                </c:pt>
                <c:pt idx="159">
                  <c:v>4.2842571897840704</c:v>
                </c:pt>
                <c:pt idx="160">
                  <c:v>4.61938126202402</c:v>
                </c:pt>
                <c:pt idx="161">
                  <c:v>4.9818247588679796</c:v>
                </c:pt>
                <c:pt idx="162">
                  <c:v>5.3612958163286999</c:v>
                </c:pt>
                <c:pt idx="163">
                  <c:v>5.7658814731220298</c:v>
                </c:pt>
                <c:pt idx="164">
                  <c:v>6.2150589791903803</c:v>
                </c:pt>
                <c:pt idx="165">
                  <c:v>6.7001443739604296</c:v>
                </c:pt>
                <c:pt idx="166">
                  <c:v>7.2071183533520804</c:v>
                </c:pt>
                <c:pt idx="167">
                  <c:v>7.7315434792263797</c:v>
                </c:pt>
                <c:pt idx="168">
                  <c:v>8.2775197843487192</c:v>
                </c:pt>
                <c:pt idx="169">
                  <c:v>8.8620899308210603</c:v>
                </c:pt>
                <c:pt idx="170">
                  <c:v>9.4670148076887202</c:v>
                </c:pt>
                <c:pt idx="171">
                  <c:v>10.1061667578039</c:v>
                </c:pt>
                <c:pt idx="172">
                  <c:v>10.7551215962554</c:v>
                </c:pt>
                <c:pt idx="173">
                  <c:v>11.4301124366105</c:v>
                </c:pt>
                <c:pt idx="174">
                  <c:v>12.1439796714824</c:v>
                </c:pt>
                <c:pt idx="175">
                  <c:v>12.8870539083445</c:v>
                </c:pt>
                <c:pt idx="176">
                  <c:v>13.657892129225599</c:v>
                </c:pt>
                <c:pt idx="177">
                  <c:v>14.438422135339399</c:v>
                </c:pt>
                <c:pt idx="178">
                  <c:v>15.220586423673099</c:v>
                </c:pt>
                <c:pt idx="179">
                  <c:v>16.0182333315792</c:v>
                </c:pt>
                <c:pt idx="180">
                  <c:v>16.829631254996102</c:v>
                </c:pt>
                <c:pt idx="181">
                  <c:v>17.653859393241301</c:v>
                </c:pt>
                <c:pt idx="182">
                  <c:v>18.477039130054202</c:v>
                </c:pt>
                <c:pt idx="183">
                  <c:v>19.295530581596999</c:v>
                </c:pt>
                <c:pt idx="184">
                  <c:v>20.097704491893399</c:v>
                </c:pt>
                <c:pt idx="185">
                  <c:v>20.891542548056201</c:v>
                </c:pt>
                <c:pt idx="186">
                  <c:v>21.684095888482201</c:v>
                </c:pt>
                <c:pt idx="187">
                  <c:v>22.457322322245599</c:v>
                </c:pt>
                <c:pt idx="188">
                  <c:v>23.2199241327435</c:v>
                </c:pt>
                <c:pt idx="189">
                  <c:v>23.963887289238102</c:v>
                </c:pt>
                <c:pt idx="190">
                  <c:v>24.683594111151301</c:v>
                </c:pt>
                <c:pt idx="191">
                  <c:v>25.377949316236499</c:v>
                </c:pt>
                <c:pt idx="192">
                  <c:v>26.051766411194698</c:v>
                </c:pt>
                <c:pt idx="193">
                  <c:v>26.699181365991699</c:v>
                </c:pt>
                <c:pt idx="194">
                  <c:v>27.304902652083999</c:v>
                </c:pt>
                <c:pt idx="195">
                  <c:v>27.884549294870698</c:v>
                </c:pt>
                <c:pt idx="196">
                  <c:v>28.4393218844221</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val>
          <c:smooth val="0"/>
          <c:extLst>
            <c:ext xmlns:c16="http://schemas.microsoft.com/office/drawing/2014/chart" uri="{C3380CC4-5D6E-409C-BE32-E72D297353CC}">
              <c16:uniqueId val="{0000000A-8F3A-4CED-B35A-9EFBA0F917EB}"/>
            </c:ext>
          </c:extLst>
        </c:ser>
        <c:ser>
          <c:idx val="5"/>
          <c:order val="3"/>
          <c:tx>
            <c:v>Soil mineral N</c:v>
          </c:tx>
          <c:spPr>
            <a:ln w="28575" cap="rnd">
              <a:solidFill>
                <a:schemeClr val="accent4">
                  <a:lumMod val="60000"/>
                  <a:lumOff val="40000"/>
                </a:schemeClr>
              </a:solidFill>
              <a:prstDash val="sysDash"/>
              <a:round/>
            </a:ln>
            <a:effectLst/>
          </c:spPr>
          <c:marker>
            <c:symbol val="none"/>
          </c:marker>
          <c:cat>
            <c:numRef>
              <c:f>'Model Interface'!$L$6:$L$495</c:f>
              <c:numCache>
                <c:formatCode>m/d/yyyy</c:formatCode>
                <c:ptCount val="490"/>
                <c:pt idx="0">
                  <c:v>44394</c:v>
                </c:pt>
                <c:pt idx="1">
                  <c:v>44395</c:v>
                </c:pt>
                <c:pt idx="2">
                  <c:v>44396</c:v>
                </c:pt>
                <c:pt idx="3">
                  <c:v>44397</c:v>
                </c:pt>
                <c:pt idx="4">
                  <c:v>44398</c:v>
                </c:pt>
                <c:pt idx="5">
                  <c:v>44399</c:v>
                </c:pt>
                <c:pt idx="6">
                  <c:v>44400</c:v>
                </c:pt>
                <c:pt idx="7">
                  <c:v>44401</c:v>
                </c:pt>
                <c:pt idx="8">
                  <c:v>44402</c:v>
                </c:pt>
                <c:pt idx="9">
                  <c:v>44403</c:v>
                </c:pt>
                <c:pt idx="10">
                  <c:v>44404</c:v>
                </c:pt>
                <c:pt idx="11">
                  <c:v>44405</c:v>
                </c:pt>
                <c:pt idx="12">
                  <c:v>44406</c:v>
                </c:pt>
                <c:pt idx="13">
                  <c:v>44407</c:v>
                </c:pt>
                <c:pt idx="14">
                  <c:v>44408</c:v>
                </c:pt>
                <c:pt idx="15">
                  <c:v>44409</c:v>
                </c:pt>
                <c:pt idx="16">
                  <c:v>44410</c:v>
                </c:pt>
                <c:pt idx="17">
                  <c:v>44411</c:v>
                </c:pt>
                <c:pt idx="18">
                  <c:v>44412</c:v>
                </c:pt>
                <c:pt idx="19">
                  <c:v>44413</c:v>
                </c:pt>
                <c:pt idx="20">
                  <c:v>44414</c:v>
                </c:pt>
                <c:pt idx="21">
                  <c:v>44415</c:v>
                </c:pt>
                <c:pt idx="22">
                  <c:v>44416</c:v>
                </c:pt>
                <c:pt idx="23">
                  <c:v>44417</c:v>
                </c:pt>
                <c:pt idx="24">
                  <c:v>44418</c:v>
                </c:pt>
                <c:pt idx="25">
                  <c:v>44419</c:v>
                </c:pt>
                <c:pt idx="26">
                  <c:v>44420</c:v>
                </c:pt>
                <c:pt idx="27">
                  <c:v>44421</c:v>
                </c:pt>
                <c:pt idx="28">
                  <c:v>44422</c:v>
                </c:pt>
                <c:pt idx="29">
                  <c:v>44423</c:v>
                </c:pt>
                <c:pt idx="30">
                  <c:v>44424</c:v>
                </c:pt>
                <c:pt idx="31">
                  <c:v>44425</c:v>
                </c:pt>
                <c:pt idx="32">
                  <c:v>44426</c:v>
                </c:pt>
                <c:pt idx="33">
                  <c:v>44427</c:v>
                </c:pt>
                <c:pt idx="34">
                  <c:v>44428</c:v>
                </c:pt>
                <c:pt idx="35">
                  <c:v>44429</c:v>
                </c:pt>
                <c:pt idx="36">
                  <c:v>44430</c:v>
                </c:pt>
                <c:pt idx="37">
                  <c:v>44431</c:v>
                </c:pt>
                <c:pt idx="38">
                  <c:v>44432</c:v>
                </c:pt>
                <c:pt idx="39">
                  <c:v>44433</c:v>
                </c:pt>
                <c:pt idx="40">
                  <c:v>44434</c:v>
                </c:pt>
                <c:pt idx="41">
                  <c:v>44435</c:v>
                </c:pt>
                <c:pt idx="42">
                  <c:v>44436</c:v>
                </c:pt>
                <c:pt idx="43">
                  <c:v>44437</c:v>
                </c:pt>
                <c:pt idx="44">
                  <c:v>44438</c:v>
                </c:pt>
                <c:pt idx="45">
                  <c:v>44439</c:v>
                </c:pt>
                <c:pt idx="46">
                  <c:v>44440</c:v>
                </c:pt>
                <c:pt idx="47">
                  <c:v>44441</c:v>
                </c:pt>
                <c:pt idx="48">
                  <c:v>44442</c:v>
                </c:pt>
                <c:pt idx="49">
                  <c:v>44443</c:v>
                </c:pt>
                <c:pt idx="50">
                  <c:v>44444</c:v>
                </c:pt>
                <c:pt idx="51">
                  <c:v>44445</c:v>
                </c:pt>
                <c:pt idx="52">
                  <c:v>44446</c:v>
                </c:pt>
                <c:pt idx="53">
                  <c:v>44447</c:v>
                </c:pt>
                <c:pt idx="54">
                  <c:v>44448</c:v>
                </c:pt>
                <c:pt idx="55">
                  <c:v>44449</c:v>
                </c:pt>
                <c:pt idx="56">
                  <c:v>44450</c:v>
                </c:pt>
                <c:pt idx="57">
                  <c:v>44451</c:v>
                </c:pt>
                <c:pt idx="58">
                  <c:v>44452</c:v>
                </c:pt>
                <c:pt idx="59">
                  <c:v>44453</c:v>
                </c:pt>
                <c:pt idx="60">
                  <c:v>44454</c:v>
                </c:pt>
                <c:pt idx="61">
                  <c:v>44455</c:v>
                </c:pt>
                <c:pt idx="62">
                  <c:v>44456</c:v>
                </c:pt>
                <c:pt idx="63">
                  <c:v>44457</c:v>
                </c:pt>
                <c:pt idx="64">
                  <c:v>44458</c:v>
                </c:pt>
                <c:pt idx="65">
                  <c:v>44459</c:v>
                </c:pt>
                <c:pt idx="66">
                  <c:v>44460</c:v>
                </c:pt>
                <c:pt idx="67">
                  <c:v>44461</c:v>
                </c:pt>
                <c:pt idx="68">
                  <c:v>44462</c:v>
                </c:pt>
                <c:pt idx="69">
                  <c:v>44463</c:v>
                </c:pt>
                <c:pt idx="70">
                  <c:v>44464</c:v>
                </c:pt>
                <c:pt idx="71">
                  <c:v>44465</c:v>
                </c:pt>
                <c:pt idx="72">
                  <c:v>44466</c:v>
                </c:pt>
                <c:pt idx="73">
                  <c:v>44467</c:v>
                </c:pt>
                <c:pt idx="74">
                  <c:v>44468</c:v>
                </c:pt>
                <c:pt idx="75">
                  <c:v>44469</c:v>
                </c:pt>
                <c:pt idx="76">
                  <c:v>44470</c:v>
                </c:pt>
                <c:pt idx="77">
                  <c:v>44471</c:v>
                </c:pt>
                <c:pt idx="78">
                  <c:v>44472</c:v>
                </c:pt>
                <c:pt idx="79">
                  <c:v>44473</c:v>
                </c:pt>
                <c:pt idx="80">
                  <c:v>44474</c:v>
                </c:pt>
                <c:pt idx="81">
                  <c:v>44475</c:v>
                </c:pt>
                <c:pt idx="82">
                  <c:v>44476</c:v>
                </c:pt>
                <c:pt idx="83">
                  <c:v>44477</c:v>
                </c:pt>
                <c:pt idx="84">
                  <c:v>44478</c:v>
                </c:pt>
                <c:pt idx="85">
                  <c:v>44479</c:v>
                </c:pt>
                <c:pt idx="86">
                  <c:v>44480</c:v>
                </c:pt>
                <c:pt idx="87">
                  <c:v>44481</c:v>
                </c:pt>
                <c:pt idx="88">
                  <c:v>44482</c:v>
                </c:pt>
                <c:pt idx="89">
                  <c:v>44483</c:v>
                </c:pt>
                <c:pt idx="90">
                  <c:v>44484</c:v>
                </c:pt>
                <c:pt idx="91">
                  <c:v>44485</c:v>
                </c:pt>
                <c:pt idx="92">
                  <c:v>44486</c:v>
                </c:pt>
                <c:pt idx="93">
                  <c:v>44487</c:v>
                </c:pt>
                <c:pt idx="94">
                  <c:v>44488</c:v>
                </c:pt>
                <c:pt idx="95">
                  <c:v>44489</c:v>
                </c:pt>
                <c:pt idx="96">
                  <c:v>44490</c:v>
                </c:pt>
                <c:pt idx="97">
                  <c:v>44491</c:v>
                </c:pt>
                <c:pt idx="98">
                  <c:v>44492</c:v>
                </c:pt>
                <c:pt idx="99">
                  <c:v>44493</c:v>
                </c:pt>
                <c:pt idx="100">
                  <c:v>44494</c:v>
                </c:pt>
                <c:pt idx="101">
                  <c:v>44495</c:v>
                </c:pt>
                <c:pt idx="102">
                  <c:v>44496</c:v>
                </c:pt>
                <c:pt idx="103">
                  <c:v>44497</c:v>
                </c:pt>
                <c:pt idx="104">
                  <c:v>44498</c:v>
                </c:pt>
                <c:pt idx="105">
                  <c:v>44499</c:v>
                </c:pt>
                <c:pt idx="106">
                  <c:v>44500</c:v>
                </c:pt>
                <c:pt idx="107">
                  <c:v>44501</c:v>
                </c:pt>
                <c:pt idx="108">
                  <c:v>44502</c:v>
                </c:pt>
                <c:pt idx="109">
                  <c:v>44503</c:v>
                </c:pt>
                <c:pt idx="110">
                  <c:v>44504</c:v>
                </c:pt>
                <c:pt idx="111">
                  <c:v>44505</c:v>
                </c:pt>
                <c:pt idx="112">
                  <c:v>44506</c:v>
                </c:pt>
                <c:pt idx="113">
                  <c:v>44507</c:v>
                </c:pt>
                <c:pt idx="114">
                  <c:v>44508</c:v>
                </c:pt>
                <c:pt idx="115">
                  <c:v>44509</c:v>
                </c:pt>
                <c:pt idx="116">
                  <c:v>44510</c:v>
                </c:pt>
                <c:pt idx="117">
                  <c:v>44511</c:v>
                </c:pt>
                <c:pt idx="118">
                  <c:v>44512</c:v>
                </c:pt>
                <c:pt idx="119">
                  <c:v>44513</c:v>
                </c:pt>
                <c:pt idx="120">
                  <c:v>44514</c:v>
                </c:pt>
                <c:pt idx="121">
                  <c:v>44515</c:v>
                </c:pt>
                <c:pt idx="122">
                  <c:v>44516</c:v>
                </c:pt>
                <c:pt idx="123">
                  <c:v>44517</c:v>
                </c:pt>
                <c:pt idx="124">
                  <c:v>44518</c:v>
                </c:pt>
                <c:pt idx="125">
                  <c:v>44519</c:v>
                </c:pt>
                <c:pt idx="126">
                  <c:v>44520</c:v>
                </c:pt>
                <c:pt idx="127">
                  <c:v>44521</c:v>
                </c:pt>
                <c:pt idx="128">
                  <c:v>44522</c:v>
                </c:pt>
                <c:pt idx="129">
                  <c:v>44523</c:v>
                </c:pt>
                <c:pt idx="130">
                  <c:v>44524</c:v>
                </c:pt>
                <c:pt idx="131">
                  <c:v>44525</c:v>
                </c:pt>
                <c:pt idx="132">
                  <c:v>44526</c:v>
                </c:pt>
                <c:pt idx="133">
                  <c:v>44527</c:v>
                </c:pt>
                <c:pt idx="134">
                  <c:v>44528</c:v>
                </c:pt>
                <c:pt idx="135">
                  <c:v>44529</c:v>
                </c:pt>
                <c:pt idx="136">
                  <c:v>44530</c:v>
                </c:pt>
                <c:pt idx="137">
                  <c:v>44531</c:v>
                </c:pt>
                <c:pt idx="138">
                  <c:v>44532</c:v>
                </c:pt>
                <c:pt idx="139">
                  <c:v>44533</c:v>
                </c:pt>
                <c:pt idx="140">
                  <c:v>44534</c:v>
                </c:pt>
                <c:pt idx="141">
                  <c:v>44535</c:v>
                </c:pt>
                <c:pt idx="142">
                  <c:v>44536</c:v>
                </c:pt>
                <c:pt idx="143">
                  <c:v>44537</c:v>
                </c:pt>
                <c:pt idx="144">
                  <c:v>44538</c:v>
                </c:pt>
                <c:pt idx="145">
                  <c:v>44539</c:v>
                </c:pt>
                <c:pt idx="146">
                  <c:v>44540</c:v>
                </c:pt>
                <c:pt idx="147">
                  <c:v>44541</c:v>
                </c:pt>
                <c:pt idx="148">
                  <c:v>44542</c:v>
                </c:pt>
                <c:pt idx="149">
                  <c:v>44543</c:v>
                </c:pt>
                <c:pt idx="150">
                  <c:v>44544</c:v>
                </c:pt>
                <c:pt idx="151">
                  <c:v>44545</c:v>
                </c:pt>
                <c:pt idx="152">
                  <c:v>44546</c:v>
                </c:pt>
                <c:pt idx="153">
                  <c:v>44547</c:v>
                </c:pt>
                <c:pt idx="154">
                  <c:v>44548</c:v>
                </c:pt>
                <c:pt idx="155">
                  <c:v>44549</c:v>
                </c:pt>
                <c:pt idx="156">
                  <c:v>44550</c:v>
                </c:pt>
                <c:pt idx="157">
                  <c:v>44551</c:v>
                </c:pt>
                <c:pt idx="158">
                  <c:v>44552</c:v>
                </c:pt>
                <c:pt idx="159">
                  <c:v>44553</c:v>
                </c:pt>
                <c:pt idx="160">
                  <c:v>44554</c:v>
                </c:pt>
                <c:pt idx="161">
                  <c:v>44555</c:v>
                </c:pt>
                <c:pt idx="162">
                  <c:v>44556</c:v>
                </c:pt>
                <c:pt idx="163">
                  <c:v>44557</c:v>
                </c:pt>
                <c:pt idx="164">
                  <c:v>44558</c:v>
                </c:pt>
                <c:pt idx="165">
                  <c:v>44559</c:v>
                </c:pt>
                <c:pt idx="166">
                  <c:v>44560</c:v>
                </c:pt>
                <c:pt idx="167">
                  <c:v>44561</c:v>
                </c:pt>
                <c:pt idx="168">
                  <c:v>44562</c:v>
                </c:pt>
                <c:pt idx="169">
                  <c:v>44563</c:v>
                </c:pt>
                <c:pt idx="170">
                  <c:v>44564</c:v>
                </c:pt>
                <c:pt idx="171">
                  <c:v>44565</c:v>
                </c:pt>
                <c:pt idx="172">
                  <c:v>44566</c:v>
                </c:pt>
                <c:pt idx="173">
                  <c:v>44567</c:v>
                </c:pt>
                <c:pt idx="174">
                  <c:v>44568</c:v>
                </c:pt>
                <c:pt idx="175">
                  <c:v>44569</c:v>
                </c:pt>
                <c:pt idx="176">
                  <c:v>44570</c:v>
                </c:pt>
                <c:pt idx="177">
                  <c:v>44571</c:v>
                </c:pt>
                <c:pt idx="178">
                  <c:v>44572</c:v>
                </c:pt>
                <c:pt idx="179">
                  <c:v>44573</c:v>
                </c:pt>
                <c:pt idx="180">
                  <c:v>44574</c:v>
                </c:pt>
                <c:pt idx="181">
                  <c:v>44575</c:v>
                </c:pt>
                <c:pt idx="182">
                  <c:v>44576</c:v>
                </c:pt>
                <c:pt idx="183">
                  <c:v>44577</c:v>
                </c:pt>
                <c:pt idx="184">
                  <c:v>44578</c:v>
                </c:pt>
                <c:pt idx="185">
                  <c:v>44579</c:v>
                </c:pt>
                <c:pt idx="186">
                  <c:v>44580</c:v>
                </c:pt>
                <c:pt idx="187">
                  <c:v>44581</c:v>
                </c:pt>
                <c:pt idx="188">
                  <c:v>44582</c:v>
                </c:pt>
                <c:pt idx="189">
                  <c:v>44583</c:v>
                </c:pt>
                <c:pt idx="190">
                  <c:v>44584</c:v>
                </c:pt>
                <c:pt idx="191">
                  <c:v>44585</c:v>
                </c:pt>
                <c:pt idx="192">
                  <c:v>44586</c:v>
                </c:pt>
                <c:pt idx="193">
                  <c:v>44587</c:v>
                </c:pt>
                <c:pt idx="194">
                  <c:v>44588</c:v>
                </c:pt>
                <c:pt idx="195">
                  <c:v>44589</c:v>
                </c:pt>
                <c:pt idx="196">
                  <c:v>44590</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cat>
          <c:val>
            <c:numRef>
              <c:f>Backend!$AD$26:$AD$251</c:f>
              <c:numCache>
                <c:formatCode>0.00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smooth val="0"/>
          <c:extLst>
            <c:ext xmlns:c16="http://schemas.microsoft.com/office/drawing/2014/chart" uri="{C3380CC4-5D6E-409C-BE32-E72D297353CC}">
              <c16:uniqueId val="{0000000B-1ED6-43CF-9E32-F79A8A017C90}"/>
            </c:ext>
          </c:extLst>
        </c:ser>
        <c:ser>
          <c:idx val="6"/>
          <c:order val="4"/>
          <c:tx>
            <c:strRef>
              <c:f>Backend!$AE$25</c:f>
              <c:strCache>
                <c:ptCount val="1"/>
                <c:pt idx="0">
                  <c:v>Soil N - reset</c:v>
                </c:pt>
              </c:strCache>
            </c:strRef>
          </c:tx>
          <c:spPr>
            <a:ln w="28575" cap="rnd">
              <a:solidFill>
                <a:srgbClr val="00B050"/>
              </a:solidFill>
              <a:round/>
            </a:ln>
            <a:effectLst/>
          </c:spPr>
          <c:marker>
            <c:symbol val="none"/>
          </c:marker>
          <c:cat>
            <c:numRef>
              <c:f>'Model Interface'!$L$6:$L$495</c:f>
              <c:numCache>
                <c:formatCode>m/d/yyyy</c:formatCode>
                <c:ptCount val="490"/>
                <c:pt idx="0">
                  <c:v>44394</c:v>
                </c:pt>
                <c:pt idx="1">
                  <c:v>44395</c:v>
                </c:pt>
                <c:pt idx="2">
                  <c:v>44396</c:v>
                </c:pt>
                <c:pt idx="3">
                  <c:v>44397</c:v>
                </c:pt>
                <c:pt idx="4">
                  <c:v>44398</c:v>
                </c:pt>
                <c:pt idx="5">
                  <c:v>44399</c:v>
                </c:pt>
                <c:pt idx="6">
                  <c:v>44400</c:v>
                </c:pt>
                <c:pt idx="7">
                  <c:v>44401</c:v>
                </c:pt>
                <c:pt idx="8">
                  <c:v>44402</c:v>
                </c:pt>
                <c:pt idx="9">
                  <c:v>44403</c:v>
                </c:pt>
                <c:pt idx="10">
                  <c:v>44404</c:v>
                </c:pt>
                <c:pt idx="11">
                  <c:v>44405</c:v>
                </c:pt>
                <c:pt idx="12">
                  <c:v>44406</c:v>
                </c:pt>
                <c:pt idx="13">
                  <c:v>44407</c:v>
                </c:pt>
                <c:pt idx="14">
                  <c:v>44408</c:v>
                </c:pt>
                <c:pt idx="15">
                  <c:v>44409</c:v>
                </c:pt>
                <c:pt idx="16">
                  <c:v>44410</c:v>
                </c:pt>
                <c:pt idx="17">
                  <c:v>44411</c:v>
                </c:pt>
                <c:pt idx="18">
                  <c:v>44412</c:v>
                </c:pt>
                <c:pt idx="19">
                  <c:v>44413</c:v>
                </c:pt>
                <c:pt idx="20">
                  <c:v>44414</c:v>
                </c:pt>
                <c:pt idx="21">
                  <c:v>44415</c:v>
                </c:pt>
                <c:pt idx="22">
                  <c:v>44416</c:v>
                </c:pt>
                <c:pt idx="23">
                  <c:v>44417</c:v>
                </c:pt>
                <c:pt idx="24">
                  <c:v>44418</c:v>
                </c:pt>
                <c:pt idx="25">
                  <c:v>44419</c:v>
                </c:pt>
                <c:pt idx="26">
                  <c:v>44420</c:v>
                </c:pt>
                <c:pt idx="27">
                  <c:v>44421</c:v>
                </c:pt>
                <c:pt idx="28">
                  <c:v>44422</c:v>
                </c:pt>
                <c:pt idx="29">
                  <c:v>44423</c:v>
                </c:pt>
                <c:pt idx="30">
                  <c:v>44424</c:v>
                </c:pt>
                <c:pt idx="31">
                  <c:v>44425</c:v>
                </c:pt>
                <c:pt idx="32">
                  <c:v>44426</c:v>
                </c:pt>
                <c:pt idx="33">
                  <c:v>44427</c:v>
                </c:pt>
                <c:pt idx="34">
                  <c:v>44428</c:v>
                </c:pt>
                <c:pt idx="35">
                  <c:v>44429</c:v>
                </c:pt>
                <c:pt idx="36">
                  <c:v>44430</c:v>
                </c:pt>
                <c:pt idx="37">
                  <c:v>44431</c:v>
                </c:pt>
                <c:pt idx="38">
                  <c:v>44432</c:v>
                </c:pt>
                <c:pt idx="39">
                  <c:v>44433</c:v>
                </c:pt>
                <c:pt idx="40">
                  <c:v>44434</c:v>
                </c:pt>
                <c:pt idx="41">
                  <c:v>44435</c:v>
                </c:pt>
                <c:pt idx="42">
                  <c:v>44436</c:v>
                </c:pt>
                <c:pt idx="43">
                  <c:v>44437</c:v>
                </c:pt>
                <c:pt idx="44">
                  <c:v>44438</c:v>
                </c:pt>
                <c:pt idx="45">
                  <c:v>44439</c:v>
                </c:pt>
                <c:pt idx="46">
                  <c:v>44440</c:v>
                </c:pt>
                <c:pt idx="47">
                  <c:v>44441</c:v>
                </c:pt>
                <c:pt idx="48">
                  <c:v>44442</c:v>
                </c:pt>
                <c:pt idx="49">
                  <c:v>44443</c:v>
                </c:pt>
                <c:pt idx="50">
                  <c:v>44444</c:v>
                </c:pt>
                <c:pt idx="51">
                  <c:v>44445</c:v>
                </c:pt>
                <c:pt idx="52">
                  <c:v>44446</c:v>
                </c:pt>
                <c:pt idx="53">
                  <c:v>44447</c:v>
                </c:pt>
                <c:pt idx="54">
                  <c:v>44448</c:v>
                </c:pt>
                <c:pt idx="55">
                  <c:v>44449</c:v>
                </c:pt>
                <c:pt idx="56">
                  <c:v>44450</c:v>
                </c:pt>
                <c:pt idx="57">
                  <c:v>44451</c:v>
                </c:pt>
                <c:pt idx="58">
                  <c:v>44452</c:v>
                </c:pt>
                <c:pt idx="59">
                  <c:v>44453</c:v>
                </c:pt>
                <c:pt idx="60">
                  <c:v>44454</c:v>
                </c:pt>
                <c:pt idx="61">
                  <c:v>44455</c:v>
                </c:pt>
                <c:pt idx="62">
                  <c:v>44456</c:v>
                </c:pt>
                <c:pt idx="63">
                  <c:v>44457</c:v>
                </c:pt>
                <c:pt idx="64">
                  <c:v>44458</c:v>
                </c:pt>
                <c:pt idx="65">
                  <c:v>44459</c:v>
                </c:pt>
                <c:pt idx="66">
                  <c:v>44460</c:v>
                </c:pt>
                <c:pt idx="67">
                  <c:v>44461</c:v>
                </c:pt>
                <c:pt idx="68">
                  <c:v>44462</c:v>
                </c:pt>
                <c:pt idx="69">
                  <c:v>44463</c:v>
                </c:pt>
                <c:pt idx="70">
                  <c:v>44464</c:v>
                </c:pt>
                <c:pt idx="71">
                  <c:v>44465</c:v>
                </c:pt>
                <c:pt idx="72">
                  <c:v>44466</c:v>
                </c:pt>
                <c:pt idx="73">
                  <c:v>44467</c:v>
                </c:pt>
                <c:pt idx="74">
                  <c:v>44468</c:v>
                </c:pt>
                <c:pt idx="75">
                  <c:v>44469</c:v>
                </c:pt>
                <c:pt idx="76">
                  <c:v>44470</c:v>
                </c:pt>
                <c:pt idx="77">
                  <c:v>44471</c:v>
                </c:pt>
                <c:pt idx="78">
                  <c:v>44472</c:v>
                </c:pt>
                <c:pt idx="79">
                  <c:v>44473</c:v>
                </c:pt>
                <c:pt idx="80">
                  <c:v>44474</c:v>
                </c:pt>
                <c:pt idx="81">
                  <c:v>44475</c:v>
                </c:pt>
                <c:pt idx="82">
                  <c:v>44476</c:v>
                </c:pt>
                <c:pt idx="83">
                  <c:v>44477</c:v>
                </c:pt>
                <c:pt idx="84">
                  <c:v>44478</c:v>
                </c:pt>
                <c:pt idx="85">
                  <c:v>44479</c:v>
                </c:pt>
                <c:pt idx="86">
                  <c:v>44480</c:v>
                </c:pt>
                <c:pt idx="87">
                  <c:v>44481</c:v>
                </c:pt>
                <c:pt idx="88">
                  <c:v>44482</c:v>
                </c:pt>
                <c:pt idx="89">
                  <c:v>44483</c:v>
                </c:pt>
                <c:pt idx="90">
                  <c:v>44484</c:v>
                </c:pt>
                <c:pt idx="91">
                  <c:v>44485</c:v>
                </c:pt>
                <c:pt idx="92">
                  <c:v>44486</c:v>
                </c:pt>
                <c:pt idx="93">
                  <c:v>44487</c:v>
                </c:pt>
                <c:pt idx="94">
                  <c:v>44488</c:v>
                </c:pt>
                <c:pt idx="95">
                  <c:v>44489</c:v>
                </c:pt>
                <c:pt idx="96">
                  <c:v>44490</c:v>
                </c:pt>
                <c:pt idx="97">
                  <c:v>44491</c:v>
                </c:pt>
                <c:pt idx="98">
                  <c:v>44492</c:v>
                </c:pt>
                <c:pt idx="99">
                  <c:v>44493</c:v>
                </c:pt>
                <c:pt idx="100">
                  <c:v>44494</c:v>
                </c:pt>
                <c:pt idx="101">
                  <c:v>44495</c:v>
                </c:pt>
                <c:pt idx="102">
                  <c:v>44496</c:v>
                </c:pt>
                <c:pt idx="103">
                  <c:v>44497</c:v>
                </c:pt>
                <c:pt idx="104">
                  <c:v>44498</c:v>
                </c:pt>
                <c:pt idx="105">
                  <c:v>44499</c:v>
                </c:pt>
                <c:pt idx="106">
                  <c:v>44500</c:v>
                </c:pt>
                <c:pt idx="107">
                  <c:v>44501</c:v>
                </c:pt>
                <c:pt idx="108">
                  <c:v>44502</c:v>
                </c:pt>
                <c:pt idx="109">
                  <c:v>44503</c:v>
                </c:pt>
                <c:pt idx="110">
                  <c:v>44504</c:v>
                </c:pt>
                <c:pt idx="111">
                  <c:v>44505</c:v>
                </c:pt>
                <c:pt idx="112">
                  <c:v>44506</c:v>
                </c:pt>
                <c:pt idx="113">
                  <c:v>44507</c:v>
                </c:pt>
                <c:pt idx="114">
                  <c:v>44508</c:v>
                </c:pt>
                <c:pt idx="115">
                  <c:v>44509</c:v>
                </c:pt>
                <c:pt idx="116">
                  <c:v>44510</c:v>
                </c:pt>
                <c:pt idx="117">
                  <c:v>44511</c:v>
                </c:pt>
                <c:pt idx="118">
                  <c:v>44512</c:v>
                </c:pt>
                <c:pt idx="119">
                  <c:v>44513</c:v>
                </c:pt>
                <c:pt idx="120">
                  <c:v>44514</c:v>
                </c:pt>
                <c:pt idx="121">
                  <c:v>44515</c:v>
                </c:pt>
                <c:pt idx="122">
                  <c:v>44516</c:v>
                </c:pt>
                <c:pt idx="123">
                  <c:v>44517</c:v>
                </c:pt>
                <c:pt idx="124">
                  <c:v>44518</c:v>
                </c:pt>
                <c:pt idx="125">
                  <c:v>44519</c:v>
                </c:pt>
                <c:pt idx="126">
                  <c:v>44520</c:v>
                </c:pt>
                <c:pt idx="127">
                  <c:v>44521</c:v>
                </c:pt>
                <c:pt idx="128">
                  <c:v>44522</c:v>
                </c:pt>
                <c:pt idx="129">
                  <c:v>44523</c:v>
                </c:pt>
                <c:pt idx="130">
                  <c:v>44524</c:v>
                </c:pt>
                <c:pt idx="131">
                  <c:v>44525</c:v>
                </c:pt>
                <c:pt idx="132">
                  <c:v>44526</c:v>
                </c:pt>
                <c:pt idx="133">
                  <c:v>44527</c:v>
                </c:pt>
                <c:pt idx="134">
                  <c:v>44528</c:v>
                </c:pt>
                <c:pt idx="135">
                  <c:v>44529</c:v>
                </c:pt>
                <c:pt idx="136">
                  <c:v>44530</c:v>
                </c:pt>
                <c:pt idx="137">
                  <c:v>44531</c:v>
                </c:pt>
                <c:pt idx="138">
                  <c:v>44532</c:v>
                </c:pt>
                <c:pt idx="139">
                  <c:v>44533</c:v>
                </c:pt>
                <c:pt idx="140">
                  <c:v>44534</c:v>
                </c:pt>
                <c:pt idx="141">
                  <c:v>44535</c:v>
                </c:pt>
                <c:pt idx="142">
                  <c:v>44536</c:v>
                </c:pt>
                <c:pt idx="143">
                  <c:v>44537</c:v>
                </c:pt>
                <c:pt idx="144">
                  <c:v>44538</c:v>
                </c:pt>
                <c:pt idx="145">
                  <c:v>44539</c:v>
                </c:pt>
                <c:pt idx="146">
                  <c:v>44540</c:v>
                </c:pt>
                <c:pt idx="147">
                  <c:v>44541</c:v>
                </c:pt>
                <c:pt idx="148">
                  <c:v>44542</c:v>
                </c:pt>
                <c:pt idx="149">
                  <c:v>44543</c:v>
                </c:pt>
                <c:pt idx="150">
                  <c:v>44544</c:v>
                </c:pt>
                <c:pt idx="151">
                  <c:v>44545</c:v>
                </c:pt>
                <c:pt idx="152">
                  <c:v>44546</c:v>
                </c:pt>
                <c:pt idx="153">
                  <c:v>44547</c:v>
                </c:pt>
                <c:pt idx="154">
                  <c:v>44548</c:v>
                </c:pt>
                <c:pt idx="155">
                  <c:v>44549</c:v>
                </c:pt>
                <c:pt idx="156">
                  <c:v>44550</c:v>
                </c:pt>
                <c:pt idx="157">
                  <c:v>44551</c:v>
                </c:pt>
                <c:pt idx="158">
                  <c:v>44552</c:v>
                </c:pt>
                <c:pt idx="159">
                  <c:v>44553</c:v>
                </c:pt>
                <c:pt idx="160">
                  <c:v>44554</c:v>
                </c:pt>
                <c:pt idx="161">
                  <c:v>44555</c:v>
                </c:pt>
                <c:pt idx="162">
                  <c:v>44556</c:v>
                </c:pt>
                <c:pt idx="163">
                  <c:v>44557</c:v>
                </c:pt>
                <c:pt idx="164">
                  <c:v>44558</c:v>
                </c:pt>
                <c:pt idx="165">
                  <c:v>44559</c:v>
                </c:pt>
                <c:pt idx="166">
                  <c:v>44560</c:v>
                </c:pt>
                <c:pt idx="167">
                  <c:v>44561</c:v>
                </c:pt>
                <c:pt idx="168">
                  <c:v>44562</c:v>
                </c:pt>
                <c:pt idx="169">
                  <c:v>44563</c:v>
                </c:pt>
                <c:pt idx="170">
                  <c:v>44564</c:v>
                </c:pt>
                <c:pt idx="171">
                  <c:v>44565</c:v>
                </c:pt>
                <c:pt idx="172">
                  <c:v>44566</c:v>
                </c:pt>
                <c:pt idx="173">
                  <c:v>44567</c:v>
                </c:pt>
                <c:pt idx="174">
                  <c:v>44568</c:v>
                </c:pt>
                <c:pt idx="175">
                  <c:v>44569</c:v>
                </c:pt>
                <c:pt idx="176">
                  <c:v>44570</c:v>
                </c:pt>
                <c:pt idx="177">
                  <c:v>44571</c:v>
                </c:pt>
                <c:pt idx="178">
                  <c:v>44572</c:v>
                </c:pt>
                <c:pt idx="179">
                  <c:v>44573</c:v>
                </c:pt>
                <c:pt idx="180">
                  <c:v>44574</c:v>
                </c:pt>
                <c:pt idx="181">
                  <c:v>44575</c:v>
                </c:pt>
                <c:pt idx="182">
                  <c:v>44576</c:v>
                </c:pt>
                <c:pt idx="183">
                  <c:v>44577</c:v>
                </c:pt>
                <c:pt idx="184">
                  <c:v>44578</c:v>
                </c:pt>
                <c:pt idx="185">
                  <c:v>44579</c:v>
                </c:pt>
                <c:pt idx="186">
                  <c:v>44580</c:v>
                </c:pt>
                <c:pt idx="187">
                  <c:v>44581</c:v>
                </c:pt>
                <c:pt idx="188">
                  <c:v>44582</c:v>
                </c:pt>
                <c:pt idx="189">
                  <c:v>44583</c:v>
                </c:pt>
                <c:pt idx="190">
                  <c:v>44584</c:v>
                </c:pt>
                <c:pt idx="191">
                  <c:v>44585</c:v>
                </c:pt>
                <c:pt idx="192">
                  <c:v>44586</c:v>
                </c:pt>
                <c:pt idx="193">
                  <c:v>44587</c:v>
                </c:pt>
                <c:pt idx="194">
                  <c:v>44588</c:v>
                </c:pt>
                <c:pt idx="195">
                  <c:v>44589</c:v>
                </c:pt>
                <c:pt idx="196">
                  <c:v>44590</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cat>
          <c:val>
            <c:numRef>
              <c:f>'Model Interface'!$M$6:$M$495</c:f>
              <c:numCache>
                <c:formatCode>General</c:formatCode>
                <c:ptCount val="490"/>
                <c:pt idx="0">
                  <c:v>50.012827586206896</c:v>
                </c:pt>
                <c:pt idx="1">
                  <c:v>49.940827361487507</c:v>
                </c:pt>
                <c:pt idx="2">
                  <c:v>49.860118248917892</c:v>
                </c:pt>
                <c:pt idx="3">
                  <c:v>49.764257827916254</c:v>
                </c:pt>
                <c:pt idx="4">
                  <c:v>49.660778043836046</c:v>
                </c:pt>
                <c:pt idx="5">
                  <c:v>49.537321930459235</c:v>
                </c:pt>
                <c:pt idx="6">
                  <c:v>49.399768984366183</c:v>
                </c:pt>
                <c:pt idx="7">
                  <c:v>49.244524212486098</c:v>
                </c:pt>
                <c:pt idx="8">
                  <c:v>49.08004956920859</c:v>
                </c:pt>
                <c:pt idx="9">
                  <c:v>48.898716238347831</c:v>
                </c:pt>
                <c:pt idx="10">
                  <c:v>48.688447966297396</c:v>
                </c:pt>
                <c:pt idx="11">
                  <c:v>48.45253603008679</c:v>
                </c:pt>
                <c:pt idx="12">
                  <c:v>48.185454572965625</c:v>
                </c:pt>
                <c:pt idx="13">
                  <c:v>47.889115152743365</c:v>
                </c:pt>
                <c:pt idx="14">
                  <c:v>47.55810417673635</c:v>
                </c:pt>
                <c:pt idx="15">
                  <c:v>47.190584134752847</c:v>
                </c:pt>
                <c:pt idx="16">
                  <c:v>46.772019886858637</c:v>
                </c:pt>
                <c:pt idx="17">
                  <c:v>46.313755475582376</c:v>
                </c:pt>
                <c:pt idx="18">
                  <c:v>45.815217871856902</c:v>
                </c:pt>
                <c:pt idx="19">
                  <c:v>45.285626209750959</c:v>
                </c:pt>
                <c:pt idx="20">
                  <c:v>44.714825464032664</c:v>
                </c:pt>
                <c:pt idx="21">
                  <c:v>44.09182385743447</c:v>
                </c:pt>
                <c:pt idx="22">
                  <c:v>43.421319272720659</c:v>
                </c:pt>
                <c:pt idx="23">
                  <c:v>42.694161207099071</c:v>
                </c:pt>
                <c:pt idx="24">
                  <c:v>41.934518989498798</c:v>
                </c:pt>
                <c:pt idx="25">
                  <c:v>41.10949440626279</c:v>
                </c:pt>
                <c:pt idx="26">
                  <c:v>40.261773349212817</c:v>
                </c:pt>
                <c:pt idx="27">
                  <c:v>39.353932909794658</c:v>
                </c:pt>
                <c:pt idx="28">
                  <c:v>38.420040299017039</c:v>
                </c:pt>
                <c:pt idx="29">
                  <c:v>37.503384722054889</c:v>
                </c:pt>
                <c:pt idx="30">
                  <c:v>36.559132433973197</c:v>
                </c:pt>
                <c:pt idx="31">
                  <c:v>35.606801750917462</c:v>
                </c:pt>
                <c:pt idx="32">
                  <c:v>34.640969802782593</c:v>
                </c:pt>
                <c:pt idx="33">
                  <c:v>33.662188423811386</c:v>
                </c:pt>
                <c:pt idx="34">
                  <c:v>32.654491567414702</c:v>
                </c:pt>
                <c:pt idx="35">
                  <c:v>31.624910239815996</c:v>
                </c:pt>
                <c:pt idx="36">
                  <c:v>30.596199149707399</c:v>
                </c:pt>
                <c:pt idx="37">
                  <c:v>29.564280486271297</c:v>
                </c:pt>
                <c:pt idx="38">
                  <c:v>28.558974572558164</c:v>
                </c:pt>
                <c:pt idx="39">
                  <c:v>27.570816768579753</c:v>
                </c:pt>
                <c:pt idx="40">
                  <c:v>26.63521011127699</c:v>
                </c:pt>
                <c:pt idx="41">
                  <c:v>25.745516251235113</c:v>
                </c:pt>
                <c:pt idx="42">
                  <c:v>24.928008267409457</c:v>
                </c:pt>
                <c:pt idx="43">
                  <c:v>24.158138457896079</c:v>
                </c:pt>
                <c:pt idx="44">
                  <c:v>23.426716795760523</c:v>
                </c:pt>
                <c:pt idx="45">
                  <c:v>22.740656376349829</c:v>
                </c:pt>
                <c:pt idx="46">
                  <c:v>22.761718345972643</c:v>
                </c:pt>
                <c:pt idx="47">
                  <c:v>22.782666048880838</c:v>
                </c:pt>
                <c:pt idx="48">
                  <c:v>22.804484714165195</c:v>
                </c:pt>
                <c:pt idx="49">
                  <c:v>22.826255399480349</c:v>
                </c:pt>
                <c:pt idx="50">
                  <c:v>22.848128259743937</c:v>
                </c:pt>
                <c:pt idx="51">
                  <c:v>22.869649171817951</c:v>
                </c:pt>
                <c:pt idx="52">
                  <c:v>22.890385039692834</c:v>
                </c:pt>
                <c:pt idx="53">
                  <c:v>22.911685356997705</c:v>
                </c:pt>
                <c:pt idx="54">
                  <c:v>22.932076451887514</c:v>
                </c:pt>
                <c:pt idx="55">
                  <c:v>22.952506277763462</c:v>
                </c:pt>
                <c:pt idx="56">
                  <c:v>22.97294778380337</c:v>
                </c:pt>
                <c:pt idx="57">
                  <c:v>22.993827158844724</c:v>
                </c:pt>
                <c:pt idx="58">
                  <c:v>23.014028573017644</c:v>
                </c:pt>
                <c:pt idx="59">
                  <c:v>23.034268790092352</c:v>
                </c:pt>
                <c:pt idx="60">
                  <c:v>25.454783476593263</c:v>
                </c:pt>
                <c:pt idx="61">
                  <c:v>25.310490907057556</c:v>
                </c:pt>
                <c:pt idx="62">
                  <c:v>25.158894733147747</c:v>
                </c:pt>
                <c:pt idx="63">
                  <c:v>25.001478172518134</c:v>
                </c:pt>
                <c:pt idx="64">
                  <c:v>24.836560113390647</c:v>
                </c:pt>
                <c:pt idx="65">
                  <c:v>24.663490226352394</c:v>
                </c:pt>
                <c:pt idx="66">
                  <c:v>24.482514854928773</c:v>
                </c:pt>
                <c:pt idx="67">
                  <c:v>24.289520515653528</c:v>
                </c:pt>
                <c:pt idx="68">
                  <c:v>24.084125233611573</c:v>
                </c:pt>
                <c:pt idx="69">
                  <c:v>23.859800382041882</c:v>
                </c:pt>
                <c:pt idx="70">
                  <c:v>23.628798236398204</c:v>
                </c:pt>
                <c:pt idx="71">
                  <c:v>23.387417165254547</c:v>
                </c:pt>
                <c:pt idx="72">
                  <c:v>23.125516749118702</c:v>
                </c:pt>
                <c:pt idx="73">
                  <c:v>22.842516761510275</c:v>
                </c:pt>
                <c:pt idx="74">
                  <c:v>22.536190122227808</c:v>
                </c:pt>
                <c:pt idx="75">
                  <c:v>22.215642959264414</c:v>
                </c:pt>
                <c:pt idx="76">
                  <c:v>21.884290471124487</c:v>
                </c:pt>
                <c:pt idx="77">
                  <c:v>21.537834065291193</c:v>
                </c:pt>
                <c:pt idx="78">
                  <c:v>21.164611800034507</c:v>
                </c:pt>
                <c:pt idx="79">
                  <c:v>20.783708810612886</c:v>
                </c:pt>
                <c:pt idx="80">
                  <c:v>20.382718542564284</c:v>
                </c:pt>
                <c:pt idx="81">
                  <c:v>19.957532178007341</c:v>
                </c:pt>
                <c:pt idx="82">
                  <c:v>19.519177743751662</c:v>
                </c:pt>
                <c:pt idx="83">
                  <c:v>19.032853145736865</c:v>
                </c:pt>
                <c:pt idx="84">
                  <c:v>18.513373405616697</c:v>
                </c:pt>
                <c:pt idx="85">
                  <c:v>17.997177519854841</c:v>
                </c:pt>
                <c:pt idx="86">
                  <c:v>17.444418515466925</c:v>
                </c:pt>
                <c:pt idx="87">
                  <c:v>16.841607038628872</c:v>
                </c:pt>
                <c:pt idx="88">
                  <c:v>16.212672668870418</c:v>
                </c:pt>
                <c:pt idx="89">
                  <c:v>15.568566427082491</c:v>
                </c:pt>
                <c:pt idx="90">
                  <c:v>14.909130763769401</c:v>
                </c:pt>
                <c:pt idx="91">
                  <c:v>14.216269410694679</c:v>
                </c:pt>
                <c:pt idx="92">
                  <c:v>13.458761426335137</c:v>
                </c:pt>
                <c:pt idx="93">
                  <c:v>12.694448083607881</c:v>
                </c:pt>
                <c:pt idx="94">
                  <c:v>11.911105393280039</c:v>
                </c:pt>
                <c:pt idx="95">
                  <c:v>11.101681000831855</c:v>
                </c:pt>
                <c:pt idx="96">
                  <c:v>10.227055640685005</c:v>
                </c:pt>
                <c:pt idx="97">
                  <c:v>9.2945842574760427</c:v>
                </c:pt>
                <c:pt idx="98">
                  <c:v>8.2944330132247366</c:v>
                </c:pt>
                <c:pt idx="99">
                  <c:v>7.2957083707550927</c:v>
                </c:pt>
                <c:pt idx="100">
                  <c:v>6.2195026085773195</c:v>
                </c:pt>
                <c:pt idx="101">
                  <c:v>5.0738132461264893</c:v>
                </c:pt>
                <c:pt idx="102">
                  <c:v>3.8141295768628325</c:v>
                </c:pt>
                <c:pt idx="103">
                  <c:v>2.5507736230596985</c:v>
                </c:pt>
                <c:pt idx="104">
                  <c:v>1.2343091633307139</c:v>
                </c:pt>
                <c:pt idx="105">
                  <c:v>-0.17625361494765635</c:v>
                </c:pt>
                <c:pt idx="106">
                  <c:v>-1.624215825988605</c:v>
                </c:pt>
                <c:pt idx="107">
                  <c:v>-3.0767956805862768</c:v>
                </c:pt>
                <c:pt idx="108">
                  <c:v>-4.5880529138696993</c:v>
                </c:pt>
                <c:pt idx="109">
                  <c:v>-6.1406773850977157</c:v>
                </c:pt>
                <c:pt idx="110">
                  <c:v>-7.7701571370515889</c:v>
                </c:pt>
                <c:pt idx="111">
                  <c:v>-9.4955144912522886</c:v>
                </c:pt>
                <c:pt idx="112">
                  <c:v>-11.228713022145147</c:v>
                </c:pt>
                <c:pt idx="113">
                  <c:v>-13.054752428223971</c:v>
                </c:pt>
                <c:pt idx="114">
                  <c:v>-14.970142024696388</c:v>
                </c:pt>
                <c:pt idx="115">
                  <c:v>-16.892813502236834</c:v>
                </c:pt>
                <c:pt idx="116">
                  <c:v>-18.916555333535136</c:v>
                </c:pt>
                <c:pt idx="117">
                  <c:v>-21.007102797438641</c:v>
                </c:pt>
                <c:pt idx="118">
                  <c:v>-23.145676027244448</c:v>
                </c:pt>
                <c:pt idx="119">
                  <c:v>-25.299797067111818</c:v>
                </c:pt>
                <c:pt idx="120">
                  <c:v>-27.492260266614188</c:v>
                </c:pt>
                <c:pt idx="121">
                  <c:v>-29.783709704542176</c:v>
                </c:pt>
                <c:pt idx="122">
                  <c:v>-29.463776789650446</c:v>
                </c:pt>
                <c:pt idx="123">
                  <c:v>-29.15672359031354</c:v>
                </c:pt>
                <c:pt idx="124">
                  <c:v>-28.861742386783781</c:v>
                </c:pt>
                <c:pt idx="125">
                  <c:v>-28.571489610485088</c:v>
                </c:pt>
                <c:pt idx="126">
                  <c:v>-28.277216692717587</c:v>
                </c:pt>
                <c:pt idx="127">
                  <c:v>-27.985872954871112</c:v>
                </c:pt>
                <c:pt idx="128">
                  <c:v>-27.694536305085379</c:v>
                </c:pt>
                <c:pt idx="129">
                  <c:v>-27.403179650985599</c:v>
                </c:pt>
                <c:pt idx="130">
                  <c:v>-27.11915867814718</c:v>
                </c:pt>
                <c:pt idx="131">
                  <c:v>-26.827879995345128</c:v>
                </c:pt>
                <c:pt idx="132">
                  <c:v>-26.54044986512411</c:v>
                </c:pt>
                <c:pt idx="133">
                  <c:v>-26.263937720424117</c:v>
                </c:pt>
                <c:pt idx="134">
                  <c:v>-25.993149476891837</c:v>
                </c:pt>
                <c:pt idx="135">
                  <c:v>-25.72458358361451</c:v>
                </c:pt>
                <c:pt idx="136">
                  <c:v>-25.45541658754707</c:v>
                </c:pt>
                <c:pt idx="137">
                  <c:v>-25.242605590771767</c:v>
                </c:pt>
                <c:pt idx="138">
                  <c:v>-25.033488295530574</c:v>
                </c:pt>
                <c:pt idx="139">
                  <c:v>-24.830537610900521</c:v>
                </c:pt>
                <c:pt idx="140">
                  <c:v>-24.637326346044368</c:v>
                </c:pt>
                <c:pt idx="141">
                  <c:v>-24.456676254012685</c:v>
                </c:pt>
                <c:pt idx="142">
                  <c:v>-24.286608254358342</c:v>
                </c:pt>
                <c:pt idx="143">
                  <c:v>-24.132719457825502</c:v>
                </c:pt>
                <c:pt idx="144">
                  <c:v>-23.990331172305574</c:v>
                </c:pt>
                <c:pt idx="145">
                  <c:v>-23.855725032917888</c:v>
                </c:pt>
                <c:pt idx="146">
                  <c:v>-23.734278539802922</c:v>
                </c:pt>
                <c:pt idx="147">
                  <c:v>-23.622482351826953</c:v>
                </c:pt>
                <c:pt idx="148">
                  <c:v>-23.522628730930322</c:v>
                </c:pt>
                <c:pt idx="149">
                  <c:v>-23.439799720251692</c:v>
                </c:pt>
                <c:pt idx="150">
                  <c:v>-23.373540540902425</c:v>
                </c:pt>
                <c:pt idx="151">
                  <c:v>-23.324593267752562</c:v>
                </c:pt>
                <c:pt idx="152">
                  <c:v>-23.292834719545311</c:v>
                </c:pt>
                <c:pt idx="153">
                  <c:v>-23.279391636295024</c:v>
                </c:pt>
                <c:pt idx="154">
                  <c:v>-23.284975040174224</c:v>
                </c:pt>
                <c:pt idx="155">
                  <c:v>-23.310311156734691</c:v>
                </c:pt>
                <c:pt idx="156">
                  <c:v>-23.357202174534152</c:v>
                </c:pt>
                <c:pt idx="157">
                  <c:v>-23.426320697929512</c:v>
                </c:pt>
                <c:pt idx="158">
                  <c:v>-23.519530070251633</c:v>
                </c:pt>
                <c:pt idx="159">
                  <c:v>-23.634380634909007</c:v>
                </c:pt>
                <c:pt idx="160">
                  <c:v>-23.774619877621788</c:v>
                </c:pt>
                <c:pt idx="161">
                  <c:v>-23.942775736922805</c:v>
                </c:pt>
                <c:pt idx="162">
                  <c:v>-24.134443129066334</c:v>
                </c:pt>
                <c:pt idx="163">
                  <c:v>-24.353695167097008</c:v>
                </c:pt>
                <c:pt idx="164">
                  <c:v>-24.612334946964303</c:v>
                </c:pt>
                <c:pt idx="165">
                  <c:v>-24.906948017125643</c:v>
                </c:pt>
                <c:pt idx="166">
                  <c:v>-25.229283603886351</c:v>
                </c:pt>
                <c:pt idx="167">
                  <c:v>-25.57590012695595</c:v>
                </c:pt>
                <c:pt idx="168">
                  <c:v>-25.948891333020256</c:v>
                </c:pt>
                <c:pt idx="169">
                  <c:v>-26.359923475983074</c:v>
                </c:pt>
                <c:pt idx="170">
                  <c:v>-26.79619795919016</c:v>
                </c:pt>
                <c:pt idx="171">
                  <c:v>-27.267463386179841</c:v>
                </c:pt>
                <c:pt idx="172">
                  <c:v>-27.755309036061085</c:v>
                </c:pt>
                <c:pt idx="173">
                  <c:v>-28.271278482747952</c:v>
                </c:pt>
                <c:pt idx="174">
                  <c:v>-28.825090569398789</c:v>
                </c:pt>
                <c:pt idx="175">
                  <c:v>-29.40918663833348</c:v>
                </c:pt>
                <c:pt idx="176">
                  <c:v>-30.022127634915506</c:v>
                </c:pt>
                <c:pt idx="177">
                  <c:v>-30.649005334846343</c:v>
                </c:pt>
                <c:pt idx="178">
                  <c:v>-31.282536850180449</c:v>
                </c:pt>
                <c:pt idx="179">
                  <c:v>-31.933220590215342</c:v>
                </c:pt>
                <c:pt idx="180">
                  <c:v>-32.599099747492112</c:v>
                </c:pt>
                <c:pt idx="181">
                  <c:v>-33.278860789916855</c:v>
                </c:pt>
                <c:pt idx="182">
                  <c:v>-33.960449834380391</c:v>
                </c:pt>
                <c:pt idx="183">
                  <c:v>-34.640179053309275</c:v>
                </c:pt>
                <c:pt idx="184">
                  <c:v>-35.307735600741083</c:v>
                </c:pt>
                <c:pt idx="185">
                  <c:v>-35.969125595888578</c:v>
                </c:pt>
                <c:pt idx="186">
                  <c:v>-36.629646931954866</c:v>
                </c:pt>
                <c:pt idx="187">
                  <c:v>-37.273743602452704</c:v>
                </c:pt>
                <c:pt idx="188">
                  <c:v>-37.908126910687706</c:v>
                </c:pt>
                <c:pt idx="189">
                  <c:v>-38.525642857037781</c:v>
                </c:pt>
                <c:pt idx="190">
                  <c:v>-39.121197918393079</c:v>
                </c:pt>
                <c:pt idx="191">
                  <c:v>-39.693507976909054</c:v>
                </c:pt>
                <c:pt idx="192">
                  <c:v>-40.246163431041587</c:v>
                </c:pt>
                <c:pt idx="193">
                  <c:v>-40.774026628523472</c:v>
                </c:pt>
                <c:pt idx="194">
                  <c:v>-41.264519955296969</c:v>
                </c:pt>
                <c:pt idx="195">
                  <c:v>-41.730180588423423</c:v>
                </c:pt>
                <c:pt idx="196">
                  <c:v>-42.171776998134533</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val>
          <c:smooth val="0"/>
          <c:extLst>
            <c:ext xmlns:c16="http://schemas.microsoft.com/office/drawing/2014/chart" uri="{C3380CC4-5D6E-409C-BE32-E72D297353CC}">
              <c16:uniqueId val="{0000000C-1ED6-43CF-9E32-F79A8A017C90}"/>
            </c:ext>
          </c:extLst>
        </c:ser>
        <c:dLbls>
          <c:showLegendKey val="0"/>
          <c:showVal val="0"/>
          <c:showCatName val="0"/>
          <c:showSerName val="0"/>
          <c:showPercent val="0"/>
          <c:showBubbleSize val="0"/>
        </c:dLbls>
        <c:marker val="1"/>
        <c:smooth val="0"/>
        <c:axId val="811186704"/>
        <c:axId val="811187536"/>
        <c:extLst>
          <c:ext xmlns:c15="http://schemas.microsoft.com/office/drawing/2012/chart" uri="{02D57815-91ED-43cb-92C2-25804820EDAC}">
            <c15:filteredLineSeries>
              <c15:ser>
                <c:idx val="8"/>
                <c:order val="6"/>
                <c:tx>
                  <c:strRef>
                    <c:extLst>
                      <c:ext uri="{02D57815-91ED-43cb-92C2-25804820EDAC}">
                        <c15:formulaRef>
                          <c15:sqref>Backend!$AG$25</c15:sqref>
                        </c15:formulaRef>
                      </c:ext>
                    </c:extLst>
                    <c:strCache>
                      <c:ptCount val="1"/>
                      <c:pt idx="0">
                        <c:v>Uncertainty 2</c:v>
                      </c:pt>
                    </c:strCache>
                  </c:strRef>
                </c:tx>
                <c:spPr>
                  <a:ln w="28575" cap="rnd">
                    <a:solidFill>
                      <a:schemeClr val="tx1"/>
                    </a:solidFill>
                    <a:round/>
                  </a:ln>
                  <a:effectLst/>
                </c:spPr>
                <c:marker>
                  <c:symbol val="none"/>
                </c:marker>
                <c:cat>
                  <c:numRef>
                    <c:extLst>
                      <c:ext uri="{02D57815-91ED-43cb-92C2-25804820EDAC}">
                        <c15:formulaRef>
                          <c15:sqref>'Model Interface'!$L$6:$L$495</c15:sqref>
                        </c15:formulaRef>
                      </c:ext>
                    </c:extLst>
                    <c:numCache>
                      <c:formatCode>m/d/yyyy</c:formatCode>
                      <c:ptCount val="490"/>
                      <c:pt idx="0">
                        <c:v>44394</c:v>
                      </c:pt>
                      <c:pt idx="1">
                        <c:v>44395</c:v>
                      </c:pt>
                      <c:pt idx="2">
                        <c:v>44396</c:v>
                      </c:pt>
                      <c:pt idx="3">
                        <c:v>44397</c:v>
                      </c:pt>
                      <c:pt idx="4">
                        <c:v>44398</c:v>
                      </c:pt>
                      <c:pt idx="5">
                        <c:v>44399</c:v>
                      </c:pt>
                      <c:pt idx="6">
                        <c:v>44400</c:v>
                      </c:pt>
                      <c:pt idx="7">
                        <c:v>44401</c:v>
                      </c:pt>
                      <c:pt idx="8">
                        <c:v>44402</c:v>
                      </c:pt>
                      <c:pt idx="9">
                        <c:v>44403</c:v>
                      </c:pt>
                      <c:pt idx="10">
                        <c:v>44404</c:v>
                      </c:pt>
                      <c:pt idx="11">
                        <c:v>44405</c:v>
                      </c:pt>
                      <c:pt idx="12">
                        <c:v>44406</c:v>
                      </c:pt>
                      <c:pt idx="13">
                        <c:v>44407</c:v>
                      </c:pt>
                      <c:pt idx="14">
                        <c:v>44408</c:v>
                      </c:pt>
                      <c:pt idx="15">
                        <c:v>44409</c:v>
                      </c:pt>
                      <c:pt idx="16">
                        <c:v>44410</c:v>
                      </c:pt>
                      <c:pt idx="17">
                        <c:v>44411</c:v>
                      </c:pt>
                      <c:pt idx="18">
                        <c:v>44412</c:v>
                      </c:pt>
                      <c:pt idx="19">
                        <c:v>44413</c:v>
                      </c:pt>
                      <c:pt idx="20">
                        <c:v>44414</c:v>
                      </c:pt>
                      <c:pt idx="21">
                        <c:v>44415</c:v>
                      </c:pt>
                      <c:pt idx="22">
                        <c:v>44416</c:v>
                      </c:pt>
                      <c:pt idx="23">
                        <c:v>44417</c:v>
                      </c:pt>
                      <c:pt idx="24">
                        <c:v>44418</c:v>
                      </c:pt>
                      <c:pt idx="25">
                        <c:v>44419</c:v>
                      </c:pt>
                      <c:pt idx="26">
                        <c:v>44420</c:v>
                      </c:pt>
                      <c:pt idx="27">
                        <c:v>44421</c:v>
                      </c:pt>
                      <c:pt idx="28">
                        <c:v>44422</c:v>
                      </c:pt>
                      <c:pt idx="29">
                        <c:v>44423</c:v>
                      </c:pt>
                      <c:pt idx="30">
                        <c:v>44424</c:v>
                      </c:pt>
                      <c:pt idx="31">
                        <c:v>44425</c:v>
                      </c:pt>
                      <c:pt idx="32">
                        <c:v>44426</c:v>
                      </c:pt>
                      <c:pt idx="33">
                        <c:v>44427</c:v>
                      </c:pt>
                      <c:pt idx="34">
                        <c:v>44428</c:v>
                      </c:pt>
                      <c:pt idx="35">
                        <c:v>44429</c:v>
                      </c:pt>
                      <c:pt idx="36">
                        <c:v>44430</c:v>
                      </c:pt>
                      <c:pt idx="37">
                        <c:v>44431</c:v>
                      </c:pt>
                      <c:pt idx="38">
                        <c:v>44432</c:v>
                      </c:pt>
                      <c:pt idx="39">
                        <c:v>44433</c:v>
                      </c:pt>
                      <c:pt idx="40">
                        <c:v>44434</c:v>
                      </c:pt>
                      <c:pt idx="41">
                        <c:v>44435</c:v>
                      </c:pt>
                      <c:pt idx="42">
                        <c:v>44436</c:v>
                      </c:pt>
                      <c:pt idx="43">
                        <c:v>44437</c:v>
                      </c:pt>
                      <c:pt idx="44">
                        <c:v>44438</c:v>
                      </c:pt>
                      <c:pt idx="45">
                        <c:v>44439</c:v>
                      </c:pt>
                      <c:pt idx="46">
                        <c:v>44440</c:v>
                      </c:pt>
                      <c:pt idx="47">
                        <c:v>44441</c:v>
                      </c:pt>
                      <c:pt idx="48">
                        <c:v>44442</c:v>
                      </c:pt>
                      <c:pt idx="49">
                        <c:v>44443</c:v>
                      </c:pt>
                      <c:pt idx="50">
                        <c:v>44444</c:v>
                      </c:pt>
                      <c:pt idx="51">
                        <c:v>44445</c:v>
                      </c:pt>
                      <c:pt idx="52">
                        <c:v>44446</c:v>
                      </c:pt>
                      <c:pt idx="53">
                        <c:v>44447</c:v>
                      </c:pt>
                      <c:pt idx="54">
                        <c:v>44448</c:v>
                      </c:pt>
                      <c:pt idx="55">
                        <c:v>44449</c:v>
                      </c:pt>
                      <c:pt idx="56">
                        <c:v>44450</c:v>
                      </c:pt>
                      <c:pt idx="57">
                        <c:v>44451</c:v>
                      </c:pt>
                      <c:pt idx="58">
                        <c:v>44452</c:v>
                      </c:pt>
                      <c:pt idx="59">
                        <c:v>44453</c:v>
                      </c:pt>
                      <c:pt idx="60">
                        <c:v>44454</c:v>
                      </c:pt>
                      <c:pt idx="61">
                        <c:v>44455</c:v>
                      </c:pt>
                      <c:pt idx="62">
                        <c:v>44456</c:v>
                      </c:pt>
                      <c:pt idx="63">
                        <c:v>44457</c:v>
                      </c:pt>
                      <c:pt idx="64">
                        <c:v>44458</c:v>
                      </c:pt>
                      <c:pt idx="65">
                        <c:v>44459</c:v>
                      </c:pt>
                      <c:pt idx="66">
                        <c:v>44460</c:v>
                      </c:pt>
                      <c:pt idx="67">
                        <c:v>44461</c:v>
                      </c:pt>
                      <c:pt idx="68">
                        <c:v>44462</c:v>
                      </c:pt>
                      <c:pt idx="69">
                        <c:v>44463</c:v>
                      </c:pt>
                      <c:pt idx="70">
                        <c:v>44464</c:v>
                      </c:pt>
                      <c:pt idx="71">
                        <c:v>44465</c:v>
                      </c:pt>
                      <c:pt idx="72">
                        <c:v>44466</c:v>
                      </c:pt>
                      <c:pt idx="73">
                        <c:v>44467</c:v>
                      </c:pt>
                      <c:pt idx="74">
                        <c:v>44468</c:v>
                      </c:pt>
                      <c:pt idx="75">
                        <c:v>44469</c:v>
                      </c:pt>
                      <c:pt idx="76">
                        <c:v>44470</c:v>
                      </c:pt>
                      <c:pt idx="77">
                        <c:v>44471</c:v>
                      </c:pt>
                      <c:pt idx="78">
                        <c:v>44472</c:v>
                      </c:pt>
                      <c:pt idx="79">
                        <c:v>44473</c:v>
                      </c:pt>
                      <c:pt idx="80">
                        <c:v>44474</c:v>
                      </c:pt>
                      <c:pt idx="81">
                        <c:v>44475</c:v>
                      </c:pt>
                      <c:pt idx="82">
                        <c:v>44476</c:v>
                      </c:pt>
                      <c:pt idx="83">
                        <c:v>44477</c:v>
                      </c:pt>
                      <c:pt idx="84">
                        <c:v>44478</c:v>
                      </c:pt>
                      <c:pt idx="85">
                        <c:v>44479</c:v>
                      </c:pt>
                      <c:pt idx="86">
                        <c:v>44480</c:v>
                      </c:pt>
                      <c:pt idx="87">
                        <c:v>44481</c:v>
                      </c:pt>
                      <c:pt idx="88">
                        <c:v>44482</c:v>
                      </c:pt>
                      <c:pt idx="89">
                        <c:v>44483</c:v>
                      </c:pt>
                      <c:pt idx="90">
                        <c:v>44484</c:v>
                      </c:pt>
                      <c:pt idx="91">
                        <c:v>44485</c:v>
                      </c:pt>
                      <c:pt idx="92">
                        <c:v>44486</c:v>
                      </c:pt>
                      <c:pt idx="93">
                        <c:v>44487</c:v>
                      </c:pt>
                      <c:pt idx="94">
                        <c:v>44488</c:v>
                      </c:pt>
                      <c:pt idx="95">
                        <c:v>44489</c:v>
                      </c:pt>
                      <c:pt idx="96">
                        <c:v>44490</c:v>
                      </c:pt>
                      <c:pt idx="97">
                        <c:v>44491</c:v>
                      </c:pt>
                      <c:pt idx="98">
                        <c:v>44492</c:v>
                      </c:pt>
                      <c:pt idx="99">
                        <c:v>44493</c:v>
                      </c:pt>
                      <c:pt idx="100">
                        <c:v>44494</c:v>
                      </c:pt>
                      <c:pt idx="101">
                        <c:v>44495</c:v>
                      </c:pt>
                      <c:pt idx="102">
                        <c:v>44496</c:v>
                      </c:pt>
                      <c:pt idx="103">
                        <c:v>44497</c:v>
                      </c:pt>
                      <c:pt idx="104">
                        <c:v>44498</c:v>
                      </c:pt>
                      <c:pt idx="105">
                        <c:v>44499</c:v>
                      </c:pt>
                      <c:pt idx="106">
                        <c:v>44500</c:v>
                      </c:pt>
                      <c:pt idx="107">
                        <c:v>44501</c:v>
                      </c:pt>
                      <c:pt idx="108">
                        <c:v>44502</c:v>
                      </c:pt>
                      <c:pt idx="109">
                        <c:v>44503</c:v>
                      </c:pt>
                      <c:pt idx="110">
                        <c:v>44504</c:v>
                      </c:pt>
                      <c:pt idx="111">
                        <c:v>44505</c:v>
                      </c:pt>
                      <c:pt idx="112">
                        <c:v>44506</c:v>
                      </c:pt>
                      <c:pt idx="113">
                        <c:v>44507</c:v>
                      </c:pt>
                      <c:pt idx="114">
                        <c:v>44508</c:v>
                      </c:pt>
                      <c:pt idx="115">
                        <c:v>44509</c:v>
                      </c:pt>
                      <c:pt idx="116">
                        <c:v>44510</c:v>
                      </c:pt>
                      <c:pt idx="117">
                        <c:v>44511</c:v>
                      </c:pt>
                      <c:pt idx="118">
                        <c:v>44512</c:v>
                      </c:pt>
                      <c:pt idx="119">
                        <c:v>44513</c:v>
                      </c:pt>
                      <c:pt idx="120">
                        <c:v>44514</c:v>
                      </c:pt>
                      <c:pt idx="121">
                        <c:v>44515</c:v>
                      </c:pt>
                      <c:pt idx="122">
                        <c:v>44516</c:v>
                      </c:pt>
                      <c:pt idx="123">
                        <c:v>44517</c:v>
                      </c:pt>
                      <c:pt idx="124">
                        <c:v>44518</c:v>
                      </c:pt>
                      <c:pt idx="125">
                        <c:v>44519</c:v>
                      </c:pt>
                      <c:pt idx="126">
                        <c:v>44520</c:v>
                      </c:pt>
                      <c:pt idx="127">
                        <c:v>44521</c:v>
                      </c:pt>
                      <c:pt idx="128">
                        <c:v>44522</c:v>
                      </c:pt>
                      <c:pt idx="129">
                        <c:v>44523</c:v>
                      </c:pt>
                      <c:pt idx="130">
                        <c:v>44524</c:v>
                      </c:pt>
                      <c:pt idx="131">
                        <c:v>44525</c:v>
                      </c:pt>
                      <c:pt idx="132">
                        <c:v>44526</c:v>
                      </c:pt>
                      <c:pt idx="133">
                        <c:v>44527</c:v>
                      </c:pt>
                      <c:pt idx="134">
                        <c:v>44528</c:v>
                      </c:pt>
                      <c:pt idx="135">
                        <c:v>44529</c:v>
                      </c:pt>
                      <c:pt idx="136">
                        <c:v>44530</c:v>
                      </c:pt>
                      <c:pt idx="137">
                        <c:v>44531</c:v>
                      </c:pt>
                      <c:pt idx="138">
                        <c:v>44532</c:v>
                      </c:pt>
                      <c:pt idx="139">
                        <c:v>44533</c:v>
                      </c:pt>
                      <c:pt idx="140">
                        <c:v>44534</c:v>
                      </c:pt>
                      <c:pt idx="141">
                        <c:v>44535</c:v>
                      </c:pt>
                      <c:pt idx="142">
                        <c:v>44536</c:v>
                      </c:pt>
                      <c:pt idx="143">
                        <c:v>44537</c:v>
                      </c:pt>
                      <c:pt idx="144">
                        <c:v>44538</c:v>
                      </c:pt>
                      <c:pt idx="145">
                        <c:v>44539</c:v>
                      </c:pt>
                      <c:pt idx="146">
                        <c:v>44540</c:v>
                      </c:pt>
                      <c:pt idx="147">
                        <c:v>44541</c:v>
                      </c:pt>
                      <c:pt idx="148">
                        <c:v>44542</c:v>
                      </c:pt>
                      <c:pt idx="149">
                        <c:v>44543</c:v>
                      </c:pt>
                      <c:pt idx="150">
                        <c:v>44544</c:v>
                      </c:pt>
                      <c:pt idx="151">
                        <c:v>44545</c:v>
                      </c:pt>
                      <c:pt idx="152">
                        <c:v>44546</c:v>
                      </c:pt>
                      <c:pt idx="153">
                        <c:v>44547</c:v>
                      </c:pt>
                      <c:pt idx="154">
                        <c:v>44548</c:v>
                      </c:pt>
                      <c:pt idx="155">
                        <c:v>44549</c:v>
                      </c:pt>
                      <c:pt idx="156">
                        <c:v>44550</c:v>
                      </c:pt>
                      <c:pt idx="157">
                        <c:v>44551</c:v>
                      </c:pt>
                      <c:pt idx="158">
                        <c:v>44552</c:v>
                      </c:pt>
                      <c:pt idx="159">
                        <c:v>44553</c:v>
                      </c:pt>
                      <c:pt idx="160">
                        <c:v>44554</c:v>
                      </c:pt>
                      <c:pt idx="161">
                        <c:v>44555</c:v>
                      </c:pt>
                      <c:pt idx="162">
                        <c:v>44556</c:v>
                      </c:pt>
                      <c:pt idx="163">
                        <c:v>44557</c:v>
                      </c:pt>
                      <c:pt idx="164">
                        <c:v>44558</c:v>
                      </c:pt>
                      <c:pt idx="165">
                        <c:v>44559</c:v>
                      </c:pt>
                      <c:pt idx="166">
                        <c:v>44560</c:v>
                      </c:pt>
                      <c:pt idx="167">
                        <c:v>44561</c:v>
                      </c:pt>
                      <c:pt idx="168">
                        <c:v>44562</c:v>
                      </c:pt>
                      <c:pt idx="169">
                        <c:v>44563</c:v>
                      </c:pt>
                      <c:pt idx="170">
                        <c:v>44564</c:v>
                      </c:pt>
                      <c:pt idx="171">
                        <c:v>44565</c:v>
                      </c:pt>
                      <c:pt idx="172">
                        <c:v>44566</c:v>
                      </c:pt>
                      <c:pt idx="173">
                        <c:v>44567</c:v>
                      </c:pt>
                      <c:pt idx="174">
                        <c:v>44568</c:v>
                      </c:pt>
                      <c:pt idx="175">
                        <c:v>44569</c:v>
                      </c:pt>
                      <c:pt idx="176">
                        <c:v>44570</c:v>
                      </c:pt>
                      <c:pt idx="177">
                        <c:v>44571</c:v>
                      </c:pt>
                      <c:pt idx="178">
                        <c:v>44572</c:v>
                      </c:pt>
                      <c:pt idx="179">
                        <c:v>44573</c:v>
                      </c:pt>
                      <c:pt idx="180">
                        <c:v>44574</c:v>
                      </c:pt>
                      <c:pt idx="181">
                        <c:v>44575</c:v>
                      </c:pt>
                      <c:pt idx="182">
                        <c:v>44576</c:v>
                      </c:pt>
                      <c:pt idx="183">
                        <c:v>44577</c:v>
                      </c:pt>
                      <c:pt idx="184">
                        <c:v>44578</c:v>
                      </c:pt>
                      <c:pt idx="185">
                        <c:v>44579</c:v>
                      </c:pt>
                      <c:pt idx="186">
                        <c:v>44580</c:v>
                      </c:pt>
                      <c:pt idx="187">
                        <c:v>44581</c:v>
                      </c:pt>
                      <c:pt idx="188">
                        <c:v>44582</c:v>
                      </c:pt>
                      <c:pt idx="189">
                        <c:v>44583</c:v>
                      </c:pt>
                      <c:pt idx="190">
                        <c:v>44584</c:v>
                      </c:pt>
                      <c:pt idx="191">
                        <c:v>44585</c:v>
                      </c:pt>
                      <c:pt idx="192">
                        <c:v>44586</c:v>
                      </c:pt>
                      <c:pt idx="193">
                        <c:v>44587</c:v>
                      </c:pt>
                      <c:pt idx="194">
                        <c:v>44588</c:v>
                      </c:pt>
                      <c:pt idx="195">
                        <c:v>44589</c:v>
                      </c:pt>
                      <c:pt idx="196">
                        <c:v>44590</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numCache>
                  </c:numRef>
                </c:cat>
                <c:val>
                  <c:numRef>
                    <c:extLst>
                      <c:ext uri="{02D57815-91ED-43cb-92C2-25804820EDAC}">
                        <c15:formulaRef>
                          <c15:sqref>Backend!$AG$26:$AG$251</c15:sqref>
                        </c15:formulaRef>
                      </c:ext>
                    </c:extLst>
                    <c:numCache>
                      <c:formatCode>0.00</c:formatCode>
                      <c:ptCount val="2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numCache>
                  </c:numRef>
                </c:val>
                <c:smooth val="0"/>
                <c:extLst>
                  <c:ext xmlns:c16="http://schemas.microsoft.com/office/drawing/2014/chart" uri="{C3380CC4-5D6E-409C-BE32-E72D297353CC}">
                    <c16:uniqueId val="{0000000B-BB71-4759-84DE-8D500B621860}"/>
                  </c:ext>
                </c:extLst>
              </c15:ser>
            </c15:filteredLineSeries>
          </c:ext>
        </c:extLst>
      </c:lineChart>
      <c:dateAx>
        <c:axId val="811186704"/>
        <c:scaling>
          <c:orientation val="minMax"/>
          <c:max val="44514.5"/>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11187536"/>
        <c:crosses val="autoZero"/>
        <c:auto val="1"/>
        <c:lblOffset val="100"/>
        <c:baseTimeUnit val="days"/>
      </c:dateAx>
      <c:valAx>
        <c:axId val="811187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NZ" sz="1200" b="1"/>
                  <a:t>kg N/ha</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11186704"/>
        <c:crosses val="autoZero"/>
        <c:crossBetween val="between"/>
      </c:valAx>
      <c:spPr>
        <a:solidFill>
          <a:sysClr val="window" lastClr="FFFFFF"/>
        </a:solidFill>
        <a:ln>
          <a:noFill/>
        </a:ln>
        <a:effectLst/>
      </c:spPr>
    </c:plotArea>
    <c:legend>
      <c:legendPos val="r"/>
      <c:legendEntry>
        <c:idx val="1"/>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NZ"/>
              <a:t>Lettuce N Fert</a:t>
            </a:r>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3.2094050743657045E-2"/>
                  <c:y val="-0.1936654272382618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Backend!$A$47:$A$53</c:f>
              <c:numCache>
                <c:formatCode>General</c:formatCode>
                <c:ptCount val="7"/>
                <c:pt idx="0">
                  <c:v>20</c:v>
                </c:pt>
                <c:pt idx="1">
                  <c:v>40</c:v>
                </c:pt>
                <c:pt idx="2">
                  <c:v>60</c:v>
                </c:pt>
                <c:pt idx="3">
                  <c:v>80</c:v>
                </c:pt>
                <c:pt idx="4">
                  <c:v>100</c:v>
                </c:pt>
                <c:pt idx="5">
                  <c:v>120</c:v>
                </c:pt>
                <c:pt idx="6">
                  <c:v>140</c:v>
                </c:pt>
              </c:numCache>
            </c:numRef>
          </c:xVal>
          <c:yVal>
            <c:numRef>
              <c:f>Backend!$B$47:$B$53</c:f>
              <c:numCache>
                <c:formatCode>General</c:formatCode>
                <c:ptCount val="7"/>
                <c:pt idx="0">
                  <c:v>120</c:v>
                </c:pt>
                <c:pt idx="1">
                  <c:v>100</c:v>
                </c:pt>
                <c:pt idx="2">
                  <c:v>80</c:v>
                </c:pt>
                <c:pt idx="3">
                  <c:v>60</c:v>
                </c:pt>
                <c:pt idx="4">
                  <c:v>40</c:v>
                </c:pt>
                <c:pt idx="5">
                  <c:v>20</c:v>
                </c:pt>
                <c:pt idx="6">
                  <c:v>0</c:v>
                </c:pt>
              </c:numCache>
            </c:numRef>
          </c:yVal>
          <c:smooth val="0"/>
          <c:extLst>
            <c:ext xmlns:c16="http://schemas.microsoft.com/office/drawing/2014/chart" uri="{C3380CC4-5D6E-409C-BE32-E72D297353CC}">
              <c16:uniqueId val="{00000000-4AE5-4811-8A58-7285F6429587}"/>
            </c:ext>
          </c:extLst>
        </c:ser>
        <c:dLbls>
          <c:showLegendKey val="0"/>
          <c:showVal val="0"/>
          <c:showCatName val="0"/>
          <c:showSerName val="0"/>
          <c:showPercent val="0"/>
          <c:showBubbleSize val="0"/>
        </c:dLbls>
        <c:axId val="766740111"/>
        <c:axId val="766225215"/>
      </c:scatterChart>
      <c:valAx>
        <c:axId val="7667401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Soil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225215"/>
        <c:crosses val="autoZero"/>
        <c:crossBetween val="midCat"/>
      </c:valAx>
      <c:valAx>
        <c:axId val="766225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Fert</a:t>
                </a:r>
                <a:r>
                  <a:rPr lang="en-NZ" baseline="0"/>
                  <a:t> N (kgN/ha)</a:t>
                </a:r>
                <a:endParaRPr lang="en-NZ"/>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740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N% of FW - lettuce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3172790901137358E-2"/>
                  <c:y val="-0.208738334791484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Backend!$F$51:$F$53</c:f>
              <c:numCache>
                <c:formatCode>General</c:formatCode>
                <c:ptCount val="3"/>
                <c:pt idx="0">
                  <c:v>4</c:v>
                </c:pt>
                <c:pt idx="1">
                  <c:v>66</c:v>
                </c:pt>
                <c:pt idx="2">
                  <c:v>334</c:v>
                </c:pt>
              </c:numCache>
            </c:numRef>
          </c:xVal>
          <c:yVal>
            <c:numRef>
              <c:f>Backend!$I$51:$I$53</c:f>
              <c:numCache>
                <c:formatCode>0.00%</c:formatCode>
                <c:ptCount val="3"/>
                <c:pt idx="0">
                  <c:v>4.5749999999999992E-3</c:v>
                </c:pt>
                <c:pt idx="1">
                  <c:v>3.3333333333333331E-3</c:v>
                </c:pt>
                <c:pt idx="2">
                  <c:v>2.3413173652694613E-3</c:v>
                </c:pt>
              </c:numCache>
            </c:numRef>
          </c:yVal>
          <c:smooth val="0"/>
          <c:extLst>
            <c:ext xmlns:c16="http://schemas.microsoft.com/office/drawing/2014/chart" uri="{C3380CC4-5D6E-409C-BE32-E72D297353CC}">
              <c16:uniqueId val="{00000001-A457-44E5-9635-D3D01C1A3892}"/>
            </c:ext>
          </c:extLst>
        </c:ser>
        <c:dLbls>
          <c:showLegendKey val="0"/>
          <c:showVal val="0"/>
          <c:showCatName val="0"/>
          <c:showSerName val="0"/>
          <c:showPercent val="0"/>
          <c:showBubbleSize val="0"/>
        </c:dLbls>
        <c:axId val="578628768"/>
        <c:axId val="744811024"/>
      </c:scatterChart>
      <c:valAx>
        <c:axId val="578628768"/>
        <c:scaling>
          <c:orientation val="minMax"/>
          <c:max val="44514.99"/>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FW</a:t>
                </a:r>
                <a:r>
                  <a:rPr lang="en-US" baseline="0"/>
                  <a:t> </a:t>
                </a:r>
                <a:r>
                  <a:rPr lang="en-US"/>
                  <a:t>mass (g/plant)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811024"/>
        <c:crosses val="autoZero"/>
        <c:crossBetween val="midCat"/>
      </c:valAx>
      <c:valAx>
        <c:axId val="744811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 FW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6287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NZ"/>
              <a:t>Potato N Fert</a:t>
            </a:r>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1036881753417187"/>
                  <c:y val="-0.401172941617591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Backend!$A$86:$A$93</c:f>
              <c:numCache>
                <c:formatCode>General</c:formatCode>
                <c:ptCount val="8"/>
                <c:pt idx="0">
                  <c:v>50</c:v>
                </c:pt>
                <c:pt idx="1">
                  <c:v>100</c:v>
                </c:pt>
                <c:pt idx="2">
                  <c:v>150</c:v>
                </c:pt>
                <c:pt idx="3">
                  <c:v>200</c:v>
                </c:pt>
                <c:pt idx="4">
                  <c:v>250</c:v>
                </c:pt>
                <c:pt idx="5">
                  <c:v>300</c:v>
                </c:pt>
                <c:pt idx="6">
                  <c:v>350</c:v>
                </c:pt>
                <c:pt idx="7">
                  <c:v>400</c:v>
                </c:pt>
              </c:numCache>
            </c:numRef>
          </c:xVal>
          <c:yVal>
            <c:numRef>
              <c:f>Backend!$B$86:$B$93</c:f>
              <c:numCache>
                <c:formatCode>General</c:formatCode>
                <c:ptCount val="8"/>
                <c:pt idx="0">
                  <c:v>225</c:v>
                </c:pt>
                <c:pt idx="1">
                  <c:v>200</c:v>
                </c:pt>
                <c:pt idx="2">
                  <c:v>150</c:v>
                </c:pt>
                <c:pt idx="3">
                  <c:v>125</c:v>
                </c:pt>
                <c:pt idx="4">
                  <c:v>75</c:v>
                </c:pt>
                <c:pt idx="5">
                  <c:v>50</c:v>
                </c:pt>
                <c:pt idx="6">
                  <c:v>25</c:v>
                </c:pt>
                <c:pt idx="7">
                  <c:v>0</c:v>
                </c:pt>
              </c:numCache>
            </c:numRef>
          </c:yVal>
          <c:smooth val="0"/>
          <c:extLst>
            <c:ext xmlns:c16="http://schemas.microsoft.com/office/drawing/2014/chart" uri="{C3380CC4-5D6E-409C-BE32-E72D297353CC}">
              <c16:uniqueId val="{00000001-87F1-42BB-A22A-3A8CDE9EF22C}"/>
            </c:ext>
          </c:extLst>
        </c:ser>
        <c:dLbls>
          <c:showLegendKey val="0"/>
          <c:showVal val="0"/>
          <c:showCatName val="0"/>
          <c:showSerName val="0"/>
          <c:showPercent val="0"/>
          <c:showBubbleSize val="0"/>
        </c:dLbls>
        <c:axId val="766740111"/>
        <c:axId val="766225215"/>
      </c:scatterChart>
      <c:valAx>
        <c:axId val="7667401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Soil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225215"/>
        <c:crosses val="autoZero"/>
        <c:crossBetween val="midCat"/>
      </c:valAx>
      <c:valAx>
        <c:axId val="766225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Fert</a:t>
                </a:r>
                <a:r>
                  <a:rPr lang="en-NZ" baseline="0"/>
                  <a:t> N (kgN/ha)</a:t>
                </a:r>
                <a:endParaRPr lang="en-NZ"/>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740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NZ"/>
              <a:t>Onion N Fert</a:t>
            </a:r>
          </a:p>
        </c:rich>
      </c:tx>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0.13752218619731357"/>
                  <c:y val="-0.3368442180021615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Backend!$A$124:$A$131</c:f>
              <c:numCache>
                <c:formatCode>General</c:formatCode>
                <c:ptCount val="8"/>
                <c:pt idx="0">
                  <c:v>20</c:v>
                </c:pt>
                <c:pt idx="1">
                  <c:v>40</c:v>
                </c:pt>
                <c:pt idx="2">
                  <c:v>60</c:v>
                </c:pt>
                <c:pt idx="3">
                  <c:v>80</c:v>
                </c:pt>
                <c:pt idx="4">
                  <c:v>100</c:v>
                </c:pt>
                <c:pt idx="5">
                  <c:v>120</c:v>
                </c:pt>
                <c:pt idx="6">
                  <c:v>140</c:v>
                </c:pt>
                <c:pt idx="7">
                  <c:v>160</c:v>
                </c:pt>
              </c:numCache>
            </c:numRef>
          </c:xVal>
          <c:yVal>
            <c:numRef>
              <c:f>Backend!$B$124:$B$131</c:f>
              <c:numCache>
                <c:formatCode>General</c:formatCode>
                <c:ptCount val="8"/>
                <c:pt idx="0">
                  <c:v>140</c:v>
                </c:pt>
                <c:pt idx="1">
                  <c:v>120</c:v>
                </c:pt>
                <c:pt idx="2">
                  <c:v>100</c:v>
                </c:pt>
                <c:pt idx="3">
                  <c:v>80</c:v>
                </c:pt>
                <c:pt idx="4">
                  <c:v>60</c:v>
                </c:pt>
                <c:pt idx="5">
                  <c:v>40</c:v>
                </c:pt>
                <c:pt idx="6">
                  <c:v>20</c:v>
                </c:pt>
                <c:pt idx="7">
                  <c:v>0</c:v>
                </c:pt>
              </c:numCache>
            </c:numRef>
          </c:yVal>
          <c:smooth val="0"/>
          <c:extLst>
            <c:ext xmlns:c16="http://schemas.microsoft.com/office/drawing/2014/chart" uri="{C3380CC4-5D6E-409C-BE32-E72D297353CC}">
              <c16:uniqueId val="{00000001-308A-4507-9E0F-91C0C4D63788}"/>
            </c:ext>
          </c:extLst>
        </c:ser>
        <c:dLbls>
          <c:showLegendKey val="0"/>
          <c:showVal val="0"/>
          <c:showCatName val="0"/>
          <c:showSerName val="0"/>
          <c:showPercent val="0"/>
          <c:showBubbleSize val="0"/>
        </c:dLbls>
        <c:axId val="766740111"/>
        <c:axId val="766225215"/>
      </c:scatterChart>
      <c:valAx>
        <c:axId val="7667401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Soil 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225215"/>
        <c:crosses val="autoZero"/>
        <c:crossBetween val="midCat"/>
      </c:valAx>
      <c:valAx>
        <c:axId val="766225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NZ"/>
                  <a:t>Fert</a:t>
                </a:r>
                <a:r>
                  <a:rPr lang="en-NZ" baseline="0"/>
                  <a:t> N (kgN/ha)</a:t>
                </a:r>
                <a:endParaRPr lang="en-NZ"/>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740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meanT!$B$2</c:f>
              <c:strCache>
                <c:ptCount val="1"/>
                <c:pt idx="0">
                  <c:v>Linocln</c:v>
                </c:pt>
              </c:strCache>
            </c:strRef>
          </c:tx>
          <c:spPr>
            <a:ln w="19050" cap="rnd">
              <a:solidFill>
                <a:schemeClr val="accent1"/>
              </a:solidFill>
              <a:round/>
            </a:ln>
            <a:effectLst/>
          </c:spPr>
          <c:marker>
            <c:symbol val="none"/>
          </c:marker>
          <c:xVal>
            <c:numRef>
              <c:f>meanT!$A$3:$A$368</c:f>
              <c:numCache>
                <c:formatCode>General</c:formatCode>
                <c:ptCount val="36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numCache>
            </c:numRef>
          </c:xVal>
          <c:yVal>
            <c:numRef>
              <c:f>meanT!$B$3:$B$368</c:f>
              <c:numCache>
                <c:formatCode>General</c:formatCode>
                <c:ptCount val="366"/>
                <c:pt idx="0">
                  <c:v>16.179411764705801</c:v>
                </c:pt>
                <c:pt idx="1">
                  <c:v>17.160294117646998</c:v>
                </c:pt>
                <c:pt idx="2">
                  <c:v>16.8117647058823</c:v>
                </c:pt>
                <c:pt idx="3">
                  <c:v>15.772058823529401</c:v>
                </c:pt>
                <c:pt idx="4">
                  <c:v>16.045588235294101</c:v>
                </c:pt>
                <c:pt idx="5">
                  <c:v>16.1955882352941</c:v>
                </c:pt>
                <c:pt idx="6">
                  <c:v>17.395588235294099</c:v>
                </c:pt>
                <c:pt idx="7">
                  <c:v>17.102249134948</c:v>
                </c:pt>
                <c:pt idx="8">
                  <c:v>16.213235294117599</c:v>
                </c:pt>
                <c:pt idx="9">
                  <c:v>15.8947058823529</c:v>
                </c:pt>
                <c:pt idx="10">
                  <c:v>16.250588235294099</c:v>
                </c:pt>
                <c:pt idx="11">
                  <c:v>16.662352941176401</c:v>
                </c:pt>
                <c:pt idx="12">
                  <c:v>16.830882352941099</c:v>
                </c:pt>
                <c:pt idx="13">
                  <c:v>16.835294117646999</c:v>
                </c:pt>
                <c:pt idx="14">
                  <c:v>17.335294117646999</c:v>
                </c:pt>
                <c:pt idx="15">
                  <c:v>16.8279411764705</c:v>
                </c:pt>
                <c:pt idx="16">
                  <c:v>16.722058823529402</c:v>
                </c:pt>
                <c:pt idx="17">
                  <c:v>17.301470588235201</c:v>
                </c:pt>
                <c:pt idx="18">
                  <c:v>17.052941176470501</c:v>
                </c:pt>
                <c:pt idx="19">
                  <c:v>15.9367647058823</c:v>
                </c:pt>
                <c:pt idx="20">
                  <c:v>17.475000000000001</c:v>
                </c:pt>
                <c:pt idx="21">
                  <c:v>18.2514705882352</c:v>
                </c:pt>
                <c:pt idx="22">
                  <c:v>17.176470588235201</c:v>
                </c:pt>
                <c:pt idx="23">
                  <c:v>16.835294117646999</c:v>
                </c:pt>
                <c:pt idx="24">
                  <c:v>16.6941176470588</c:v>
                </c:pt>
                <c:pt idx="25">
                  <c:v>16.433823529411701</c:v>
                </c:pt>
                <c:pt idx="26">
                  <c:v>16.332352941176399</c:v>
                </c:pt>
                <c:pt idx="27">
                  <c:v>17.044117647058801</c:v>
                </c:pt>
                <c:pt idx="28">
                  <c:v>17.480882352941101</c:v>
                </c:pt>
                <c:pt idx="29">
                  <c:v>18.010294117647</c:v>
                </c:pt>
                <c:pt idx="30">
                  <c:v>18.1264705882352</c:v>
                </c:pt>
                <c:pt idx="31">
                  <c:v>17.5632352941176</c:v>
                </c:pt>
                <c:pt idx="32">
                  <c:v>16.530882352941099</c:v>
                </c:pt>
                <c:pt idx="33">
                  <c:v>16.339705882352899</c:v>
                </c:pt>
                <c:pt idx="34">
                  <c:v>17.920588235294101</c:v>
                </c:pt>
                <c:pt idx="35">
                  <c:v>16.083823529411699</c:v>
                </c:pt>
                <c:pt idx="36">
                  <c:v>16.539705882352902</c:v>
                </c:pt>
                <c:pt idx="37">
                  <c:v>16.527941176470499</c:v>
                </c:pt>
                <c:pt idx="38">
                  <c:v>16.855882352941101</c:v>
                </c:pt>
                <c:pt idx="39">
                  <c:v>16.957352941176399</c:v>
                </c:pt>
                <c:pt idx="40">
                  <c:v>16.866176470588201</c:v>
                </c:pt>
                <c:pt idx="41">
                  <c:v>17.485294117647001</c:v>
                </c:pt>
                <c:pt idx="42">
                  <c:v>17.980882352941101</c:v>
                </c:pt>
                <c:pt idx="43">
                  <c:v>16.401470588235199</c:v>
                </c:pt>
                <c:pt idx="44">
                  <c:v>15.8867647058823</c:v>
                </c:pt>
                <c:pt idx="45">
                  <c:v>15.4705882352941</c:v>
                </c:pt>
                <c:pt idx="46">
                  <c:v>16.035294117646998</c:v>
                </c:pt>
                <c:pt idx="47">
                  <c:v>17.155882352941099</c:v>
                </c:pt>
                <c:pt idx="48">
                  <c:v>17.5720588235294</c:v>
                </c:pt>
                <c:pt idx="49">
                  <c:v>16.991176470588201</c:v>
                </c:pt>
                <c:pt idx="50">
                  <c:v>16.655882352941099</c:v>
                </c:pt>
                <c:pt idx="51">
                  <c:v>16.6955882352941</c:v>
                </c:pt>
                <c:pt idx="52">
                  <c:v>16.394117647058799</c:v>
                </c:pt>
                <c:pt idx="53">
                  <c:v>16.088235294117599</c:v>
                </c:pt>
                <c:pt idx="54">
                  <c:v>16.782352941176399</c:v>
                </c:pt>
                <c:pt idx="55">
                  <c:v>16.1897058823529</c:v>
                </c:pt>
                <c:pt idx="56">
                  <c:v>16.1941176470588</c:v>
                </c:pt>
                <c:pt idx="57">
                  <c:v>16.208823529411699</c:v>
                </c:pt>
                <c:pt idx="58">
                  <c:v>16.074999999999999</c:v>
                </c:pt>
                <c:pt idx="59">
                  <c:v>16.264705882352899</c:v>
                </c:pt>
                <c:pt idx="60">
                  <c:v>15.9727272727272</c:v>
                </c:pt>
                <c:pt idx="61">
                  <c:v>15.216666666666599</c:v>
                </c:pt>
                <c:pt idx="62">
                  <c:v>14.612121212121201</c:v>
                </c:pt>
                <c:pt idx="63">
                  <c:v>15.7681818181818</c:v>
                </c:pt>
                <c:pt idx="64">
                  <c:v>15.9954545454545</c:v>
                </c:pt>
                <c:pt idx="65">
                  <c:v>15.0166666666666</c:v>
                </c:pt>
                <c:pt idx="66">
                  <c:v>15.3257575757575</c:v>
                </c:pt>
                <c:pt idx="67">
                  <c:v>14.630303030303001</c:v>
                </c:pt>
                <c:pt idx="68">
                  <c:v>15.7924242424242</c:v>
                </c:pt>
                <c:pt idx="69">
                  <c:v>15.055882352941101</c:v>
                </c:pt>
                <c:pt idx="70">
                  <c:v>14.958823529411699</c:v>
                </c:pt>
                <c:pt idx="71">
                  <c:v>15.205882352941099</c:v>
                </c:pt>
                <c:pt idx="72">
                  <c:v>14.888235294117599</c:v>
                </c:pt>
                <c:pt idx="73">
                  <c:v>14.9794117647058</c:v>
                </c:pt>
                <c:pt idx="74">
                  <c:v>15</c:v>
                </c:pt>
                <c:pt idx="75">
                  <c:v>14.8191176470588</c:v>
                </c:pt>
                <c:pt idx="76">
                  <c:v>13.742647058823501</c:v>
                </c:pt>
                <c:pt idx="77">
                  <c:v>14.5911764705882</c:v>
                </c:pt>
                <c:pt idx="78">
                  <c:v>15.358823529411699</c:v>
                </c:pt>
                <c:pt idx="79">
                  <c:v>14.954411764705799</c:v>
                </c:pt>
                <c:pt idx="80">
                  <c:v>14.5426470588235</c:v>
                </c:pt>
                <c:pt idx="81">
                  <c:v>13.9808823529411</c:v>
                </c:pt>
                <c:pt idx="82">
                  <c:v>14.1040998217468</c:v>
                </c:pt>
                <c:pt idx="83">
                  <c:v>14.397058823529401</c:v>
                </c:pt>
                <c:pt idx="84">
                  <c:v>13.613235294117599</c:v>
                </c:pt>
                <c:pt idx="85">
                  <c:v>14.4676470588235</c:v>
                </c:pt>
                <c:pt idx="86">
                  <c:v>14.926470588235199</c:v>
                </c:pt>
                <c:pt idx="87">
                  <c:v>14.8691176470588</c:v>
                </c:pt>
                <c:pt idx="88">
                  <c:v>14.9382352941176</c:v>
                </c:pt>
                <c:pt idx="89">
                  <c:v>14.0308823529411</c:v>
                </c:pt>
                <c:pt idx="90">
                  <c:v>13.4647058823529</c:v>
                </c:pt>
                <c:pt idx="91">
                  <c:v>14.017647058823499</c:v>
                </c:pt>
                <c:pt idx="92">
                  <c:v>13.6090909090909</c:v>
                </c:pt>
                <c:pt idx="93">
                  <c:v>13.085294117647001</c:v>
                </c:pt>
                <c:pt idx="94">
                  <c:v>12.85</c:v>
                </c:pt>
                <c:pt idx="95">
                  <c:v>12.9941176470588</c:v>
                </c:pt>
                <c:pt idx="96">
                  <c:v>12.891176470588199</c:v>
                </c:pt>
                <c:pt idx="97">
                  <c:v>12.924999999999899</c:v>
                </c:pt>
                <c:pt idx="98">
                  <c:v>12.363235294117599</c:v>
                </c:pt>
                <c:pt idx="99">
                  <c:v>11.3573529411764</c:v>
                </c:pt>
                <c:pt idx="100">
                  <c:v>11.6044117647058</c:v>
                </c:pt>
                <c:pt idx="101">
                  <c:v>11.445454545454499</c:v>
                </c:pt>
                <c:pt idx="102">
                  <c:v>11.897058823529401</c:v>
                </c:pt>
                <c:pt idx="103">
                  <c:v>11.5014705882352</c:v>
                </c:pt>
                <c:pt idx="104">
                  <c:v>12.461764705882301</c:v>
                </c:pt>
                <c:pt idx="105">
                  <c:v>12.083823529411699</c:v>
                </c:pt>
                <c:pt idx="106">
                  <c:v>12.307352941176401</c:v>
                </c:pt>
                <c:pt idx="107">
                  <c:v>11.5970588235294</c:v>
                </c:pt>
                <c:pt idx="108">
                  <c:v>11.710294117647001</c:v>
                </c:pt>
                <c:pt idx="109">
                  <c:v>12.0897058823529</c:v>
                </c:pt>
                <c:pt idx="110">
                  <c:v>11.1882352941176</c:v>
                </c:pt>
                <c:pt idx="111">
                  <c:v>11.0044117647058</c:v>
                </c:pt>
                <c:pt idx="112">
                  <c:v>11.586764705882301</c:v>
                </c:pt>
                <c:pt idx="113">
                  <c:v>10.9985294117647</c:v>
                </c:pt>
                <c:pt idx="114">
                  <c:v>11.547058823529399</c:v>
                </c:pt>
                <c:pt idx="115">
                  <c:v>11.6955882352941</c:v>
                </c:pt>
                <c:pt idx="116">
                  <c:v>11.833823529411699</c:v>
                </c:pt>
                <c:pt idx="117">
                  <c:v>12.1279411764705</c:v>
                </c:pt>
                <c:pt idx="118">
                  <c:v>10.824999999999999</c:v>
                </c:pt>
                <c:pt idx="119">
                  <c:v>10.554411764705799</c:v>
                </c:pt>
                <c:pt idx="120">
                  <c:v>10.2014705882352</c:v>
                </c:pt>
                <c:pt idx="121">
                  <c:v>10.3191176470588</c:v>
                </c:pt>
                <c:pt idx="122">
                  <c:v>10.267647058823499</c:v>
                </c:pt>
                <c:pt idx="123">
                  <c:v>10.807352941176401</c:v>
                </c:pt>
                <c:pt idx="124">
                  <c:v>10.7742424242424</c:v>
                </c:pt>
                <c:pt idx="125">
                  <c:v>11.583823529411699</c:v>
                </c:pt>
                <c:pt idx="126">
                  <c:v>11.138235294117599</c:v>
                </c:pt>
                <c:pt idx="127">
                  <c:v>10.079411764705799</c:v>
                </c:pt>
                <c:pt idx="128">
                  <c:v>10.2279411764705</c:v>
                </c:pt>
                <c:pt idx="129">
                  <c:v>10.1044117647058</c:v>
                </c:pt>
                <c:pt idx="130">
                  <c:v>10.4441176470588</c:v>
                </c:pt>
                <c:pt idx="131">
                  <c:v>10.801470588235199</c:v>
                </c:pt>
                <c:pt idx="132">
                  <c:v>10.149999999999901</c:v>
                </c:pt>
                <c:pt idx="133">
                  <c:v>10.029411764705801</c:v>
                </c:pt>
                <c:pt idx="134">
                  <c:v>9.6235294117647001</c:v>
                </c:pt>
                <c:pt idx="135">
                  <c:v>10.177941176470499</c:v>
                </c:pt>
                <c:pt idx="136">
                  <c:v>9.2779411764705806</c:v>
                </c:pt>
                <c:pt idx="137">
                  <c:v>9.0485294117647008</c:v>
                </c:pt>
                <c:pt idx="138">
                  <c:v>9.3647058823529399</c:v>
                </c:pt>
                <c:pt idx="139">
                  <c:v>9.4352941176470502</c:v>
                </c:pt>
                <c:pt idx="140">
                  <c:v>9.1705882352941099</c:v>
                </c:pt>
                <c:pt idx="141">
                  <c:v>8.3529411764705799</c:v>
                </c:pt>
                <c:pt idx="142">
                  <c:v>9.0132352941176404</c:v>
                </c:pt>
                <c:pt idx="143">
                  <c:v>8.7911764705882298</c:v>
                </c:pt>
                <c:pt idx="144">
                  <c:v>8.3720588235294109</c:v>
                </c:pt>
                <c:pt idx="145">
                  <c:v>8.5632352941176393</c:v>
                </c:pt>
                <c:pt idx="146">
                  <c:v>8.4573529411764703</c:v>
                </c:pt>
                <c:pt idx="147">
                  <c:v>8.1897058823529392</c:v>
                </c:pt>
                <c:pt idx="148">
                  <c:v>8.3764705882352892</c:v>
                </c:pt>
                <c:pt idx="149">
                  <c:v>7.9235294117646999</c:v>
                </c:pt>
                <c:pt idx="150">
                  <c:v>7.9742424242424201</c:v>
                </c:pt>
                <c:pt idx="151">
                  <c:v>8.0696969696969596</c:v>
                </c:pt>
                <c:pt idx="152">
                  <c:v>7.75</c:v>
                </c:pt>
                <c:pt idx="153">
                  <c:v>7.4484848484848403</c:v>
                </c:pt>
                <c:pt idx="154">
                  <c:v>7.27424242424242</c:v>
                </c:pt>
                <c:pt idx="155">
                  <c:v>7.1969696969696901</c:v>
                </c:pt>
                <c:pt idx="156">
                  <c:v>6.8636363636363598</c:v>
                </c:pt>
                <c:pt idx="157">
                  <c:v>7.0772727272727201</c:v>
                </c:pt>
                <c:pt idx="158">
                  <c:v>7.6151515151515099</c:v>
                </c:pt>
                <c:pt idx="159">
                  <c:v>7.8272727272727201</c:v>
                </c:pt>
                <c:pt idx="160">
                  <c:v>7.8272727272727201</c:v>
                </c:pt>
                <c:pt idx="161">
                  <c:v>7.6075757575757503</c:v>
                </c:pt>
                <c:pt idx="162">
                  <c:v>7.7030303030302996</c:v>
                </c:pt>
                <c:pt idx="163">
                  <c:v>6.8681818181818102</c:v>
                </c:pt>
                <c:pt idx="164">
                  <c:v>7.2318181818181797</c:v>
                </c:pt>
                <c:pt idx="165">
                  <c:v>7.3390624999999998</c:v>
                </c:pt>
                <c:pt idx="166">
                  <c:v>6.6624999999999996</c:v>
                </c:pt>
                <c:pt idx="167">
                  <c:v>6.015625</c:v>
                </c:pt>
                <c:pt idx="168">
                  <c:v>6.4772727272727204</c:v>
                </c:pt>
                <c:pt idx="169">
                  <c:v>6.3803030303030299</c:v>
                </c:pt>
                <c:pt idx="170">
                  <c:v>6.4439393939393899</c:v>
                </c:pt>
                <c:pt idx="171">
                  <c:v>6.5606060606060597</c:v>
                </c:pt>
                <c:pt idx="172">
                  <c:v>6.1424242424242399</c:v>
                </c:pt>
                <c:pt idx="173">
                  <c:v>6.20757575757575</c:v>
                </c:pt>
                <c:pt idx="174">
                  <c:v>6.5106060606060598</c:v>
                </c:pt>
                <c:pt idx="175">
                  <c:v>6.4439393939393899</c:v>
                </c:pt>
                <c:pt idx="176">
                  <c:v>6.6909090909090896</c:v>
                </c:pt>
                <c:pt idx="177">
                  <c:v>6.1848484848484802</c:v>
                </c:pt>
                <c:pt idx="178">
                  <c:v>5.9242424242424203</c:v>
                </c:pt>
                <c:pt idx="179">
                  <c:v>6.1499999999999897</c:v>
                </c:pt>
                <c:pt idx="180">
                  <c:v>6.4909090909090903</c:v>
                </c:pt>
                <c:pt idx="181">
                  <c:v>5.80151515151515</c:v>
                </c:pt>
                <c:pt idx="182">
                  <c:v>5.4696969696969697</c:v>
                </c:pt>
                <c:pt idx="183">
                  <c:v>6.01212121212121</c:v>
                </c:pt>
                <c:pt idx="184">
                  <c:v>6.2727272727272698</c:v>
                </c:pt>
                <c:pt idx="185">
                  <c:v>6.5393939393939302</c:v>
                </c:pt>
                <c:pt idx="186">
                  <c:v>6.3272727272727201</c:v>
                </c:pt>
                <c:pt idx="187">
                  <c:v>5.5742424242424198</c:v>
                </c:pt>
                <c:pt idx="188">
                  <c:v>5.2243939393939298</c:v>
                </c:pt>
                <c:pt idx="189">
                  <c:v>5.4590909090909001</c:v>
                </c:pt>
                <c:pt idx="190">
                  <c:v>5.67121212121212</c:v>
                </c:pt>
                <c:pt idx="191">
                  <c:v>5.5803030303030301</c:v>
                </c:pt>
                <c:pt idx="192">
                  <c:v>5.8181818181818103</c:v>
                </c:pt>
                <c:pt idx="193">
                  <c:v>5.8984848484848396</c:v>
                </c:pt>
                <c:pt idx="194">
                  <c:v>6.1590909090909003</c:v>
                </c:pt>
                <c:pt idx="195">
                  <c:v>5.8606060606060604</c:v>
                </c:pt>
                <c:pt idx="196">
                  <c:v>6.3318181818181802</c:v>
                </c:pt>
                <c:pt idx="197">
                  <c:v>6.4424242424242397</c:v>
                </c:pt>
                <c:pt idx="198">
                  <c:v>6.3242424242424198</c:v>
                </c:pt>
                <c:pt idx="199">
                  <c:v>6.5333333333333297</c:v>
                </c:pt>
                <c:pt idx="200">
                  <c:v>6.70757575757575</c:v>
                </c:pt>
                <c:pt idx="201">
                  <c:v>6.2909090909090901</c:v>
                </c:pt>
                <c:pt idx="202">
                  <c:v>6.5757575757575699</c:v>
                </c:pt>
                <c:pt idx="203">
                  <c:v>6.8424242424242401</c:v>
                </c:pt>
                <c:pt idx="204">
                  <c:v>6.7236363636363601</c:v>
                </c:pt>
                <c:pt idx="205">
                  <c:v>6.8075757575757496</c:v>
                </c:pt>
                <c:pt idx="206">
                  <c:v>6.7636363636363601</c:v>
                </c:pt>
                <c:pt idx="207">
                  <c:v>7.0954545454545404</c:v>
                </c:pt>
                <c:pt idx="208">
                  <c:v>7.0287878787878704</c:v>
                </c:pt>
                <c:pt idx="209">
                  <c:v>7.4492424242424198</c:v>
                </c:pt>
                <c:pt idx="210">
                  <c:v>6.8409090909090899</c:v>
                </c:pt>
                <c:pt idx="211">
                  <c:v>7.1918181818181797</c:v>
                </c:pt>
                <c:pt idx="212">
                  <c:v>7.4148484848484797</c:v>
                </c:pt>
                <c:pt idx="213">
                  <c:v>7.1409090909090898</c:v>
                </c:pt>
                <c:pt idx="214">
                  <c:v>6.7681818181818096</c:v>
                </c:pt>
                <c:pt idx="215">
                  <c:v>7.2015151515151503</c:v>
                </c:pt>
                <c:pt idx="216">
                  <c:v>7.3742424242424196</c:v>
                </c:pt>
                <c:pt idx="217">
                  <c:v>7.4590909090909001</c:v>
                </c:pt>
                <c:pt idx="218">
                  <c:v>7.5939393939393902</c:v>
                </c:pt>
                <c:pt idx="219">
                  <c:v>7.3257575757575699</c:v>
                </c:pt>
                <c:pt idx="220">
                  <c:v>6.6333333333333302</c:v>
                </c:pt>
                <c:pt idx="221">
                  <c:v>7.0696969696969703</c:v>
                </c:pt>
                <c:pt idx="222">
                  <c:v>7.5106060606060598</c:v>
                </c:pt>
                <c:pt idx="223">
                  <c:v>7.7378787878787803</c:v>
                </c:pt>
                <c:pt idx="224">
                  <c:v>7.4378787878787804</c:v>
                </c:pt>
                <c:pt idx="225">
                  <c:v>7.3203125</c:v>
                </c:pt>
                <c:pt idx="226">
                  <c:v>6.9593749999999996</c:v>
                </c:pt>
                <c:pt idx="227">
                  <c:v>7.1937499999999996</c:v>
                </c:pt>
                <c:pt idx="228">
                  <c:v>7.7437500000000004</c:v>
                </c:pt>
                <c:pt idx="229">
                  <c:v>7.8</c:v>
                </c:pt>
                <c:pt idx="230">
                  <c:v>7.5171875000000004</c:v>
                </c:pt>
                <c:pt idx="231">
                  <c:v>7.5671875000000002</c:v>
                </c:pt>
                <c:pt idx="232">
                  <c:v>7.2593750000000004</c:v>
                </c:pt>
                <c:pt idx="233">
                  <c:v>7.5062499999999996</c:v>
                </c:pt>
                <c:pt idx="234">
                  <c:v>7.6363636363636296</c:v>
                </c:pt>
                <c:pt idx="235">
                  <c:v>8.1045454545454501</c:v>
                </c:pt>
                <c:pt idx="236">
                  <c:v>8.2954545454545396</c:v>
                </c:pt>
                <c:pt idx="237">
                  <c:v>8.2378787878787794</c:v>
                </c:pt>
                <c:pt idx="238">
                  <c:v>8.2484848484848392</c:v>
                </c:pt>
                <c:pt idx="239">
                  <c:v>8.5593939393939298</c:v>
                </c:pt>
                <c:pt idx="240">
                  <c:v>8.2121212121212093</c:v>
                </c:pt>
                <c:pt idx="241">
                  <c:v>8.8015151515151508</c:v>
                </c:pt>
                <c:pt idx="242">
                  <c:v>7.8968181818181797</c:v>
                </c:pt>
                <c:pt idx="243">
                  <c:v>8.5848484848484805</c:v>
                </c:pt>
                <c:pt idx="244">
                  <c:v>9.0333333333333297</c:v>
                </c:pt>
                <c:pt idx="245">
                  <c:v>8.7469696969696908</c:v>
                </c:pt>
                <c:pt idx="246">
                  <c:v>8.7227272727272709</c:v>
                </c:pt>
                <c:pt idx="247">
                  <c:v>8.4803030303030305</c:v>
                </c:pt>
                <c:pt idx="248">
                  <c:v>8.9078125000000004</c:v>
                </c:pt>
                <c:pt idx="249">
                  <c:v>8.9656249999999993</c:v>
                </c:pt>
                <c:pt idx="250">
                  <c:v>8.6015625</c:v>
                </c:pt>
                <c:pt idx="251">
                  <c:v>8.0227272727272698</c:v>
                </c:pt>
                <c:pt idx="252">
                  <c:v>9.0060606060606005</c:v>
                </c:pt>
                <c:pt idx="253">
                  <c:v>9.7090909090909001</c:v>
                </c:pt>
                <c:pt idx="254">
                  <c:v>9.6212121212121193</c:v>
                </c:pt>
                <c:pt idx="255">
                  <c:v>9.3833333333333293</c:v>
                </c:pt>
                <c:pt idx="256">
                  <c:v>9.8590909090909093</c:v>
                </c:pt>
                <c:pt idx="257">
                  <c:v>10.654545454545399</c:v>
                </c:pt>
                <c:pt idx="258">
                  <c:v>10.4757575757575</c:v>
                </c:pt>
                <c:pt idx="259">
                  <c:v>9.8469696969696905</c:v>
                </c:pt>
                <c:pt idx="260">
                  <c:v>9.6045454545454501</c:v>
                </c:pt>
                <c:pt idx="261">
                  <c:v>9.8772727272727199</c:v>
                </c:pt>
                <c:pt idx="262">
                  <c:v>9.4984848484848392</c:v>
                </c:pt>
                <c:pt idx="263">
                  <c:v>9.9712121212121207</c:v>
                </c:pt>
                <c:pt idx="264">
                  <c:v>9.6348484848484794</c:v>
                </c:pt>
                <c:pt idx="265">
                  <c:v>9.4318181818181799</c:v>
                </c:pt>
                <c:pt idx="266">
                  <c:v>9.9181818181818109</c:v>
                </c:pt>
                <c:pt idx="267">
                  <c:v>9.4424242424242397</c:v>
                </c:pt>
                <c:pt idx="268">
                  <c:v>10.2424242424242</c:v>
                </c:pt>
                <c:pt idx="269">
                  <c:v>10.445454545454499</c:v>
                </c:pt>
                <c:pt idx="270">
                  <c:v>10.198484848484799</c:v>
                </c:pt>
                <c:pt idx="271">
                  <c:v>10.072727272727199</c:v>
                </c:pt>
                <c:pt idx="272">
                  <c:v>11.2515151515151</c:v>
                </c:pt>
                <c:pt idx="273">
                  <c:v>11.2893939393939</c:v>
                </c:pt>
                <c:pt idx="274">
                  <c:v>11.590909090908999</c:v>
                </c:pt>
                <c:pt idx="275">
                  <c:v>10.8530303030303</c:v>
                </c:pt>
                <c:pt idx="276">
                  <c:v>10.580303030303</c:v>
                </c:pt>
                <c:pt idx="277">
                  <c:v>10.5</c:v>
                </c:pt>
                <c:pt idx="278">
                  <c:v>11.0757575757575</c:v>
                </c:pt>
                <c:pt idx="279">
                  <c:v>11.1621212121212</c:v>
                </c:pt>
                <c:pt idx="280">
                  <c:v>10.442424242424201</c:v>
                </c:pt>
                <c:pt idx="281">
                  <c:v>10.1257575757575</c:v>
                </c:pt>
                <c:pt idx="282">
                  <c:v>10.0590909090909</c:v>
                </c:pt>
                <c:pt idx="283">
                  <c:v>10.7469696969696</c:v>
                </c:pt>
                <c:pt idx="284">
                  <c:v>12.012121212121199</c:v>
                </c:pt>
                <c:pt idx="285">
                  <c:v>11.445454545454499</c:v>
                </c:pt>
                <c:pt idx="286">
                  <c:v>11.0863636363636</c:v>
                </c:pt>
                <c:pt idx="287">
                  <c:v>10.820454545454499</c:v>
                </c:pt>
                <c:pt idx="288">
                  <c:v>11.382575757575699</c:v>
                </c:pt>
                <c:pt idx="289">
                  <c:v>12.1743939393939</c:v>
                </c:pt>
                <c:pt idx="290">
                  <c:v>11.5590909090909</c:v>
                </c:pt>
                <c:pt idx="291">
                  <c:v>11.530303030302999</c:v>
                </c:pt>
                <c:pt idx="292">
                  <c:v>11.592424242424199</c:v>
                </c:pt>
                <c:pt idx="293">
                  <c:v>12.6712121212121</c:v>
                </c:pt>
                <c:pt idx="294">
                  <c:v>11.5966666666666</c:v>
                </c:pt>
                <c:pt idx="295">
                  <c:v>11.5331818181818</c:v>
                </c:pt>
                <c:pt idx="296">
                  <c:v>11.6060606060606</c:v>
                </c:pt>
                <c:pt idx="297">
                  <c:v>11.821212121212101</c:v>
                </c:pt>
                <c:pt idx="298">
                  <c:v>12.8742424242424</c:v>
                </c:pt>
                <c:pt idx="299">
                  <c:v>12.3921212121212</c:v>
                </c:pt>
                <c:pt idx="300">
                  <c:v>13.0242424242424</c:v>
                </c:pt>
                <c:pt idx="301">
                  <c:v>13.2075757575757</c:v>
                </c:pt>
                <c:pt idx="302">
                  <c:v>12.865151515151499</c:v>
                </c:pt>
                <c:pt idx="303">
                  <c:v>12.8045454545454</c:v>
                </c:pt>
                <c:pt idx="304">
                  <c:v>13.4363636363636</c:v>
                </c:pt>
                <c:pt idx="305">
                  <c:v>12.756060606060601</c:v>
                </c:pt>
                <c:pt idx="306">
                  <c:v>12.960606060606001</c:v>
                </c:pt>
                <c:pt idx="307">
                  <c:v>13.0166666666666</c:v>
                </c:pt>
                <c:pt idx="308">
                  <c:v>12.8439393939393</c:v>
                </c:pt>
                <c:pt idx="309">
                  <c:v>12.319696969696899</c:v>
                </c:pt>
                <c:pt idx="310">
                  <c:v>12.6025757575757</c:v>
                </c:pt>
                <c:pt idx="311">
                  <c:v>12.547121212121199</c:v>
                </c:pt>
                <c:pt idx="312">
                  <c:v>12.8168181818181</c:v>
                </c:pt>
                <c:pt idx="313">
                  <c:v>14.334848484848401</c:v>
                </c:pt>
                <c:pt idx="314">
                  <c:v>13.660606060606</c:v>
                </c:pt>
                <c:pt idx="315">
                  <c:v>13.3045454545454</c:v>
                </c:pt>
                <c:pt idx="316">
                  <c:v>12.422727272727199</c:v>
                </c:pt>
                <c:pt idx="317">
                  <c:v>12.9954545454545</c:v>
                </c:pt>
                <c:pt idx="318">
                  <c:v>13.430303030303</c:v>
                </c:pt>
                <c:pt idx="319">
                  <c:v>13.7712121212121</c:v>
                </c:pt>
                <c:pt idx="320">
                  <c:v>12.8924242424242</c:v>
                </c:pt>
                <c:pt idx="321">
                  <c:v>12.363636363636299</c:v>
                </c:pt>
                <c:pt idx="322">
                  <c:v>12.159090909090899</c:v>
                </c:pt>
                <c:pt idx="323">
                  <c:v>13.048484848484801</c:v>
                </c:pt>
                <c:pt idx="324">
                  <c:v>12.9621212121212</c:v>
                </c:pt>
                <c:pt idx="325">
                  <c:v>12.268749999999899</c:v>
                </c:pt>
                <c:pt idx="326">
                  <c:v>13.610937499999901</c:v>
                </c:pt>
                <c:pt idx="327">
                  <c:v>13.9</c:v>
                </c:pt>
                <c:pt idx="328">
                  <c:v>14.229687499999899</c:v>
                </c:pt>
                <c:pt idx="329">
                  <c:v>13.9375</c:v>
                </c:pt>
                <c:pt idx="330">
                  <c:v>13.6234375</c:v>
                </c:pt>
                <c:pt idx="331">
                  <c:v>13.4125</c:v>
                </c:pt>
                <c:pt idx="332">
                  <c:v>13.120312499999899</c:v>
                </c:pt>
                <c:pt idx="333">
                  <c:v>13.534375000000001</c:v>
                </c:pt>
                <c:pt idx="334">
                  <c:v>14.5196969696969</c:v>
                </c:pt>
                <c:pt idx="335">
                  <c:v>14.7863636363636</c:v>
                </c:pt>
                <c:pt idx="336">
                  <c:v>15.427272727272699</c:v>
                </c:pt>
                <c:pt idx="337">
                  <c:v>15.004545454545401</c:v>
                </c:pt>
                <c:pt idx="338">
                  <c:v>14.903030303030301</c:v>
                </c:pt>
                <c:pt idx="339">
                  <c:v>14.301515151515099</c:v>
                </c:pt>
                <c:pt idx="340">
                  <c:v>14.8272727272727</c:v>
                </c:pt>
                <c:pt idx="341">
                  <c:v>14.8772727272727</c:v>
                </c:pt>
                <c:pt idx="342">
                  <c:v>14.215151515151501</c:v>
                </c:pt>
                <c:pt idx="343">
                  <c:v>14.9121212121212</c:v>
                </c:pt>
                <c:pt idx="344">
                  <c:v>15.940909090909001</c:v>
                </c:pt>
                <c:pt idx="345">
                  <c:v>16.6272727272727</c:v>
                </c:pt>
                <c:pt idx="346">
                  <c:v>15.6196969696969</c:v>
                </c:pt>
                <c:pt idx="347">
                  <c:v>14.8939393939393</c:v>
                </c:pt>
                <c:pt idx="348">
                  <c:v>16</c:v>
                </c:pt>
                <c:pt idx="349">
                  <c:v>15.5590909090909</c:v>
                </c:pt>
                <c:pt idx="350">
                  <c:v>15.2454545454545</c:v>
                </c:pt>
                <c:pt idx="351">
                  <c:v>15.4969696969696</c:v>
                </c:pt>
                <c:pt idx="352">
                  <c:v>15.5242424242424</c:v>
                </c:pt>
                <c:pt idx="353">
                  <c:v>15.1863636363636</c:v>
                </c:pt>
                <c:pt idx="354">
                  <c:v>14.9893480257116</c:v>
                </c:pt>
                <c:pt idx="355">
                  <c:v>15.318181818181801</c:v>
                </c:pt>
                <c:pt idx="356">
                  <c:v>15.1030303030303</c:v>
                </c:pt>
                <c:pt idx="357">
                  <c:v>15.75</c:v>
                </c:pt>
                <c:pt idx="358">
                  <c:v>15.801515151515099</c:v>
                </c:pt>
                <c:pt idx="359">
                  <c:v>15.1378787878787</c:v>
                </c:pt>
                <c:pt idx="360">
                  <c:v>16.901515151515099</c:v>
                </c:pt>
                <c:pt idx="361">
                  <c:v>17.143939393939299</c:v>
                </c:pt>
                <c:pt idx="362">
                  <c:v>15.795454545454501</c:v>
                </c:pt>
                <c:pt idx="363">
                  <c:v>16.3359375</c:v>
                </c:pt>
                <c:pt idx="364">
                  <c:v>15.832812499999999</c:v>
                </c:pt>
                <c:pt idx="365">
                  <c:v>16.3</c:v>
                </c:pt>
              </c:numCache>
            </c:numRef>
          </c:yVal>
          <c:smooth val="1"/>
          <c:extLst>
            <c:ext xmlns:c16="http://schemas.microsoft.com/office/drawing/2014/chart" uri="{C3380CC4-5D6E-409C-BE32-E72D297353CC}">
              <c16:uniqueId val="{00000000-787B-42AE-A59C-62ACE34B571F}"/>
            </c:ext>
          </c:extLst>
        </c:ser>
        <c:ser>
          <c:idx val="1"/>
          <c:order val="1"/>
          <c:tx>
            <c:strRef>
              <c:f>meanT!$C$2</c:f>
              <c:strCache>
                <c:ptCount val="1"/>
                <c:pt idx="0">
                  <c:v>Pukekohe</c:v>
                </c:pt>
              </c:strCache>
            </c:strRef>
          </c:tx>
          <c:spPr>
            <a:ln w="19050" cap="rnd">
              <a:solidFill>
                <a:schemeClr val="accent2"/>
              </a:solidFill>
              <a:round/>
            </a:ln>
            <a:effectLst/>
          </c:spPr>
          <c:marker>
            <c:symbol val="none"/>
          </c:marker>
          <c:xVal>
            <c:numRef>
              <c:f>meanT!$A$3:$A$368</c:f>
              <c:numCache>
                <c:formatCode>General</c:formatCode>
                <c:ptCount val="36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numCache>
            </c:numRef>
          </c:xVal>
          <c:yVal>
            <c:numRef>
              <c:f>meanT!$C$3:$C$368</c:f>
              <c:numCache>
                <c:formatCode>General</c:formatCode>
                <c:ptCount val="366"/>
                <c:pt idx="0">
                  <c:v>17.639655172413701</c:v>
                </c:pt>
                <c:pt idx="1">
                  <c:v>18.013793103448201</c:v>
                </c:pt>
                <c:pt idx="2">
                  <c:v>17.827586206896498</c:v>
                </c:pt>
                <c:pt idx="3">
                  <c:v>18.068965517241299</c:v>
                </c:pt>
                <c:pt idx="4">
                  <c:v>17.658620689655098</c:v>
                </c:pt>
                <c:pt idx="5">
                  <c:v>17.7431034482758</c:v>
                </c:pt>
                <c:pt idx="6">
                  <c:v>18.181034482758601</c:v>
                </c:pt>
                <c:pt idx="7">
                  <c:v>18.393103448275799</c:v>
                </c:pt>
                <c:pt idx="8">
                  <c:v>18.6103448275862</c:v>
                </c:pt>
                <c:pt idx="9">
                  <c:v>18.453448275862002</c:v>
                </c:pt>
                <c:pt idx="10">
                  <c:v>18.186206896551699</c:v>
                </c:pt>
                <c:pt idx="11">
                  <c:v>18.314999999999898</c:v>
                </c:pt>
                <c:pt idx="12">
                  <c:v>18.473333333333301</c:v>
                </c:pt>
                <c:pt idx="13">
                  <c:v>18.684999999999999</c:v>
                </c:pt>
                <c:pt idx="14">
                  <c:v>18.661666666666601</c:v>
                </c:pt>
                <c:pt idx="15">
                  <c:v>18.636666666666599</c:v>
                </c:pt>
                <c:pt idx="16">
                  <c:v>18.4233333333333</c:v>
                </c:pt>
                <c:pt idx="17">
                  <c:v>18.466666666666601</c:v>
                </c:pt>
                <c:pt idx="18">
                  <c:v>18.754999999999999</c:v>
                </c:pt>
                <c:pt idx="19">
                  <c:v>18.6933333333333</c:v>
                </c:pt>
                <c:pt idx="20">
                  <c:v>18.914999999999999</c:v>
                </c:pt>
                <c:pt idx="21">
                  <c:v>19.0133333333333</c:v>
                </c:pt>
                <c:pt idx="22">
                  <c:v>19.03</c:v>
                </c:pt>
                <c:pt idx="23">
                  <c:v>19.07</c:v>
                </c:pt>
                <c:pt idx="24">
                  <c:v>19.3</c:v>
                </c:pt>
                <c:pt idx="25">
                  <c:v>19.418333333333301</c:v>
                </c:pt>
                <c:pt idx="26">
                  <c:v>19.086666666666599</c:v>
                </c:pt>
                <c:pt idx="27">
                  <c:v>19.248333333333299</c:v>
                </c:pt>
                <c:pt idx="28">
                  <c:v>19.486666666666601</c:v>
                </c:pt>
                <c:pt idx="29">
                  <c:v>19.725000000000001</c:v>
                </c:pt>
                <c:pt idx="30">
                  <c:v>19.670000000000002</c:v>
                </c:pt>
                <c:pt idx="31">
                  <c:v>19.770689655172401</c:v>
                </c:pt>
                <c:pt idx="32">
                  <c:v>19.548275862068898</c:v>
                </c:pt>
                <c:pt idx="33">
                  <c:v>19.325862068965499</c:v>
                </c:pt>
                <c:pt idx="34">
                  <c:v>18.712068965517201</c:v>
                </c:pt>
                <c:pt idx="35">
                  <c:v>19.178333333333299</c:v>
                </c:pt>
                <c:pt idx="36">
                  <c:v>19.063333333333301</c:v>
                </c:pt>
                <c:pt idx="37">
                  <c:v>19.164999999999999</c:v>
                </c:pt>
                <c:pt idx="38">
                  <c:v>19.145</c:v>
                </c:pt>
                <c:pt idx="39">
                  <c:v>19.28</c:v>
                </c:pt>
                <c:pt idx="40">
                  <c:v>19.6533333333333</c:v>
                </c:pt>
                <c:pt idx="41">
                  <c:v>19.843333333333302</c:v>
                </c:pt>
                <c:pt idx="42">
                  <c:v>19.767241379310299</c:v>
                </c:pt>
                <c:pt idx="43">
                  <c:v>19.5672413793103</c:v>
                </c:pt>
                <c:pt idx="44">
                  <c:v>19.5910714285714</c:v>
                </c:pt>
                <c:pt idx="45">
                  <c:v>19.355357142857098</c:v>
                </c:pt>
                <c:pt idx="46">
                  <c:v>19.258928571428498</c:v>
                </c:pt>
                <c:pt idx="47">
                  <c:v>19.284482758620602</c:v>
                </c:pt>
                <c:pt idx="48">
                  <c:v>19.415517241379298</c:v>
                </c:pt>
                <c:pt idx="49">
                  <c:v>19.4189655172413</c:v>
                </c:pt>
                <c:pt idx="50">
                  <c:v>19.5068965517241</c:v>
                </c:pt>
                <c:pt idx="51">
                  <c:v>19.441666666666599</c:v>
                </c:pt>
                <c:pt idx="52">
                  <c:v>19.231666666666602</c:v>
                </c:pt>
                <c:pt idx="53">
                  <c:v>19.22</c:v>
                </c:pt>
                <c:pt idx="54">
                  <c:v>18.793333333333301</c:v>
                </c:pt>
                <c:pt idx="55">
                  <c:v>18.3</c:v>
                </c:pt>
                <c:pt idx="56">
                  <c:v>18.41</c:v>
                </c:pt>
                <c:pt idx="57">
                  <c:v>18.516666666666602</c:v>
                </c:pt>
                <c:pt idx="58">
                  <c:v>18.253571428571401</c:v>
                </c:pt>
                <c:pt idx="59">
                  <c:v>18.313793103448202</c:v>
                </c:pt>
                <c:pt idx="60">
                  <c:v>18.701724137930999</c:v>
                </c:pt>
                <c:pt idx="61">
                  <c:v>18.759999999999899</c:v>
                </c:pt>
                <c:pt idx="62">
                  <c:v>18.0322580645161</c:v>
                </c:pt>
                <c:pt idx="63">
                  <c:v>17.95</c:v>
                </c:pt>
                <c:pt idx="64">
                  <c:v>18.361290322580601</c:v>
                </c:pt>
                <c:pt idx="65">
                  <c:v>17.7903225806451</c:v>
                </c:pt>
                <c:pt idx="66">
                  <c:v>18.141379310344799</c:v>
                </c:pt>
                <c:pt idx="67">
                  <c:v>18.3816666666666</c:v>
                </c:pt>
                <c:pt idx="68">
                  <c:v>18.100000000000001</c:v>
                </c:pt>
                <c:pt idx="69">
                  <c:v>17.931666666666601</c:v>
                </c:pt>
                <c:pt idx="70">
                  <c:v>18.11</c:v>
                </c:pt>
                <c:pt idx="71">
                  <c:v>17.7392857142857</c:v>
                </c:pt>
                <c:pt idx="72">
                  <c:v>17.7431034482758</c:v>
                </c:pt>
                <c:pt idx="73">
                  <c:v>17.582758620689599</c:v>
                </c:pt>
                <c:pt idx="74">
                  <c:v>17.724137931034399</c:v>
                </c:pt>
                <c:pt idx="75">
                  <c:v>17.698333333333299</c:v>
                </c:pt>
                <c:pt idx="76">
                  <c:v>17.62</c:v>
                </c:pt>
                <c:pt idx="77">
                  <c:v>17.170000000000002</c:v>
                </c:pt>
                <c:pt idx="78">
                  <c:v>17.223333333333301</c:v>
                </c:pt>
                <c:pt idx="79">
                  <c:v>17.498333333333299</c:v>
                </c:pt>
                <c:pt idx="80">
                  <c:v>17.390322580645101</c:v>
                </c:pt>
                <c:pt idx="81">
                  <c:v>17.053333333333299</c:v>
                </c:pt>
                <c:pt idx="82">
                  <c:v>16.973333333333301</c:v>
                </c:pt>
                <c:pt idx="83">
                  <c:v>16.984999999999999</c:v>
                </c:pt>
                <c:pt idx="84">
                  <c:v>17.064516129032199</c:v>
                </c:pt>
                <c:pt idx="85">
                  <c:v>17.208064516128999</c:v>
                </c:pt>
                <c:pt idx="86">
                  <c:v>17.141666666666602</c:v>
                </c:pt>
                <c:pt idx="87">
                  <c:v>17.338333333333299</c:v>
                </c:pt>
                <c:pt idx="88">
                  <c:v>17.136206896551698</c:v>
                </c:pt>
                <c:pt idx="89">
                  <c:v>16.922413793103399</c:v>
                </c:pt>
                <c:pt idx="90">
                  <c:v>16.63</c:v>
                </c:pt>
                <c:pt idx="91">
                  <c:v>16.5379310344827</c:v>
                </c:pt>
                <c:pt idx="92">
                  <c:v>16.693103448275799</c:v>
                </c:pt>
                <c:pt idx="93">
                  <c:v>16.29</c:v>
                </c:pt>
                <c:pt idx="94">
                  <c:v>16.28</c:v>
                </c:pt>
                <c:pt idx="95">
                  <c:v>16.288333333333298</c:v>
                </c:pt>
                <c:pt idx="96">
                  <c:v>16.247502601456802</c:v>
                </c:pt>
                <c:pt idx="97">
                  <c:v>15.9919354838709</c:v>
                </c:pt>
                <c:pt idx="98">
                  <c:v>15.7</c:v>
                </c:pt>
                <c:pt idx="99">
                  <c:v>15.6066666666666</c:v>
                </c:pt>
                <c:pt idx="100">
                  <c:v>15.335000000000001</c:v>
                </c:pt>
                <c:pt idx="101">
                  <c:v>15.3916666666666</c:v>
                </c:pt>
                <c:pt idx="102">
                  <c:v>15.6451612903225</c:v>
                </c:pt>
                <c:pt idx="103">
                  <c:v>15.3435483870967</c:v>
                </c:pt>
                <c:pt idx="104">
                  <c:v>15.1612903225806</c:v>
                </c:pt>
                <c:pt idx="105">
                  <c:v>15.658064516129</c:v>
                </c:pt>
                <c:pt idx="106">
                  <c:v>15.408064516129</c:v>
                </c:pt>
                <c:pt idx="107">
                  <c:v>15.420967741935399</c:v>
                </c:pt>
                <c:pt idx="108">
                  <c:v>15.193548387096699</c:v>
                </c:pt>
                <c:pt idx="109">
                  <c:v>15.4096774193548</c:v>
                </c:pt>
                <c:pt idx="110">
                  <c:v>15.261666666666599</c:v>
                </c:pt>
                <c:pt idx="111">
                  <c:v>14.5283333333333</c:v>
                </c:pt>
                <c:pt idx="112">
                  <c:v>14.68</c:v>
                </c:pt>
                <c:pt idx="113">
                  <c:v>14.4933333333333</c:v>
                </c:pt>
                <c:pt idx="114">
                  <c:v>14.7733333333333</c:v>
                </c:pt>
                <c:pt idx="115">
                  <c:v>14.998333333333299</c:v>
                </c:pt>
                <c:pt idx="116">
                  <c:v>15.395</c:v>
                </c:pt>
                <c:pt idx="117">
                  <c:v>15.641379310344799</c:v>
                </c:pt>
                <c:pt idx="118">
                  <c:v>14.7327586206896</c:v>
                </c:pt>
                <c:pt idx="119">
                  <c:v>14.332758620689599</c:v>
                </c:pt>
                <c:pt idx="120">
                  <c:v>14.3982758620689</c:v>
                </c:pt>
                <c:pt idx="121">
                  <c:v>14.296666666666599</c:v>
                </c:pt>
                <c:pt idx="122">
                  <c:v>14.1866666666666</c:v>
                </c:pt>
                <c:pt idx="123">
                  <c:v>13.9112903225806</c:v>
                </c:pt>
                <c:pt idx="124">
                  <c:v>13.9966666666666</c:v>
                </c:pt>
                <c:pt idx="125">
                  <c:v>14.1596774193548</c:v>
                </c:pt>
                <c:pt idx="126">
                  <c:v>13.8403225806451</c:v>
                </c:pt>
                <c:pt idx="127">
                  <c:v>13.5774193548387</c:v>
                </c:pt>
                <c:pt idx="128">
                  <c:v>13.1612903225806</c:v>
                </c:pt>
                <c:pt idx="129">
                  <c:v>13.291935483870899</c:v>
                </c:pt>
                <c:pt idx="130">
                  <c:v>13.5774193548387</c:v>
                </c:pt>
                <c:pt idx="131">
                  <c:v>13.898387096774099</c:v>
                </c:pt>
                <c:pt idx="132">
                  <c:v>13.8193548387096</c:v>
                </c:pt>
                <c:pt idx="133">
                  <c:v>13.49</c:v>
                </c:pt>
                <c:pt idx="134">
                  <c:v>13.408064516129</c:v>
                </c:pt>
                <c:pt idx="135">
                  <c:v>13.4193548387096</c:v>
                </c:pt>
                <c:pt idx="136">
                  <c:v>13.0177419354838</c:v>
                </c:pt>
                <c:pt idx="137">
                  <c:v>12.8774193548387</c:v>
                </c:pt>
                <c:pt idx="138">
                  <c:v>13.3629032258064</c:v>
                </c:pt>
                <c:pt idx="139">
                  <c:v>13.314516129032199</c:v>
                </c:pt>
                <c:pt idx="140">
                  <c:v>13.598387096774101</c:v>
                </c:pt>
                <c:pt idx="141">
                  <c:v>13.074193548387001</c:v>
                </c:pt>
                <c:pt idx="142">
                  <c:v>12.8338709677419</c:v>
                </c:pt>
                <c:pt idx="143">
                  <c:v>12.761290322580599</c:v>
                </c:pt>
                <c:pt idx="144">
                  <c:v>13.04</c:v>
                </c:pt>
                <c:pt idx="145">
                  <c:v>13.44</c:v>
                </c:pt>
                <c:pt idx="146">
                  <c:v>12.8183333333333</c:v>
                </c:pt>
                <c:pt idx="147">
                  <c:v>12.088333333333299</c:v>
                </c:pt>
                <c:pt idx="148">
                  <c:v>11.7193548387096</c:v>
                </c:pt>
                <c:pt idx="149">
                  <c:v>12.024193548387</c:v>
                </c:pt>
                <c:pt idx="150">
                  <c:v>11.7258064516129</c:v>
                </c:pt>
                <c:pt idx="151">
                  <c:v>11.7564516129032</c:v>
                </c:pt>
                <c:pt idx="152">
                  <c:v>11.6033333333333</c:v>
                </c:pt>
                <c:pt idx="153">
                  <c:v>11.056666666666599</c:v>
                </c:pt>
                <c:pt idx="154">
                  <c:v>11.1733333333333</c:v>
                </c:pt>
                <c:pt idx="155">
                  <c:v>11.3016666666666</c:v>
                </c:pt>
                <c:pt idx="156">
                  <c:v>11.2416666666666</c:v>
                </c:pt>
                <c:pt idx="157">
                  <c:v>11.3533333333333</c:v>
                </c:pt>
                <c:pt idx="158">
                  <c:v>11.6383333333333</c:v>
                </c:pt>
                <c:pt idx="159">
                  <c:v>12.033333333333299</c:v>
                </c:pt>
                <c:pt idx="160">
                  <c:v>12.0483333333333</c:v>
                </c:pt>
                <c:pt idx="161">
                  <c:v>12.105</c:v>
                </c:pt>
                <c:pt idx="162">
                  <c:v>11.93</c:v>
                </c:pt>
                <c:pt idx="163">
                  <c:v>11.734999999999999</c:v>
                </c:pt>
                <c:pt idx="164">
                  <c:v>11.1666666666666</c:v>
                </c:pt>
                <c:pt idx="165">
                  <c:v>11.2283333333333</c:v>
                </c:pt>
                <c:pt idx="166">
                  <c:v>10.6586206896551</c:v>
                </c:pt>
                <c:pt idx="167">
                  <c:v>10.7310344827586</c:v>
                </c:pt>
                <c:pt idx="168">
                  <c:v>11.2603448275862</c:v>
                </c:pt>
                <c:pt idx="169">
                  <c:v>10.906896551724101</c:v>
                </c:pt>
                <c:pt idx="170">
                  <c:v>11.072413793103401</c:v>
                </c:pt>
                <c:pt idx="171">
                  <c:v>11.1844827586206</c:v>
                </c:pt>
                <c:pt idx="172">
                  <c:v>10.84</c:v>
                </c:pt>
                <c:pt idx="173">
                  <c:v>10.578333333333299</c:v>
                </c:pt>
                <c:pt idx="174">
                  <c:v>10.6928571428571</c:v>
                </c:pt>
                <c:pt idx="175">
                  <c:v>10.8642857142857</c:v>
                </c:pt>
                <c:pt idx="176">
                  <c:v>10.492857142857099</c:v>
                </c:pt>
                <c:pt idx="177">
                  <c:v>10.592857142857101</c:v>
                </c:pt>
                <c:pt idx="178">
                  <c:v>10.465517241379301</c:v>
                </c:pt>
                <c:pt idx="179">
                  <c:v>10.572413793103401</c:v>
                </c:pt>
                <c:pt idx="180">
                  <c:v>10.655357142857101</c:v>
                </c:pt>
                <c:pt idx="181">
                  <c:v>10.0517857142857</c:v>
                </c:pt>
                <c:pt idx="182">
                  <c:v>9.5678571428571395</c:v>
                </c:pt>
                <c:pt idx="183">
                  <c:v>9.7035714285714292</c:v>
                </c:pt>
                <c:pt idx="184">
                  <c:v>10.1785714285714</c:v>
                </c:pt>
                <c:pt idx="185">
                  <c:v>10.675000000000001</c:v>
                </c:pt>
                <c:pt idx="186">
                  <c:v>10.6303571428571</c:v>
                </c:pt>
                <c:pt idx="187">
                  <c:v>10.5714285714285</c:v>
                </c:pt>
                <c:pt idx="188">
                  <c:v>10.2685185185185</c:v>
                </c:pt>
                <c:pt idx="189">
                  <c:v>10.4166666666666</c:v>
                </c:pt>
                <c:pt idx="190">
                  <c:v>9.7703703703703706</c:v>
                </c:pt>
                <c:pt idx="191">
                  <c:v>9.4057692307692307</c:v>
                </c:pt>
                <c:pt idx="192">
                  <c:v>9.7037037037037006</c:v>
                </c:pt>
                <c:pt idx="193">
                  <c:v>9.875</c:v>
                </c:pt>
                <c:pt idx="194">
                  <c:v>9.4732142857142794</c:v>
                </c:pt>
                <c:pt idx="195">
                  <c:v>10.3732142857142</c:v>
                </c:pt>
                <c:pt idx="196">
                  <c:v>10.9428571428571</c:v>
                </c:pt>
                <c:pt idx="197">
                  <c:v>10.689655172413699</c:v>
                </c:pt>
                <c:pt idx="198">
                  <c:v>10.322413793103401</c:v>
                </c:pt>
                <c:pt idx="199">
                  <c:v>10.189655172413699</c:v>
                </c:pt>
                <c:pt idx="200">
                  <c:v>10.668333333333299</c:v>
                </c:pt>
                <c:pt idx="201">
                  <c:v>10.181666666666599</c:v>
                </c:pt>
                <c:pt idx="202">
                  <c:v>10.761666666666599</c:v>
                </c:pt>
                <c:pt idx="203">
                  <c:v>10.623333333333299</c:v>
                </c:pt>
                <c:pt idx="204">
                  <c:v>10.654999999999999</c:v>
                </c:pt>
                <c:pt idx="205">
                  <c:v>10.085000000000001</c:v>
                </c:pt>
                <c:pt idx="206">
                  <c:v>9.99</c:v>
                </c:pt>
                <c:pt idx="207">
                  <c:v>10.4116666666666</c:v>
                </c:pt>
                <c:pt idx="208">
                  <c:v>10.494999999999999</c:v>
                </c:pt>
                <c:pt idx="209">
                  <c:v>10.685</c:v>
                </c:pt>
                <c:pt idx="210">
                  <c:v>10.678333333333301</c:v>
                </c:pt>
                <c:pt idx="211">
                  <c:v>10.767241379310301</c:v>
                </c:pt>
                <c:pt idx="212">
                  <c:v>10.815</c:v>
                </c:pt>
                <c:pt idx="213">
                  <c:v>11.156666666666601</c:v>
                </c:pt>
                <c:pt idx="214">
                  <c:v>11.0879310344827</c:v>
                </c:pt>
                <c:pt idx="215">
                  <c:v>10.9965517241379</c:v>
                </c:pt>
                <c:pt idx="216">
                  <c:v>10.706395995550601</c:v>
                </c:pt>
                <c:pt idx="217">
                  <c:v>10.6327586206896</c:v>
                </c:pt>
                <c:pt idx="218">
                  <c:v>10.7362068965517</c:v>
                </c:pt>
                <c:pt idx="219">
                  <c:v>10.733333333333301</c:v>
                </c:pt>
                <c:pt idx="220">
                  <c:v>10.86</c:v>
                </c:pt>
                <c:pt idx="221">
                  <c:v>10.6416666666666</c:v>
                </c:pt>
                <c:pt idx="222">
                  <c:v>10.8983333333333</c:v>
                </c:pt>
                <c:pt idx="223">
                  <c:v>10.62</c:v>
                </c:pt>
                <c:pt idx="224">
                  <c:v>10.851666666666601</c:v>
                </c:pt>
                <c:pt idx="225">
                  <c:v>10.715517241379301</c:v>
                </c:pt>
                <c:pt idx="226">
                  <c:v>10.171666666666599</c:v>
                </c:pt>
                <c:pt idx="227">
                  <c:v>10.203333333333299</c:v>
                </c:pt>
                <c:pt idx="228">
                  <c:v>10.0833333333333</c:v>
                </c:pt>
                <c:pt idx="229">
                  <c:v>10.0833333333333</c:v>
                </c:pt>
                <c:pt idx="230">
                  <c:v>10.1383333333333</c:v>
                </c:pt>
                <c:pt idx="231">
                  <c:v>10.421666666666599</c:v>
                </c:pt>
                <c:pt idx="232">
                  <c:v>10.703333333333299</c:v>
                </c:pt>
                <c:pt idx="233">
                  <c:v>10.8266666666666</c:v>
                </c:pt>
                <c:pt idx="234">
                  <c:v>11.0766666666666</c:v>
                </c:pt>
                <c:pt idx="235">
                  <c:v>11.088333333333299</c:v>
                </c:pt>
                <c:pt idx="236">
                  <c:v>11.283333333333299</c:v>
                </c:pt>
                <c:pt idx="237">
                  <c:v>11.1383333333333</c:v>
                </c:pt>
                <c:pt idx="238">
                  <c:v>11.1133333333333</c:v>
                </c:pt>
                <c:pt idx="239">
                  <c:v>10.7724137931034</c:v>
                </c:pt>
                <c:pt idx="240">
                  <c:v>10.753448275862</c:v>
                </c:pt>
                <c:pt idx="241">
                  <c:v>10.891379310344799</c:v>
                </c:pt>
                <c:pt idx="242">
                  <c:v>10.953448275862</c:v>
                </c:pt>
                <c:pt idx="243">
                  <c:v>10.803333333333301</c:v>
                </c:pt>
                <c:pt idx="244">
                  <c:v>10.862068965517199</c:v>
                </c:pt>
                <c:pt idx="245">
                  <c:v>11.4379310344827</c:v>
                </c:pt>
                <c:pt idx="246">
                  <c:v>11.5448275862068</c:v>
                </c:pt>
                <c:pt idx="247">
                  <c:v>11.734482758620601</c:v>
                </c:pt>
                <c:pt idx="248">
                  <c:v>11.682758620689601</c:v>
                </c:pt>
                <c:pt idx="249">
                  <c:v>11.389655172413701</c:v>
                </c:pt>
                <c:pt idx="250">
                  <c:v>11.834482758620601</c:v>
                </c:pt>
                <c:pt idx="251">
                  <c:v>11.465</c:v>
                </c:pt>
                <c:pt idx="252">
                  <c:v>11.62</c:v>
                </c:pt>
                <c:pt idx="253">
                  <c:v>11.7633333333333</c:v>
                </c:pt>
                <c:pt idx="254">
                  <c:v>12.158333333333299</c:v>
                </c:pt>
                <c:pt idx="255">
                  <c:v>11.908333333333299</c:v>
                </c:pt>
                <c:pt idx="256">
                  <c:v>12.074999999999999</c:v>
                </c:pt>
                <c:pt idx="257">
                  <c:v>12.3883333333333</c:v>
                </c:pt>
                <c:pt idx="258">
                  <c:v>12.5766666666666</c:v>
                </c:pt>
                <c:pt idx="259">
                  <c:v>12.482258064516101</c:v>
                </c:pt>
                <c:pt idx="260">
                  <c:v>12.261290322580599</c:v>
                </c:pt>
                <c:pt idx="261">
                  <c:v>12.1677419354838</c:v>
                </c:pt>
                <c:pt idx="262">
                  <c:v>12.1064516129032</c:v>
                </c:pt>
                <c:pt idx="263">
                  <c:v>12.012903225806401</c:v>
                </c:pt>
                <c:pt idx="264">
                  <c:v>12.1612903225806</c:v>
                </c:pt>
                <c:pt idx="265">
                  <c:v>12.285483870967701</c:v>
                </c:pt>
                <c:pt idx="266">
                  <c:v>12.7274193548387</c:v>
                </c:pt>
                <c:pt idx="267">
                  <c:v>12.4338709677419</c:v>
                </c:pt>
                <c:pt idx="268">
                  <c:v>12.341666666666599</c:v>
                </c:pt>
                <c:pt idx="269">
                  <c:v>12.7183333333333</c:v>
                </c:pt>
                <c:pt idx="270">
                  <c:v>13.04</c:v>
                </c:pt>
                <c:pt idx="271">
                  <c:v>13.381034482758601</c:v>
                </c:pt>
                <c:pt idx="272">
                  <c:v>13.274137931034399</c:v>
                </c:pt>
                <c:pt idx="273">
                  <c:v>13.0233333333333</c:v>
                </c:pt>
                <c:pt idx="274">
                  <c:v>12.938333333333301</c:v>
                </c:pt>
                <c:pt idx="275">
                  <c:v>13.2433333333333</c:v>
                </c:pt>
                <c:pt idx="276">
                  <c:v>12.85</c:v>
                </c:pt>
                <c:pt idx="277">
                  <c:v>12.875806451612901</c:v>
                </c:pt>
                <c:pt idx="278">
                  <c:v>12.9966666666666</c:v>
                </c:pt>
                <c:pt idx="279">
                  <c:v>12.7633333333333</c:v>
                </c:pt>
                <c:pt idx="280">
                  <c:v>13.4816666666666</c:v>
                </c:pt>
                <c:pt idx="281">
                  <c:v>13.6933333333333</c:v>
                </c:pt>
                <c:pt idx="282">
                  <c:v>12.9568965517241</c:v>
                </c:pt>
                <c:pt idx="283">
                  <c:v>13.2293103448275</c:v>
                </c:pt>
                <c:pt idx="284">
                  <c:v>13.7431034482758</c:v>
                </c:pt>
                <c:pt idx="285">
                  <c:v>13.6551724137931</c:v>
                </c:pt>
                <c:pt idx="286">
                  <c:v>13.334482758620601</c:v>
                </c:pt>
                <c:pt idx="287">
                  <c:v>13.0379310344827</c:v>
                </c:pt>
                <c:pt idx="288">
                  <c:v>13.094827586206801</c:v>
                </c:pt>
                <c:pt idx="289">
                  <c:v>13.6775862068965</c:v>
                </c:pt>
                <c:pt idx="290">
                  <c:v>13.189655172413699</c:v>
                </c:pt>
                <c:pt idx="291">
                  <c:v>12.9428571428571</c:v>
                </c:pt>
                <c:pt idx="292">
                  <c:v>12.819642857142799</c:v>
                </c:pt>
                <c:pt idx="293">
                  <c:v>13.2785714285714</c:v>
                </c:pt>
                <c:pt idx="294">
                  <c:v>13.5625</c:v>
                </c:pt>
                <c:pt idx="295">
                  <c:v>13.9310344827586</c:v>
                </c:pt>
                <c:pt idx="296">
                  <c:v>13.336206896551699</c:v>
                </c:pt>
                <c:pt idx="297">
                  <c:v>13.789655172413701</c:v>
                </c:pt>
                <c:pt idx="298">
                  <c:v>14.0810344827586</c:v>
                </c:pt>
                <c:pt idx="299">
                  <c:v>14.8396551724137</c:v>
                </c:pt>
                <c:pt idx="300">
                  <c:v>14.274137931034399</c:v>
                </c:pt>
                <c:pt idx="301">
                  <c:v>14.29</c:v>
                </c:pt>
                <c:pt idx="302">
                  <c:v>14.715</c:v>
                </c:pt>
                <c:pt idx="303">
                  <c:v>14.5266666666666</c:v>
                </c:pt>
                <c:pt idx="304">
                  <c:v>14.0416666666666</c:v>
                </c:pt>
                <c:pt idx="305">
                  <c:v>14.098333333333301</c:v>
                </c:pt>
                <c:pt idx="306">
                  <c:v>13.9933333333333</c:v>
                </c:pt>
                <c:pt idx="307">
                  <c:v>14.2016666666666</c:v>
                </c:pt>
                <c:pt idx="308">
                  <c:v>14.5483333333333</c:v>
                </c:pt>
                <c:pt idx="309">
                  <c:v>14.156666666666601</c:v>
                </c:pt>
                <c:pt idx="310">
                  <c:v>14.466666666666599</c:v>
                </c:pt>
                <c:pt idx="311">
                  <c:v>14.7283333333333</c:v>
                </c:pt>
                <c:pt idx="312">
                  <c:v>14.37</c:v>
                </c:pt>
                <c:pt idx="313">
                  <c:v>14.7216666666666</c:v>
                </c:pt>
                <c:pt idx="314">
                  <c:v>14.816666666666601</c:v>
                </c:pt>
                <c:pt idx="315">
                  <c:v>14.7883333333333</c:v>
                </c:pt>
                <c:pt idx="316">
                  <c:v>14.5583333333333</c:v>
                </c:pt>
                <c:pt idx="317">
                  <c:v>14.5066666666666</c:v>
                </c:pt>
                <c:pt idx="318">
                  <c:v>14.8633333333333</c:v>
                </c:pt>
                <c:pt idx="319">
                  <c:v>15.191666666666601</c:v>
                </c:pt>
                <c:pt idx="320">
                  <c:v>14.805</c:v>
                </c:pt>
                <c:pt idx="321">
                  <c:v>14.4366666666666</c:v>
                </c:pt>
                <c:pt idx="322">
                  <c:v>14.4133333333333</c:v>
                </c:pt>
                <c:pt idx="323">
                  <c:v>14.8266666666666</c:v>
                </c:pt>
                <c:pt idx="324">
                  <c:v>14.899999999999901</c:v>
                </c:pt>
                <c:pt idx="325">
                  <c:v>15.125</c:v>
                </c:pt>
                <c:pt idx="326">
                  <c:v>15.358333333333301</c:v>
                </c:pt>
                <c:pt idx="327">
                  <c:v>15.2051724137931</c:v>
                </c:pt>
                <c:pt idx="328">
                  <c:v>15.834482758620601</c:v>
                </c:pt>
                <c:pt idx="329">
                  <c:v>15.876666666666599</c:v>
                </c:pt>
                <c:pt idx="330">
                  <c:v>15.52</c:v>
                </c:pt>
                <c:pt idx="331">
                  <c:v>15.438333333333301</c:v>
                </c:pt>
                <c:pt idx="332">
                  <c:v>15.551724137931</c:v>
                </c:pt>
                <c:pt idx="333">
                  <c:v>15.832758620689599</c:v>
                </c:pt>
                <c:pt idx="334">
                  <c:v>16.082758620689599</c:v>
                </c:pt>
                <c:pt idx="335">
                  <c:v>16.4931034482758</c:v>
                </c:pt>
                <c:pt idx="336">
                  <c:v>16.78</c:v>
                </c:pt>
                <c:pt idx="337">
                  <c:v>16.8266666666666</c:v>
                </c:pt>
                <c:pt idx="338">
                  <c:v>16.6516666666666</c:v>
                </c:pt>
                <c:pt idx="339">
                  <c:v>16.68</c:v>
                </c:pt>
                <c:pt idx="340">
                  <c:v>16.158333333333299</c:v>
                </c:pt>
                <c:pt idx="341">
                  <c:v>16.105</c:v>
                </c:pt>
                <c:pt idx="342">
                  <c:v>16.565000000000001</c:v>
                </c:pt>
                <c:pt idx="343">
                  <c:v>16.483333333333299</c:v>
                </c:pt>
                <c:pt idx="344">
                  <c:v>17.015000000000001</c:v>
                </c:pt>
                <c:pt idx="345">
                  <c:v>17.483333333333299</c:v>
                </c:pt>
                <c:pt idx="346">
                  <c:v>17.251666666666601</c:v>
                </c:pt>
                <c:pt idx="347">
                  <c:v>17.1733333333333</c:v>
                </c:pt>
                <c:pt idx="348">
                  <c:v>17.0068965517241</c:v>
                </c:pt>
                <c:pt idx="349">
                  <c:v>17.105172413793099</c:v>
                </c:pt>
                <c:pt idx="350">
                  <c:v>17.153448275862001</c:v>
                </c:pt>
                <c:pt idx="351">
                  <c:v>16.853448275862</c:v>
                </c:pt>
                <c:pt idx="352">
                  <c:v>17.030357142857099</c:v>
                </c:pt>
                <c:pt idx="353">
                  <c:v>17.3086206896551</c:v>
                </c:pt>
                <c:pt idx="354">
                  <c:v>17.3086206896551</c:v>
                </c:pt>
                <c:pt idx="355">
                  <c:v>17.474137931034399</c:v>
                </c:pt>
                <c:pt idx="356">
                  <c:v>17.091379310344799</c:v>
                </c:pt>
                <c:pt idx="357">
                  <c:v>17.2275862068965</c:v>
                </c:pt>
                <c:pt idx="358">
                  <c:v>17.475862068965501</c:v>
                </c:pt>
                <c:pt idx="359">
                  <c:v>17.193103448275799</c:v>
                </c:pt>
                <c:pt idx="360">
                  <c:v>17.263793103448201</c:v>
                </c:pt>
                <c:pt idx="361">
                  <c:v>18.060344827586199</c:v>
                </c:pt>
                <c:pt idx="362">
                  <c:v>18.386206896551698</c:v>
                </c:pt>
                <c:pt idx="363">
                  <c:v>18.156896551724099</c:v>
                </c:pt>
                <c:pt idx="364">
                  <c:v>17.8086206896551</c:v>
                </c:pt>
                <c:pt idx="365">
                  <c:v>17.691666666666599</c:v>
                </c:pt>
              </c:numCache>
            </c:numRef>
          </c:yVal>
          <c:smooth val="1"/>
          <c:extLst>
            <c:ext xmlns:c16="http://schemas.microsoft.com/office/drawing/2014/chart" uri="{C3380CC4-5D6E-409C-BE32-E72D297353CC}">
              <c16:uniqueId val="{00000001-787B-42AE-A59C-62ACE34B571F}"/>
            </c:ext>
          </c:extLst>
        </c:ser>
        <c:ser>
          <c:idx val="2"/>
          <c:order val="2"/>
          <c:tx>
            <c:strRef>
              <c:f>meanT!$D$2</c:f>
              <c:strCache>
                <c:ptCount val="1"/>
                <c:pt idx="0">
                  <c:v>Hastings</c:v>
                </c:pt>
              </c:strCache>
            </c:strRef>
          </c:tx>
          <c:spPr>
            <a:ln w="19050" cap="rnd">
              <a:solidFill>
                <a:schemeClr val="accent3"/>
              </a:solidFill>
              <a:round/>
            </a:ln>
            <a:effectLst/>
          </c:spPr>
          <c:marker>
            <c:symbol val="none"/>
          </c:marker>
          <c:xVal>
            <c:numRef>
              <c:f>meanT!$A$3:$A$368</c:f>
              <c:numCache>
                <c:formatCode>General</c:formatCode>
                <c:ptCount val="36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numCache>
            </c:numRef>
          </c:xVal>
          <c:yVal>
            <c:numRef>
              <c:f>meanT!$D$3:$D$368</c:f>
              <c:numCache>
                <c:formatCode>General</c:formatCode>
                <c:ptCount val="366"/>
                <c:pt idx="0">
                  <c:v>17.1568181818181</c:v>
                </c:pt>
                <c:pt idx="1">
                  <c:v>17.6204545454545</c:v>
                </c:pt>
                <c:pt idx="2">
                  <c:v>18.015909090908998</c:v>
                </c:pt>
                <c:pt idx="3">
                  <c:v>16.890909090908998</c:v>
                </c:pt>
                <c:pt idx="4">
                  <c:v>16.95</c:v>
                </c:pt>
                <c:pt idx="5">
                  <c:v>17.2431818181818</c:v>
                </c:pt>
                <c:pt idx="6">
                  <c:v>18.231818181818099</c:v>
                </c:pt>
                <c:pt idx="7">
                  <c:v>18.6272727272727</c:v>
                </c:pt>
                <c:pt idx="8">
                  <c:v>17.629545454545401</c:v>
                </c:pt>
                <c:pt idx="9">
                  <c:v>17.947727272727199</c:v>
                </c:pt>
                <c:pt idx="10">
                  <c:v>17.4590909090909</c:v>
                </c:pt>
                <c:pt idx="11">
                  <c:v>17.804545454545401</c:v>
                </c:pt>
                <c:pt idx="12">
                  <c:v>17.6613636363636</c:v>
                </c:pt>
                <c:pt idx="13">
                  <c:v>17.6272727272727</c:v>
                </c:pt>
                <c:pt idx="14">
                  <c:v>18.465909090909001</c:v>
                </c:pt>
                <c:pt idx="15">
                  <c:v>18.047727272727201</c:v>
                </c:pt>
                <c:pt idx="16">
                  <c:v>17.588636363636301</c:v>
                </c:pt>
                <c:pt idx="17">
                  <c:v>17.822727272727199</c:v>
                </c:pt>
                <c:pt idx="18">
                  <c:v>18.402272727272699</c:v>
                </c:pt>
                <c:pt idx="19">
                  <c:v>17.295454545454501</c:v>
                </c:pt>
                <c:pt idx="20">
                  <c:v>17.945454545454499</c:v>
                </c:pt>
                <c:pt idx="21">
                  <c:v>18.527272727272699</c:v>
                </c:pt>
                <c:pt idx="22">
                  <c:v>18.188636363636299</c:v>
                </c:pt>
                <c:pt idx="23">
                  <c:v>18.277272727272699</c:v>
                </c:pt>
                <c:pt idx="24">
                  <c:v>18.572727272727199</c:v>
                </c:pt>
                <c:pt idx="25">
                  <c:v>17.813636363636299</c:v>
                </c:pt>
                <c:pt idx="26">
                  <c:v>17.5386363636363</c:v>
                </c:pt>
                <c:pt idx="27">
                  <c:v>17.2931818181818</c:v>
                </c:pt>
                <c:pt idx="28">
                  <c:v>18.397727272727199</c:v>
                </c:pt>
                <c:pt idx="29">
                  <c:v>18.840909090909001</c:v>
                </c:pt>
                <c:pt idx="30">
                  <c:v>19.3363636363636</c:v>
                </c:pt>
                <c:pt idx="31">
                  <c:v>19.163223140495798</c:v>
                </c:pt>
                <c:pt idx="32">
                  <c:v>18.263636363636301</c:v>
                </c:pt>
                <c:pt idx="33">
                  <c:v>18.302272727272701</c:v>
                </c:pt>
                <c:pt idx="34">
                  <c:v>17.9113636363636</c:v>
                </c:pt>
                <c:pt idx="35">
                  <c:v>18.540909090909</c:v>
                </c:pt>
                <c:pt idx="36">
                  <c:v>18.007142857142799</c:v>
                </c:pt>
                <c:pt idx="37">
                  <c:v>17.852380952380901</c:v>
                </c:pt>
                <c:pt idx="38">
                  <c:v>17.657142857142802</c:v>
                </c:pt>
                <c:pt idx="39">
                  <c:v>17.938095238095201</c:v>
                </c:pt>
                <c:pt idx="40">
                  <c:v>18.578571428571401</c:v>
                </c:pt>
                <c:pt idx="41">
                  <c:v>18.902380952380899</c:v>
                </c:pt>
                <c:pt idx="42">
                  <c:v>19.242857142857101</c:v>
                </c:pt>
                <c:pt idx="43">
                  <c:v>18.5023809523809</c:v>
                </c:pt>
                <c:pt idx="44">
                  <c:v>19.173809523809499</c:v>
                </c:pt>
                <c:pt idx="45">
                  <c:v>17.711904761904702</c:v>
                </c:pt>
                <c:pt idx="46">
                  <c:v>17.540476190476099</c:v>
                </c:pt>
                <c:pt idx="47">
                  <c:v>17.480952380952299</c:v>
                </c:pt>
                <c:pt idx="48">
                  <c:v>18.180952380952299</c:v>
                </c:pt>
                <c:pt idx="49">
                  <c:v>18.052499999999998</c:v>
                </c:pt>
                <c:pt idx="50">
                  <c:v>18.1325</c:v>
                </c:pt>
                <c:pt idx="51">
                  <c:v>18.647619047618999</c:v>
                </c:pt>
                <c:pt idx="52">
                  <c:v>17.936363636363598</c:v>
                </c:pt>
                <c:pt idx="53">
                  <c:v>17.645454545454498</c:v>
                </c:pt>
                <c:pt idx="54">
                  <c:v>16.713636363636301</c:v>
                </c:pt>
                <c:pt idx="55">
                  <c:v>16.613636363636299</c:v>
                </c:pt>
                <c:pt idx="56">
                  <c:v>17.136363636363601</c:v>
                </c:pt>
                <c:pt idx="57">
                  <c:v>17.429545454545401</c:v>
                </c:pt>
                <c:pt idx="58">
                  <c:v>17.274999999999999</c:v>
                </c:pt>
                <c:pt idx="59">
                  <c:v>17.365909090909</c:v>
                </c:pt>
                <c:pt idx="60">
                  <c:v>17.965909090909001</c:v>
                </c:pt>
                <c:pt idx="61">
                  <c:v>17.652272727272699</c:v>
                </c:pt>
                <c:pt idx="62">
                  <c:v>16.143181818181802</c:v>
                </c:pt>
                <c:pt idx="63">
                  <c:v>15.940909090909001</c:v>
                </c:pt>
                <c:pt idx="64">
                  <c:v>17.093181818181801</c:v>
                </c:pt>
                <c:pt idx="65">
                  <c:v>17.238636363636299</c:v>
                </c:pt>
                <c:pt idx="66">
                  <c:v>17.193181818181799</c:v>
                </c:pt>
                <c:pt idx="67">
                  <c:v>16.588636363636301</c:v>
                </c:pt>
                <c:pt idx="68">
                  <c:v>16.607142857142801</c:v>
                </c:pt>
                <c:pt idx="69">
                  <c:v>16.871428571428499</c:v>
                </c:pt>
                <c:pt idx="70">
                  <c:v>16.204761904761899</c:v>
                </c:pt>
                <c:pt idx="71">
                  <c:v>16.140692640692599</c:v>
                </c:pt>
                <c:pt idx="72">
                  <c:v>15.6681818181818</c:v>
                </c:pt>
                <c:pt idx="73">
                  <c:v>15.9727272727272</c:v>
                </c:pt>
                <c:pt idx="74">
                  <c:v>17.070454545454499</c:v>
                </c:pt>
                <c:pt idx="75">
                  <c:v>16.222727272727202</c:v>
                </c:pt>
                <c:pt idx="76">
                  <c:v>16.545454545454501</c:v>
                </c:pt>
                <c:pt idx="77">
                  <c:v>15.986363636363601</c:v>
                </c:pt>
                <c:pt idx="78">
                  <c:v>15.9792207792207</c:v>
                </c:pt>
                <c:pt idx="79">
                  <c:v>16.5023809523809</c:v>
                </c:pt>
                <c:pt idx="80">
                  <c:v>16.8</c:v>
                </c:pt>
                <c:pt idx="81">
                  <c:v>16.269047619047601</c:v>
                </c:pt>
                <c:pt idx="82">
                  <c:v>15.6261904761904</c:v>
                </c:pt>
                <c:pt idx="83">
                  <c:v>16.123809523809499</c:v>
                </c:pt>
                <c:pt idx="84">
                  <c:v>15.8095238095238</c:v>
                </c:pt>
                <c:pt idx="85">
                  <c:v>16.542857142857098</c:v>
                </c:pt>
                <c:pt idx="86">
                  <c:v>16.4522727272727</c:v>
                </c:pt>
                <c:pt idx="87">
                  <c:v>16.672727272727201</c:v>
                </c:pt>
                <c:pt idx="88">
                  <c:v>16.197727272727199</c:v>
                </c:pt>
                <c:pt idx="89">
                  <c:v>15.659090909090899</c:v>
                </c:pt>
                <c:pt idx="90">
                  <c:v>15.4340909090909</c:v>
                </c:pt>
                <c:pt idx="91">
                  <c:v>14.9068181818181</c:v>
                </c:pt>
                <c:pt idx="92">
                  <c:v>15.745238095237999</c:v>
                </c:pt>
                <c:pt idx="93">
                  <c:v>15.7068181818181</c:v>
                </c:pt>
                <c:pt idx="94">
                  <c:v>14.572727272727199</c:v>
                </c:pt>
                <c:pt idx="95">
                  <c:v>14.770238095238</c:v>
                </c:pt>
                <c:pt idx="96">
                  <c:v>14.7797619047619</c:v>
                </c:pt>
                <c:pt idx="97">
                  <c:v>14.023809523809501</c:v>
                </c:pt>
                <c:pt idx="98">
                  <c:v>13.889502164502099</c:v>
                </c:pt>
                <c:pt idx="99">
                  <c:v>13.756818181818099</c:v>
                </c:pt>
                <c:pt idx="100">
                  <c:v>13.3296536796536</c:v>
                </c:pt>
                <c:pt idx="101">
                  <c:v>13.866785714285699</c:v>
                </c:pt>
                <c:pt idx="102">
                  <c:v>13.820454545454499</c:v>
                </c:pt>
                <c:pt idx="103">
                  <c:v>13.2340909090909</c:v>
                </c:pt>
                <c:pt idx="104">
                  <c:v>13.206601731601699</c:v>
                </c:pt>
                <c:pt idx="105">
                  <c:v>13.5619047619047</c:v>
                </c:pt>
                <c:pt idx="106">
                  <c:v>13.6272727272727</c:v>
                </c:pt>
                <c:pt idx="107">
                  <c:v>13.259090909090901</c:v>
                </c:pt>
                <c:pt idx="108">
                  <c:v>12.815909090909001</c:v>
                </c:pt>
                <c:pt idx="109">
                  <c:v>12.6386363636363</c:v>
                </c:pt>
                <c:pt idx="110">
                  <c:v>13.093181818181799</c:v>
                </c:pt>
                <c:pt idx="111">
                  <c:v>12.938095238095199</c:v>
                </c:pt>
                <c:pt idx="112">
                  <c:v>12.8654761904761</c:v>
                </c:pt>
                <c:pt idx="113">
                  <c:v>13.697727272727199</c:v>
                </c:pt>
                <c:pt idx="114">
                  <c:v>13.3666666666666</c:v>
                </c:pt>
                <c:pt idx="115">
                  <c:v>12.558549783549701</c:v>
                </c:pt>
                <c:pt idx="116">
                  <c:v>13.529545454545399</c:v>
                </c:pt>
                <c:pt idx="117">
                  <c:v>14.0386363636363</c:v>
                </c:pt>
                <c:pt idx="118">
                  <c:v>13.595454545454499</c:v>
                </c:pt>
                <c:pt idx="119">
                  <c:v>13.049999999999899</c:v>
                </c:pt>
                <c:pt idx="120">
                  <c:v>12.733333333333301</c:v>
                </c:pt>
                <c:pt idx="121">
                  <c:v>12.1863636363636</c:v>
                </c:pt>
                <c:pt idx="122">
                  <c:v>12.2068181818181</c:v>
                </c:pt>
                <c:pt idx="123">
                  <c:v>12.772727272727201</c:v>
                </c:pt>
                <c:pt idx="124">
                  <c:v>11.6095238095238</c:v>
                </c:pt>
                <c:pt idx="125">
                  <c:v>12.3136363636363</c:v>
                </c:pt>
                <c:pt idx="126">
                  <c:v>12.261363636363599</c:v>
                </c:pt>
                <c:pt idx="127">
                  <c:v>11.9340909090909</c:v>
                </c:pt>
                <c:pt idx="128">
                  <c:v>11.540909090909</c:v>
                </c:pt>
                <c:pt idx="129">
                  <c:v>11.902272727272701</c:v>
                </c:pt>
                <c:pt idx="130">
                  <c:v>12.381818181818099</c:v>
                </c:pt>
                <c:pt idx="131">
                  <c:v>12.35</c:v>
                </c:pt>
                <c:pt idx="132">
                  <c:v>11.884090909090901</c:v>
                </c:pt>
                <c:pt idx="133">
                  <c:v>11.861363636363601</c:v>
                </c:pt>
                <c:pt idx="134">
                  <c:v>12.3318181818181</c:v>
                </c:pt>
                <c:pt idx="135">
                  <c:v>12.0795454545454</c:v>
                </c:pt>
                <c:pt idx="136">
                  <c:v>11.25</c:v>
                </c:pt>
                <c:pt idx="137">
                  <c:v>9.9250000000000007</c:v>
                </c:pt>
                <c:pt idx="138">
                  <c:v>10.8318181818181</c:v>
                </c:pt>
                <c:pt idx="139">
                  <c:v>10.945454545454499</c:v>
                </c:pt>
                <c:pt idx="140">
                  <c:v>11.1818181818181</c:v>
                </c:pt>
                <c:pt idx="141">
                  <c:v>10.756818181818099</c:v>
                </c:pt>
                <c:pt idx="142">
                  <c:v>10.147727272727201</c:v>
                </c:pt>
                <c:pt idx="143">
                  <c:v>10.890909090909</c:v>
                </c:pt>
                <c:pt idx="144">
                  <c:v>10.35</c:v>
                </c:pt>
                <c:pt idx="145">
                  <c:v>10.795454545454501</c:v>
                </c:pt>
                <c:pt idx="146">
                  <c:v>10.8363636363636</c:v>
                </c:pt>
                <c:pt idx="147">
                  <c:v>9.9977272727272695</c:v>
                </c:pt>
                <c:pt idx="148">
                  <c:v>10.025</c:v>
                </c:pt>
                <c:pt idx="149">
                  <c:v>9.4727272727272709</c:v>
                </c:pt>
                <c:pt idx="150">
                  <c:v>9.3613636363636292</c:v>
                </c:pt>
                <c:pt idx="151">
                  <c:v>8.8113636363636303</c:v>
                </c:pt>
                <c:pt idx="152">
                  <c:v>10.022727272727201</c:v>
                </c:pt>
                <c:pt idx="153">
                  <c:v>9.2272727272727195</c:v>
                </c:pt>
                <c:pt idx="154">
                  <c:v>9.1909090909090896</c:v>
                </c:pt>
                <c:pt idx="155">
                  <c:v>8.9022727272727202</c:v>
                </c:pt>
                <c:pt idx="156">
                  <c:v>9.3249999999999993</c:v>
                </c:pt>
                <c:pt idx="157">
                  <c:v>8.8249999999999993</c:v>
                </c:pt>
                <c:pt idx="158">
                  <c:v>8.7545454545454504</c:v>
                </c:pt>
                <c:pt idx="159">
                  <c:v>8.4977272727272695</c:v>
                </c:pt>
                <c:pt idx="160">
                  <c:v>9.8119047619047599</c:v>
                </c:pt>
                <c:pt idx="161">
                  <c:v>10.1785714285714</c:v>
                </c:pt>
                <c:pt idx="162">
                  <c:v>10.6</c:v>
                </c:pt>
                <c:pt idx="163">
                  <c:v>9.9095238095238098</c:v>
                </c:pt>
                <c:pt idx="164">
                  <c:v>9.4833333333333307</c:v>
                </c:pt>
                <c:pt idx="165">
                  <c:v>8.9738095238095195</c:v>
                </c:pt>
                <c:pt idx="166">
                  <c:v>9.1873376623376597</c:v>
                </c:pt>
                <c:pt idx="167">
                  <c:v>9.3000000000000007</c:v>
                </c:pt>
                <c:pt idx="168">
                  <c:v>9.0485930735930697</c:v>
                </c:pt>
                <c:pt idx="169">
                  <c:v>9.3318181818181802</c:v>
                </c:pt>
                <c:pt idx="170">
                  <c:v>8.5568181818181799</c:v>
                </c:pt>
                <c:pt idx="171">
                  <c:v>9.0977272727272709</c:v>
                </c:pt>
                <c:pt idx="172">
                  <c:v>8.1601731601731604</c:v>
                </c:pt>
                <c:pt idx="173">
                  <c:v>8.8409090909090899</c:v>
                </c:pt>
                <c:pt idx="174">
                  <c:v>8.4772727272727195</c:v>
                </c:pt>
                <c:pt idx="175">
                  <c:v>8.4992424242424196</c:v>
                </c:pt>
                <c:pt idx="176">
                  <c:v>8.1190476190476097</c:v>
                </c:pt>
                <c:pt idx="177">
                  <c:v>8.35</c:v>
                </c:pt>
                <c:pt idx="178">
                  <c:v>8.0295454545454508</c:v>
                </c:pt>
                <c:pt idx="179">
                  <c:v>8.7095238095238106</c:v>
                </c:pt>
                <c:pt idx="180">
                  <c:v>8.2333333333333307</c:v>
                </c:pt>
                <c:pt idx="181">
                  <c:v>8.6285714285714192</c:v>
                </c:pt>
                <c:pt idx="182">
                  <c:v>8.3523809523809494</c:v>
                </c:pt>
                <c:pt idx="183">
                  <c:v>8.2065476190476101</c:v>
                </c:pt>
                <c:pt idx="184">
                  <c:v>8.4166666666666607</c:v>
                </c:pt>
                <c:pt idx="185">
                  <c:v>8.3928571428571406</c:v>
                </c:pt>
                <c:pt idx="186">
                  <c:v>8.5049999999999901</c:v>
                </c:pt>
                <c:pt idx="187">
                  <c:v>9.11666666666666</c:v>
                </c:pt>
                <c:pt idx="188">
                  <c:v>8.6547619047618998</c:v>
                </c:pt>
                <c:pt idx="189">
                  <c:v>8.3523809523809494</c:v>
                </c:pt>
                <c:pt idx="190">
                  <c:v>8.1119047619047606</c:v>
                </c:pt>
                <c:pt idx="191">
                  <c:v>8.3619047619047606</c:v>
                </c:pt>
                <c:pt idx="192">
                  <c:v>8.4476190476190407</c:v>
                </c:pt>
                <c:pt idx="193">
                  <c:v>8.0047619047618994</c:v>
                </c:pt>
                <c:pt idx="194">
                  <c:v>7.5666666666666602</c:v>
                </c:pt>
                <c:pt idx="195">
                  <c:v>8.4499999999999993</c:v>
                </c:pt>
                <c:pt idx="196">
                  <c:v>8.6999999999999993</c:v>
                </c:pt>
                <c:pt idx="197">
                  <c:v>9.1380952380952305</c:v>
                </c:pt>
                <c:pt idx="198">
                  <c:v>8.3357142857142801</c:v>
                </c:pt>
                <c:pt idx="199">
                  <c:v>7.9571428571428502</c:v>
                </c:pt>
                <c:pt idx="200">
                  <c:v>8.3547619047619008</c:v>
                </c:pt>
                <c:pt idx="201">
                  <c:v>8.2880952380952309</c:v>
                </c:pt>
                <c:pt idx="202">
                  <c:v>9.11666666666666</c:v>
                </c:pt>
                <c:pt idx="203">
                  <c:v>8.4619047619047603</c:v>
                </c:pt>
                <c:pt idx="204">
                  <c:v>9.2261904761904692</c:v>
                </c:pt>
                <c:pt idx="205">
                  <c:v>8.6071428571428505</c:v>
                </c:pt>
                <c:pt idx="206">
                  <c:v>8.2261904761904692</c:v>
                </c:pt>
                <c:pt idx="207">
                  <c:v>8.1785714285714199</c:v>
                </c:pt>
                <c:pt idx="208">
                  <c:v>8.9785714285714207</c:v>
                </c:pt>
                <c:pt idx="209">
                  <c:v>8.7595238095238095</c:v>
                </c:pt>
                <c:pt idx="210">
                  <c:v>8.9523809523809508</c:v>
                </c:pt>
                <c:pt idx="211">
                  <c:v>8.6119047619047606</c:v>
                </c:pt>
                <c:pt idx="212">
                  <c:v>9.4261904761904702</c:v>
                </c:pt>
                <c:pt idx="213">
                  <c:v>9.6904761904761898</c:v>
                </c:pt>
                <c:pt idx="214">
                  <c:v>9.2023809523809508</c:v>
                </c:pt>
                <c:pt idx="215">
                  <c:v>9.5428571428571392</c:v>
                </c:pt>
                <c:pt idx="216">
                  <c:v>8.5904761904761902</c:v>
                </c:pt>
                <c:pt idx="217">
                  <c:v>8.6952380952380892</c:v>
                </c:pt>
                <c:pt idx="218">
                  <c:v>9.5452380952380906</c:v>
                </c:pt>
                <c:pt idx="219">
                  <c:v>9.0214285714285705</c:v>
                </c:pt>
                <c:pt idx="220">
                  <c:v>8.4976190476190396</c:v>
                </c:pt>
                <c:pt idx="221">
                  <c:v>8.2119047619047603</c:v>
                </c:pt>
                <c:pt idx="222">
                  <c:v>8.5904761904761902</c:v>
                </c:pt>
                <c:pt idx="223">
                  <c:v>9.3119047619047599</c:v>
                </c:pt>
                <c:pt idx="224">
                  <c:v>9.1738095238095205</c:v>
                </c:pt>
                <c:pt idx="225">
                  <c:v>9.0904761904761902</c:v>
                </c:pt>
                <c:pt idx="226">
                  <c:v>9.0095238095238095</c:v>
                </c:pt>
                <c:pt idx="227">
                  <c:v>8.9619047619047603</c:v>
                </c:pt>
                <c:pt idx="228">
                  <c:v>9.1857142857142797</c:v>
                </c:pt>
                <c:pt idx="229">
                  <c:v>8.3095238095238102</c:v>
                </c:pt>
                <c:pt idx="230">
                  <c:v>8.7857142857142794</c:v>
                </c:pt>
                <c:pt idx="231">
                  <c:v>8.9404761904761898</c:v>
                </c:pt>
                <c:pt idx="232">
                  <c:v>9.1261904761904695</c:v>
                </c:pt>
                <c:pt idx="233">
                  <c:v>8.4119047619047596</c:v>
                </c:pt>
                <c:pt idx="234">
                  <c:v>8.3904761904761909</c:v>
                </c:pt>
                <c:pt idx="235">
                  <c:v>9.2833333333333297</c:v>
                </c:pt>
                <c:pt idx="236">
                  <c:v>9.4809523809523792</c:v>
                </c:pt>
                <c:pt idx="237">
                  <c:v>9.46904761904762</c:v>
                </c:pt>
                <c:pt idx="238">
                  <c:v>9.4833333333333307</c:v>
                </c:pt>
                <c:pt idx="239">
                  <c:v>9.8380952380952298</c:v>
                </c:pt>
                <c:pt idx="240">
                  <c:v>9.7714285714285705</c:v>
                </c:pt>
                <c:pt idx="241">
                  <c:v>9.6738095238095205</c:v>
                </c:pt>
                <c:pt idx="242">
                  <c:v>10.1238095238095</c:v>
                </c:pt>
                <c:pt idx="243">
                  <c:v>9.1642857142857093</c:v>
                </c:pt>
                <c:pt idx="244">
                  <c:v>9.4690476190476094</c:v>
                </c:pt>
                <c:pt idx="245">
                  <c:v>10.2071428571428</c:v>
                </c:pt>
                <c:pt idx="246">
                  <c:v>10.3119047619047</c:v>
                </c:pt>
                <c:pt idx="247">
                  <c:v>9.7476190476190396</c:v>
                </c:pt>
                <c:pt idx="248">
                  <c:v>11.288095238095201</c:v>
                </c:pt>
                <c:pt idx="249">
                  <c:v>10.159523809523799</c:v>
                </c:pt>
                <c:pt idx="250">
                  <c:v>10.3904761904761</c:v>
                </c:pt>
                <c:pt idx="251">
                  <c:v>10.269047619047599</c:v>
                </c:pt>
                <c:pt idx="252">
                  <c:v>9.8571428571428505</c:v>
                </c:pt>
                <c:pt idx="253">
                  <c:v>10.383333333333301</c:v>
                </c:pt>
                <c:pt idx="254">
                  <c:v>10.8886363636363</c:v>
                </c:pt>
                <c:pt idx="255">
                  <c:v>10.647727272727201</c:v>
                </c:pt>
                <c:pt idx="256">
                  <c:v>10.4023809523809</c:v>
                </c:pt>
                <c:pt idx="257">
                  <c:v>11.1642857142857</c:v>
                </c:pt>
                <c:pt idx="258">
                  <c:v>11.395238095238</c:v>
                </c:pt>
                <c:pt idx="259">
                  <c:v>11.885714285714201</c:v>
                </c:pt>
                <c:pt idx="260">
                  <c:v>11.6181818181818</c:v>
                </c:pt>
                <c:pt idx="261">
                  <c:v>10.754761904761899</c:v>
                </c:pt>
                <c:pt idx="262">
                  <c:v>11.2022727272727</c:v>
                </c:pt>
                <c:pt idx="263">
                  <c:v>10.9977272727272</c:v>
                </c:pt>
                <c:pt idx="264">
                  <c:v>10.736363636363601</c:v>
                </c:pt>
                <c:pt idx="265">
                  <c:v>10.981818181818101</c:v>
                </c:pt>
                <c:pt idx="266">
                  <c:v>11.2477272727272</c:v>
                </c:pt>
                <c:pt idx="267">
                  <c:v>12.106818181818101</c:v>
                </c:pt>
                <c:pt idx="268">
                  <c:v>11.213636363636301</c:v>
                </c:pt>
                <c:pt idx="269">
                  <c:v>12.027272727272701</c:v>
                </c:pt>
                <c:pt idx="270">
                  <c:v>11.4977272727272</c:v>
                </c:pt>
                <c:pt idx="271">
                  <c:v>11.3095238095238</c:v>
                </c:pt>
                <c:pt idx="272">
                  <c:v>11.7666666666666</c:v>
                </c:pt>
                <c:pt idx="273">
                  <c:v>12.302380952380901</c:v>
                </c:pt>
                <c:pt idx="274">
                  <c:v>12.966666666666599</c:v>
                </c:pt>
                <c:pt idx="275">
                  <c:v>12.504761904761899</c:v>
                </c:pt>
                <c:pt idx="276">
                  <c:v>11.6119047619047</c:v>
                </c:pt>
                <c:pt idx="277">
                  <c:v>11.8357142857142</c:v>
                </c:pt>
                <c:pt idx="278">
                  <c:v>12.7357142857142</c:v>
                </c:pt>
                <c:pt idx="279">
                  <c:v>12.5857142857142</c:v>
                </c:pt>
                <c:pt idx="280">
                  <c:v>12.3595238095238</c:v>
                </c:pt>
                <c:pt idx="281">
                  <c:v>12.4857142857142</c:v>
                </c:pt>
                <c:pt idx="282">
                  <c:v>12.105</c:v>
                </c:pt>
                <c:pt idx="283">
                  <c:v>11.6636363636363</c:v>
                </c:pt>
                <c:pt idx="284">
                  <c:v>12.7340909090909</c:v>
                </c:pt>
                <c:pt idx="285">
                  <c:v>12.865909090909</c:v>
                </c:pt>
                <c:pt idx="286">
                  <c:v>13</c:v>
                </c:pt>
                <c:pt idx="287">
                  <c:v>12.475</c:v>
                </c:pt>
                <c:pt idx="288">
                  <c:v>12.947727272727199</c:v>
                </c:pt>
                <c:pt idx="289">
                  <c:v>12.968181818181799</c:v>
                </c:pt>
                <c:pt idx="290">
                  <c:v>13.1045454545454</c:v>
                </c:pt>
                <c:pt idx="291">
                  <c:v>11.5318181818181</c:v>
                </c:pt>
                <c:pt idx="292">
                  <c:v>12.4068181818181</c:v>
                </c:pt>
                <c:pt idx="293">
                  <c:v>12.468181818181799</c:v>
                </c:pt>
                <c:pt idx="294">
                  <c:v>12.75</c:v>
                </c:pt>
                <c:pt idx="295">
                  <c:v>12.131818181818099</c:v>
                </c:pt>
                <c:pt idx="296">
                  <c:v>11.7931818181818</c:v>
                </c:pt>
                <c:pt idx="297">
                  <c:v>12.5318181818181</c:v>
                </c:pt>
                <c:pt idx="298">
                  <c:v>12.9363636363636</c:v>
                </c:pt>
                <c:pt idx="299">
                  <c:v>13.006818181818099</c:v>
                </c:pt>
                <c:pt idx="300">
                  <c:v>14.0818181818181</c:v>
                </c:pt>
                <c:pt idx="301">
                  <c:v>14.1404761904761</c:v>
                </c:pt>
                <c:pt idx="302">
                  <c:v>13.883333333333301</c:v>
                </c:pt>
                <c:pt idx="303">
                  <c:v>13.3190476190476</c:v>
                </c:pt>
                <c:pt idx="304">
                  <c:v>12.816666666666601</c:v>
                </c:pt>
                <c:pt idx="305">
                  <c:v>13.1523809523809</c:v>
                </c:pt>
                <c:pt idx="306">
                  <c:v>13.702380952380899</c:v>
                </c:pt>
                <c:pt idx="307">
                  <c:v>13.8590909090909</c:v>
                </c:pt>
                <c:pt idx="308">
                  <c:v>13.588636363636301</c:v>
                </c:pt>
                <c:pt idx="309">
                  <c:v>12.7272727272727</c:v>
                </c:pt>
                <c:pt idx="310">
                  <c:v>13.565909090909001</c:v>
                </c:pt>
                <c:pt idx="311">
                  <c:v>14.324999999999999</c:v>
                </c:pt>
                <c:pt idx="312">
                  <c:v>12.740909090909</c:v>
                </c:pt>
                <c:pt idx="313">
                  <c:v>13.1886363636363</c:v>
                </c:pt>
                <c:pt idx="314">
                  <c:v>13.9727272727272</c:v>
                </c:pt>
                <c:pt idx="315">
                  <c:v>13.988636363636299</c:v>
                </c:pt>
                <c:pt idx="316">
                  <c:v>13.665909090909</c:v>
                </c:pt>
                <c:pt idx="317">
                  <c:v>13.1863636363636</c:v>
                </c:pt>
                <c:pt idx="318">
                  <c:v>13.3545454545454</c:v>
                </c:pt>
                <c:pt idx="319">
                  <c:v>14.5545454545454</c:v>
                </c:pt>
                <c:pt idx="320">
                  <c:v>15.3886363636363</c:v>
                </c:pt>
                <c:pt idx="321">
                  <c:v>14.525</c:v>
                </c:pt>
                <c:pt idx="322">
                  <c:v>13.818181818181801</c:v>
                </c:pt>
                <c:pt idx="323">
                  <c:v>13.754545454545401</c:v>
                </c:pt>
                <c:pt idx="324">
                  <c:v>14.773809523809501</c:v>
                </c:pt>
                <c:pt idx="325">
                  <c:v>14.6227272727272</c:v>
                </c:pt>
                <c:pt idx="326">
                  <c:v>14.290909090909</c:v>
                </c:pt>
                <c:pt idx="327">
                  <c:v>15.8523809523809</c:v>
                </c:pt>
                <c:pt idx="328">
                  <c:v>15.107142857142801</c:v>
                </c:pt>
                <c:pt idx="329">
                  <c:v>15.9023809523809</c:v>
                </c:pt>
                <c:pt idx="330">
                  <c:v>15.070454545454499</c:v>
                </c:pt>
                <c:pt idx="331">
                  <c:v>15.6090909090909</c:v>
                </c:pt>
                <c:pt idx="332">
                  <c:v>14.945454545454499</c:v>
                </c:pt>
                <c:pt idx="333">
                  <c:v>15.547727272727199</c:v>
                </c:pt>
                <c:pt idx="334">
                  <c:v>15.5772727272727</c:v>
                </c:pt>
                <c:pt idx="335">
                  <c:v>15.7636363636363</c:v>
                </c:pt>
                <c:pt idx="336">
                  <c:v>16.8340909090909</c:v>
                </c:pt>
                <c:pt idx="337">
                  <c:v>16.904545454545399</c:v>
                </c:pt>
                <c:pt idx="338">
                  <c:v>16.677272727272701</c:v>
                </c:pt>
                <c:pt idx="339">
                  <c:v>16.865909090909</c:v>
                </c:pt>
                <c:pt idx="340">
                  <c:v>16.686363636363598</c:v>
                </c:pt>
                <c:pt idx="341">
                  <c:v>15.5840909090909</c:v>
                </c:pt>
                <c:pt idx="342">
                  <c:v>15.6204545454545</c:v>
                </c:pt>
                <c:pt idx="343">
                  <c:v>15.802272727272699</c:v>
                </c:pt>
                <c:pt idx="344">
                  <c:v>16.568181818181799</c:v>
                </c:pt>
                <c:pt idx="345">
                  <c:v>17.193181818181799</c:v>
                </c:pt>
                <c:pt idx="346">
                  <c:v>17.2068181818181</c:v>
                </c:pt>
                <c:pt idx="347">
                  <c:v>16.399999999999999</c:v>
                </c:pt>
                <c:pt idx="348">
                  <c:v>16.524999999999999</c:v>
                </c:pt>
                <c:pt idx="349">
                  <c:v>16.475000000000001</c:v>
                </c:pt>
                <c:pt idx="350">
                  <c:v>16.9568181818181</c:v>
                </c:pt>
                <c:pt idx="351">
                  <c:v>17.061363636363598</c:v>
                </c:pt>
                <c:pt idx="352">
                  <c:v>17.0363636363636</c:v>
                </c:pt>
                <c:pt idx="353">
                  <c:v>17.152272727272699</c:v>
                </c:pt>
                <c:pt idx="354">
                  <c:v>16.568181818181799</c:v>
                </c:pt>
                <c:pt idx="355">
                  <c:v>16.468181818181801</c:v>
                </c:pt>
                <c:pt idx="356">
                  <c:v>16.729545454545399</c:v>
                </c:pt>
                <c:pt idx="357">
                  <c:v>16.7477272727272</c:v>
                </c:pt>
                <c:pt idx="358">
                  <c:v>17.143181818181802</c:v>
                </c:pt>
                <c:pt idx="359">
                  <c:v>17.1204545454545</c:v>
                </c:pt>
                <c:pt idx="360">
                  <c:v>16.693181818181799</c:v>
                </c:pt>
                <c:pt idx="361">
                  <c:v>16.863636363636299</c:v>
                </c:pt>
                <c:pt idx="362">
                  <c:v>16.690909090908999</c:v>
                </c:pt>
                <c:pt idx="363">
                  <c:v>16.518181818181802</c:v>
                </c:pt>
                <c:pt idx="364">
                  <c:v>16.738636363636299</c:v>
                </c:pt>
                <c:pt idx="365">
                  <c:v>16.71</c:v>
                </c:pt>
              </c:numCache>
            </c:numRef>
          </c:yVal>
          <c:smooth val="1"/>
          <c:extLst>
            <c:ext xmlns:c16="http://schemas.microsoft.com/office/drawing/2014/chart" uri="{C3380CC4-5D6E-409C-BE32-E72D297353CC}">
              <c16:uniqueId val="{00000002-787B-42AE-A59C-62ACE34B571F}"/>
            </c:ext>
          </c:extLst>
        </c:ser>
        <c:ser>
          <c:idx val="3"/>
          <c:order val="3"/>
          <c:tx>
            <c:strRef>
              <c:f>meanT!$E$2</c:f>
              <c:strCache>
                <c:ptCount val="1"/>
                <c:pt idx="0">
                  <c:v>Gore</c:v>
                </c:pt>
              </c:strCache>
            </c:strRef>
          </c:tx>
          <c:spPr>
            <a:ln w="19050" cap="rnd">
              <a:solidFill>
                <a:schemeClr val="accent4"/>
              </a:solidFill>
              <a:round/>
            </a:ln>
            <a:effectLst/>
          </c:spPr>
          <c:marker>
            <c:symbol val="none"/>
          </c:marker>
          <c:xVal>
            <c:numRef>
              <c:f>meanT!$A$3:$A$368</c:f>
              <c:numCache>
                <c:formatCode>General</c:formatCode>
                <c:ptCount val="36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numCache>
            </c:numRef>
          </c:xVal>
          <c:yVal>
            <c:numRef>
              <c:f>meanT!$E$3:$E$368</c:f>
              <c:numCache>
                <c:formatCode>General</c:formatCode>
                <c:ptCount val="366"/>
                <c:pt idx="0">
                  <c:v>14.48</c:v>
                </c:pt>
                <c:pt idx="1">
                  <c:v>14.1261904761904</c:v>
                </c:pt>
                <c:pt idx="2">
                  <c:v>14.112500000000001</c:v>
                </c:pt>
                <c:pt idx="3">
                  <c:v>14.487500000000001</c:v>
                </c:pt>
                <c:pt idx="4">
                  <c:v>14.975</c:v>
                </c:pt>
                <c:pt idx="5">
                  <c:v>14.8261904761904</c:v>
                </c:pt>
                <c:pt idx="6">
                  <c:v>14.342857142857101</c:v>
                </c:pt>
                <c:pt idx="7">
                  <c:v>13.8761904761904</c:v>
                </c:pt>
                <c:pt idx="8">
                  <c:v>13.595238095238001</c:v>
                </c:pt>
                <c:pt idx="9">
                  <c:v>13.529545454545399</c:v>
                </c:pt>
                <c:pt idx="10">
                  <c:v>14.221739130434701</c:v>
                </c:pt>
                <c:pt idx="11">
                  <c:v>14.328260869565201</c:v>
                </c:pt>
                <c:pt idx="12">
                  <c:v>14.091304347826</c:v>
                </c:pt>
                <c:pt idx="13">
                  <c:v>14.1065217391304</c:v>
                </c:pt>
                <c:pt idx="14">
                  <c:v>13.960869565217299</c:v>
                </c:pt>
                <c:pt idx="15">
                  <c:v>13.783333333333299</c:v>
                </c:pt>
                <c:pt idx="16">
                  <c:v>14.206250000000001</c:v>
                </c:pt>
                <c:pt idx="17">
                  <c:v>14.529166666666599</c:v>
                </c:pt>
                <c:pt idx="18">
                  <c:v>13.35</c:v>
                </c:pt>
                <c:pt idx="19">
                  <c:v>14.018750000000001</c:v>
                </c:pt>
                <c:pt idx="20">
                  <c:v>15.262</c:v>
                </c:pt>
                <c:pt idx="21">
                  <c:v>14.724</c:v>
                </c:pt>
                <c:pt idx="22">
                  <c:v>14.076000000000001</c:v>
                </c:pt>
                <c:pt idx="23">
                  <c:v>14.128</c:v>
                </c:pt>
                <c:pt idx="24">
                  <c:v>13.9439999999999</c:v>
                </c:pt>
                <c:pt idx="25">
                  <c:v>14.082000000000001</c:v>
                </c:pt>
                <c:pt idx="26">
                  <c:v>14.061999999999999</c:v>
                </c:pt>
                <c:pt idx="27">
                  <c:v>14.754</c:v>
                </c:pt>
                <c:pt idx="28">
                  <c:v>15.247999999999999</c:v>
                </c:pt>
                <c:pt idx="29">
                  <c:v>15.3479999999999</c:v>
                </c:pt>
                <c:pt idx="30">
                  <c:v>14.858000000000001</c:v>
                </c:pt>
                <c:pt idx="31">
                  <c:v>14.672000000000001</c:v>
                </c:pt>
                <c:pt idx="32">
                  <c:v>14.042</c:v>
                </c:pt>
                <c:pt idx="33">
                  <c:v>14.7019999999999</c:v>
                </c:pt>
                <c:pt idx="34">
                  <c:v>14.68</c:v>
                </c:pt>
                <c:pt idx="35">
                  <c:v>13.277999999999899</c:v>
                </c:pt>
                <c:pt idx="36">
                  <c:v>14.288</c:v>
                </c:pt>
                <c:pt idx="37">
                  <c:v>13.712</c:v>
                </c:pt>
                <c:pt idx="38">
                  <c:v>14.7919999999999</c:v>
                </c:pt>
                <c:pt idx="39">
                  <c:v>14.8708333333333</c:v>
                </c:pt>
                <c:pt idx="40">
                  <c:v>14.7916666666666</c:v>
                </c:pt>
                <c:pt idx="41">
                  <c:v>15.446</c:v>
                </c:pt>
                <c:pt idx="42">
                  <c:v>14.54</c:v>
                </c:pt>
                <c:pt idx="43">
                  <c:v>14.081999999999899</c:v>
                </c:pt>
                <c:pt idx="44">
                  <c:v>13.542</c:v>
                </c:pt>
                <c:pt idx="45">
                  <c:v>13.713999999999899</c:v>
                </c:pt>
                <c:pt idx="46">
                  <c:v>14.608000000000001</c:v>
                </c:pt>
                <c:pt idx="47">
                  <c:v>15.504</c:v>
                </c:pt>
                <c:pt idx="48">
                  <c:v>14.836</c:v>
                </c:pt>
                <c:pt idx="49">
                  <c:v>14.367999999999901</c:v>
                </c:pt>
                <c:pt idx="50">
                  <c:v>14.052</c:v>
                </c:pt>
                <c:pt idx="51">
                  <c:v>14.202</c:v>
                </c:pt>
                <c:pt idx="52">
                  <c:v>14.043749999999999</c:v>
                </c:pt>
                <c:pt idx="53">
                  <c:v>13.1826086956521</c:v>
                </c:pt>
                <c:pt idx="54">
                  <c:v>13.121739130434699</c:v>
                </c:pt>
                <c:pt idx="55">
                  <c:v>12.899999999999901</c:v>
                </c:pt>
                <c:pt idx="56">
                  <c:v>13.972916666666601</c:v>
                </c:pt>
                <c:pt idx="57">
                  <c:v>13.691666666666601</c:v>
                </c:pt>
                <c:pt idx="58">
                  <c:v>14.056249999999901</c:v>
                </c:pt>
                <c:pt idx="59">
                  <c:v>13.167999999999999</c:v>
                </c:pt>
                <c:pt idx="60">
                  <c:v>12.925000000000001</c:v>
                </c:pt>
                <c:pt idx="61">
                  <c:v>12.220833333333299</c:v>
                </c:pt>
                <c:pt idx="62">
                  <c:v>12.49375</c:v>
                </c:pt>
                <c:pt idx="63">
                  <c:v>13.4270833333333</c:v>
                </c:pt>
                <c:pt idx="64">
                  <c:v>13.106249999999999</c:v>
                </c:pt>
                <c:pt idx="65">
                  <c:v>12.665217391304299</c:v>
                </c:pt>
                <c:pt idx="66">
                  <c:v>13.006521739130401</c:v>
                </c:pt>
                <c:pt idx="67">
                  <c:v>12.5934782608695</c:v>
                </c:pt>
                <c:pt idx="68">
                  <c:v>13.710869565217299</c:v>
                </c:pt>
                <c:pt idx="69">
                  <c:v>12.684782608695601</c:v>
                </c:pt>
                <c:pt idx="70">
                  <c:v>13.618749999999901</c:v>
                </c:pt>
                <c:pt idx="71">
                  <c:v>13.960869565217299</c:v>
                </c:pt>
                <c:pt idx="72">
                  <c:v>13.0104166666666</c:v>
                </c:pt>
                <c:pt idx="73">
                  <c:v>12.216666666666599</c:v>
                </c:pt>
                <c:pt idx="74">
                  <c:v>11.934782608695601</c:v>
                </c:pt>
                <c:pt idx="75">
                  <c:v>11.064</c:v>
                </c:pt>
                <c:pt idx="76">
                  <c:v>10.734</c:v>
                </c:pt>
                <c:pt idx="77">
                  <c:v>11.872</c:v>
                </c:pt>
                <c:pt idx="78">
                  <c:v>12.266</c:v>
                </c:pt>
                <c:pt idx="79">
                  <c:v>12.571999999999999</c:v>
                </c:pt>
                <c:pt idx="80">
                  <c:v>12.03125</c:v>
                </c:pt>
                <c:pt idx="81">
                  <c:v>12.4333333333333</c:v>
                </c:pt>
                <c:pt idx="82">
                  <c:v>12.039130434782599</c:v>
                </c:pt>
                <c:pt idx="83">
                  <c:v>11.65</c:v>
                </c:pt>
                <c:pt idx="84">
                  <c:v>12.1</c:v>
                </c:pt>
                <c:pt idx="85">
                  <c:v>13.327999999999999</c:v>
                </c:pt>
                <c:pt idx="86">
                  <c:v>12.539583333333301</c:v>
                </c:pt>
                <c:pt idx="87">
                  <c:v>12.689583333333299</c:v>
                </c:pt>
                <c:pt idx="88">
                  <c:v>12.311999999999999</c:v>
                </c:pt>
                <c:pt idx="89">
                  <c:v>11.952</c:v>
                </c:pt>
                <c:pt idx="90">
                  <c:v>11.666</c:v>
                </c:pt>
                <c:pt idx="91">
                  <c:v>11.8020833333333</c:v>
                </c:pt>
                <c:pt idx="92">
                  <c:v>11.683999999999999</c:v>
                </c:pt>
                <c:pt idx="93">
                  <c:v>10.448</c:v>
                </c:pt>
                <c:pt idx="94">
                  <c:v>10.462</c:v>
                </c:pt>
                <c:pt idx="95">
                  <c:v>10.786</c:v>
                </c:pt>
                <c:pt idx="96">
                  <c:v>11.13125</c:v>
                </c:pt>
                <c:pt idx="97">
                  <c:v>10.869565217391299</c:v>
                </c:pt>
                <c:pt idx="98">
                  <c:v>9.5043478260869492</c:v>
                </c:pt>
                <c:pt idx="99">
                  <c:v>9.8772727272727199</c:v>
                </c:pt>
                <c:pt idx="100">
                  <c:v>10.3785714285714</c:v>
                </c:pt>
                <c:pt idx="101">
                  <c:v>10.0674999999999</c:v>
                </c:pt>
                <c:pt idx="102">
                  <c:v>9.4659090909090899</c:v>
                </c:pt>
                <c:pt idx="103">
                  <c:v>10.4</c:v>
                </c:pt>
                <c:pt idx="104">
                  <c:v>10.731249999999999</c:v>
                </c:pt>
                <c:pt idx="105">
                  <c:v>10.7145833333333</c:v>
                </c:pt>
                <c:pt idx="106">
                  <c:v>10.143750000000001</c:v>
                </c:pt>
                <c:pt idx="107">
                  <c:v>9.8456521739130398</c:v>
                </c:pt>
                <c:pt idx="108">
                  <c:v>9.9812499999999993</c:v>
                </c:pt>
                <c:pt idx="109">
                  <c:v>9.7791666666666597</c:v>
                </c:pt>
                <c:pt idx="110">
                  <c:v>8.9375</c:v>
                </c:pt>
                <c:pt idx="111">
                  <c:v>9.2208333333333297</c:v>
                </c:pt>
                <c:pt idx="112">
                  <c:v>9.42916666666666</c:v>
                </c:pt>
                <c:pt idx="113">
                  <c:v>9.6895833333333297</c:v>
                </c:pt>
                <c:pt idx="114">
                  <c:v>9.625</c:v>
                </c:pt>
                <c:pt idx="115">
                  <c:v>9.6312499999999996</c:v>
                </c:pt>
                <c:pt idx="116">
                  <c:v>9.9895833333333304</c:v>
                </c:pt>
                <c:pt idx="117">
                  <c:v>10.15</c:v>
                </c:pt>
                <c:pt idx="118">
                  <c:v>9.65</c:v>
                </c:pt>
                <c:pt idx="119">
                  <c:v>8.7749999999999897</c:v>
                </c:pt>
                <c:pt idx="120">
                  <c:v>8.28125</c:v>
                </c:pt>
                <c:pt idx="121">
                  <c:v>8.6854166666666597</c:v>
                </c:pt>
                <c:pt idx="122">
                  <c:v>9.7062499999999901</c:v>
                </c:pt>
                <c:pt idx="123">
                  <c:v>9.3062500000000004</c:v>
                </c:pt>
                <c:pt idx="124">
                  <c:v>9.4208333333333307</c:v>
                </c:pt>
                <c:pt idx="125">
                  <c:v>9.3416666666666597</c:v>
                </c:pt>
                <c:pt idx="126">
                  <c:v>9.0062499999999996</c:v>
                </c:pt>
                <c:pt idx="127">
                  <c:v>9.0187500000000007</c:v>
                </c:pt>
                <c:pt idx="128">
                  <c:v>9.3520833333333293</c:v>
                </c:pt>
                <c:pt idx="129">
                  <c:v>8.6750000000000007</c:v>
                </c:pt>
                <c:pt idx="130">
                  <c:v>8.9804347826086897</c:v>
                </c:pt>
                <c:pt idx="131">
                  <c:v>9.6043478260869506</c:v>
                </c:pt>
                <c:pt idx="132">
                  <c:v>8.5217391304347796</c:v>
                </c:pt>
                <c:pt idx="133">
                  <c:v>9</c:v>
                </c:pt>
                <c:pt idx="134">
                  <c:v>8.2979166666666604</c:v>
                </c:pt>
                <c:pt idx="135">
                  <c:v>7.59375</c:v>
                </c:pt>
                <c:pt idx="136">
                  <c:v>7.17916666666666</c:v>
                </c:pt>
                <c:pt idx="137">
                  <c:v>7.6749999999999998</c:v>
                </c:pt>
                <c:pt idx="138">
                  <c:v>7.8624999999999998</c:v>
                </c:pt>
                <c:pt idx="139">
                  <c:v>7.84375</c:v>
                </c:pt>
                <c:pt idx="140">
                  <c:v>7.05416666666666</c:v>
                </c:pt>
                <c:pt idx="141">
                  <c:v>7.6083333333333298</c:v>
                </c:pt>
                <c:pt idx="142">
                  <c:v>7.4833333333333298</c:v>
                </c:pt>
                <c:pt idx="143">
                  <c:v>6.7208333333333297</c:v>
                </c:pt>
                <c:pt idx="144">
                  <c:v>7.1956521739130404</c:v>
                </c:pt>
                <c:pt idx="145">
                  <c:v>6.1826086956521698</c:v>
                </c:pt>
                <c:pt idx="146">
                  <c:v>6.0386363636363596</c:v>
                </c:pt>
                <c:pt idx="147">
                  <c:v>6.2409090909090903</c:v>
                </c:pt>
                <c:pt idx="148">
                  <c:v>6.6673913043478201</c:v>
                </c:pt>
                <c:pt idx="149">
                  <c:v>7.2043478260869502</c:v>
                </c:pt>
                <c:pt idx="150">
                  <c:v>7.1826086956521698</c:v>
                </c:pt>
                <c:pt idx="151">
                  <c:v>6.96521739130434</c:v>
                </c:pt>
                <c:pt idx="152">
                  <c:v>6.3260869565217304</c:v>
                </c:pt>
                <c:pt idx="153">
                  <c:v>5.8586956521739104</c:v>
                </c:pt>
                <c:pt idx="154">
                  <c:v>6.80217391304347</c:v>
                </c:pt>
                <c:pt idx="155">
                  <c:v>6.5326086956521703</c:v>
                </c:pt>
                <c:pt idx="156">
                  <c:v>5.6369565217391298</c:v>
                </c:pt>
                <c:pt idx="157">
                  <c:v>5.8954545454545402</c:v>
                </c:pt>
                <c:pt idx="158">
                  <c:v>6.2239130434782597</c:v>
                </c:pt>
                <c:pt idx="159">
                  <c:v>6.17173913043478</c:v>
                </c:pt>
                <c:pt idx="160">
                  <c:v>5.7826086956521703</c:v>
                </c:pt>
                <c:pt idx="161">
                  <c:v>5.7717391304347796</c:v>
                </c:pt>
                <c:pt idx="162">
                  <c:v>5.6869565217391296</c:v>
                </c:pt>
                <c:pt idx="163">
                  <c:v>5.4086956521739102</c:v>
                </c:pt>
                <c:pt idx="164">
                  <c:v>6.0304347826086904</c:v>
                </c:pt>
                <c:pt idx="165">
                  <c:v>5.8521739130434698</c:v>
                </c:pt>
                <c:pt idx="166">
                  <c:v>5.9782608695652097</c:v>
                </c:pt>
                <c:pt idx="167">
                  <c:v>5.9340909090908998</c:v>
                </c:pt>
                <c:pt idx="168">
                  <c:v>5.67173913043478</c:v>
                </c:pt>
                <c:pt idx="169">
                  <c:v>4.92173913043478</c:v>
                </c:pt>
                <c:pt idx="170">
                  <c:v>4.7863636363636299</c:v>
                </c:pt>
                <c:pt idx="171">
                  <c:v>4.4522727272727201</c:v>
                </c:pt>
                <c:pt idx="172">
                  <c:v>4.80217391304347</c:v>
                </c:pt>
                <c:pt idx="173">
                  <c:v>5.2086956521739101</c:v>
                </c:pt>
                <c:pt idx="174">
                  <c:v>5.4739130434782597</c:v>
                </c:pt>
                <c:pt idx="175">
                  <c:v>5.7891304347826003</c:v>
                </c:pt>
                <c:pt idx="176">
                  <c:v>5.8195652173913004</c:v>
                </c:pt>
                <c:pt idx="177">
                  <c:v>5.0173913043478198</c:v>
                </c:pt>
                <c:pt idx="178">
                  <c:v>4.7282608695652097</c:v>
                </c:pt>
                <c:pt idx="179">
                  <c:v>4.8673913043478203</c:v>
                </c:pt>
                <c:pt idx="180">
                  <c:v>5.5354166666666602</c:v>
                </c:pt>
                <c:pt idx="181">
                  <c:v>4.2979166666666604</c:v>
                </c:pt>
                <c:pt idx="182">
                  <c:v>3.7374999999999998</c:v>
                </c:pt>
                <c:pt idx="183">
                  <c:v>4.34375</c:v>
                </c:pt>
                <c:pt idx="184">
                  <c:v>4.6729166666666604</c:v>
                </c:pt>
                <c:pt idx="185">
                  <c:v>4.7</c:v>
                </c:pt>
                <c:pt idx="186">
                  <c:v>4.3108695652173896</c:v>
                </c:pt>
                <c:pt idx="187">
                  <c:v>3.5999999999999899</c:v>
                </c:pt>
                <c:pt idx="188">
                  <c:v>3.2913043478260802</c:v>
                </c:pt>
                <c:pt idx="189">
                  <c:v>4.0478260869565199</c:v>
                </c:pt>
                <c:pt idx="190">
                  <c:v>3.81739130434782</c:v>
                </c:pt>
                <c:pt idx="191">
                  <c:v>3.9520833333333298</c:v>
                </c:pt>
                <c:pt idx="192">
                  <c:v>3.76249999999999</c:v>
                </c:pt>
                <c:pt idx="193">
                  <c:v>4.242</c:v>
                </c:pt>
                <c:pt idx="194">
                  <c:v>4.67</c:v>
                </c:pt>
                <c:pt idx="195">
                  <c:v>5.2020833333333298</c:v>
                </c:pt>
                <c:pt idx="196">
                  <c:v>4.3833333333333302</c:v>
                </c:pt>
                <c:pt idx="197">
                  <c:v>5.2039999999999997</c:v>
                </c:pt>
                <c:pt idx="198">
                  <c:v>5.1437499999999998</c:v>
                </c:pt>
                <c:pt idx="199">
                  <c:v>5.2139999999999898</c:v>
                </c:pt>
                <c:pt idx="200">
                  <c:v>5.7160000000000002</c:v>
                </c:pt>
                <c:pt idx="201">
                  <c:v>5.3780000000000001</c:v>
                </c:pt>
                <c:pt idx="202">
                  <c:v>5.0419999999999998</c:v>
                </c:pt>
                <c:pt idx="203">
                  <c:v>5.1739999999999897</c:v>
                </c:pt>
                <c:pt idx="204">
                  <c:v>5.1770833333333304</c:v>
                </c:pt>
                <c:pt idx="205">
                  <c:v>5.18</c:v>
                </c:pt>
                <c:pt idx="206">
                  <c:v>5.83</c:v>
                </c:pt>
                <c:pt idx="207">
                  <c:v>5.98</c:v>
                </c:pt>
                <c:pt idx="208">
                  <c:v>6.125</c:v>
                </c:pt>
                <c:pt idx="209">
                  <c:v>6.2229166666666602</c:v>
                </c:pt>
                <c:pt idx="210">
                  <c:v>5.2895833333333302</c:v>
                </c:pt>
                <c:pt idx="211">
                  <c:v>5.8780000000000001</c:v>
                </c:pt>
                <c:pt idx="212">
                  <c:v>6.1219999999999999</c:v>
                </c:pt>
                <c:pt idx="213">
                  <c:v>5.6145833333333304</c:v>
                </c:pt>
                <c:pt idx="214">
                  <c:v>5.9160000000000004</c:v>
                </c:pt>
                <c:pt idx="215">
                  <c:v>5.6680000000000001</c:v>
                </c:pt>
                <c:pt idx="216">
                  <c:v>6.5540000000000003</c:v>
                </c:pt>
                <c:pt idx="217">
                  <c:v>6.3519999999999897</c:v>
                </c:pt>
                <c:pt idx="218">
                  <c:v>5.8639999999999999</c:v>
                </c:pt>
                <c:pt idx="219">
                  <c:v>5.5708333333333302</c:v>
                </c:pt>
                <c:pt idx="220">
                  <c:v>5.2624999999999904</c:v>
                </c:pt>
                <c:pt idx="221">
                  <c:v>5.8879999999999999</c:v>
                </c:pt>
                <c:pt idx="222">
                  <c:v>6.2720000000000002</c:v>
                </c:pt>
                <c:pt idx="223">
                  <c:v>5.7480000000000002</c:v>
                </c:pt>
                <c:pt idx="224">
                  <c:v>5.6059999999999999</c:v>
                </c:pt>
                <c:pt idx="225">
                  <c:v>5.6139999999999999</c:v>
                </c:pt>
                <c:pt idx="226">
                  <c:v>6.1740000000000004</c:v>
                </c:pt>
                <c:pt idx="227">
                  <c:v>6.5880000000000001</c:v>
                </c:pt>
                <c:pt idx="228">
                  <c:v>6.6179999999999897</c:v>
                </c:pt>
                <c:pt idx="229">
                  <c:v>6.63</c:v>
                </c:pt>
                <c:pt idx="230">
                  <c:v>6.16</c:v>
                </c:pt>
                <c:pt idx="231">
                  <c:v>6.3380000000000001</c:v>
                </c:pt>
                <c:pt idx="232">
                  <c:v>6.0579999999999998</c:v>
                </c:pt>
                <c:pt idx="233">
                  <c:v>5.9799999999999898</c:v>
                </c:pt>
                <c:pt idx="234">
                  <c:v>6.444</c:v>
                </c:pt>
                <c:pt idx="235">
                  <c:v>6.8220000000000001</c:v>
                </c:pt>
                <c:pt idx="236">
                  <c:v>7.242</c:v>
                </c:pt>
                <c:pt idx="237">
                  <c:v>7.6020000000000003</c:v>
                </c:pt>
                <c:pt idx="238">
                  <c:v>7</c:v>
                </c:pt>
                <c:pt idx="239">
                  <c:v>7.4740000000000002</c:v>
                </c:pt>
                <c:pt idx="240">
                  <c:v>7.5380000000000003</c:v>
                </c:pt>
                <c:pt idx="241">
                  <c:v>7.79</c:v>
                </c:pt>
                <c:pt idx="242">
                  <c:v>6.9139999999999997</c:v>
                </c:pt>
                <c:pt idx="243">
                  <c:v>6.7519999999999998</c:v>
                </c:pt>
                <c:pt idx="244">
                  <c:v>7.5749999999999904</c:v>
                </c:pt>
                <c:pt idx="245">
                  <c:v>7.6020833333333302</c:v>
                </c:pt>
                <c:pt idx="246">
                  <c:v>7.8958333333333304</c:v>
                </c:pt>
                <c:pt idx="247">
                  <c:v>8.3479166666666593</c:v>
                </c:pt>
                <c:pt idx="248">
                  <c:v>8.0979166666666593</c:v>
                </c:pt>
                <c:pt idx="249">
                  <c:v>8.1083333333333307</c:v>
                </c:pt>
                <c:pt idx="250">
                  <c:v>7.1020833333333302</c:v>
                </c:pt>
                <c:pt idx="251">
                  <c:v>7.2645833333333298</c:v>
                </c:pt>
                <c:pt idx="252">
                  <c:v>8.3520833333333293</c:v>
                </c:pt>
                <c:pt idx="253">
                  <c:v>8.6645833333333293</c:v>
                </c:pt>
                <c:pt idx="254">
                  <c:v>8.2229166666666593</c:v>
                </c:pt>
                <c:pt idx="255">
                  <c:v>8.5708333333333293</c:v>
                </c:pt>
                <c:pt idx="256">
                  <c:v>8.5645833333333297</c:v>
                </c:pt>
                <c:pt idx="257">
                  <c:v>8.9979166666666597</c:v>
                </c:pt>
                <c:pt idx="258">
                  <c:v>8.46041666666666</c:v>
                </c:pt>
                <c:pt idx="259">
                  <c:v>8.3640000000000008</c:v>
                </c:pt>
                <c:pt idx="260">
                  <c:v>7.8980769230769203</c:v>
                </c:pt>
                <c:pt idx="261">
                  <c:v>8.6442307692307701</c:v>
                </c:pt>
                <c:pt idx="262">
                  <c:v>8.9499999999999993</c:v>
                </c:pt>
                <c:pt idx="263">
                  <c:v>8.5057692307692303</c:v>
                </c:pt>
                <c:pt idx="264">
                  <c:v>7.8634615384615296</c:v>
                </c:pt>
                <c:pt idx="265">
                  <c:v>8.3846153846153797</c:v>
                </c:pt>
                <c:pt idx="266">
                  <c:v>8.5134615384615309</c:v>
                </c:pt>
                <c:pt idx="267">
                  <c:v>8.2539999999999996</c:v>
                </c:pt>
                <c:pt idx="268">
                  <c:v>9.2057692307692296</c:v>
                </c:pt>
                <c:pt idx="269">
                  <c:v>9.0634615384615298</c:v>
                </c:pt>
                <c:pt idx="270">
                  <c:v>8.8788461538461494</c:v>
                </c:pt>
                <c:pt idx="271">
                  <c:v>8.9442307692307601</c:v>
                </c:pt>
                <c:pt idx="272">
                  <c:v>9.8192307692307601</c:v>
                </c:pt>
                <c:pt idx="273">
                  <c:v>10.109615384615299</c:v>
                </c:pt>
                <c:pt idx="274">
                  <c:v>10.5307692307692</c:v>
                </c:pt>
                <c:pt idx="275">
                  <c:v>9</c:v>
                </c:pt>
                <c:pt idx="276">
                  <c:v>8.6730769230769198</c:v>
                </c:pt>
                <c:pt idx="277">
                  <c:v>9.1269230769230703</c:v>
                </c:pt>
                <c:pt idx="278">
                  <c:v>9.5423076923076895</c:v>
                </c:pt>
                <c:pt idx="279">
                  <c:v>9.71875</c:v>
                </c:pt>
                <c:pt idx="280">
                  <c:v>9.4939999999999998</c:v>
                </c:pt>
                <c:pt idx="281">
                  <c:v>9.1020000000000003</c:v>
                </c:pt>
                <c:pt idx="282">
                  <c:v>8.8699999999999992</c:v>
                </c:pt>
                <c:pt idx="283">
                  <c:v>9.7229166666666593</c:v>
                </c:pt>
                <c:pt idx="284">
                  <c:v>9.83541666666666</c:v>
                </c:pt>
                <c:pt idx="285">
                  <c:v>9.03125</c:v>
                </c:pt>
                <c:pt idx="286">
                  <c:v>8.6666666666666607</c:v>
                </c:pt>
                <c:pt idx="287">
                  <c:v>8.96875</c:v>
                </c:pt>
                <c:pt idx="288">
                  <c:v>10.0104166666666</c:v>
                </c:pt>
                <c:pt idx="289">
                  <c:v>10.4583333333333</c:v>
                </c:pt>
                <c:pt idx="290">
                  <c:v>10.347916666666601</c:v>
                </c:pt>
                <c:pt idx="291">
                  <c:v>9.7847826086956502</c:v>
                </c:pt>
                <c:pt idx="292">
                  <c:v>10.524999999999901</c:v>
                </c:pt>
                <c:pt idx="293">
                  <c:v>10.529166666666599</c:v>
                </c:pt>
                <c:pt idx="294">
                  <c:v>9.5458333333333307</c:v>
                </c:pt>
                <c:pt idx="295">
                  <c:v>9.6604166666666593</c:v>
                </c:pt>
                <c:pt idx="296">
                  <c:v>10.560416666666599</c:v>
                </c:pt>
                <c:pt idx="297">
                  <c:v>10.43125</c:v>
                </c:pt>
                <c:pt idx="298">
                  <c:v>11.081250000000001</c:v>
                </c:pt>
                <c:pt idx="299">
                  <c:v>10.299999999999899</c:v>
                </c:pt>
                <c:pt idx="300">
                  <c:v>10.827083333333301</c:v>
                </c:pt>
                <c:pt idx="301">
                  <c:v>10.914</c:v>
                </c:pt>
                <c:pt idx="302">
                  <c:v>11.141999999999999</c:v>
                </c:pt>
                <c:pt idx="303">
                  <c:v>11.32</c:v>
                </c:pt>
                <c:pt idx="304">
                  <c:v>11.294</c:v>
                </c:pt>
                <c:pt idx="305">
                  <c:v>10.39</c:v>
                </c:pt>
                <c:pt idx="306">
                  <c:v>10.387499999999999</c:v>
                </c:pt>
                <c:pt idx="307">
                  <c:v>10.3958333333333</c:v>
                </c:pt>
                <c:pt idx="308">
                  <c:v>10.452083333333301</c:v>
                </c:pt>
                <c:pt idx="309">
                  <c:v>11.3395833333333</c:v>
                </c:pt>
                <c:pt idx="310">
                  <c:v>11.317391304347799</c:v>
                </c:pt>
                <c:pt idx="311">
                  <c:v>11.025</c:v>
                </c:pt>
                <c:pt idx="312">
                  <c:v>11.252083333333299</c:v>
                </c:pt>
                <c:pt idx="313">
                  <c:v>11.7916666666666</c:v>
                </c:pt>
                <c:pt idx="314">
                  <c:v>11.3604166666666</c:v>
                </c:pt>
                <c:pt idx="315">
                  <c:v>10.4282608695652</c:v>
                </c:pt>
                <c:pt idx="316">
                  <c:v>10.5833333333333</c:v>
                </c:pt>
                <c:pt idx="317">
                  <c:v>11.191666666666601</c:v>
                </c:pt>
                <c:pt idx="318">
                  <c:v>11.34375</c:v>
                </c:pt>
                <c:pt idx="319">
                  <c:v>11.1479166666666</c:v>
                </c:pt>
                <c:pt idx="320">
                  <c:v>9.74583333333333</c:v>
                </c:pt>
                <c:pt idx="321">
                  <c:v>9.6187500000000004</c:v>
                </c:pt>
                <c:pt idx="322">
                  <c:v>10.0895833333333</c:v>
                </c:pt>
                <c:pt idx="323">
                  <c:v>10.408333333333299</c:v>
                </c:pt>
                <c:pt idx="324">
                  <c:v>9.8339999999999996</c:v>
                </c:pt>
                <c:pt idx="325">
                  <c:v>10.018000000000001</c:v>
                </c:pt>
                <c:pt idx="326">
                  <c:v>11.696</c:v>
                </c:pt>
                <c:pt idx="327">
                  <c:v>11.942</c:v>
                </c:pt>
                <c:pt idx="328">
                  <c:v>12.016</c:v>
                </c:pt>
                <c:pt idx="329">
                  <c:v>12.776</c:v>
                </c:pt>
                <c:pt idx="330">
                  <c:v>12.0559999999999</c:v>
                </c:pt>
                <c:pt idx="331">
                  <c:v>11.602083333333301</c:v>
                </c:pt>
                <c:pt idx="332">
                  <c:v>11.375</c:v>
                </c:pt>
                <c:pt idx="333">
                  <c:v>12.0229166666666</c:v>
                </c:pt>
                <c:pt idx="334">
                  <c:v>12.7416666666666</c:v>
                </c:pt>
                <c:pt idx="335">
                  <c:v>12.9895833333333</c:v>
                </c:pt>
                <c:pt idx="336">
                  <c:v>12.702083333333301</c:v>
                </c:pt>
                <c:pt idx="337">
                  <c:v>12.8708333333333</c:v>
                </c:pt>
                <c:pt idx="338">
                  <c:v>12.8916666666666</c:v>
                </c:pt>
                <c:pt idx="339">
                  <c:v>12.7477272727272</c:v>
                </c:pt>
                <c:pt idx="340">
                  <c:v>12.7043478260869</c:v>
                </c:pt>
                <c:pt idx="341">
                  <c:v>11.6608695652173</c:v>
                </c:pt>
                <c:pt idx="342">
                  <c:v>12.290909090909</c:v>
                </c:pt>
                <c:pt idx="343">
                  <c:v>12.754347826086899</c:v>
                </c:pt>
                <c:pt idx="344">
                  <c:v>13.6875</c:v>
                </c:pt>
                <c:pt idx="345">
                  <c:v>14.1479166666666</c:v>
                </c:pt>
                <c:pt idx="346">
                  <c:v>13.5208333333333</c:v>
                </c:pt>
                <c:pt idx="347">
                  <c:v>12.858333333333301</c:v>
                </c:pt>
                <c:pt idx="348">
                  <c:v>12.5833333333333</c:v>
                </c:pt>
                <c:pt idx="349">
                  <c:v>12.649999999999901</c:v>
                </c:pt>
                <c:pt idx="350">
                  <c:v>12.94375</c:v>
                </c:pt>
                <c:pt idx="351">
                  <c:v>13.137499999999999</c:v>
                </c:pt>
                <c:pt idx="352">
                  <c:v>12.387499999999999</c:v>
                </c:pt>
                <c:pt idx="353">
                  <c:v>13.231818181818101</c:v>
                </c:pt>
                <c:pt idx="354">
                  <c:v>13.782608695652099</c:v>
                </c:pt>
                <c:pt idx="355">
                  <c:v>12.802173913043401</c:v>
                </c:pt>
                <c:pt idx="356">
                  <c:v>13.058695652173901</c:v>
                </c:pt>
                <c:pt idx="357">
                  <c:v>13.6173913043478</c:v>
                </c:pt>
                <c:pt idx="358">
                  <c:v>13.361363636363601</c:v>
                </c:pt>
                <c:pt idx="359">
                  <c:v>14.068181818181801</c:v>
                </c:pt>
                <c:pt idx="360">
                  <c:v>14.7431818181818</c:v>
                </c:pt>
                <c:pt idx="361">
                  <c:v>13.970454545454499</c:v>
                </c:pt>
                <c:pt idx="362">
                  <c:v>14.119047619047601</c:v>
                </c:pt>
                <c:pt idx="363">
                  <c:v>13.9047619047619</c:v>
                </c:pt>
                <c:pt idx="364">
                  <c:v>13.492857142857099</c:v>
                </c:pt>
                <c:pt idx="365">
                  <c:v>11.34</c:v>
                </c:pt>
              </c:numCache>
            </c:numRef>
          </c:yVal>
          <c:smooth val="1"/>
          <c:extLst>
            <c:ext xmlns:c16="http://schemas.microsoft.com/office/drawing/2014/chart" uri="{C3380CC4-5D6E-409C-BE32-E72D297353CC}">
              <c16:uniqueId val="{00000001-B6A1-4231-B562-88446FC5752D}"/>
            </c:ext>
          </c:extLst>
        </c:ser>
        <c:dLbls>
          <c:showLegendKey val="0"/>
          <c:showVal val="0"/>
          <c:showCatName val="0"/>
          <c:showSerName val="0"/>
          <c:showPercent val="0"/>
          <c:showBubbleSize val="0"/>
        </c:dLbls>
        <c:axId val="986646143"/>
        <c:axId val="986644063"/>
      </c:scatterChart>
      <c:valAx>
        <c:axId val="9866461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644063"/>
        <c:crosses val="autoZero"/>
        <c:crossBetween val="midCat"/>
      </c:valAx>
      <c:valAx>
        <c:axId val="986644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6461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8</xdr:col>
      <xdr:colOff>19050</xdr:colOff>
      <xdr:row>0</xdr:row>
      <xdr:rowOff>0</xdr:rowOff>
    </xdr:from>
    <xdr:to>
      <xdr:col>17</xdr:col>
      <xdr:colOff>600075</xdr:colOff>
      <xdr:row>19</xdr:row>
      <xdr:rowOff>142875</xdr:rowOff>
    </xdr:to>
    <xdr:graphicFrame macro="">
      <xdr:nvGraphicFramePr>
        <xdr:cNvPr id="2" name="Chart 1">
          <a:extLst>
            <a:ext uri="{FF2B5EF4-FFF2-40B4-BE49-F238E27FC236}">
              <a16:creationId xmlns:a16="http://schemas.microsoft.com/office/drawing/2014/main" id="{083EF197-35D9-4462-85DD-DA14E42122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76200</xdr:colOff>
      <xdr:row>28</xdr:row>
      <xdr:rowOff>161925</xdr:rowOff>
    </xdr:from>
    <xdr:to>
      <xdr:col>18</xdr:col>
      <xdr:colOff>161925</xdr:colOff>
      <xdr:row>42</xdr:row>
      <xdr:rowOff>142875</xdr:rowOff>
    </xdr:to>
    <xdr:graphicFrame macro="">
      <xdr:nvGraphicFramePr>
        <xdr:cNvPr id="3" name="Chart 2">
          <a:extLst>
            <a:ext uri="{FF2B5EF4-FFF2-40B4-BE49-F238E27FC236}">
              <a16:creationId xmlns:a16="http://schemas.microsoft.com/office/drawing/2014/main" id="{359380D7-09F0-4E9A-A7D1-99CB5C48C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228600</xdr:colOff>
      <xdr:row>0</xdr:row>
      <xdr:rowOff>0</xdr:rowOff>
    </xdr:from>
    <xdr:to>
      <xdr:col>4</xdr:col>
      <xdr:colOff>1247775</xdr:colOff>
      <xdr:row>2</xdr:row>
      <xdr:rowOff>143332</xdr:rowOff>
    </xdr:to>
    <xdr:pic>
      <xdr:nvPicPr>
        <xdr:cNvPr id="5" name="Picture 4" descr="Text&#10;&#10;Description automatically generated with medium confidence">
          <a:extLst>
            <a:ext uri="{FF2B5EF4-FFF2-40B4-BE49-F238E27FC236}">
              <a16:creationId xmlns:a16="http://schemas.microsoft.com/office/drawing/2014/main" id="{4247593E-C2CC-4A04-9018-D599F59EE5F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52800" y="0"/>
          <a:ext cx="1019175" cy="591007"/>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180975</xdr:colOff>
      <xdr:row>57</xdr:row>
      <xdr:rowOff>123825</xdr:rowOff>
    </xdr:from>
    <xdr:to>
      <xdr:col>2</xdr:col>
      <xdr:colOff>971550</xdr:colOff>
      <xdr:row>69</xdr:row>
      <xdr:rowOff>104775</xdr:rowOff>
    </xdr:to>
    <xdr:graphicFrame macro="">
      <xdr:nvGraphicFramePr>
        <xdr:cNvPr id="2" name="Chart 1">
          <a:extLst>
            <a:ext uri="{FF2B5EF4-FFF2-40B4-BE49-F238E27FC236}">
              <a16:creationId xmlns:a16="http://schemas.microsoft.com/office/drawing/2014/main" id="{9B7FACDF-CFBB-423F-AB4D-A2C8395907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1085850</xdr:colOff>
      <xdr:row>60</xdr:row>
      <xdr:rowOff>28575</xdr:rowOff>
    </xdr:from>
    <xdr:to>
      <xdr:col>8</xdr:col>
      <xdr:colOff>581025</xdr:colOff>
      <xdr:row>70</xdr:row>
      <xdr:rowOff>180975</xdr:rowOff>
    </xdr:to>
    <xdr:graphicFrame macro="">
      <xdr:nvGraphicFramePr>
        <xdr:cNvPr id="3" name="Chart 2">
          <a:extLst>
            <a:ext uri="{FF2B5EF4-FFF2-40B4-BE49-F238E27FC236}">
              <a16:creationId xmlns:a16="http://schemas.microsoft.com/office/drawing/2014/main" id="{DF8872B2-E070-4FCB-BEC2-0F10C5767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219075</xdr:colOff>
      <xdr:row>97</xdr:row>
      <xdr:rowOff>66675</xdr:rowOff>
    </xdr:from>
    <xdr:to>
      <xdr:col>2</xdr:col>
      <xdr:colOff>1009650</xdr:colOff>
      <xdr:row>109</xdr:row>
      <xdr:rowOff>47625</xdr:rowOff>
    </xdr:to>
    <xdr:graphicFrame macro="">
      <xdr:nvGraphicFramePr>
        <xdr:cNvPr id="4" name="Chart 3">
          <a:extLst>
            <a:ext uri="{FF2B5EF4-FFF2-40B4-BE49-F238E27FC236}">
              <a16:creationId xmlns:a16="http://schemas.microsoft.com/office/drawing/2014/main" id="{2D3CA970-DB5D-46DF-9BA1-D793301541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136</xdr:row>
      <xdr:rowOff>0</xdr:rowOff>
    </xdr:from>
    <xdr:to>
      <xdr:col>3</xdr:col>
      <xdr:colOff>419100</xdr:colOff>
      <xdr:row>147</xdr:row>
      <xdr:rowOff>171450</xdr:rowOff>
    </xdr:to>
    <xdr:graphicFrame macro="">
      <xdr:nvGraphicFramePr>
        <xdr:cNvPr id="5" name="Chart 4">
          <a:extLst>
            <a:ext uri="{FF2B5EF4-FFF2-40B4-BE49-F238E27FC236}">
              <a16:creationId xmlns:a16="http://schemas.microsoft.com/office/drawing/2014/main" id="{F44C181C-10B2-40B4-8D9B-5E7097DFF1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13</xdr:col>
      <xdr:colOff>95250</xdr:colOff>
      <xdr:row>2</xdr:row>
      <xdr:rowOff>66674</xdr:rowOff>
    </xdr:from>
    <xdr:to>
      <xdr:col>20</xdr:col>
      <xdr:colOff>571500</xdr:colOff>
      <xdr:row>28</xdr:row>
      <xdr:rowOff>57149</xdr:rowOff>
    </xdr:to>
    <xdr:graphicFrame macro="">
      <xdr:nvGraphicFramePr>
        <xdr:cNvPr id="2" name="Chart 1">
          <a:extLst>
            <a:ext uri="{FF2B5EF4-FFF2-40B4-BE49-F238E27FC236}">
              <a16:creationId xmlns:a16="http://schemas.microsoft.com/office/drawing/2014/main" id="{2C1E32B3-028B-4260-99BB-BAC9D5DD9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Henry Stenning" id="{C5686512-67EF-4BD9-A29B-1B2E939C45F6}" userId="1f265224cacc486e"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7" dT="2022-11-13T20:45:57.46" personId="{C5686512-67EF-4BD9-A29B-1B2E939C45F6}" id="{9A9B53D7-1F12-41EA-B10D-0EB04DEE4416}">
    <text>Taken from NZ_Erosivity_Data (Klik et al) from DMTW tool.</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4E51-DA52-4E8F-871F-E96719DCF48D}">
  <sheetPr codeName="Sheet1">
    <pageSetUpPr fitToPage="1"/>
  </sheetPr>
  <dimension ref="A1:XFD70"/>
  <sheetViews>
    <sheetView tabSelected="1" zoomScaleNormal="100" workbookViewId="0">
      <selection activeCell="I22" sqref="I22:R22"/>
    </sheetView>
  </sheetViews>
  <sheetFormatPr defaultRowHeight="15" x14ac:dyDescent="0.25"/>
  <cols>
    <col min="1" max="1" width="6.42578125" customWidth="1"/>
    <col min="2" max="2" width="26.7109375" bestFit="1" customWidth="1"/>
    <col min="3" max="3" width="16.42578125" customWidth="1"/>
    <col min="4" max="4" width="15.140625" bestFit="1" customWidth="1"/>
    <col min="5" max="5" width="20.42578125" bestFit="1" customWidth="1"/>
    <col min="6" max="6" width="10.7109375" bestFit="1" customWidth="1"/>
    <col min="11" max="11" width="11" customWidth="1"/>
  </cols>
  <sheetData>
    <row r="1" spans="1:18" s="1" customFormat="1" ht="20.25" customHeight="1" x14ac:dyDescent="0.25">
      <c r="A1"/>
      <c r="B1" s="69" t="s">
        <v>114</v>
      </c>
      <c r="C1" s="70"/>
      <c r="D1" s="133"/>
      <c r="E1" s="70"/>
      <c r="F1" s="70"/>
      <c r="G1" s="70"/>
      <c r="I1" s="70"/>
      <c r="J1" s="70"/>
      <c r="K1" s="70"/>
      <c r="L1" s="70"/>
      <c r="M1" s="70"/>
      <c r="N1" s="70"/>
      <c r="O1" s="70"/>
      <c r="P1" s="70"/>
      <c r="Q1" s="70"/>
      <c r="R1" s="71"/>
    </row>
    <row r="2" spans="1:18" s="1" customFormat="1" ht="15" customHeight="1" x14ac:dyDescent="0.25">
      <c r="A2"/>
      <c r="B2" s="72"/>
      <c r="C2" s="73"/>
      <c r="D2" s="134"/>
      <c r="E2" s="73"/>
      <c r="F2" s="73"/>
      <c r="G2" s="73"/>
      <c r="I2" s="73"/>
      <c r="J2" s="73"/>
      <c r="K2" s="73"/>
      <c r="L2" s="73"/>
      <c r="M2" s="73"/>
      <c r="N2" s="73"/>
      <c r="O2" s="73"/>
      <c r="P2" s="73"/>
      <c r="Q2" s="73"/>
      <c r="R2" s="74"/>
    </row>
    <row r="3" spans="1:18" s="1" customFormat="1" ht="16.5" customHeight="1" x14ac:dyDescent="0.25">
      <c r="A3"/>
      <c r="B3" s="72"/>
      <c r="C3" s="73"/>
      <c r="D3" s="134"/>
      <c r="E3" s="73"/>
      <c r="F3" s="73"/>
      <c r="G3" s="73"/>
      <c r="I3" s="73"/>
      <c r="J3" s="73"/>
      <c r="K3" s="73"/>
      <c r="L3" s="73"/>
      <c r="M3" s="73"/>
      <c r="N3" s="73"/>
      <c r="O3" s="73"/>
      <c r="P3" s="73"/>
      <c r="Q3" s="73"/>
      <c r="R3" s="74"/>
    </row>
    <row r="4" spans="1:18" s="1" customFormat="1" ht="15" customHeight="1" x14ac:dyDescent="0.25">
      <c r="A4"/>
      <c r="B4" s="75" t="s">
        <v>109</v>
      </c>
      <c r="C4" s="76"/>
      <c r="D4" s="135"/>
      <c r="E4" s="76"/>
      <c r="F4" s="76"/>
      <c r="G4" s="76"/>
      <c r="I4" s="76"/>
      <c r="J4" s="76"/>
      <c r="K4" s="76"/>
      <c r="L4" s="76"/>
      <c r="M4" s="76"/>
      <c r="N4" s="76"/>
      <c r="O4" s="76"/>
      <c r="P4" s="76"/>
      <c r="Q4" s="76"/>
      <c r="R4" s="77"/>
    </row>
    <row r="5" spans="1:18" s="1" customFormat="1" ht="21" customHeight="1" thickBot="1" x14ac:dyDescent="0.3">
      <c r="A5"/>
      <c r="B5" s="78"/>
      <c r="C5" s="79"/>
      <c r="D5" s="136"/>
      <c r="E5" s="79"/>
      <c r="F5" s="79"/>
      <c r="G5" s="79"/>
      <c r="I5" s="79"/>
      <c r="J5" s="79"/>
      <c r="K5" s="79"/>
      <c r="L5" s="79"/>
      <c r="M5" s="79"/>
      <c r="N5" s="79"/>
      <c r="O5" s="79"/>
      <c r="P5" s="79"/>
      <c r="Q5" s="79"/>
      <c r="R5" s="80"/>
    </row>
    <row r="6" spans="1:18" s="1" customFormat="1" ht="15" customHeight="1" x14ac:dyDescent="0.25">
      <c r="A6"/>
    </row>
    <row r="7" spans="1:18" s="1" customFormat="1" ht="15" customHeight="1" x14ac:dyDescent="0.25">
      <c r="A7"/>
      <c r="B7" s="62" t="s">
        <v>11</v>
      </c>
      <c r="C7" s="63" t="s">
        <v>13</v>
      </c>
      <c r="D7" s="137"/>
    </row>
    <row r="8" spans="1:18" s="1" customFormat="1" x14ac:dyDescent="0.25">
      <c r="A8"/>
    </row>
    <row r="9" spans="1:18" s="146" customFormat="1" x14ac:dyDescent="0.25">
      <c r="B9" s="144" t="s">
        <v>8</v>
      </c>
      <c r="C9" s="145"/>
      <c r="D9" s="145"/>
      <c r="E9" s="145"/>
      <c r="F9" s="145"/>
      <c r="G9" s="145"/>
    </row>
    <row r="10" spans="1:18" s="1" customFormat="1" ht="30.75" customHeight="1" x14ac:dyDescent="0.25">
      <c r="A10"/>
      <c r="B10" s="122" t="s">
        <v>4</v>
      </c>
      <c r="C10" s="122"/>
      <c r="D10" s="112"/>
      <c r="E10" s="110"/>
      <c r="F10" s="110"/>
      <c r="G10" s="110"/>
    </row>
    <row r="11" spans="1:18" s="1" customFormat="1" x14ac:dyDescent="0.25">
      <c r="A11" t="str">
        <f>CurrentCropName&amp;" "&amp;CurrentCropType&amp;" "&amp;CurrentCropVariety</f>
        <v>Lettuce Vegetable Ice berg</v>
      </c>
      <c r="B11" s="142" t="s">
        <v>2</v>
      </c>
      <c r="C11" s="60" t="s">
        <v>24</v>
      </c>
      <c r="D11" s="138"/>
    </row>
    <row r="12" spans="1:18" s="1" customFormat="1" x14ac:dyDescent="0.25">
      <c r="A12">
        <v>12</v>
      </c>
      <c r="B12" s="142" t="s">
        <v>162</v>
      </c>
      <c r="C12" s="60" t="s">
        <v>319</v>
      </c>
      <c r="D12" s="138"/>
      <c r="E12" s="142" t="s">
        <v>440</v>
      </c>
      <c r="F12" s="68"/>
      <c r="G12" s="148">
        <f>IF(F12="",VLOOKUP(CurrentCropNameFull,CropCoefficients,A12,FALSE),F12)</f>
        <v>0</v>
      </c>
    </row>
    <row r="13" spans="1:18" s="1" customFormat="1" x14ac:dyDescent="0.25">
      <c r="A13">
        <v>11</v>
      </c>
      <c r="B13" s="142" t="s">
        <v>387</v>
      </c>
      <c r="C13" s="60" t="s">
        <v>20</v>
      </c>
      <c r="D13" s="138"/>
      <c r="E13" s="142" t="s">
        <v>442</v>
      </c>
      <c r="F13" s="68"/>
      <c r="G13" s="148">
        <f>IF(F13="",VLOOKUP(CurrentCropNameFull,CropCoefficients,A13,FALSE),F13)</f>
        <v>0</v>
      </c>
    </row>
    <row r="14" spans="1:18" s="1" customFormat="1" x14ac:dyDescent="0.25">
      <c r="A14">
        <v>15</v>
      </c>
      <c r="B14" s="142" t="s">
        <v>388</v>
      </c>
      <c r="C14" s="60" t="s">
        <v>371</v>
      </c>
      <c r="D14" s="138"/>
      <c r="E14" s="142" t="s">
        <v>441</v>
      </c>
      <c r="F14" s="68"/>
      <c r="G14" s="148">
        <f>IF(F14="",VLOOKUP(CurrentCropNameFull,CropCoefficients,A14,FALSE),F14)</f>
        <v>95</v>
      </c>
    </row>
    <row r="15" spans="1:18" s="1" customFormat="1" x14ac:dyDescent="0.25">
      <c r="A15"/>
      <c r="B15" s="142"/>
      <c r="C15" s="61"/>
      <c r="D15" s="61"/>
      <c r="E15" s="61"/>
    </row>
    <row r="16" spans="1:18" s="1" customFormat="1" x14ac:dyDescent="0.25">
      <c r="A16"/>
      <c r="B16" s="142" t="s">
        <v>443</v>
      </c>
      <c r="C16" s="68">
        <v>54000</v>
      </c>
      <c r="D16" s="139"/>
    </row>
    <row r="17" spans="1:18" s="1" customFormat="1" x14ac:dyDescent="0.25">
      <c r="A17">
        <v>3</v>
      </c>
      <c r="B17" s="142" t="s">
        <v>16</v>
      </c>
      <c r="C17" s="91">
        <v>44454</v>
      </c>
      <c r="D17" s="140"/>
      <c r="E17" s="142" t="s">
        <v>439</v>
      </c>
      <c r="F17" s="68"/>
      <c r="G17" s="148" t="str">
        <f>IF(F17="",VLOOKUP(CurrentCropNameFull,CropCoefficients,A17,FALSE),#REF!)</f>
        <v>Seedling</v>
      </c>
    </row>
    <row r="18" spans="1:18" s="1" customFormat="1" x14ac:dyDescent="0.25">
      <c r="A18">
        <v>5</v>
      </c>
      <c r="B18" s="142" t="s">
        <v>17</v>
      </c>
      <c r="C18" s="91">
        <v>44515</v>
      </c>
      <c r="D18" s="140"/>
      <c r="E18" s="142" t="s">
        <v>439</v>
      </c>
      <c r="F18" s="68"/>
      <c r="G18" s="148" t="str">
        <f>IF(F18="",VLOOKUP(CurrentCropNameFull,CropCoefficients,A18,FALSE),F18)</f>
        <v>Vegetative</v>
      </c>
    </row>
    <row r="19" spans="1:18" s="1" customFormat="1" x14ac:dyDescent="0.25">
      <c r="A19">
        <f>IF(CurrentUnits="kg/head",CurrentYield*CurrentPopulation,CurrentYield)</f>
        <v>42660</v>
      </c>
      <c r="B19" s="142" t="s">
        <v>394</v>
      </c>
      <c r="C19" s="150">
        <v>0.79</v>
      </c>
      <c r="D19" s="141"/>
      <c r="E19" s="142" t="s">
        <v>84</v>
      </c>
      <c r="F19" s="149" t="s">
        <v>116</v>
      </c>
    </row>
    <row r="20" spans="1:18" s="1" customFormat="1" x14ac:dyDescent="0.25">
      <c r="A20"/>
    </row>
    <row r="21" spans="1:18" s="146" customFormat="1" x14ac:dyDescent="0.25">
      <c r="B21" s="144" t="s">
        <v>9</v>
      </c>
      <c r="C21" s="145"/>
      <c r="D21" s="145"/>
      <c r="E21" s="145"/>
      <c r="F21" s="145"/>
      <c r="G21" s="145"/>
      <c r="J21" s="147"/>
      <c r="K21" s="147"/>
      <c r="L21" s="147"/>
    </row>
    <row r="22" spans="1:18" s="1" customFormat="1" ht="51.75" customHeight="1" x14ac:dyDescent="0.25">
      <c r="A22"/>
      <c r="B22" s="122" t="s">
        <v>18</v>
      </c>
      <c r="C22" s="122"/>
      <c r="D22" s="112"/>
      <c r="G22" s="110"/>
      <c r="I22" s="122" t="s">
        <v>74</v>
      </c>
      <c r="J22" s="122"/>
      <c r="K22" s="122"/>
      <c r="L22" s="122"/>
      <c r="M22" s="122"/>
      <c r="N22" s="122"/>
      <c r="O22" s="122"/>
      <c r="P22" s="122"/>
      <c r="Q22" s="122"/>
      <c r="R22" s="122"/>
    </row>
    <row r="23" spans="1:18" s="1" customFormat="1" x14ac:dyDescent="0.25">
      <c r="A23"/>
      <c r="C23" s="66"/>
      <c r="D23" s="66"/>
      <c r="J23" s="61" t="s">
        <v>118</v>
      </c>
      <c r="K23" s="67"/>
      <c r="L23" s="85">
        <f>'Model Interface'!Q2</f>
        <v>63</v>
      </c>
      <c r="M23" s="85"/>
      <c r="N23" s="2" t="s">
        <v>7</v>
      </c>
      <c r="O23" s="61" t="s">
        <v>44</v>
      </c>
      <c r="P23" s="67"/>
      <c r="Q23" s="81">
        <f>Backend!$W$12</f>
        <v>44485</v>
      </c>
      <c r="R23" s="82"/>
    </row>
    <row r="24" spans="1:18" s="1" customFormat="1" x14ac:dyDescent="0.25">
      <c r="A24"/>
      <c r="B24" s="62" t="s">
        <v>444</v>
      </c>
      <c r="C24" s="64"/>
      <c r="D24" s="113">
        <f>IF(C24="",1,C24)</f>
        <v>1</v>
      </c>
      <c r="J24" s="7"/>
      <c r="L24" s="11"/>
      <c r="M24" s="11"/>
      <c r="O24" s="61" t="s">
        <v>45</v>
      </c>
      <c r="P24" s="67"/>
      <c r="Q24" s="81" t="str">
        <f>Backend!$W$13</f>
        <v/>
      </c>
      <c r="R24" s="82"/>
    </row>
    <row r="25" spans="1:18" s="1" customFormat="1" ht="15.75" thickBot="1" x14ac:dyDescent="0.3">
      <c r="A25"/>
      <c r="B25" s="62"/>
      <c r="C25" s="62"/>
      <c r="D25" s="62"/>
      <c r="E25" s="62"/>
      <c r="J25" s="61" t="s">
        <v>115</v>
      </c>
      <c r="K25" s="61"/>
      <c r="L25" s="64"/>
      <c r="M25" s="65"/>
      <c r="N25" s="2" t="s">
        <v>7</v>
      </c>
      <c r="O25" s="61" t="s">
        <v>46</v>
      </c>
      <c r="P25" s="67"/>
      <c r="Q25" s="81" t="str">
        <f>Backend!$W$14</f>
        <v/>
      </c>
      <c r="R25" s="82"/>
    </row>
    <row r="26" spans="1:18" s="1" customFormat="1" ht="15" customHeight="1" thickBot="1" x14ac:dyDescent="0.3">
      <c r="A26"/>
      <c r="B26" s="123" t="s">
        <v>445</v>
      </c>
      <c r="C26" s="124"/>
      <c r="D26" s="131"/>
      <c r="O26" s="61" t="s">
        <v>47</v>
      </c>
      <c r="P26" s="67"/>
      <c r="Q26" s="81" t="str">
        <f>Backend!$W$15</f>
        <v/>
      </c>
      <c r="R26" s="82"/>
    </row>
    <row r="27" spans="1:18" s="1" customFormat="1" ht="15.75" thickBot="1" x14ac:dyDescent="0.3">
      <c r="A27"/>
      <c r="B27" s="114" t="s">
        <v>72</v>
      </c>
      <c r="C27" s="115" t="s">
        <v>408</v>
      </c>
      <c r="D27" s="132"/>
      <c r="J27" s="61" t="s">
        <v>43</v>
      </c>
      <c r="K27" s="67"/>
      <c r="L27" s="83" t="e">
        <f>IF(L25&gt;0,L25/L29,L23/L29)</f>
        <v>#DIV/0!</v>
      </c>
      <c r="M27" s="84"/>
      <c r="N27" s="2" t="s">
        <v>7</v>
      </c>
    </row>
    <row r="28" spans="1:18" s="1" customFormat="1" x14ac:dyDescent="0.25">
      <c r="A28"/>
      <c r="B28" s="153">
        <v>44454</v>
      </c>
      <c r="C28" s="116">
        <v>60</v>
      </c>
      <c r="D28" s="132"/>
      <c r="L28" s="11"/>
      <c r="M28" s="11"/>
    </row>
    <row r="29" spans="1:18" s="1" customFormat="1" x14ac:dyDescent="0.25">
      <c r="A29"/>
      <c r="B29" s="117"/>
      <c r="C29" s="118"/>
      <c r="D29" s="132"/>
      <c r="J29" s="27"/>
      <c r="K29" s="28"/>
      <c r="L29" s="83"/>
      <c r="M29" s="84"/>
      <c r="N29" s="2"/>
    </row>
    <row r="30" spans="1:18" s="1" customFormat="1" x14ac:dyDescent="0.25">
      <c r="A30"/>
      <c r="B30" s="119"/>
      <c r="C30" s="118"/>
      <c r="D30" s="132"/>
    </row>
    <row r="31" spans="1:18" s="1" customFormat="1" x14ac:dyDescent="0.25">
      <c r="A31"/>
      <c r="B31" s="119"/>
      <c r="C31" s="118"/>
      <c r="D31" s="132"/>
    </row>
    <row r="32" spans="1:18" s="1" customFormat="1" x14ac:dyDescent="0.25">
      <c r="A32"/>
      <c r="B32" s="119"/>
      <c r="C32" s="118"/>
      <c r="D32" s="132"/>
    </row>
    <row r="33" spans="1:14" s="1" customFormat="1" ht="15.75" thickBot="1" x14ac:dyDescent="0.3">
      <c r="A33"/>
      <c r="B33" s="120"/>
      <c r="C33" s="121"/>
      <c r="D33" s="132"/>
    </row>
    <row r="34" spans="1:14" s="1" customFormat="1" ht="15.75" thickBot="1" x14ac:dyDescent="0.3">
      <c r="A34"/>
    </row>
    <row r="35" spans="1:14" s="1" customFormat="1" ht="15.75" thickBot="1" x14ac:dyDescent="0.3">
      <c r="A35"/>
      <c r="B35" s="123" t="s">
        <v>446</v>
      </c>
      <c r="C35" s="124"/>
      <c r="J35" s="27"/>
      <c r="K35" s="27"/>
      <c r="L35" s="143"/>
      <c r="M35" s="143"/>
      <c r="N35" s="2"/>
    </row>
    <row r="36" spans="1:14" s="1" customFormat="1" ht="15.75" thickBot="1" x14ac:dyDescent="0.3">
      <c r="A36"/>
      <c r="B36" s="114" t="s">
        <v>72</v>
      </c>
      <c r="C36" s="115" t="s">
        <v>141</v>
      </c>
      <c r="J36" s="27"/>
      <c r="K36" s="27"/>
      <c r="L36" s="143"/>
      <c r="M36" s="143"/>
      <c r="N36" s="2"/>
    </row>
    <row r="37" spans="1:14" s="1" customFormat="1" x14ac:dyDescent="0.25">
      <c r="A37"/>
      <c r="B37" s="153">
        <f>C17-10</f>
        <v>44444</v>
      </c>
      <c r="C37" s="116">
        <v>20</v>
      </c>
      <c r="J37" s="27"/>
      <c r="K37" s="27"/>
      <c r="L37" s="143"/>
      <c r="M37" s="143"/>
      <c r="N37" s="2"/>
    </row>
    <row r="38" spans="1:14" s="1" customFormat="1" x14ac:dyDescent="0.25">
      <c r="A38"/>
      <c r="B38" s="117"/>
      <c r="C38" s="118"/>
      <c r="J38" s="27"/>
      <c r="K38" s="27"/>
      <c r="L38" s="143"/>
      <c r="M38" s="143"/>
      <c r="N38" s="2"/>
    </row>
    <row r="39" spans="1:14" s="1" customFormat="1" x14ac:dyDescent="0.25">
      <c r="A39"/>
      <c r="B39" s="119"/>
      <c r="C39" s="118"/>
      <c r="J39" s="27"/>
      <c r="K39" s="27"/>
      <c r="L39" s="143"/>
      <c r="M39" s="143"/>
      <c r="N39" s="2"/>
    </row>
    <row r="40" spans="1:14" s="1" customFormat="1" x14ac:dyDescent="0.25">
      <c r="A40"/>
      <c r="B40" s="119"/>
      <c r="C40" s="118"/>
      <c r="J40" s="27"/>
      <c r="K40" s="27"/>
      <c r="L40" s="143"/>
      <c r="M40" s="143"/>
      <c r="N40" s="2"/>
    </row>
    <row r="41" spans="1:14" s="1" customFormat="1" x14ac:dyDescent="0.25">
      <c r="A41"/>
      <c r="B41" s="119"/>
      <c r="C41" s="118"/>
    </row>
    <row r="42" spans="1:14" s="1" customFormat="1" ht="15.75" thickBot="1" x14ac:dyDescent="0.3">
      <c r="A42"/>
      <c r="B42" s="120"/>
      <c r="C42" s="121"/>
    </row>
    <row r="43" spans="1:14" s="1" customFormat="1" x14ac:dyDescent="0.25">
      <c r="A43"/>
    </row>
    <row r="44" spans="1:14" s="146" customFormat="1" x14ac:dyDescent="0.25">
      <c r="B44" s="144" t="s">
        <v>14</v>
      </c>
      <c r="C44" s="145"/>
      <c r="D44" s="145"/>
      <c r="E44" s="145"/>
      <c r="F44" s="145"/>
      <c r="G44" s="145"/>
    </row>
    <row r="45" spans="1:14" s="1" customFormat="1" x14ac:dyDescent="0.25">
      <c r="A45" t="str">
        <f>PriorCropName&amp;" "&amp;PriorCropType&amp;" "&amp;PriorCropVariety</f>
        <v>Annual ryegrass Fodder General</v>
      </c>
      <c r="F45" s="3"/>
    </row>
    <row r="46" spans="1:14" s="1" customFormat="1" x14ac:dyDescent="0.25">
      <c r="A46">
        <v>12</v>
      </c>
      <c r="B46" s="142" t="s">
        <v>162</v>
      </c>
      <c r="C46" s="60"/>
      <c r="D46" s="148" t="str">
        <f>IF(C46="","Fodder",C46)</f>
        <v>Fodder</v>
      </c>
      <c r="E46" s="142" t="s">
        <v>440</v>
      </c>
      <c r="F46" s="68"/>
      <c r="G46" s="148">
        <f>IF(F46="",VLOOKUP(PriorCropNameFull,CropCoefficients,A46,FALSE),F46)</f>
        <v>0</v>
      </c>
    </row>
    <row r="47" spans="1:14" s="1" customFormat="1" x14ac:dyDescent="0.25">
      <c r="A47">
        <v>11</v>
      </c>
      <c r="B47" s="142" t="s">
        <v>387</v>
      </c>
      <c r="C47" s="60"/>
      <c r="D47" s="148" t="str">
        <f>IF(C47="","Annual ryegrass",C47)</f>
        <v>Annual ryegrass</v>
      </c>
      <c r="E47" s="142" t="s">
        <v>442</v>
      </c>
      <c r="F47" s="68"/>
      <c r="G47" s="148">
        <f>IF(F47="",VLOOKUP(PriorCropNameFull,CropCoefficients,A47,FALSE),F47)</f>
        <v>0</v>
      </c>
    </row>
    <row r="48" spans="1:14" s="1" customFormat="1" x14ac:dyDescent="0.25">
      <c r="A48">
        <v>15</v>
      </c>
      <c r="B48" s="142" t="s">
        <v>388</v>
      </c>
      <c r="C48" s="60"/>
      <c r="D48" s="148" t="str">
        <f>IF(C48="","General",C48)</f>
        <v>General</v>
      </c>
      <c r="E48" s="142" t="s">
        <v>441</v>
      </c>
      <c r="F48" s="68"/>
      <c r="G48" s="148">
        <f>IF(F48="",VLOOKUP(PriorCropNameFull,CropCoefficients,A48,FALSE),F48)</f>
        <v>80</v>
      </c>
    </row>
    <row r="49" spans="1:7" s="1" customFormat="1" x14ac:dyDescent="0.25">
      <c r="A49"/>
      <c r="B49" s="142"/>
      <c r="C49" s="61"/>
      <c r="D49" s="61"/>
      <c r="E49" s="61"/>
    </row>
    <row r="50" spans="1:7" s="1" customFormat="1" x14ac:dyDescent="0.25">
      <c r="A50"/>
      <c r="B50" s="142" t="s">
        <v>443</v>
      </c>
      <c r="C50" s="68"/>
      <c r="D50" s="154">
        <f>IF(C50="",VLOOKUP(PriorCropNameFull,CropCoefficients,A54,FALSE),C50)</f>
        <v>5</v>
      </c>
    </row>
    <row r="51" spans="1:7" s="1" customFormat="1" x14ac:dyDescent="0.25">
      <c r="A51">
        <v>3</v>
      </c>
      <c r="B51" s="142" t="s">
        <v>16</v>
      </c>
      <c r="C51" s="91"/>
      <c r="D51" s="155">
        <f>IF(C51="",CurrentEstablishDate-60,C51)</f>
        <v>44394</v>
      </c>
      <c r="E51" s="142" t="s">
        <v>439</v>
      </c>
      <c r="F51" s="68"/>
      <c r="G51" s="148" t="str">
        <f>IF(F51="",VLOOKUP(PriorCropNameFull,CropCoefficients,A51,FALSE),F51)</f>
        <v>Seed</v>
      </c>
    </row>
    <row r="52" spans="1:7" s="1" customFormat="1" x14ac:dyDescent="0.25">
      <c r="A52">
        <v>5</v>
      </c>
      <c r="B52" s="142" t="s">
        <v>17</v>
      </c>
      <c r="C52" s="91"/>
      <c r="D52" s="155">
        <f>IF(C52="",CurrentEstablishDate-15,C52)</f>
        <v>44439</v>
      </c>
      <c r="E52" s="142" t="s">
        <v>439</v>
      </c>
      <c r="F52" s="68"/>
      <c r="G52" s="148" t="str">
        <f>IF(BF52="",VLOOKUP(PriorCropNameFull,CropCoefficients,A52,FALSE),F52)</f>
        <v>EarlyReproductive</v>
      </c>
    </row>
    <row r="53" spans="1:7" s="1" customFormat="1" x14ac:dyDescent="0.25">
      <c r="A53" s="130">
        <f>IF(PriorUnits="kg/head",PriorYield*PriorPopulation,PriorYield)</f>
        <v>5</v>
      </c>
      <c r="B53" s="142" t="s">
        <v>394</v>
      </c>
      <c r="C53" s="150"/>
      <c r="D53" s="156">
        <f>IF(C53="",VLOOKUP(PriorCropNameFull,CropCoefficients,A54,FALSE),C53)</f>
        <v>5</v>
      </c>
      <c r="E53" s="142" t="s">
        <v>84</v>
      </c>
      <c r="F53" s="149"/>
      <c r="G53" s="148" t="str">
        <f>IF(F53="",VLOOKUP(PriorCropNameFull,CropCoefficients,A55,FALSE),F53)</f>
        <v>t/ha</v>
      </c>
    </row>
    <row r="54" spans="1:7" s="1" customFormat="1" x14ac:dyDescent="0.25">
      <c r="A54">
        <v>7</v>
      </c>
    </row>
    <row r="55" spans="1:7" s="1" customFormat="1" x14ac:dyDescent="0.25">
      <c r="A55">
        <v>8</v>
      </c>
      <c r="B55" s="142" t="s">
        <v>149</v>
      </c>
      <c r="C55" s="150"/>
      <c r="D55" s="148">
        <f>IF(C55="",15,C55)</f>
        <v>15</v>
      </c>
    </row>
    <row r="56" spans="1:7" s="1" customFormat="1" x14ac:dyDescent="0.25">
      <c r="A56"/>
    </row>
    <row r="57" spans="1:7" s="146" customFormat="1" x14ac:dyDescent="0.25">
      <c r="B57" s="144" t="s">
        <v>450</v>
      </c>
      <c r="C57" s="145"/>
      <c r="D57" s="145"/>
      <c r="E57" s="145"/>
      <c r="F57" s="145"/>
      <c r="G57" s="145"/>
    </row>
    <row r="58" spans="1:7" s="1" customFormat="1" x14ac:dyDescent="0.25">
      <c r="A58" t="str" cm="1">
        <f t="array" ref="A58">PriorCropName&amp;" "&amp;PriorCropType&amp;" "&amp;PriorCropVariety</f>
        <v>Annual ryegrass Fodder General</v>
      </c>
      <c r="F58" s="3"/>
    </row>
    <row r="59" spans="1:7" s="1" customFormat="1" x14ac:dyDescent="0.25">
      <c r="A59">
        <v>12</v>
      </c>
      <c r="B59" s="142" t="s">
        <v>162</v>
      </c>
      <c r="C59" s="60"/>
      <c r="D59" s="148" t="str">
        <f>IF(C59="","Fodder",C59)</f>
        <v>Fodder</v>
      </c>
      <c r="E59" s="142" t="s">
        <v>440</v>
      </c>
      <c r="F59" s="68"/>
      <c r="G59" s="148">
        <f>IF(F59="",VLOOKUP(FollowingCropFullName,CropCoefficients,A59,FALSE),F59)</f>
        <v>0</v>
      </c>
    </row>
    <row r="60" spans="1:7" s="1" customFormat="1" x14ac:dyDescent="0.25">
      <c r="A60">
        <v>11</v>
      </c>
      <c r="B60" s="142" t="s">
        <v>387</v>
      </c>
      <c r="C60" s="60"/>
      <c r="D60" s="148" t="str">
        <f>IF(C60="","Oat",C60)</f>
        <v>Oat</v>
      </c>
      <c r="E60" s="142" t="s">
        <v>442</v>
      </c>
      <c r="F60" s="68"/>
      <c r="G60" s="148">
        <f>IF(F60="",VLOOKUP(FollowingCropFullName,CropCoefficients,A60,FALSE),F60)</f>
        <v>0</v>
      </c>
    </row>
    <row r="61" spans="1:7" s="1" customFormat="1" x14ac:dyDescent="0.25">
      <c r="A61">
        <v>15</v>
      </c>
      <c r="B61" s="142" t="s">
        <v>388</v>
      </c>
      <c r="C61" s="60"/>
      <c r="D61" s="148" t="str">
        <f>IF(C61="","General",C61)</f>
        <v>General</v>
      </c>
      <c r="E61" s="142" t="s">
        <v>441</v>
      </c>
      <c r="F61" s="68"/>
      <c r="G61" s="148">
        <f>IF(F61="",VLOOKUP(FollowingCropFullName,CropCoefficients,A61,FALSE),F61)</f>
        <v>80</v>
      </c>
    </row>
    <row r="62" spans="1:7" s="1" customFormat="1" x14ac:dyDescent="0.25">
      <c r="A62"/>
      <c r="B62" s="142"/>
      <c r="C62" s="61"/>
      <c r="D62" s="61"/>
      <c r="E62" s="61"/>
    </row>
    <row r="63" spans="1:7" s="1" customFormat="1" x14ac:dyDescent="0.25">
      <c r="A63"/>
      <c r="B63" s="142" t="s">
        <v>443</v>
      </c>
      <c r="C63" s="68"/>
      <c r="D63" s="154">
        <f>IF(C63="",VLOOKUP(FollowingCropFullName,CropCoefficients,A67,FALSE),C63)</f>
        <v>5</v>
      </c>
    </row>
    <row r="64" spans="1:7" s="1" customFormat="1" x14ac:dyDescent="0.25">
      <c r="A64">
        <v>3</v>
      </c>
      <c r="B64" s="142" t="s">
        <v>16</v>
      </c>
      <c r="C64" s="91"/>
      <c r="D64" s="155">
        <f>IF(C64="",CurrentHarvestDate+15,C64)</f>
        <v>44530</v>
      </c>
      <c r="E64" s="142" t="s">
        <v>439</v>
      </c>
      <c r="F64" s="68"/>
      <c r="G64" s="148" t="str">
        <f>IF(F64="",VLOOKUP(FollowingCropFullName,CropCoefficients,A64,FALSE),F64)</f>
        <v>Seed</v>
      </c>
    </row>
    <row r="65" spans="1:16384" s="1" customFormat="1" x14ac:dyDescent="0.25">
      <c r="A65">
        <v>5</v>
      </c>
      <c r="B65" s="142" t="s">
        <v>17</v>
      </c>
      <c r="C65" s="91"/>
      <c r="D65" s="155">
        <f>IF(C65="",FollowingEstablishDate+60,C65)</f>
        <v>44590</v>
      </c>
      <c r="E65" s="142" t="s">
        <v>439</v>
      </c>
      <c r="F65" s="68"/>
      <c r="G65" s="148" t="str">
        <f>IF(BF65="",VLOOKUP(FollowingCropFullName,CropCoefficients,A65,FALSE),F65)</f>
        <v>EarlyReproductive</v>
      </c>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c r="AMN65"/>
      <c r="AMO65"/>
      <c r="AMP65"/>
      <c r="AMQ65"/>
      <c r="AMR65"/>
      <c r="AMS65"/>
      <c r="AMT65"/>
      <c r="AMU65"/>
      <c r="AMV65"/>
      <c r="AMW65"/>
      <c r="AMX65"/>
      <c r="AMY65"/>
      <c r="AMZ65"/>
      <c r="ANA65"/>
      <c r="ANB65"/>
      <c r="ANC65"/>
      <c r="AND65"/>
      <c r="ANE65"/>
      <c r="ANF65"/>
      <c r="ANG65"/>
      <c r="ANH65"/>
      <c r="ANI65"/>
      <c r="ANJ65"/>
      <c r="ANK65"/>
      <c r="ANL65"/>
      <c r="ANM65"/>
      <c r="ANN65"/>
      <c r="ANO65"/>
      <c r="ANP65"/>
      <c r="ANQ65"/>
      <c r="ANR65"/>
      <c r="ANS65"/>
      <c r="ANT65"/>
      <c r="ANU65"/>
      <c r="ANV65"/>
      <c r="ANW65"/>
      <c r="ANX65"/>
      <c r="ANY65"/>
      <c r="ANZ65"/>
      <c r="AOA65"/>
      <c r="AOB65"/>
      <c r="AOC65"/>
      <c r="AOD65"/>
      <c r="AOE65"/>
      <c r="AOF65"/>
      <c r="AOG65"/>
      <c r="AOH65"/>
      <c r="AOI65"/>
      <c r="AOJ65"/>
      <c r="AOK65"/>
      <c r="AOL65"/>
      <c r="AOM65"/>
      <c r="AON65"/>
      <c r="AOO65"/>
      <c r="AOP65"/>
      <c r="AOQ65"/>
      <c r="AOR65"/>
      <c r="AOS65"/>
      <c r="AOT65"/>
      <c r="AOU65"/>
      <c r="AOV65"/>
      <c r="AOW65"/>
      <c r="AOX65"/>
      <c r="AOY65"/>
      <c r="AOZ65"/>
      <c r="APA65"/>
      <c r="APB65"/>
      <c r="APC65"/>
      <c r="APD65"/>
      <c r="APE65"/>
      <c r="APF65"/>
      <c r="APG65"/>
      <c r="APH65"/>
      <c r="API65"/>
      <c r="APJ65"/>
      <c r="APK65"/>
      <c r="APL65"/>
      <c r="APM65"/>
      <c r="APN65"/>
      <c r="APO65"/>
      <c r="APP65"/>
      <c r="APQ65"/>
      <c r="APR65"/>
      <c r="APS65"/>
      <c r="APT65"/>
      <c r="APU65"/>
      <c r="APV65"/>
      <c r="APW65"/>
      <c r="APX65"/>
      <c r="APY65"/>
      <c r="APZ65"/>
      <c r="AQA65"/>
      <c r="AQB65"/>
      <c r="AQC65"/>
      <c r="AQD65"/>
      <c r="AQE65"/>
      <c r="AQF65"/>
      <c r="AQG65"/>
      <c r="AQH65"/>
      <c r="AQI65"/>
      <c r="AQJ65"/>
      <c r="AQK65"/>
      <c r="AQL65"/>
      <c r="AQM65"/>
      <c r="AQN65"/>
      <c r="AQO65"/>
      <c r="AQP65"/>
      <c r="AQQ65"/>
      <c r="AQR65"/>
      <c r="AQS65"/>
      <c r="AQT65"/>
      <c r="AQU65"/>
      <c r="AQV65"/>
      <c r="AQW65"/>
      <c r="AQX65"/>
      <c r="AQY65"/>
      <c r="AQZ65"/>
      <c r="ARA65"/>
      <c r="ARB65"/>
      <c r="ARC65"/>
      <c r="ARD65"/>
      <c r="ARE65"/>
      <c r="ARF65"/>
      <c r="ARG65"/>
      <c r="ARH65"/>
      <c r="ARI65"/>
      <c r="ARJ65"/>
      <c r="ARK65"/>
      <c r="ARL65"/>
      <c r="ARM65"/>
      <c r="ARN65"/>
      <c r="ARO65"/>
      <c r="ARP65"/>
      <c r="ARQ65"/>
      <c r="ARR65"/>
      <c r="ARS65"/>
      <c r="ART65"/>
      <c r="ARU65"/>
      <c r="ARV65"/>
      <c r="ARW65"/>
      <c r="ARX65"/>
      <c r="ARY65"/>
      <c r="ARZ65"/>
      <c r="ASA65"/>
      <c r="ASB65"/>
      <c r="ASC65"/>
      <c r="ASD65"/>
      <c r="ASE65"/>
      <c r="ASF65"/>
      <c r="ASG65"/>
      <c r="ASH65"/>
      <c r="ASI65"/>
      <c r="ASJ65"/>
      <c r="ASK65"/>
      <c r="ASL65"/>
      <c r="ASM65"/>
      <c r="ASN65"/>
      <c r="ASO65"/>
      <c r="ASP65"/>
      <c r="ASQ65"/>
      <c r="ASR65"/>
      <c r="ASS65"/>
      <c r="AST65"/>
      <c r="ASU65"/>
      <c r="ASV65"/>
      <c r="ASW65"/>
      <c r="ASX65"/>
      <c r="ASY65"/>
      <c r="ASZ65"/>
      <c r="ATA65"/>
      <c r="ATB65"/>
      <c r="ATC65"/>
      <c r="ATD65"/>
      <c r="ATE65"/>
      <c r="ATF65"/>
      <c r="ATG65"/>
      <c r="ATH65"/>
      <c r="ATI65"/>
      <c r="ATJ65"/>
      <c r="ATK65"/>
      <c r="ATL65"/>
      <c r="ATM65"/>
      <c r="ATN65"/>
      <c r="ATO65"/>
      <c r="ATP65"/>
      <c r="ATQ65"/>
      <c r="ATR65"/>
      <c r="ATS65"/>
      <c r="ATT65"/>
      <c r="ATU65"/>
      <c r="ATV65"/>
      <c r="ATW65"/>
      <c r="ATX65"/>
      <c r="ATY65"/>
      <c r="ATZ65"/>
      <c r="AUA65"/>
      <c r="AUB65"/>
      <c r="AUC65"/>
      <c r="AUD65"/>
      <c r="AUE65"/>
      <c r="AUF65"/>
      <c r="AUG65"/>
      <c r="AUH65"/>
      <c r="AUI65"/>
      <c r="AUJ65"/>
      <c r="AUK65"/>
      <c r="AUL65"/>
      <c r="AUM65"/>
      <c r="AUN65"/>
      <c r="AUO65"/>
      <c r="AUP65"/>
      <c r="AUQ65"/>
      <c r="AUR65"/>
      <c r="AUS65"/>
      <c r="AUT65"/>
      <c r="AUU65"/>
      <c r="AUV65"/>
      <c r="AUW65"/>
      <c r="AUX65"/>
      <c r="AUY65"/>
      <c r="AUZ65"/>
      <c r="AVA65"/>
      <c r="AVB65"/>
      <c r="AVC65"/>
      <c r="AVD65"/>
      <c r="AVE65"/>
      <c r="AVF65"/>
      <c r="AVG65"/>
      <c r="AVH65"/>
      <c r="AVI65"/>
      <c r="AVJ65"/>
      <c r="AVK65"/>
      <c r="AVL65"/>
      <c r="AVM65"/>
      <c r="AVN65"/>
      <c r="AVO65"/>
      <c r="AVP65"/>
      <c r="AVQ65"/>
      <c r="AVR65"/>
      <c r="AVS65"/>
      <c r="AVT65"/>
      <c r="AVU65"/>
      <c r="AVV65"/>
      <c r="AVW65"/>
      <c r="AVX65"/>
      <c r="AVY65"/>
      <c r="AVZ65"/>
      <c r="AWA65"/>
      <c r="AWB65"/>
      <c r="AWC65"/>
      <c r="AWD65"/>
      <c r="AWE65"/>
      <c r="AWF65"/>
      <c r="AWG65"/>
      <c r="AWH65"/>
      <c r="AWI65"/>
      <c r="AWJ65"/>
      <c r="AWK65"/>
      <c r="AWL65"/>
      <c r="AWM65"/>
      <c r="AWN65"/>
      <c r="AWO65"/>
      <c r="AWP65"/>
      <c r="AWQ65"/>
      <c r="AWR65"/>
      <c r="AWS65"/>
      <c r="AWT65"/>
      <c r="AWU65"/>
      <c r="AWV65"/>
      <c r="AWW65"/>
      <c r="AWX65"/>
      <c r="AWY65"/>
      <c r="AWZ65"/>
      <c r="AXA65"/>
      <c r="AXB65"/>
      <c r="AXC65"/>
      <c r="AXD65"/>
      <c r="AXE65"/>
      <c r="AXF65"/>
      <c r="AXG65"/>
      <c r="AXH65"/>
      <c r="AXI65"/>
      <c r="AXJ65"/>
      <c r="AXK65"/>
      <c r="AXL65"/>
      <c r="AXM65"/>
      <c r="AXN65"/>
      <c r="AXO65"/>
      <c r="AXP65"/>
      <c r="AXQ65"/>
      <c r="AXR65"/>
      <c r="AXS65"/>
      <c r="AXT65"/>
      <c r="AXU65"/>
      <c r="AXV65"/>
      <c r="AXW65"/>
      <c r="AXX65"/>
      <c r="AXY65"/>
      <c r="AXZ65"/>
      <c r="AYA65"/>
      <c r="AYB65"/>
      <c r="AYC65"/>
      <c r="AYD65"/>
      <c r="AYE65"/>
      <c r="AYF65"/>
      <c r="AYG65"/>
      <c r="AYH65"/>
      <c r="AYI65"/>
      <c r="AYJ65"/>
      <c r="AYK65"/>
      <c r="AYL65"/>
      <c r="AYM65"/>
      <c r="AYN65"/>
      <c r="AYO65"/>
      <c r="AYP65"/>
      <c r="AYQ65"/>
      <c r="AYR65"/>
      <c r="AYS65"/>
      <c r="AYT65"/>
      <c r="AYU65"/>
      <c r="AYV65"/>
      <c r="AYW65"/>
      <c r="AYX65"/>
      <c r="AYY65"/>
      <c r="AYZ65"/>
      <c r="AZA65"/>
      <c r="AZB65"/>
      <c r="AZC65"/>
      <c r="AZD65"/>
      <c r="AZE65"/>
      <c r="AZF65"/>
      <c r="AZG65"/>
      <c r="AZH65"/>
      <c r="AZI65"/>
      <c r="AZJ65"/>
      <c r="AZK65"/>
      <c r="AZL65"/>
      <c r="AZM65"/>
      <c r="AZN65"/>
      <c r="AZO65"/>
      <c r="AZP65"/>
      <c r="AZQ65"/>
      <c r="AZR65"/>
      <c r="AZS65"/>
      <c r="AZT65"/>
      <c r="AZU65"/>
      <c r="AZV65"/>
      <c r="AZW65"/>
      <c r="AZX65"/>
      <c r="AZY65"/>
      <c r="AZZ65"/>
      <c r="BAA65"/>
      <c r="BAB65"/>
      <c r="BAC65"/>
      <c r="BAD65"/>
      <c r="BAE65"/>
      <c r="BAF65"/>
      <c r="BAG65"/>
      <c r="BAH65"/>
      <c r="BAI65"/>
      <c r="BAJ65"/>
      <c r="BAK65"/>
      <c r="BAL65"/>
      <c r="BAM65"/>
      <c r="BAN65"/>
      <c r="BAO65"/>
      <c r="BAP65"/>
      <c r="BAQ65"/>
      <c r="BAR65"/>
      <c r="BAS65"/>
      <c r="BAT65"/>
      <c r="BAU65"/>
      <c r="BAV65"/>
      <c r="BAW65"/>
      <c r="BAX65"/>
      <c r="BAY65"/>
      <c r="BAZ65"/>
      <c r="BBA65"/>
      <c r="BBB65"/>
      <c r="BBC65"/>
      <c r="BBD65"/>
      <c r="BBE65"/>
      <c r="BBF65"/>
      <c r="BBG65"/>
      <c r="BBH65"/>
      <c r="BBI65"/>
      <c r="BBJ65"/>
      <c r="BBK65"/>
      <c r="BBL65"/>
      <c r="BBM65"/>
      <c r="BBN65"/>
      <c r="BBO65"/>
      <c r="BBP65"/>
      <c r="BBQ65"/>
      <c r="BBR65"/>
      <c r="BBS65"/>
      <c r="BBT65"/>
      <c r="BBU65"/>
      <c r="BBV65"/>
      <c r="BBW65"/>
      <c r="BBX65"/>
      <c r="BBY65"/>
      <c r="BBZ65"/>
      <c r="BCA65"/>
      <c r="BCB65"/>
      <c r="BCC65"/>
      <c r="BCD65"/>
      <c r="BCE65"/>
      <c r="BCF65"/>
      <c r="BCG65"/>
      <c r="BCH65"/>
      <c r="BCI65"/>
      <c r="BCJ65"/>
      <c r="BCK65"/>
      <c r="BCL65"/>
      <c r="BCM65"/>
      <c r="BCN65"/>
      <c r="BCO65"/>
      <c r="BCP65"/>
      <c r="BCQ65"/>
      <c r="BCR65"/>
      <c r="BCS65"/>
      <c r="BCT65"/>
      <c r="BCU65"/>
      <c r="BCV65"/>
      <c r="BCW65"/>
      <c r="BCX65"/>
      <c r="BCY65"/>
      <c r="BCZ65"/>
      <c r="BDA65"/>
      <c r="BDB65"/>
      <c r="BDC65"/>
      <c r="BDD65"/>
      <c r="BDE65"/>
      <c r="BDF65"/>
      <c r="BDG65"/>
      <c r="BDH65"/>
      <c r="BDI65"/>
      <c r="BDJ65"/>
      <c r="BDK65"/>
      <c r="BDL65"/>
      <c r="BDM65"/>
      <c r="BDN65"/>
      <c r="BDO65"/>
      <c r="BDP65"/>
      <c r="BDQ65"/>
      <c r="BDR65"/>
      <c r="BDS65"/>
      <c r="BDT65"/>
      <c r="BDU65"/>
      <c r="BDV65"/>
      <c r="BDW65"/>
      <c r="BDX65"/>
      <c r="BDY65"/>
      <c r="BDZ65"/>
      <c r="BEA65"/>
      <c r="BEB65"/>
      <c r="BEC65"/>
      <c r="BED65"/>
      <c r="BEE65"/>
      <c r="BEF65"/>
      <c r="BEG65"/>
      <c r="BEH65"/>
      <c r="BEI65"/>
      <c r="BEJ65"/>
      <c r="BEK65"/>
      <c r="BEL65"/>
      <c r="BEM65"/>
      <c r="BEN65"/>
      <c r="BEO65"/>
      <c r="BEP65"/>
      <c r="BEQ65"/>
      <c r="BER65"/>
      <c r="BES65"/>
      <c r="BET65"/>
      <c r="BEU65"/>
      <c r="BEV65"/>
      <c r="BEW65"/>
      <c r="BEX65"/>
      <c r="BEY65"/>
      <c r="BEZ65"/>
      <c r="BFA65"/>
      <c r="BFB65"/>
      <c r="BFC65"/>
      <c r="BFD65"/>
      <c r="BFE65"/>
      <c r="BFF65"/>
      <c r="BFG65"/>
      <c r="BFH65"/>
      <c r="BFI65"/>
      <c r="BFJ65"/>
      <c r="BFK65"/>
      <c r="BFL65"/>
      <c r="BFM65"/>
      <c r="BFN65"/>
      <c r="BFO65"/>
      <c r="BFP65"/>
      <c r="BFQ65"/>
      <c r="BFR65"/>
      <c r="BFS65"/>
      <c r="BFT65"/>
      <c r="BFU65"/>
      <c r="BFV65"/>
      <c r="BFW65"/>
      <c r="BFX65"/>
      <c r="BFY65"/>
      <c r="BFZ65"/>
      <c r="BGA65"/>
      <c r="BGB65"/>
      <c r="BGC65"/>
      <c r="BGD65"/>
      <c r="BGE65"/>
      <c r="BGF65"/>
      <c r="BGG65"/>
      <c r="BGH65"/>
      <c r="BGI65"/>
      <c r="BGJ65"/>
      <c r="BGK65"/>
      <c r="BGL65"/>
      <c r="BGM65"/>
      <c r="BGN65"/>
      <c r="BGO65"/>
      <c r="BGP65"/>
      <c r="BGQ65"/>
      <c r="BGR65"/>
      <c r="BGS65"/>
      <c r="BGT65"/>
      <c r="BGU65"/>
      <c r="BGV65"/>
      <c r="BGW65"/>
      <c r="BGX65"/>
      <c r="BGY65"/>
      <c r="BGZ65"/>
      <c r="BHA65"/>
      <c r="BHB65"/>
      <c r="BHC65"/>
      <c r="BHD65"/>
      <c r="BHE65"/>
      <c r="BHF65"/>
      <c r="BHG65"/>
      <c r="BHH65"/>
      <c r="BHI65"/>
      <c r="BHJ65"/>
      <c r="BHK65"/>
      <c r="BHL65"/>
      <c r="BHM65"/>
      <c r="BHN65"/>
      <c r="BHO65"/>
      <c r="BHP65"/>
      <c r="BHQ65"/>
      <c r="BHR65"/>
      <c r="BHS65"/>
      <c r="BHT65"/>
      <c r="BHU65"/>
      <c r="BHV65"/>
      <c r="BHW65"/>
      <c r="BHX65"/>
      <c r="BHY65"/>
      <c r="BHZ65"/>
      <c r="BIA65"/>
      <c r="BIB65"/>
      <c r="BIC65"/>
      <c r="BID65"/>
      <c r="BIE65"/>
      <c r="BIF65"/>
      <c r="BIG65"/>
      <c r="BIH65"/>
      <c r="BII65"/>
      <c r="BIJ65"/>
      <c r="BIK65"/>
      <c r="BIL65"/>
      <c r="BIM65"/>
      <c r="BIN65"/>
      <c r="BIO65"/>
      <c r="BIP65"/>
      <c r="BIQ65"/>
      <c r="BIR65"/>
      <c r="BIS65"/>
      <c r="BIT65"/>
      <c r="BIU65"/>
      <c r="BIV65"/>
      <c r="BIW65"/>
      <c r="BIX65"/>
      <c r="BIY65"/>
      <c r="BIZ65"/>
      <c r="BJA65"/>
      <c r="BJB65"/>
      <c r="BJC65"/>
      <c r="BJD65"/>
      <c r="BJE65"/>
      <c r="BJF65"/>
      <c r="BJG65"/>
      <c r="BJH65"/>
      <c r="BJI65"/>
      <c r="BJJ65"/>
      <c r="BJK65"/>
      <c r="BJL65"/>
      <c r="BJM65"/>
      <c r="BJN65"/>
      <c r="BJO65"/>
      <c r="BJP65"/>
      <c r="BJQ65"/>
      <c r="BJR65"/>
      <c r="BJS65"/>
      <c r="BJT65"/>
      <c r="BJU65"/>
      <c r="BJV65"/>
      <c r="BJW65"/>
      <c r="BJX65"/>
      <c r="BJY65"/>
      <c r="BJZ65"/>
      <c r="BKA65"/>
      <c r="BKB65"/>
      <c r="BKC65"/>
      <c r="BKD65"/>
      <c r="BKE65"/>
      <c r="BKF65"/>
      <c r="BKG65"/>
      <c r="BKH65"/>
      <c r="BKI65"/>
      <c r="BKJ65"/>
      <c r="BKK65"/>
      <c r="BKL65"/>
      <c r="BKM65"/>
      <c r="BKN65"/>
      <c r="BKO65"/>
      <c r="BKP65"/>
      <c r="BKQ65"/>
      <c r="BKR65"/>
      <c r="BKS65"/>
      <c r="BKT65"/>
      <c r="BKU65"/>
      <c r="BKV65"/>
      <c r="BKW65"/>
      <c r="BKX65"/>
      <c r="BKY65"/>
      <c r="BKZ65"/>
      <c r="BLA65"/>
      <c r="BLB65"/>
      <c r="BLC65"/>
      <c r="BLD65"/>
      <c r="BLE65"/>
      <c r="BLF65"/>
      <c r="BLG65"/>
      <c r="BLH65"/>
      <c r="BLI65"/>
      <c r="BLJ65"/>
      <c r="BLK65"/>
      <c r="BLL65"/>
      <c r="BLM65"/>
      <c r="BLN65"/>
      <c r="BLO65"/>
      <c r="BLP65"/>
      <c r="BLQ65"/>
      <c r="BLR65"/>
      <c r="BLS65"/>
      <c r="BLT65"/>
      <c r="BLU65"/>
      <c r="BLV65"/>
      <c r="BLW65"/>
      <c r="BLX65"/>
      <c r="BLY65"/>
      <c r="BLZ65"/>
      <c r="BMA65"/>
      <c r="BMB65"/>
      <c r="BMC65"/>
      <c r="BMD65"/>
      <c r="BME65"/>
      <c r="BMF65"/>
      <c r="BMG65"/>
      <c r="BMH65"/>
      <c r="BMI65"/>
      <c r="BMJ65"/>
      <c r="BMK65"/>
      <c r="BML65"/>
      <c r="BMM65"/>
      <c r="BMN65"/>
      <c r="BMO65"/>
      <c r="BMP65"/>
      <c r="BMQ65"/>
      <c r="BMR65"/>
      <c r="BMS65"/>
      <c r="BMT65"/>
      <c r="BMU65"/>
      <c r="BMV65"/>
      <c r="BMW65"/>
      <c r="BMX65"/>
      <c r="BMY65"/>
      <c r="BMZ65"/>
      <c r="BNA65"/>
      <c r="BNB65"/>
      <c r="BNC65"/>
      <c r="BND65"/>
      <c r="BNE65"/>
      <c r="BNF65"/>
      <c r="BNG65"/>
      <c r="BNH65"/>
      <c r="BNI65"/>
      <c r="BNJ65"/>
      <c r="BNK65"/>
      <c r="BNL65"/>
      <c r="BNM65"/>
      <c r="BNN65"/>
      <c r="BNO65"/>
      <c r="BNP65"/>
      <c r="BNQ65"/>
      <c r="BNR65"/>
      <c r="BNS65"/>
      <c r="BNT65"/>
      <c r="BNU65"/>
      <c r="BNV65"/>
      <c r="BNW65"/>
      <c r="BNX65"/>
      <c r="BNY65"/>
      <c r="BNZ65"/>
      <c r="BOA65"/>
      <c r="BOB65"/>
      <c r="BOC65"/>
      <c r="BOD65"/>
      <c r="BOE65"/>
      <c r="BOF65"/>
      <c r="BOG65"/>
      <c r="BOH65"/>
      <c r="BOI65"/>
      <c r="BOJ65"/>
      <c r="BOK65"/>
      <c r="BOL65"/>
      <c r="BOM65"/>
      <c r="BON65"/>
      <c r="BOO65"/>
      <c r="BOP65"/>
      <c r="BOQ65"/>
      <c r="BOR65"/>
      <c r="BOS65"/>
      <c r="BOT65"/>
      <c r="BOU65"/>
      <c r="BOV65"/>
      <c r="BOW65"/>
      <c r="BOX65"/>
      <c r="BOY65"/>
      <c r="BOZ65"/>
      <c r="BPA65"/>
      <c r="BPB65"/>
      <c r="BPC65"/>
      <c r="BPD65"/>
      <c r="BPE65"/>
      <c r="BPF65"/>
      <c r="BPG65"/>
      <c r="BPH65"/>
      <c r="BPI65"/>
      <c r="BPJ65"/>
      <c r="BPK65"/>
      <c r="BPL65"/>
      <c r="BPM65"/>
      <c r="BPN65"/>
      <c r="BPO65"/>
      <c r="BPP65"/>
      <c r="BPQ65"/>
      <c r="BPR65"/>
      <c r="BPS65"/>
      <c r="BPT65"/>
      <c r="BPU65"/>
      <c r="BPV65"/>
      <c r="BPW65"/>
      <c r="BPX65"/>
      <c r="BPY65"/>
      <c r="BPZ65"/>
      <c r="BQA65"/>
      <c r="BQB65"/>
      <c r="BQC65"/>
      <c r="BQD65"/>
      <c r="BQE65"/>
      <c r="BQF65"/>
      <c r="BQG65"/>
      <c r="BQH65"/>
      <c r="BQI65"/>
      <c r="BQJ65"/>
      <c r="BQK65"/>
      <c r="BQL65"/>
      <c r="BQM65"/>
      <c r="BQN65"/>
      <c r="BQO65"/>
      <c r="BQP65"/>
      <c r="BQQ65"/>
      <c r="BQR65"/>
      <c r="BQS65"/>
      <c r="BQT65"/>
      <c r="BQU65"/>
      <c r="BQV65"/>
      <c r="BQW65"/>
      <c r="BQX65"/>
      <c r="BQY65"/>
      <c r="BQZ65"/>
      <c r="BRA65"/>
      <c r="BRB65"/>
      <c r="BRC65"/>
      <c r="BRD65"/>
      <c r="BRE65"/>
      <c r="BRF65"/>
      <c r="BRG65"/>
      <c r="BRH65"/>
      <c r="BRI65"/>
      <c r="BRJ65"/>
      <c r="BRK65"/>
      <c r="BRL65"/>
      <c r="BRM65"/>
      <c r="BRN65"/>
      <c r="BRO65"/>
      <c r="BRP65"/>
      <c r="BRQ65"/>
      <c r="BRR65"/>
      <c r="BRS65"/>
      <c r="BRT65"/>
      <c r="BRU65"/>
      <c r="BRV65"/>
      <c r="BRW65"/>
      <c r="BRX65"/>
      <c r="BRY65"/>
      <c r="BRZ65"/>
      <c r="BSA65"/>
      <c r="BSB65"/>
      <c r="BSC65"/>
      <c r="BSD65"/>
      <c r="BSE65"/>
      <c r="BSF65"/>
      <c r="BSG65"/>
      <c r="BSH65"/>
      <c r="BSI65"/>
      <c r="BSJ65"/>
      <c r="BSK65"/>
      <c r="BSL65"/>
      <c r="BSM65"/>
      <c r="BSN65"/>
      <c r="BSO65"/>
      <c r="BSP65"/>
      <c r="BSQ65"/>
      <c r="BSR65"/>
      <c r="BSS65"/>
      <c r="BST65"/>
      <c r="BSU65"/>
      <c r="BSV65"/>
      <c r="BSW65"/>
      <c r="BSX65"/>
      <c r="BSY65"/>
      <c r="BSZ65"/>
      <c r="BTA65"/>
      <c r="BTB65"/>
      <c r="BTC65"/>
      <c r="BTD65"/>
      <c r="BTE65"/>
      <c r="BTF65"/>
      <c r="BTG65"/>
      <c r="BTH65"/>
      <c r="BTI65"/>
      <c r="BTJ65"/>
      <c r="BTK65"/>
      <c r="BTL65"/>
      <c r="BTM65"/>
      <c r="BTN65"/>
      <c r="BTO65"/>
      <c r="BTP65"/>
      <c r="BTQ65"/>
      <c r="BTR65"/>
      <c r="BTS65"/>
      <c r="BTT65"/>
      <c r="BTU65"/>
      <c r="BTV65"/>
      <c r="BTW65"/>
      <c r="BTX65"/>
      <c r="BTY65"/>
      <c r="BTZ65"/>
      <c r="BUA65"/>
      <c r="BUB65"/>
      <c r="BUC65"/>
      <c r="BUD65"/>
      <c r="BUE65"/>
      <c r="BUF65"/>
      <c r="BUG65"/>
      <c r="BUH65"/>
      <c r="BUI65"/>
      <c r="BUJ65"/>
      <c r="BUK65"/>
      <c r="BUL65"/>
      <c r="BUM65"/>
      <c r="BUN65"/>
      <c r="BUO65"/>
      <c r="BUP65"/>
      <c r="BUQ65"/>
      <c r="BUR65"/>
      <c r="BUS65"/>
      <c r="BUT65"/>
      <c r="BUU65"/>
      <c r="BUV65"/>
      <c r="BUW65"/>
      <c r="BUX65"/>
      <c r="BUY65"/>
      <c r="BUZ65"/>
      <c r="BVA65"/>
      <c r="BVB65"/>
      <c r="BVC65"/>
      <c r="BVD65"/>
      <c r="BVE65"/>
      <c r="BVF65"/>
      <c r="BVG65"/>
      <c r="BVH65"/>
      <c r="BVI65"/>
      <c r="BVJ65"/>
      <c r="BVK65"/>
      <c r="BVL65"/>
      <c r="BVM65"/>
      <c r="BVN65"/>
      <c r="BVO65"/>
      <c r="BVP65"/>
      <c r="BVQ65"/>
      <c r="BVR65"/>
      <c r="BVS65"/>
      <c r="BVT65"/>
      <c r="BVU65"/>
      <c r="BVV65"/>
      <c r="BVW65"/>
      <c r="BVX65"/>
      <c r="BVY65"/>
      <c r="BVZ65"/>
      <c r="BWA65"/>
      <c r="BWB65"/>
      <c r="BWC65"/>
      <c r="BWD65"/>
      <c r="BWE65"/>
      <c r="BWF65"/>
      <c r="BWG65"/>
      <c r="BWH65"/>
      <c r="BWI65"/>
      <c r="BWJ65"/>
      <c r="BWK65"/>
      <c r="BWL65"/>
      <c r="BWM65"/>
      <c r="BWN65"/>
      <c r="BWO65"/>
      <c r="BWP65"/>
      <c r="BWQ65"/>
      <c r="BWR65"/>
      <c r="BWS65"/>
      <c r="BWT65"/>
      <c r="BWU65"/>
      <c r="BWV65"/>
      <c r="BWW65"/>
      <c r="BWX65"/>
      <c r="BWY65"/>
      <c r="BWZ65"/>
      <c r="BXA65"/>
      <c r="BXB65"/>
      <c r="BXC65"/>
      <c r="BXD65"/>
      <c r="BXE65"/>
      <c r="BXF65"/>
      <c r="BXG65"/>
      <c r="BXH65"/>
      <c r="BXI65"/>
      <c r="BXJ65"/>
      <c r="BXK65"/>
      <c r="BXL65"/>
      <c r="BXM65"/>
      <c r="BXN65"/>
      <c r="BXO65"/>
      <c r="BXP65"/>
      <c r="BXQ65"/>
      <c r="BXR65"/>
      <c r="BXS65"/>
      <c r="BXT65"/>
      <c r="BXU65"/>
      <c r="BXV65"/>
      <c r="BXW65"/>
      <c r="BXX65"/>
      <c r="BXY65"/>
      <c r="BXZ65"/>
      <c r="BYA65"/>
      <c r="BYB65"/>
      <c r="BYC65"/>
      <c r="BYD65"/>
      <c r="BYE65"/>
      <c r="BYF65"/>
      <c r="BYG65"/>
      <c r="BYH65"/>
      <c r="BYI65"/>
      <c r="BYJ65"/>
      <c r="BYK65"/>
      <c r="BYL65"/>
      <c r="BYM65"/>
      <c r="BYN65"/>
      <c r="BYO65"/>
      <c r="BYP65"/>
      <c r="BYQ65"/>
      <c r="BYR65"/>
      <c r="BYS65"/>
      <c r="BYT65"/>
      <c r="BYU65"/>
      <c r="BYV65"/>
      <c r="BYW65"/>
      <c r="BYX65"/>
      <c r="BYY65"/>
      <c r="BYZ65"/>
      <c r="BZA65"/>
      <c r="BZB65"/>
      <c r="BZC65"/>
      <c r="BZD65"/>
      <c r="BZE65"/>
      <c r="BZF65"/>
      <c r="BZG65"/>
      <c r="BZH65"/>
      <c r="BZI65"/>
      <c r="BZJ65"/>
      <c r="BZK65"/>
      <c r="BZL65"/>
      <c r="BZM65"/>
      <c r="BZN65"/>
      <c r="BZO65"/>
      <c r="BZP65"/>
      <c r="BZQ65"/>
      <c r="BZR65"/>
      <c r="BZS65"/>
      <c r="BZT65"/>
      <c r="BZU65"/>
      <c r="BZV65"/>
      <c r="BZW65"/>
      <c r="BZX65"/>
      <c r="BZY65"/>
      <c r="BZZ65"/>
      <c r="CAA65"/>
      <c r="CAB65"/>
      <c r="CAC65"/>
      <c r="CAD65"/>
      <c r="CAE65"/>
      <c r="CAF65"/>
      <c r="CAG65"/>
      <c r="CAH65"/>
      <c r="CAI65"/>
      <c r="CAJ65"/>
      <c r="CAK65"/>
      <c r="CAL65"/>
      <c r="CAM65"/>
      <c r="CAN65"/>
      <c r="CAO65"/>
      <c r="CAP65"/>
      <c r="CAQ65"/>
      <c r="CAR65"/>
      <c r="CAS65"/>
      <c r="CAT65"/>
      <c r="CAU65"/>
      <c r="CAV65"/>
      <c r="CAW65"/>
      <c r="CAX65"/>
      <c r="CAY65"/>
      <c r="CAZ65"/>
      <c r="CBA65"/>
      <c r="CBB65"/>
      <c r="CBC65"/>
      <c r="CBD65"/>
      <c r="CBE65"/>
      <c r="CBF65"/>
      <c r="CBG65"/>
      <c r="CBH65"/>
      <c r="CBI65"/>
      <c r="CBJ65"/>
      <c r="CBK65"/>
      <c r="CBL65"/>
      <c r="CBM65"/>
      <c r="CBN65"/>
      <c r="CBO65"/>
      <c r="CBP65"/>
      <c r="CBQ65"/>
      <c r="CBR65"/>
      <c r="CBS65"/>
      <c r="CBT65"/>
      <c r="CBU65"/>
      <c r="CBV65"/>
      <c r="CBW65"/>
      <c r="CBX65"/>
      <c r="CBY65"/>
      <c r="CBZ65"/>
      <c r="CCA65"/>
      <c r="CCB65"/>
      <c r="CCC65"/>
      <c r="CCD65"/>
      <c r="CCE65"/>
      <c r="CCF65"/>
      <c r="CCG65"/>
      <c r="CCH65"/>
      <c r="CCI65"/>
      <c r="CCJ65"/>
      <c r="CCK65"/>
      <c r="CCL65"/>
      <c r="CCM65"/>
      <c r="CCN65"/>
      <c r="CCO65"/>
      <c r="CCP65"/>
      <c r="CCQ65"/>
      <c r="CCR65"/>
      <c r="CCS65"/>
      <c r="CCT65"/>
      <c r="CCU65"/>
      <c r="CCV65"/>
      <c r="CCW65"/>
      <c r="CCX65"/>
      <c r="CCY65"/>
      <c r="CCZ65"/>
      <c r="CDA65"/>
      <c r="CDB65"/>
      <c r="CDC65"/>
      <c r="CDD65"/>
      <c r="CDE65"/>
      <c r="CDF65"/>
      <c r="CDG65"/>
      <c r="CDH65"/>
      <c r="CDI65"/>
      <c r="CDJ65"/>
      <c r="CDK65"/>
      <c r="CDL65"/>
      <c r="CDM65"/>
      <c r="CDN65"/>
      <c r="CDO65"/>
      <c r="CDP65"/>
      <c r="CDQ65"/>
      <c r="CDR65"/>
      <c r="CDS65"/>
      <c r="CDT65"/>
      <c r="CDU65"/>
      <c r="CDV65"/>
      <c r="CDW65"/>
      <c r="CDX65"/>
      <c r="CDY65"/>
      <c r="CDZ65"/>
      <c r="CEA65"/>
      <c r="CEB65"/>
      <c r="CEC65"/>
      <c r="CED65"/>
      <c r="CEE65"/>
      <c r="CEF65"/>
      <c r="CEG65"/>
      <c r="CEH65"/>
      <c r="CEI65"/>
      <c r="CEJ65"/>
      <c r="CEK65"/>
      <c r="CEL65"/>
      <c r="CEM65"/>
      <c r="CEN65"/>
      <c r="CEO65"/>
      <c r="CEP65"/>
      <c r="CEQ65"/>
      <c r="CER65"/>
      <c r="CES65"/>
      <c r="CET65"/>
      <c r="CEU65"/>
      <c r="CEV65"/>
      <c r="CEW65"/>
      <c r="CEX65"/>
      <c r="CEY65"/>
      <c r="CEZ65"/>
      <c r="CFA65"/>
      <c r="CFB65"/>
      <c r="CFC65"/>
      <c r="CFD65"/>
      <c r="CFE65"/>
      <c r="CFF65"/>
      <c r="CFG65"/>
      <c r="CFH65"/>
      <c r="CFI65"/>
      <c r="CFJ65"/>
      <c r="CFK65"/>
      <c r="CFL65"/>
      <c r="CFM65"/>
      <c r="CFN65"/>
      <c r="CFO65"/>
      <c r="CFP65"/>
      <c r="CFQ65"/>
      <c r="CFR65"/>
      <c r="CFS65"/>
      <c r="CFT65"/>
      <c r="CFU65"/>
      <c r="CFV65"/>
      <c r="CFW65"/>
      <c r="CFX65"/>
      <c r="CFY65"/>
      <c r="CFZ65"/>
      <c r="CGA65"/>
      <c r="CGB65"/>
      <c r="CGC65"/>
      <c r="CGD65"/>
      <c r="CGE65"/>
      <c r="CGF65"/>
      <c r="CGG65"/>
      <c r="CGH65"/>
      <c r="CGI65"/>
      <c r="CGJ65"/>
      <c r="CGK65"/>
      <c r="CGL65"/>
      <c r="CGM65"/>
      <c r="CGN65"/>
      <c r="CGO65"/>
      <c r="CGP65"/>
      <c r="CGQ65"/>
      <c r="CGR65"/>
      <c r="CGS65"/>
      <c r="CGT65"/>
      <c r="CGU65"/>
      <c r="CGV65"/>
      <c r="CGW65"/>
      <c r="CGX65"/>
      <c r="CGY65"/>
      <c r="CGZ65"/>
      <c r="CHA65"/>
      <c r="CHB65"/>
      <c r="CHC65"/>
      <c r="CHD65"/>
      <c r="CHE65"/>
      <c r="CHF65"/>
      <c r="CHG65"/>
      <c r="CHH65"/>
      <c r="CHI65"/>
      <c r="CHJ65"/>
      <c r="CHK65"/>
      <c r="CHL65"/>
      <c r="CHM65"/>
      <c r="CHN65"/>
      <c r="CHO65"/>
      <c r="CHP65"/>
      <c r="CHQ65"/>
      <c r="CHR65"/>
      <c r="CHS65"/>
      <c r="CHT65"/>
      <c r="CHU65"/>
      <c r="CHV65"/>
      <c r="CHW65"/>
      <c r="CHX65"/>
      <c r="CHY65"/>
      <c r="CHZ65"/>
      <c r="CIA65"/>
      <c r="CIB65"/>
      <c r="CIC65"/>
      <c r="CID65"/>
      <c r="CIE65"/>
      <c r="CIF65"/>
      <c r="CIG65"/>
      <c r="CIH65"/>
      <c r="CII65"/>
      <c r="CIJ65"/>
      <c r="CIK65"/>
      <c r="CIL65"/>
      <c r="CIM65"/>
      <c r="CIN65"/>
      <c r="CIO65"/>
      <c r="CIP65"/>
      <c r="CIQ65"/>
      <c r="CIR65"/>
      <c r="CIS65"/>
      <c r="CIT65"/>
      <c r="CIU65"/>
      <c r="CIV65"/>
      <c r="CIW65"/>
      <c r="CIX65"/>
      <c r="CIY65"/>
      <c r="CIZ65"/>
      <c r="CJA65"/>
      <c r="CJB65"/>
      <c r="CJC65"/>
      <c r="CJD65"/>
      <c r="CJE65"/>
      <c r="CJF65"/>
      <c r="CJG65"/>
      <c r="CJH65"/>
      <c r="CJI65"/>
      <c r="CJJ65"/>
      <c r="CJK65"/>
      <c r="CJL65"/>
      <c r="CJM65"/>
      <c r="CJN65"/>
      <c r="CJO65"/>
      <c r="CJP65"/>
      <c r="CJQ65"/>
      <c r="CJR65"/>
      <c r="CJS65"/>
      <c r="CJT65"/>
      <c r="CJU65"/>
      <c r="CJV65"/>
      <c r="CJW65"/>
      <c r="CJX65"/>
      <c r="CJY65"/>
      <c r="CJZ65"/>
      <c r="CKA65"/>
      <c r="CKB65"/>
      <c r="CKC65"/>
      <c r="CKD65"/>
      <c r="CKE65"/>
      <c r="CKF65"/>
      <c r="CKG65"/>
      <c r="CKH65"/>
      <c r="CKI65"/>
      <c r="CKJ65"/>
      <c r="CKK65"/>
      <c r="CKL65"/>
      <c r="CKM65"/>
      <c r="CKN65"/>
      <c r="CKO65"/>
      <c r="CKP65"/>
      <c r="CKQ65"/>
      <c r="CKR65"/>
      <c r="CKS65"/>
      <c r="CKT65"/>
      <c r="CKU65"/>
      <c r="CKV65"/>
      <c r="CKW65"/>
      <c r="CKX65"/>
      <c r="CKY65"/>
      <c r="CKZ65"/>
      <c r="CLA65"/>
      <c r="CLB65"/>
      <c r="CLC65"/>
      <c r="CLD65"/>
      <c r="CLE65"/>
      <c r="CLF65"/>
      <c r="CLG65"/>
      <c r="CLH65"/>
      <c r="CLI65"/>
      <c r="CLJ65"/>
      <c r="CLK65"/>
      <c r="CLL65"/>
      <c r="CLM65"/>
      <c r="CLN65"/>
      <c r="CLO65"/>
      <c r="CLP65"/>
      <c r="CLQ65"/>
      <c r="CLR65"/>
      <c r="CLS65"/>
      <c r="CLT65"/>
      <c r="CLU65"/>
      <c r="CLV65"/>
      <c r="CLW65"/>
      <c r="CLX65"/>
      <c r="CLY65"/>
      <c r="CLZ65"/>
      <c r="CMA65"/>
      <c r="CMB65"/>
      <c r="CMC65"/>
      <c r="CMD65"/>
      <c r="CME65"/>
      <c r="CMF65"/>
      <c r="CMG65"/>
      <c r="CMH65"/>
      <c r="CMI65"/>
      <c r="CMJ65"/>
      <c r="CMK65"/>
      <c r="CML65"/>
      <c r="CMM65"/>
      <c r="CMN65"/>
      <c r="CMO65"/>
      <c r="CMP65"/>
      <c r="CMQ65"/>
      <c r="CMR65"/>
      <c r="CMS65"/>
      <c r="CMT65"/>
      <c r="CMU65"/>
      <c r="CMV65"/>
      <c r="CMW65"/>
      <c r="CMX65"/>
      <c r="CMY65"/>
      <c r="CMZ65"/>
      <c r="CNA65"/>
      <c r="CNB65"/>
      <c r="CNC65"/>
      <c r="CND65"/>
      <c r="CNE65"/>
      <c r="CNF65"/>
      <c r="CNG65"/>
      <c r="CNH65"/>
      <c r="CNI65"/>
      <c r="CNJ65"/>
      <c r="CNK65"/>
      <c r="CNL65"/>
      <c r="CNM65"/>
      <c r="CNN65"/>
      <c r="CNO65"/>
      <c r="CNP65"/>
      <c r="CNQ65"/>
      <c r="CNR65"/>
      <c r="CNS65"/>
      <c r="CNT65"/>
      <c r="CNU65"/>
      <c r="CNV65"/>
      <c r="CNW65"/>
      <c r="CNX65"/>
      <c r="CNY65"/>
      <c r="CNZ65"/>
      <c r="COA65"/>
      <c r="COB65"/>
      <c r="COC65"/>
      <c r="COD65"/>
      <c r="COE65"/>
      <c r="COF65"/>
      <c r="COG65"/>
      <c r="COH65"/>
      <c r="COI65"/>
      <c r="COJ65"/>
      <c r="COK65"/>
      <c r="COL65"/>
      <c r="COM65"/>
      <c r="CON65"/>
      <c r="COO65"/>
      <c r="COP65"/>
      <c r="COQ65"/>
      <c r="COR65"/>
      <c r="COS65"/>
      <c r="COT65"/>
      <c r="COU65"/>
      <c r="COV65"/>
      <c r="COW65"/>
      <c r="COX65"/>
      <c r="COY65"/>
      <c r="COZ65"/>
      <c r="CPA65"/>
      <c r="CPB65"/>
      <c r="CPC65"/>
      <c r="CPD65"/>
      <c r="CPE65"/>
      <c r="CPF65"/>
      <c r="CPG65"/>
      <c r="CPH65"/>
      <c r="CPI65"/>
      <c r="CPJ65"/>
      <c r="CPK65"/>
      <c r="CPL65"/>
      <c r="CPM65"/>
      <c r="CPN65"/>
      <c r="CPO65"/>
      <c r="CPP65"/>
      <c r="CPQ65"/>
      <c r="CPR65"/>
      <c r="CPS65"/>
      <c r="CPT65"/>
      <c r="CPU65"/>
      <c r="CPV65"/>
      <c r="CPW65"/>
      <c r="CPX65"/>
      <c r="CPY65"/>
      <c r="CPZ65"/>
      <c r="CQA65"/>
      <c r="CQB65"/>
      <c r="CQC65"/>
      <c r="CQD65"/>
      <c r="CQE65"/>
      <c r="CQF65"/>
      <c r="CQG65"/>
      <c r="CQH65"/>
      <c r="CQI65"/>
      <c r="CQJ65"/>
      <c r="CQK65"/>
      <c r="CQL65"/>
      <c r="CQM65"/>
      <c r="CQN65"/>
      <c r="CQO65"/>
      <c r="CQP65"/>
      <c r="CQQ65"/>
      <c r="CQR65"/>
      <c r="CQS65"/>
      <c r="CQT65"/>
      <c r="CQU65"/>
      <c r="CQV65"/>
      <c r="CQW65"/>
      <c r="CQX65"/>
      <c r="CQY65"/>
      <c r="CQZ65"/>
      <c r="CRA65"/>
      <c r="CRB65"/>
      <c r="CRC65"/>
      <c r="CRD65"/>
      <c r="CRE65"/>
      <c r="CRF65"/>
      <c r="CRG65"/>
      <c r="CRH65"/>
      <c r="CRI65"/>
      <c r="CRJ65"/>
      <c r="CRK65"/>
      <c r="CRL65"/>
      <c r="CRM65"/>
      <c r="CRN65"/>
      <c r="CRO65"/>
      <c r="CRP65"/>
      <c r="CRQ65"/>
      <c r="CRR65"/>
      <c r="CRS65"/>
      <c r="CRT65"/>
      <c r="CRU65"/>
      <c r="CRV65"/>
      <c r="CRW65"/>
      <c r="CRX65"/>
      <c r="CRY65"/>
      <c r="CRZ65"/>
      <c r="CSA65"/>
      <c r="CSB65"/>
      <c r="CSC65"/>
      <c r="CSD65"/>
      <c r="CSE65"/>
      <c r="CSF65"/>
      <c r="CSG65"/>
      <c r="CSH65"/>
      <c r="CSI65"/>
      <c r="CSJ65"/>
      <c r="CSK65"/>
      <c r="CSL65"/>
      <c r="CSM65"/>
      <c r="CSN65"/>
      <c r="CSO65"/>
      <c r="CSP65"/>
      <c r="CSQ65"/>
      <c r="CSR65"/>
      <c r="CSS65"/>
      <c r="CST65"/>
      <c r="CSU65"/>
      <c r="CSV65"/>
      <c r="CSW65"/>
      <c r="CSX65"/>
      <c r="CSY65"/>
      <c r="CSZ65"/>
      <c r="CTA65"/>
      <c r="CTB65"/>
      <c r="CTC65"/>
      <c r="CTD65"/>
      <c r="CTE65"/>
      <c r="CTF65"/>
      <c r="CTG65"/>
      <c r="CTH65"/>
      <c r="CTI65"/>
      <c r="CTJ65"/>
      <c r="CTK65"/>
      <c r="CTL65"/>
      <c r="CTM65"/>
      <c r="CTN65"/>
      <c r="CTO65"/>
      <c r="CTP65"/>
      <c r="CTQ65"/>
      <c r="CTR65"/>
      <c r="CTS65"/>
      <c r="CTT65"/>
      <c r="CTU65"/>
      <c r="CTV65"/>
      <c r="CTW65"/>
      <c r="CTX65"/>
      <c r="CTY65"/>
      <c r="CTZ65"/>
      <c r="CUA65"/>
      <c r="CUB65"/>
      <c r="CUC65"/>
      <c r="CUD65"/>
      <c r="CUE65"/>
      <c r="CUF65"/>
      <c r="CUG65"/>
      <c r="CUH65"/>
      <c r="CUI65"/>
      <c r="CUJ65"/>
      <c r="CUK65"/>
      <c r="CUL65"/>
      <c r="CUM65"/>
      <c r="CUN65"/>
      <c r="CUO65"/>
      <c r="CUP65"/>
      <c r="CUQ65"/>
      <c r="CUR65"/>
      <c r="CUS65"/>
      <c r="CUT65"/>
      <c r="CUU65"/>
      <c r="CUV65"/>
      <c r="CUW65"/>
      <c r="CUX65"/>
      <c r="CUY65"/>
      <c r="CUZ65"/>
      <c r="CVA65"/>
      <c r="CVB65"/>
      <c r="CVC65"/>
      <c r="CVD65"/>
      <c r="CVE65"/>
      <c r="CVF65"/>
      <c r="CVG65"/>
      <c r="CVH65"/>
      <c r="CVI65"/>
      <c r="CVJ65"/>
      <c r="CVK65"/>
      <c r="CVL65"/>
      <c r="CVM65"/>
      <c r="CVN65"/>
      <c r="CVO65"/>
      <c r="CVP65"/>
      <c r="CVQ65"/>
      <c r="CVR65"/>
      <c r="CVS65"/>
      <c r="CVT65"/>
      <c r="CVU65"/>
      <c r="CVV65"/>
      <c r="CVW65"/>
      <c r="CVX65"/>
      <c r="CVY65"/>
      <c r="CVZ65"/>
      <c r="CWA65"/>
      <c r="CWB65"/>
      <c r="CWC65"/>
      <c r="CWD65"/>
      <c r="CWE65"/>
      <c r="CWF65"/>
      <c r="CWG65"/>
      <c r="CWH65"/>
      <c r="CWI65"/>
      <c r="CWJ65"/>
      <c r="CWK65"/>
      <c r="CWL65"/>
      <c r="CWM65"/>
      <c r="CWN65"/>
      <c r="CWO65"/>
      <c r="CWP65"/>
      <c r="CWQ65"/>
      <c r="CWR65"/>
      <c r="CWS65"/>
      <c r="CWT65"/>
      <c r="CWU65"/>
      <c r="CWV65"/>
      <c r="CWW65"/>
      <c r="CWX65"/>
      <c r="CWY65"/>
      <c r="CWZ65"/>
      <c r="CXA65"/>
      <c r="CXB65"/>
      <c r="CXC65"/>
      <c r="CXD65"/>
      <c r="CXE65"/>
      <c r="CXF65"/>
      <c r="CXG65"/>
      <c r="CXH65"/>
      <c r="CXI65"/>
      <c r="CXJ65"/>
      <c r="CXK65"/>
      <c r="CXL65"/>
      <c r="CXM65"/>
      <c r="CXN65"/>
      <c r="CXO65"/>
      <c r="CXP65"/>
      <c r="CXQ65"/>
      <c r="CXR65"/>
      <c r="CXS65"/>
      <c r="CXT65"/>
      <c r="CXU65"/>
      <c r="CXV65"/>
      <c r="CXW65"/>
      <c r="CXX65"/>
      <c r="CXY65"/>
      <c r="CXZ65"/>
      <c r="CYA65"/>
      <c r="CYB65"/>
      <c r="CYC65"/>
      <c r="CYD65"/>
      <c r="CYE65"/>
      <c r="CYF65"/>
      <c r="CYG65"/>
      <c r="CYH65"/>
      <c r="CYI65"/>
      <c r="CYJ65"/>
      <c r="CYK65"/>
      <c r="CYL65"/>
      <c r="CYM65"/>
      <c r="CYN65"/>
      <c r="CYO65"/>
      <c r="CYP65"/>
      <c r="CYQ65"/>
      <c r="CYR65"/>
      <c r="CYS65"/>
      <c r="CYT65"/>
      <c r="CYU65"/>
      <c r="CYV65"/>
      <c r="CYW65"/>
      <c r="CYX65"/>
      <c r="CYY65"/>
      <c r="CYZ65"/>
      <c r="CZA65"/>
      <c r="CZB65"/>
      <c r="CZC65"/>
      <c r="CZD65"/>
      <c r="CZE65"/>
      <c r="CZF65"/>
      <c r="CZG65"/>
      <c r="CZH65"/>
      <c r="CZI65"/>
      <c r="CZJ65"/>
      <c r="CZK65"/>
      <c r="CZL65"/>
      <c r="CZM65"/>
      <c r="CZN65"/>
      <c r="CZO65"/>
      <c r="CZP65"/>
      <c r="CZQ65"/>
      <c r="CZR65"/>
      <c r="CZS65"/>
      <c r="CZT65"/>
      <c r="CZU65"/>
      <c r="CZV65"/>
      <c r="CZW65"/>
      <c r="CZX65"/>
      <c r="CZY65"/>
      <c r="CZZ65"/>
      <c r="DAA65"/>
      <c r="DAB65"/>
      <c r="DAC65"/>
      <c r="DAD65"/>
      <c r="DAE65"/>
      <c r="DAF65"/>
      <c r="DAG65"/>
      <c r="DAH65"/>
      <c r="DAI65"/>
      <c r="DAJ65"/>
      <c r="DAK65"/>
      <c r="DAL65"/>
      <c r="DAM65"/>
      <c r="DAN65"/>
      <c r="DAO65"/>
      <c r="DAP65"/>
      <c r="DAQ65"/>
      <c r="DAR65"/>
      <c r="DAS65"/>
      <c r="DAT65"/>
      <c r="DAU65"/>
      <c r="DAV65"/>
      <c r="DAW65"/>
      <c r="DAX65"/>
      <c r="DAY65"/>
      <c r="DAZ65"/>
      <c r="DBA65"/>
      <c r="DBB65"/>
      <c r="DBC65"/>
      <c r="DBD65"/>
      <c r="DBE65"/>
      <c r="DBF65"/>
      <c r="DBG65"/>
      <c r="DBH65"/>
      <c r="DBI65"/>
      <c r="DBJ65"/>
      <c r="DBK65"/>
      <c r="DBL65"/>
      <c r="DBM65"/>
      <c r="DBN65"/>
      <c r="DBO65"/>
      <c r="DBP65"/>
      <c r="DBQ65"/>
      <c r="DBR65"/>
      <c r="DBS65"/>
      <c r="DBT65"/>
      <c r="DBU65"/>
      <c r="DBV65"/>
      <c r="DBW65"/>
      <c r="DBX65"/>
      <c r="DBY65"/>
      <c r="DBZ65"/>
      <c r="DCA65"/>
      <c r="DCB65"/>
      <c r="DCC65"/>
      <c r="DCD65"/>
      <c r="DCE65"/>
      <c r="DCF65"/>
      <c r="DCG65"/>
      <c r="DCH65"/>
      <c r="DCI65"/>
      <c r="DCJ65"/>
      <c r="DCK65"/>
      <c r="DCL65"/>
      <c r="DCM65"/>
      <c r="DCN65"/>
      <c r="DCO65"/>
      <c r="DCP65"/>
      <c r="DCQ65"/>
      <c r="DCR65"/>
      <c r="DCS65"/>
      <c r="DCT65"/>
      <c r="DCU65"/>
      <c r="DCV65"/>
      <c r="DCW65"/>
      <c r="DCX65"/>
      <c r="DCY65"/>
      <c r="DCZ65"/>
      <c r="DDA65"/>
      <c r="DDB65"/>
      <c r="DDC65"/>
      <c r="DDD65"/>
      <c r="DDE65"/>
      <c r="DDF65"/>
      <c r="DDG65"/>
      <c r="DDH65"/>
      <c r="DDI65"/>
      <c r="DDJ65"/>
      <c r="DDK65"/>
      <c r="DDL65"/>
      <c r="DDM65"/>
      <c r="DDN65"/>
      <c r="DDO65"/>
      <c r="DDP65"/>
      <c r="DDQ65"/>
      <c r="DDR65"/>
      <c r="DDS65"/>
      <c r="DDT65"/>
      <c r="DDU65"/>
      <c r="DDV65"/>
      <c r="DDW65"/>
      <c r="DDX65"/>
      <c r="DDY65"/>
      <c r="DDZ65"/>
      <c r="DEA65"/>
      <c r="DEB65"/>
      <c r="DEC65"/>
      <c r="DED65"/>
      <c r="DEE65"/>
      <c r="DEF65"/>
      <c r="DEG65"/>
      <c r="DEH65"/>
      <c r="DEI65"/>
      <c r="DEJ65"/>
      <c r="DEK65"/>
      <c r="DEL65"/>
      <c r="DEM65"/>
      <c r="DEN65"/>
      <c r="DEO65"/>
      <c r="DEP65"/>
      <c r="DEQ65"/>
      <c r="DER65"/>
      <c r="DES65"/>
      <c r="DET65"/>
      <c r="DEU65"/>
      <c r="DEV65"/>
      <c r="DEW65"/>
      <c r="DEX65"/>
      <c r="DEY65"/>
      <c r="DEZ65"/>
      <c r="DFA65"/>
      <c r="DFB65"/>
      <c r="DFC65"/>
      <c r="DFD65"/>
      <c r="DFE65"/>
      <c r="DFF65"/>
      <c r="DFG65"/>
      <c r="DFH65"/>
      <c r="DFI65"/>
      <c r="DFJ65"/>
      <c r="DFK65"/>
      <c r="DFL65"/>
      <c r="DFM65"/>
      <c r="DFN65"/>
      <c r="DFO65"/>
      <c r="DFP65"/>
      <c r="DFQ65"/>
      <c r="DFR65"/>
      <c r="DFS65"/>
      <c r="DFT65"/>
      <c r="DFU65"/>
      <c r="DFV65"/>
      <c r="DFW65"/>
      <c r="DFX65"/>
      <c r="DFY65"/>
      <c r="DFZ65"/>
      <c r="DGA65"/>
      <c r="DGB65"/>
      <c r="DGC65"/>
      <c r="DGD65"/>
      <c r="DGE65"/>
      <c r="DGF65"/>
      <c r="DGG65"/>
      <c r="DGH65"/>
      <c r="DGI65"/>
      <c r="DGJ65"/>
      <c r="DGK65"/>
      <c r="DGL65"/>
      <c r="DGM65"/>
      <c r="DGN65"/>
      <c r="DGO65"/>
      <c r="DGP65"/>
      <c r="DGQ65"/>
      <c r="DGR65"/>
      <c r="DGS65"/>
      <c r="DGT65"/>
      <c r="DGU65"/>
      <c r="DGV65"/>
      <c r="DGW65"/>
      <c r="DGX65"/>
      <c r="DGY65"/>
      <c r="DGZ65"/>
      <c r="DHA65"/>
      <c r="DHB65"/>
      <c r="DHC65"/>
      <c r="DHD65"/>
      <c r="DHE65"/>
      <c r="DHF65"/>
      <c r="DHG65"/>
      <c r="DHH65"/>
      <c r="DHI65"/>
      <c r="DHJ65"/>
      <c r="DHK65"/>
      <c r="DHL65"/>
      <c r="DHM65"/>
      <c r="DHN65"/>
      <c r="DHO65"/>
      <c r="DHP65"/>
      <c r="DHQ65"/>
      <c r="DHR65"/>
      <c r="DHS65"/>
      <c r="DHT65"/>
      <c r="DHU65"/>
      <c r="DHV65"/>
      <c r="DHW65"/>
      <c r="DHX65"/>
      <c r="DHY65"/>
      <c r="DHZ65"/>
      <c r="DIA65"/>
      <c r="DIB65"/>
      <c r="DIC65"/>
      <c r="DID65"/>
      <c r="DIE65"/>
      <c r="DIF65"/>
      <c r="DIG65"/>
      <c r="DIH65"/>
      <c r="DII65"/>
      <c r="DIJ65"/>
      <c r="DIK65"/>
      <c r="DIL65"/>
      <c r="DIM65"/>
      <c r="DIN65"/>
      <c r="DIO65"/>
      <c r="DIP65"/>
      <c r="DIQ65"/>
      <c r="DIR65"/>
      <c r="DIS65"/>
      <c r="DIT65"/>
      <c r="DIU65"/>
      <c r="DIV65"/>
      <c r="DIW65"/>
      <c r="DIX65"/>
      <c r="DIY65"/>
      <c r="DIZ65"/>
      <c r="DJA65"/>
      <c r="DJB65"/>
      <c r="DJC65"/>
      <c r="DJD65"/>
      <c r="DJE65"/>
      <c r="DJF65"/>
      <c r="DJG65"/>
      <c r="DJH65"/>
      <c r="DJI65"/>
      <c r="DJJ65"/>
      <c r="DJK65"/>
      <c r="DJL65"/>
      <c r="DJM65"/>
      <c r="DJN65"/>
      <c r="DJO65"/>
      <c r="DJP65"/>
      <c r="DJQ65"/>
      <c r="DJR65"/>
      <c r="DJS65"/>
      <c r="DJT65"/>
      <c r="DJU65"/>
      <c r="DJV65"/>
      <c r="DJW65"/>
      <c r="DJX65"/>
      <c r="DJY65"/>
      <c r="DJZ65"/>
      <c r="DKA65"/>
      <c r="DKB65"/>
      <c r="DKC65"/>
      <c r="DKD65"/>
      <c r="DKE65"/>
      <c r="DKF65"/>
      <c r="DKG65"/>
      <c r="DKH65"/>
      <c r="DKI65"/>
      <c r="DKJ65"/>
      <c r="DKK65"/>
      <c r="DKL65"/>
      <c r="DKM65"/>
      <c r="DKN65"/>
      <c r="DKO65"/>
      <c r="DKP65"/>
      <c r="DKQ65"/>
      <c r="DKR65"/>
      <c r="DKS65"/>
      <c r="DKT65"/>
      <c r="DKU65"/>
      <c r="DKV65"/>
      <c r="DKW65"/>
      <c r="DKX65"/>
      <c r="DKY65"/>
      <c r="DKZ65"/>
      <c r="DLA65"/>
      <c r="DLB65"/>
      <c r="DLC65"/>
      <c r="DLD65"/>
      <c r="DLE65"/>
      <c r="DLF65"/>
      <c r="DLG65"/>
      <c r="DLH65"/>
      <c r="DLI65"/>
      <c r="DLJ65"/>
      <c r="DLK65"/>
      <c r="DLL65"/>
      <c r="DLM65"/>
      <c r="DLN65"/>
      <c r="DLO65"/>
      <c r="DLP65"/>
      <c r="DLQ65"/>
      <c r="DLR65"/>
      <c r="DLS65"/>
      <c r="DLT65"/>
      <c r="DLU65"/>
      <c r="DLV65"/>
      <c r="DLW65"/>
      <c r="DLX65"/>
      <c r="DLY65"/>
      <c r="DLZ65"/>
      <c r="DMA65"/>
      <c r="DMB65"/>
      <c r="DMC65"/>
      <c r="DMD65"/>
      <c r="DME65"/>
      <c r="DMF65"/>
      <c r="DMG65"/>
      <c r="DMH65"/>
      <c r="DMI65"/>
      <c r="DMJ65"/>
      <c r="DMK65"/>
      <c r="DML65"/>
      <c r="DMM65"/>
      <c r="DMN65"/>
      <c r="DMO65"/>
      <c r="DMP65"/>
      <c r="DMQ65"/>
      <c r="DMR65"/>
      <c r="DMS65"/>
      <c r="DMT65"/>
      <c r="DMU65"/>
      <c r="DMV65"/>
      <c r="DMW65"/>
      <c r="DMX65"/>
      <c r="DMY65"/>
      <c r="DMZ65"/>
      <c r="DNA65"/>
      <c r="DNB65"/>
      <c r="DNC65"/>
      <c r="DND65"/>
      <c r="DNE65"/>
      <c r="DNF65"/>
      <c r="DNG65"/>
      <c r="DNH65"/>
      <c r="DNI65"/>
      <c r="DNJ65"/>
      <c r="DNK65"/>
      <c r="DNL65"/>
      <c r="DNM65"/>
      <c r="DNN65"/>
      <c r="DNO65"/>
      <c r="DNP65"/>
      <c r="DNQ65"/>
      <c r="DNR65"/>
      <c r="DNS65"/>
      <c r="DNT65"/>
      <c r="DNU65"/>
      <c r="DNV65"/>
      <c r="DNW65"/>
      <c r="DNX65"/>
      <c r="DNY65"/>
      <c r="DNZ65"/>
      <c r="DOA65"/>
      <c r="DOB65"/>
      <c r="DOC65"/>
      <c r="DOD65"/>
      <c r="DOE65"/>
      <c r="DOF65"/>
      <c r="DOG65"/>
      <c r="DOH65"/>
      <c r="DOI65"/>
      <c r="DOJ65"/>
      <c r="DOK65"/>
      <c r="DOL65"/>
      <c r="DOM65"/>
      <c r="DON65"/>
      <c r="DOO65"/>
      <c r="DOP65"/>
      <c r="DOQ65"/>
      <c r="DOR65"/>
      <c r="DOS65"/>
      <c r="DOT65"/>
      <c r="DOU65"/>
      <c r="DOV65"/>
      <c r="DOW65"/>
      <c r="DOX65"/>
      <c r="DOY65"/>
      <c r="DOZ65"/>
      <c r="DPA65"/>
      <c r="DPB65"/>
      <c r="DPC65"/>
      <c r="DPD65"/>
      <c r="DPE65"/>
      <c r="DPF65"/>
      <c r="DPG65"/>
      <c r="DPH65"/>
      <c r="DPI65"/>
      <c r="DPJ65"/>
      <c r="DPK65"/>
      <c r="DPL65"/>
      <c r="DPM65"/>
      <c r="DPN65"/>
      <c r="DPO65"/>
      <c r="DPP65"/>
      <c r="DPQ65"/>
      <c r="DPR65"/>
      <c r="DPS65"/>
      <c r="DPT65"/>
      <c r="DPU65"/>
      <c r="DPV65"/>
      <c r="DPW65"/>
      <c r="DPX65"/>
      <c r="DPY65"/>
      <c r="DPZ65"/>
      <c r="DQA65"/>
      <c r="DQB65"/>
      <c r="DQC65"/>
      <c r="DQD65"/>
      <c r="DQE65"/>
      <c r="DQF65"/>
      <c r="DQG65"/>
      <c r="DQH65"/>
      <c r="DQI65"/>
      <c r="DQJ65"/>
      <c r="DQK65"/>
      <c r="DQL65"/>
      <c r="DQM65"/>
      <c r="DQN65"/>
      <c r="DQO65"/>
      <c r="DQP65"/>
      <c r="DQQ65"/>
      <c r="DQR65"/>
      <c r="DQS65"/>
      <c r="DQT65"/>
      <c r="DQU65"/>
      <c r="DQV65"/>
      <c r="DQW65"/>
      <c r="DQX65"/>
      <c r="DQY65"/>
      <c r="DQZ65"/>
      <c r="DRA65"/>
      <c r="DRB65"/>
      <c r="DRC65"/>
      <c r="DRD65"/>
      <c r="DRE65"/>
      <c r="DRF65"/>
      <c r="DRG65"/>
      <c r="DRH65"/>
      <c r="DRI65"/>
      <c r="DRJ65"/>
      <c r="DRK65"/>
      <c r="DRL65"/>
      <c r="DRM65"/>
      <c r="DRN65"/>
      <c r="DRO65"/>
      <c r="DRP65"/>
      <c r="DRQ65"/>
      <c r="DRR65"/>
      <c r="DRS65"/>
      <c r="DRT65"/>
      <c r="DRU65"/>
      <c r="DRV65"/>
      <c r="DRW65"/>
      <c r="DRX65"/>
      <c r="DRY65"/>
      <c r="DRZ65"/>
      <c r="DSA65"/>
      <c r="DSB65"/>
      <c r="DSC65"/>
      <c r="DSD65"/>
      <c r="DSE65"/>
      <c r="DSF65"/>
      <c r="DSG65"/>
      <c r="DSH65"/>
      <c r="DSI65"/>
      <c r="DSJ65"/>
      <c r="DSK65"/>
      <c r="DSL65"/>
      <c r="DSM65"/>
      <c r="DSN65"/>
      <c r="DSO65"/>
      <c r="DSP65"/>
      <c r="DSQ65"/>
      <c r="DSR65"/>
      <c r="DSS65"/>
      <c r="DST65"/>
      <c r="DSU65"/>
      <c r="DSV65"/>
      <c r="DSW65"/>
      <c r="DSX65"/>
      <c r="DSY65"/>
      <c r="DSZ65"/>
      <c r="DTA65"/>
      <c r="DTB65"/>
      <c r="DTC65"/>
      <c r="DTD65"/>
      <c r="DTE65"/>
      <c r="DTF65"/>
      <c r="DTG65"/>
      <c r="DTH65"/>
      <c r="DTI65"/>
      <c r="DTJ65"/>
      <c r="DTK65"/>
      <c r="DTL65"/>
      <c r="DTM65"/>
      <c r="DTN65"/>
      <c r="DTO65"/>
      <c r="DTP65"/>
      <c r="DTQ65"/>
      <c r="DTR65"/>
      <c r="DTS65"/>
      <c r="DTT65"/>
      <c r="DTU65"/>
      <c r="DTV65"/>
      <c r="DTW65"/>
      <c r="DTX65"/>
      <c r="DTY65"/>
      <c r="DTZ65"/>
      <c r="DUA65"/>
      <c r="DUB65"/>
      <c r="DUC65"/>
      <c r="DUD65"/>
      <c r="DUE65"/>
      <c r="DUF65"/>
      <c r="DUG65"/>
      <c r="DUH65"/>
      <c r="DUI65"/>
      <c r="DUJ65"/>
      <c r="DUK65"/>
      <c r="DUL65"/>
      <c r="DUM65"/>
      <c r="DUN65"/>
      <c r="DUO65"/>
      <c r="DUP65"/>
      <c r="DUQ65"/>
      <c r="DUR65"/>
      <c r="DUS65"/>
      <c r="DUT65"/>
      <c r="DUU65"/>
      <c r="DUV65"/>
      <c r="DUW65"/>
      <c r="DUX65"/>
      <c r="DUY65"/>
      <c r="DUZ65"/>
      <c r="DVA65"/>
      <c r="DVB65"/>
      <c r="DVC65"/>
      <c r="DVD65"/>
      <c r="DVE65"/>
      <c r="DVF65"/>
      <c r="DVG65"/>
      <c r="DVH65"/>
      <c r="DVI65"/>
      <c r="DVJ65"/>
      <c r="DVK65"/>
      <c r="DVL65"/>
      <c r="DVM65"/>
      <c r="DVN65"/>
      <c r="DVO65"/>
      <c r="DVP65"/>
      <c r="DVQ65"/>
      <c r="DVR65"/>
      <c r="DVS65"/>
      <c r="DVT65"/>
      <c r="DVU65"/>
      <c r="DVV65"/>
      <c r="DVW65"/>
      <c r="DVX65"/>
      <c r="DVY65"/>
      <c r="DVZ65"/>
      <c r="DWA65"/>
      <c r="DWB65"/>
      <c r="DWC65"/>
      <c r="DWD65"/>
      <c r="DWE65"/>
      <c r="DWF65"/>
      <c r="DWG65"/>
      <c r="DWH65"/>
      <c r="DWI65"/>
      <c r="DWJ65"/>
      <c r="DWK65"/>
      <c r="DWL65"/>
      <c r="DWM65"/>
      <c r="DWN65"/>
      <c r="DWO65"/>
      <c r="DWP65"/>
      <c r="DWQ65"/>
      <c r="DWR65"/>
      <c r="DWS65"/>
      <c r="DWT65"/>
      <c r="DWU65"/>
      <c r="DWV65"/>
      <c r="DWW65"/>
      <c r="DWX65"/>
      <c r="DWY65"/>
      <c r="DWZ65"/>
      <c r="DXA65"/>
      <c r="DXB65"/>
      <c r="DXC65"/>
      <c r="DXD65"/>
      <c r="DXE65"/>
      <c r="DXF65"/>
      <c r="DXG65"/>
      <c r="DXH65"/>
      <c r="DXI65"/>
      <c r="DXJ65"/>
      <c r="DXK65"/>
      <c r="DXL65"/>
      <c r="DXM65"/>
      <c r="DXN65"/>
      <c r="DXO65"/>
      <c r="DXP65"/>
      <c r="DXQ65"/>
      <c r="DXR65"/>
      <c r="DXS65"/>
      <c r="DXT65"/>
      <c r="DXU65"/>
      <c r="DXV65"/>
      <c r="DXW65"/>
      <c r="DXX65"/>
      <c r="DXY65"/>
      <c r="DXZ65"/>
      <c r="DYA65"/>
      <c r="DYB65"/>
      <c r="DYC65"/>
      <c r="DYD65"/>
      <c r="DYE65"/>
      <c r="DYF65"/>
      <c r="DYG65"/>
      <c r="DYH65"/>
      <c r="DYI65"/>
      <c r="DYJ65"/>
      <c r="DYK65"/>
      <c r="DYL65"/>
      <c r="DYM65"/>
      <c r="DYN65"/>
      <c r="DYO65"/>
      <c r="DYP65"/>
      <c r="DYQ65"/>
      <c r="DYR65"/>
      <c r="DYS65"/>
      <c r="DYT65"/>
      <c r="DYU65"/>
      <c r="DYV65"/>
      <c r="DYW65"/>
      <c r="DYX65"/>
      <c r="DYY65"/>
      <c r="DYZ65"/>
      <c r="DZA65"/>
      <c r="DZB65"/>
      <c r="DZC65"/>
      <c r="DZD65"/>
      <c r="DZE65"/>
      <c r="DZF65"/>
      <c r="DZG65"/>
      <c r="DZH65"/>
      <c r="DZI65"/>
      <c r="DZJ65"/>
      <c r="DZK65"/>
      <c r="DZL65"/>
      <c r="DZM65"/>
      <c r="DZN65"/>
      <c r="DZO65"/>
      <c r="DZP65"/>
      <c r="DZQ65"/>
      <c r="DZR65"/>
      <c r="DZS65"/>
      <c r="DZT65"/>
      <c r="DZU65"/>
      <c r="DZV65"/>
      <c r="DZW65"/>
      <c r="DZX65"/>
      <c r="DZY65"/>
      <c r="DZZ65"/>
      <c r="EAA65"/>
      <c r="EAB65"/>
      <c r="EAC65"/>
      <c r="EAD65"/>
      <c r="EAE65"/>
      <c r="EAF65"/>
      <c r="EAG65"/>
      <c r="EAH65"/>
      <c r="EAI65"/>
      <c r="EAJ65"/>
      <c r="EAK65"/>
      <c r="EAL65"/>
      <c r="EAM65"/>
      <c r="EAN65"/>
      <c r="EAO65"/>
      <c r="EAP65"/>
      <c r="EAQ65"/>
      <c r="EAR65"/>
      <c r="EAS65"/>
      <c r="EAT65"/>
      <c r="EAU65"/>
      <c r="EAV65"/>
      <c r="EAW65"/>
      <c r="EAX65"/>
      <c r="EAY65"/>
      <c r="EAZ65"/>
      <c r="EBA65"/>
      <c r="EBB65"/>
      <c r="EBC65"/>
      <c r="EBD65"/>
      <c r="EBE65"/>
      <c r="EBF65"/>
      <c r="EBG65"/>
      <c r="EBH65"/>
      <c r="EBI65"/>
      <c r="EBJ65"/>
      <c r="EBK65"/>
      <c r="EBL65"/>
      <c r="EBM65"/>
      <c r="EBN65"/>
      <c r="EBO65"/>
      <c r="EBP65"/>
      <c r="EBQ65"/>
      <c r="EBR65"/>
      <c r="EBS65"/>
      <c r="EBT65"/>
      <c r="EBU65"/>
      <c r="EBV65"/>
      <c r="EBW65"/>
      <c r="EBX65"/>
      <c r="EBY65"/>
      <c r="EBZ65"/>
      <c r="ECA65"/>
      <c r="ECB65"/>
      <c r="ECC65"/>
      <c r="ECD65"/>
      <c r="ECE65"/>
      <c r="ECF65"/>
      <c r="ECG65"/>
      <c r="ECH65"/>
      <c r="ECI65"/>
      <c r="ECJ65"/>
      <c r="ECK65"/>
      <c r="ECL65"/>
      <c r="ECM65"/>
      <c r="ECN65"/>
      <c r="ECO65"/>
      <c r="ECP65"/>
      <c r="ECQ65"/>
      <c r="ECR65"/>
      <c r="ECS65"/>
      <c r="ECT65"/>
      <c r="ECU65"/>
      <c r="ECV65"/>
      <c r="ECW65"/>
      <c r="ECX65"/>
      <c r="ECY65"/>
      <c r="ECZ65"/>
      <c r="EDA65"/>
      <c r="EDB65"/>
      <c r="EDC65"/>
      <c r="EDD65"/>
      <c r="EDE65"/>
      <c r="EDF65"/>
      <c r="EDG65"/>
      <c r="EDH65"/>
      <c r="EDI65"/>
      <c r="EDJ65"/>
      <c r="EDK65"/>
      <c r="EDL65"/>
      <c r="EDM65"/>
      <c r="EDN65"/>
      <c r="EDO65"/>
      <c r="EDP65"/>
      <c r="EDQ65"/>
      <c r="EDR65"/>
      <c r="EDS65"/>
      <c r="EDT65"/>
      <c r="EDU65"/>
      <c r="EDV65"/>
      <c r="EDW65"/>
      <c r="EDX65"/>
      <c r="EDY65"/>
      <c r="EDZ65"/>
      <c r="EEA65"/>
      <c r="EEB65"/>
      <c r="EEC65"/>
      <c r="EED65"/>
      <c r="EEE65"/>
      <c r="EEF65"/>
      <c r="EEG65"/>
      <c r="EEH65"/>
      <c r="EEI65"/>
      <c r="EEJ65"/>
      <c r="EEK65"/>
      <c r="EEL65"/>
      <c r="EEM65"/>
      <c r="EEN65"/>
      <c r="EEO65"/>
      <c r="EEP65"/>
      <c r="EEQ65"/>
      <c r="EER65"/>
      <c r="EES65"/>
      <c r="EET65"/>
      <c r="EEU65"/>
      <c r="EEV65"/>
      <c r="EEW65"/>
      <c r="EEX65"/>
      <c r="EEY65"/>
      <c r="EEZ65"/>
      <c r="EFA65"/>
      <c r="EFB65"/>
      <c r="EFC65"/>
      <c r="EFD65"/>
      <c r="EFE65"/>
      <c r="EFF65"/>
      <c r="EFG65"/>
      <c r="EFH65"/>
      <c r="EFI65"/>
      <c r="EFJ65"/>
      <c r="EFK65"/>
      <c r="EFL65"/>
      <c r="EFM65"/>
      <c r="EFN65"/>
      <c r="EFO65"/>
      <c r="EFP65"/>
      <c r="EFQ65"/>
      <c r="EFR65"/>
      <c r="EFS65"/>
      <c r="EFT65"/>
      <c r="EFU65"/>
      <c r="EFV65"/>
      <c r="EFW65"/>
      <c r="EFX65"/>
      <c r="EFY65"/>
      <c r="EFZ65"/>
      <c r="EGA65"/>
      <c r="EGB65"/>
      <c r="EGC65"/>
      <c r="EGD65"/>
      <c r="EGE65"/>
      <c r="EGF65"/>
      <c r="EGG65"/>
      <c r="EGH65"/>
      <c r="EGI65"/>
      <c r="EGJ65"/>
      <c r="EGK65"/>
      <c r="EGL65"/>
      <c r="EGM65"/>
      <c r="EGN65"/>
      <c r="EGO65"/>
      <c r="EGP65"/>
      <c r="EGQ65"/>
      <c r="EGR65"/>
      <c r="EGS65"/>
      <c r="EGT65"/>
      <c r="EGU65"/>
      <c r="EGV65"/>
      <c r="EGW65"/>
      <c r="EGX65"/>
      <c r="EGY65"/>
      <c r="EGZ65"/>
      <c r="EHA65"/>
      <c r="EHB65"/>
      <c r="EHC65"/>
      <c r="EHD65"/>
      <c r="EHE65"/>
      <c r="EHF65"/>
      <c r="EHG65"/>
      <c r="EHH65"/>
      <c r="EHI65"/>
      <c r="EHJ65"/>
      <c r="EHK65"/>
      <c r="EHL65"/>
      <c r="EHM65"/>
      <c r="EHN65"/>
      <c r="EHO65"/>
      <c r="EHP65"/>
      <c r="EHQ65"/>
      <c r="EHR65"/>
      <c r="EHS65"/>
      <c r="EHT65"/>
      <c r="EHU65"/>
      <c r="EHV65"/>
      <c r="EHW65"/>
      <c r="EHX65"/>
      <c r="EHY65"/>
      <c r="EHZ65"/>
      <c r="EIA65"/>
      <c r="EIB65"/>
      <c r="EIC65"/>
      <c r="EID65"/>
      <c r="EIE65"/>
      <c r="EIF65"/>
      <c r="EIG65"/>
      <c r="EIH65"/>
      <c r="EII65"/>
      <c r="EIJ65"/>
      <c r="EIK65"/>
      <c r="EIL65"/>
      <c r="EIM65"/>
      <c r="EIN65"/>
      <c r="EIO65"/>
      <c r="EIP65"/>
      <c r="EIQ65"/>
      <c r="EIR65"/>
      <c r="EIS65"/>
      <c r="EIT65"/>
      <c r="EIU65"/>
      <c r="EIV65"/>
      <c r="EIW65"/>
      <c r="EIX65"/>
      <c r="EIY65"/>
      <c r="EIZ65"/>
      <c r="EJA65"/>
      <c r="EJB65"/>
      <c r="EJC65"/>
      <c r="EJD65"/>
      <c r="EJE65"/>
      <c r="EJF65"/>
      <c r="EJG65"/>
      <c r="EJH65"/>
      <c r="EJI65"/>
      <c r="EJJ65"/>
      <c r="EJK65"/>
      <c r="EJL65"/>
      <c r="EJM65"/>
      <c r="EJN65"/>
      <c r="EJO65"/>
      <c r="EJP65"/>
      <c r="EJQ65"/>
      <c r="EJR65"/>
      <c r="EJS65"/>
      <c r="EJT65"/>
      <c r="EJU65"/>
      <c r="EJV65"/>
      <c r="EJW65"/>
      <c r="EJX65"/>
      <c r="EJY65"/>
      <c r="EJZ65"/>
      <c r="EKA65"/>
      <c r="EKB65"/>
      <c r="EKC65"/>
      <c r="EKD65"/>
      <c r="EKE65"/>
      <c r="EKF65"/>
      <c r="EKG65"/>
      <c r="EKH65"/>
      <c r="EKI65"/>
      <c r="EKJ65"/>
      <c r="EKK65"/>
      <c r="EKL65"/>
      <c r="EKM65"/>
      <c r="EKN65"/>
      <c r="EKO65"/>
      <c r="EKP65"/>
      <c r="EKQ65"/>
      <c r="EKR65"/>
      <c r="EKS65"/>
      <c r="EKT65"/>
      <c r="EKU65"/>
      <c r="EKV65"/>
      <c r="EKW65"/>
      <c r="EKX65"/>
      <c r="EKY65"/>
      <c r="EKZ65"/>
      <c r="ELA65"/>
      <c r="ELB65"/>
      <c r="ELC65"/>
      <c r="ELD65"/>
      <c r="ELE65"/>
      <c r="ELF65"/>
      <c r="ELG65"/>
      <c r="ELH65"/>
      <c r="ELI65"/>
      <c r="ELJ65"/>
      <c r="ELK65"/>
      <c r="ELL65"/>
      <c r="ELM65"/>
      <c r="ELN65"/>
      <c r="ELO65"/>
      <c r="ELP65"/>
      <c r="ELQ65"/>
      <c r="ELR65"/>
      <c r="ELS65"/>
      <c r="ELT65"/>
      <c r="ELU65"/>
      <c r="ELV65"/>
      <c r="ELW65"/>
      <c r="ELX65"/>
      <c r="ELY65"/>
      <c r="ELZ65"/>
      <c r="EMA65"/>
      <c r="EMB65"/>
      <c r="EMC65"/>
      <c r="EMD65"/>
      <c r="EME65"/>
      <c r="EMF65"/>
      <c r="EMG65"/>
      <c r="EMH65"/>
      <c r="EMI65"/>
      <c r="EMJ65"/>
      <c r="EMK65"/>
      <c r="EML65"/>
      <c r="EMM65"/>
      <c r="EMN65"/>
      <c r="EMO65"/>
      <c r="EMP65"/>
      <c r="EMQ65"/>
      <c r="EMR65"/>
      <c r="EMS65"/>
      <c r="EMT65"/>
      <c r="EMU65"/>
      <c r="EMV65"/>
      <c r="EMW65"/>
      <c r="EMX65"/>
      <c r="EMY65"/>
      <c r="EMZ65"/>
      <c r="ENA65"/>
      <c r="ENB65"/>
      <c r="ENC65"/>
      <c r="END65"/>
      <c r="ENE65"/>
      <c r="ENF65"/>
      <c r="ENG65"/>
      <c r="ENH65"/>
      <c r="ENI65"/>
      <c r="ENJ65"/>
      <c r="ENK65"/>
      <c r="ENL65"/>
      <c r="ENM65"/>
      <c r="ENN65"/>
      <c r="ENO65"/>
      <c r="ENP65"/>
      <c r="ENQ65"/>
      <c r="ENR65"/>
      <c r="ENS65"/>
      <c r="ENT65"/>
      <c r="ENU65"/>
      <c r="ENV65"/>
      <c r="ENW65"/>
      <c r="ENX65"/>
      <c r="ENY65"/>
      <c r="ENZ65"/>
      <c r="EOA65"/>
      <c r="EOB65"/>
      <c r="EOC65"/>
      <c r="EOD65"/>
      <c r="EOE65"/>
      <c r="EOF65"/>
      <c r="EOG65"/>
      <c r="EOH65"/>
      <c r="EOI65"/>
      <c r="EOJ65"/>
      <c r="EOK65"/>
      <c r="EOL65"/>
      <c r="EOM65"/>
      <c r="EON65"/>
      <c r="EOO65"/>
      <c r="EOP65"/>
      <c r="EOQ65"/>
      <c r="EOR65"/>
      <c r="EOS65"/>
      <c r="EOT65"/>
      <c r="EOU65"/>
      <c r="EOV65"/>
      <c r="EOW65"/>
      <c r="EOX65"/>
      <c r="EOY65"/>
      <c r="EOZ65"/>
      <c r="EPA65"/>
      <c r="EPB65"/>
      <c r="EPC65"/>
      <c r="EPD65"/>
      <c r="EPE65"/>
      <c r="EPF65"/>
      <c r="EPG65"/>
      <c r="EPH65"/>
      <c r="EPI65"/>
      <c r="EPJ65"/>
      <c r="EPK65"/>
      <c r="EPL65"/>
      <c r="EPM65"/>
      <c r="EPN65"/>
      <c r="EPO65"/>
      <c r="EPP65"/>
      <c r="EPQ65"/>
      <c r="EPR65"/>
      <c r="EPS65"/>
      <c r="EPT65"/>
      <c r="EPU65"/>
      <c r="EPV65"/>
      <c r="EPW65"/>
      <c r="EPX65"/>
      <c r="EPY65"/>
      <c r="EPZ65"/>
      <c r="EQA65"/>
      <c r="EQB65"/>
      <c r="EQC65"/>
      <c r="EQD65"/>
      <c r="EQE65"/>
      <c r="EQF65"/>
      <c r="EQG65"/>
      <c r="EQH65"/>
      <c r="EQI65"/>
      <c r="EQJ65"/>
      <c r="EQK65"/>
      <c r="EQL65"/>
      <c r="EQM65"/>
      <c r="EQN65"/>
      <c r="EQO65"/>
      <c r="EQP65"/>
      <c r="EQQ65"/>
      <c r="EQR65"/>
      <c r="EQS65"/>
      <c r="EQT65"/>
      <c r="EQU65"/>
      <c r="EQV65"/>
      <c r="EQW65"/>
      <c r="EQX65"/>
      <c r="EQY65"/>
      <c r="EQZ65"/>
      <c r="ERA65"/>
      <c r="ERB65"/>
      <c r="ERC65"/>
      <c r="ERD65"/>
      <c r="ERE65"/>
      <c r="ERF65"/>
      <c r="ERG65"/>
      <c r="ERH65"/>
      <c r="ERI65"/>
      <c r="ERJ65"/>
      <c r="ERK65"/>
      <c r="ERL65"/>
      <c r="ERM65"/>
      <c r="ERN65"/>
      <c r="ERO65"/>
      <c r="ERP65"/>
      <c r="ERQ65"/>
      <c r="ERR65"/>
      <c r="ERS65"/>
      <c r="ERT65"/>
      <c r="ERU65"/>
      <c r="ERV65"/>
      <c r="ERW65"/>
      <c r="ERX65"/>
      <c r="ERY65"/>
      <c r="ERZ65"/>
      <c r="ESA65"/>
      <c r="ESB65"/>
      <c r="ESC65"/>
      <c r="ESD65"/>
      <c r="ESE65"/>
      <c r="ESF65"/>
      <c r="ESG65"/>
      <c r="ESH65"/>
      <c r="ESI65"/>
      <c r="ESJ65"/>
      <c r="ESK65"/>
      <c r="ESL65"/>
      <c r="ESM65"/>
      <c r="ESN65"/>
      <c r="ESO65"/>
      <c r="ESP65"/>
      <c r="ESQ65"/>
      <c r="ESR65"/>
      <c r="ESS65"/>
      <c r="EST65"/>
      <c r="ESU65"/>
      <c r="ESV65"/>
      <c r="ESW65"/>
      <c r="ESX65"/>
      <c r="ESY65"/>
      <c r="ESZ65"/>
      <c r="ETA65"/>
      <c r="ETB65"/>
      <c r="ETC65"/>
      <c r="ETD65"/>
      <c r="ETE65"/>
      <c r="ETF65"/>
      <c r="ETG65"/>
      <c r="ETH65"/>
      <c r="ETI65"/>
      <c r="ETJ65"/>
      <c r="ETK65"/>
      <c r="ETL65"/>
      <c r="ETM65"/>
      <c r="ETN65"/>
      <c r="ETO65"/>
      <c r="ETP65"/>
      <c r="ETQ65"/>
      <c r="ETR65"/>
      <c r="ETS65"/>
      <c r="ETT65"/>
      <c r="ETU65"/>
      <c r="ETV65"/>
      <c r="ETW65"/>
      <c r="ETX65"/>
      <c r="ETY65"/>
      <c r="ETZ65"/>
      <c r="EUA65"/>
      <c r="EUB65"/>
      <c r="EUC65"/>
      <c r="EUD65"/>
      <c r="EUE65"/>
      <c r="EUF65"/>
      <c r="EUG65"/>
      <c r="EUH65"/>
      <c r="EUI65"/>
      <c r="EUJ65"/>
      <c r="EUK65"/>
      <c r="EUL65"/>
      <c r="EUM65"/>
      <c r="EUN65"/>
      <c r="EUO65"/>
      <c r="EUP65"/>
      <c r="EUQ65"/>
      <c r="EUR65"/>
      <c r="EUS65"/>
      <c r="EUT65"/>
      <c r="EUU65"/>
      <c r="EUV65"/>
      <c r="EUW65"/>
      <c r="EUX65"/>
      <c r="EUY65"/>
      <c r="EUZ65"/>
      <c r="EVA65"/>
      <c r="EVB65"/>
      <c r="EVC65"/>
      <c r="EVD65"/>
      <c r="EVE65"/>
      <c r="EVF65"/>
      <c r="EVG65"/>
      <c r="EVH65"/>
      <c r="EVI65"/>
      <c r="EVJ65"/>
      <c r="EVK65"/>
      <c r="EVL65"/>
      <c r="EVM65"/>
      <c r="EVN65"/>
      <c r="EVO65"/>
      <c r="EVP65"/>
      <c r="EVQ65"/>
      <c r="EVR65"/>
      <c r="EVS65"/>
      <c r="EVT65"/>
      <c r="EVU65"/>
      <c r="EVV65"/>
      <c r="EVW65"/>
      <c r="EVX65"/>
      <c r="EVY65"/>
      <c r="EVZ65"/>
      <c r="EWA65"/>
      <c r="EWB65"/>
      <c r="EWC65"/>
      <c r="EWD65"/>
      <c r="EWE65"/>
      <c r="EWF65"/>
      <c r="EWG65"/>
      <c r="EWH65"/>
      <c r="EWI65"/>
      <c r="EWJ65"/>
      <c r="EWK65"/>
      <c r="EWL65"/>
      <c r="EWM65"/>
      <c r="EWN65"/>
      <c r="EWO65"/>
      <c r="EWP65"/>
      <c r="EWQ65"/>
      <c r="EWR65"/>
      <c r="EWS65"/>
      <c r="EWT65"/>
      <c r="EWU65"/>
      <c r="EWV65"/>
      <c r="EWW65"/>
      <c r="EWX65"/>
      <c r="EWY65"/>
      <c r="EWZ65"/>
      <c r="EXA65"/>
      <c r="EXB65"/>
      <c r="EXC65"/>
      <c r="EXD65"/>
      <c r="EXE65"/>
      <c r="EXF65"/>
      <c r="EXG65"/>
      <c r="EXH65"/>
      <c r="EXI65"/>
      <c r="EXJ65"/>
      <c r="EXK65"/>
      <c r="EXL65"/>
      <c r="EXM65"/>
      <c r="EXN65"/>
      <c r="EXO65"/>
      <c r="EXP65"/>
      <c r="EXQ65"/>
      <c r="EXR65"/>
      <c r="EXS65"/>
      <c r="EXT65"/>
      <c r="EXU65"/>
      <c r="EXV65"/>
      <c r="EXW65"/>
      <c r="EXX65"/>
      <c r="EXY65"/>
      <c r="EXZ65"/>
      <c r="EYA65"/>
      <c r="EYB65"/>
      <c r="EYC65"/>
      <c r="EYD65"/>
      <c r="EYE65"/>
      <c r="EYF65"/>
      <c r="EYG65"/>
      <c r="EYH65"/>
      <c r="EYI65"/>
      <c r="EYJ65"/>
      <c r="EYK65"/>
      <c r="EYL65"/>
      <c r="EYM65"/>
      <c r="EYN65"/>
      <c r="EYO65"/>
      <c r="EYP65"/>
      <c r="EYQ65"/>
      <c r="EYR65"/>
      <c r="EYS65"/>
      <c r="EYT65"/>
      <c r="EYU65"/>
      <c r="EYV65"/>
      <c r="EYW65"/>
      <c r="EYX65"/>
      <c r="EYY65"/>
      <c r="EYZ65"/>
      <c r="EZA65"/>
      <c r="EZB65"/>
      <c r="EZC65"/>
      <c r="EZD65"/>
      <c r="EZE65"/>
      <c r="EZF65"/>
      <c r="EZG65"/>
      <c r="EZH65"/>
      <c r="EZI65"/>
      <c r="EZJ65"/>
      <c r="EZK65"/>
      <c r="EZL65"/>
      <c r="EZM65"/>
      <c r="EZN65"/>
      <c r="EZO65"/>
      <c r="EZP65"/>
      <c r="EZQ65"/>
      <c r="EZR65"/>
      <c r="EZS65"/>
      <c r="EZT65"/>
      <c r="EZU65"/>
      <c r="EZV65"/>
      <c r="EZW65"/>
      <c r="EZX65"/>
      <c r="EZY65"/>
      <c r="EZZ65"/>
      <c r="FAA65"/>
      <c r="FAB65"/>
      <c r="FAC65"/>
      <c r="FAD65"/>
      <c r="FAE65"/>
      <c r="FAF65"/>
      <c r="FAG65"/>
      <c r="FAH65"/>
      <c r="FAI65"/>
      <c r="FAJ65"/>
      <c r="FAK65"/>
      <c r="FAL65"/>
      <c r="FAM65"/>
      <c r="FAN65"/>
      <c r="FAO65"/>
      <c r="FAP65"/>
      <c r="FAQ65"/>
      <c r="FAR65"/>
      <c r="FAS65"/>
      <c r="FAT65"/>
      <c r="FAU65"/>
      <c r="FAV65"/>
      <c r="FAW65"/>
      <c r="FAX65"/>
      <c r="FAY65"/>
      <c r="FAZ65"/>
      <c r="FBA65"/>
      <c r="FBB65"/>
      <c r="FBC65"/>
      <c r="FBD65"/>
      <c r="FBE65"/>
      <c r="FBF65"/>
      <c r="FBG65"/>
      <c r="FBH65"/>
      <c r="FBI65"/>
      <c r="FBJ65"/>
      <c r="FBK65"/>
      <c r="FBL65"/>
      <c r="FBM65"/>
      <c r="FBN65"/>
      <c r="FBO65"/>
      <c r="FBP65"/>
      <c r="FBQ65"/>
      <c r="FBR65"/>
      <c r="FBS65"/>
      <c r="FBT65"/>
      <c r="FBU65"/>
      <c r="FBV65"/>
      <c r="FBW65"/>
      <c r="FBX65"/>
      <c r="FBY65"/>
      <c r="FBZ65"/>
      <c r="FCA65"/>
      <c r="FCB65"/>
      <c r="FCC65"/>
      <c r="FCD65"/>
      <c r="FCE65"/>
      <c r="FCF65"/>
      <c r="FCG65"/>
      <c r="FCH65"/>
      <c r="FCI65"/>
      <c r="FCJ65"/>
      <c r="FCK65"/>
      <c r="FCL65"/>
      <c r="FCM65"/>
      <c r="FCN65"/>
      <c r="FCO65"/>
      <c r="FCP65"/>
      <c r="FCQ65"/>
      <c r="FCR65"/>
      <c r="FCS65"/>
      <c r="FCT65"/>
      <c r="FCU65"/>
      <c r="FCV65"/>
      <c r="FCW65"/>
      <c r="FCX65"/>
      <c r="FCY65"/>
      <c r="FCZ65"/>
      <c r="FDA65"/>
      <c r="FDB65"/>
      <c r="FDC65"/>
      <c r="FDD65"/>
      <c r="FDE65"/>
      <c r="FDF65"/>
      <c r="FDG65"/>
      <c r="FDH65"/>
      <c r="FDI65"/>
      <c r="FDJ65"/>
      <c r="FDK65"/>
      <c r="FDL65"/>
      <c r="FDM65"/>
      <c r="FDN65"/>
      <c r="FDO65"/>
      <c r="FDP65"/>
      <c r="FDQ65"/>
      <c r="FDR65"/>
      <c r="FDS65"/>
      <c r="FDT65"/>
      <c r="FDU65"/>
      <c r="FDV65"/>
      <c r="FDW65"/>
      <c r="FDX65"/>
      <c r="FDY65"/>
      <c r="FDZ65"/>
      <c r="FEA65"/>
      <c r="FEB65"/>
      <c r="FEC65"/>
      <c r="FED65"/>
      <c r="FEE65"/>
      <c r="FEF65"/>
      <c r="FEG65"/>
      <c r="FEH65"/>
      <c r="FEI65"/>
      <c r="FEJ65"/>
      <c r="FEK65"/>
      <c r="FEL65"/>
      <c r="FEM65"/>
      <c r="FEN65"/>
      <c r="FEO65"/>
      <c r="FEP65"/>
      <c r="FEQ65"/>
      <c r="FER65"/>
      <c r="FES65"/>
      <c r="FET65"/>
      <c r="FEU65"/>
      <c r="FEV65"/>
      <c r="FEW65"/>
      <c r="FEX65"/>
      <c r="FEY65"/>
      <c r="FEZ65"/>
      <c r="FFA65"/>
      <c r="FFB65"/>
      <c r="FFC65"/>
      <c r="FFD65"/>
      <c r="FFE65"/>
      <c r="FFF65"/>
      <c r="FFG65"/>
      <c r="FFH65"/>
      <c r="FFI65"/>
      <c r="FFJ65"/>
      <c r="FFK65"/>
      <c r="FFL65"/>
      <c r="FFM65"/>
      <c r="FFN65"/>
      <c r="FFO65"/>
      <c r="FFP65"/>
      <c r="FFQ65"/>
      <c r="FFR65"/>
      <c r="FFS65"/>
      <c r="FFT65"/>
      <c r="FFU65"/>
      <c r="FFV65"/>
      <c r="FFW65"/>
      <c r="FFX65"/>
      <c r="FFY65"/>
      <c r="FFZ65"/>
      <c r="FGA65"/>
      <c r="FGB65"/>
      <c r="FGC65"/>
      <c r="FGD65"/>
      <c r="FGE65"/>
      <c r="FGF65"/>
      <c r="FGG65"/>
      <c r="FGH65"/>
      <c r="FGI65"/>
      <c r="FGJ65"/>
      <c r="FGK65"/>
      <c r="FGL65"/>
      <c r="FGM65"/>
      <c r="FGN65"/>
      <c r="FGO65"/>
      <c r="FGP65"/>
      <c r="FGQ65"/>
      <c r="FGR65"/>
      <c r="FGS65"/>
      <c r="FGT65"/>
      <c r="FGU65"/>
      <c r="FGV65"/>
      <c r="FGW65"/>
      <c r="FGX65"/>
      <c r="FGY65"/>
      <c r="FGZ65"/>
      <c r="FHA65"/>
      <c r="FHB65"/>
      <c r="FHC65"/>
      <c r="FHD65"/>
      <c r="FHE65"/>
      <c r="FHF65"/>
      <c r="FHG65"/>
      <c r="FHH65"/>
      <c r="FHI65"/>
      <c r="FHJ65"/>
      <c r="FHK65"/>
      <c r="FHL65"/>
      <c r="FHM65"/>
      <c r="FHN65"/>
      <c r="FHO65"/>
      <c r="FHP65"/>
      <c r="FHQ65"/>
      <c r="FHR65"/>
      <c r="FHS65"/>
      <c r="FHT65"/>
      <c r="FHU65"/>
      <c r="FHV65"/>
      <c r="FHW65"/>
      <c r="FHX65"/>
      <c r="FHY65"/>
      <c r="FHZ65"/>
      <c r="FIA65"/>
      <c r="FIB65"/>
      <c r="FIC65"/>
      <c r="FID65"/>
      <c r="FIE65"/>
      <c r="FIF65"/>
      <c r="FIG65"/>
      <c r="FIH65"/>
      <c r="FII65"/>
      <c r="FIJ65"/>
      <c r="FIK65"/>
      <c r="FIL65"/>
      <c r="FIM65"/>
      <c r="FIN65"/>
      <c r="FIO65"/>
      <c r="FIP65"/>
      <c r="FIQ65"/>
      <c r="FIR65"/>
      <c r="FIS65"/>
      <c r="FIT65"/>
      <c r="FIU65"/>
      <c r="FIV65"/>
      <c r="FIW65"/>
      <c r="FIX65"/>
      <c r="FIY65"/>
      <c r="FIZ65"/>
      <c r="FJA65"/>
      <c r="FJB65"/>
      <c r="FJC65"/>
      <c r="FJD65"/>
      <c r="FJE65"/>
      <c r="FJF65"/>
      <c r="FJG65"/>
      <c r="FJH65"/>
      <c r="FJI65"/>
      <c r="FJJ65"/>
      <c r="FJK65"/>
      <c r="FJL65"/>
      <c r="FJM65"/>
      <c r="FJN65"/>
      <c r="FJO65"/>
      <c r="FJP65"/>
      <c r="FJQ65"/>
      <c r="FJR65"/>
      <c r="FJS65"/>
      <c r="FJT65"/>
      <c r="FJU65"/>
      <c r="FJV65"/>
      <c r="FJW65"/>
      <c r="FJX65"/>
      <c r="FJY65"/>
      <c r="FJZ65"/>
      <c r="FKA65"/>
      <c r="FKB65"/>
      <c r="FKC65"/>
      <c r="FKD65"/>
      <c r="FKE65"/>
      <c r="FKF65"/>
      <c r="FKG65"/>
      <c r="FKH65"/>
      <c r="FKI65"/>
      <c r="FKJ65"/>
      <c r="FKK65"/>
      <c r="FKL65"/>
      <c r="FKM65"/>
      <c r="FKN65"/>
      <c r="FKO65"/>
      <c r="FKP65"/>
      <c r="FKQ65"/>
      <c r="FKR65"/>
      <c r="FKS65"/>
      <c r="FKT65"/>
      <c r="FKU65"/>
      <c r="FKV65"/>
      <c r="FKW65"/>
      <c r="FKX65"/>
      <c r="FKY65"/>
      <c r="FKZ65"/>
      <c r="FLA65"/>
      <c r="FLB65"/>
      <c r="FLC65"/>
      <c r="FLD65"/>
      <c r="FLE65"/>
      <c r="FLF65"/>
      <c r="FLG65"/>
      <c r="FLH65"/>
      <c r="FLI65"/>
      <c r="FLJ65"/>
      <c r="FLK65"/>
      <c r="FLL65"/>
      <c r="FLM65"/>
      <c r="FLN65"/>
      <c r="FLO65"/>
      <c r="FLP65"/>
      <c r="FLQ65"/>
      <c r="FLR65"/>
      <c r="FLS65"/>
      <c r="FLT65"/>
      <c r="FLU65"/>
      <c r="FLV65"/>
      <c r="FLW65"/>
      <c r="FLX65"/>
      <c r="FLY65"/>
      <c r="FLZ65"/>
      <c r="FMA65"/>
      <c r="FMB65"/>
      <c r="FMC65"/>
      <c r="FMD65"/>
      <c r="FME65"/>
      <c r="FMF65"/>
      <c r="FMG65"/>
      <c r="FMH65"/>
      <c r="FMI65"/>
      <c r="FMJ65"/>
      <c r="FMK65"/>
      <c r="FML65"/>
      <c r="FMM65"/>
      <c r="FMN65"/>
      <c r="FMO65"/>
      <c r="FMP65"/>
      <c r="FMQ65"/>
      <c r="FMR65"/>
      <c r="FMS65"/>
      <c r="FMT65"/>
      <c r="FMU65"/>
      <c r="FMV65"/>
      <c r="FMW65"/>
      <c r="FMX65"/>
      <c r="FMY65"/>
      <c r="FMZ65"/>
      <c r="FNA65"/>
      <c r="FNB65"/>
      <c r="FNC65"/>
      <c r="FND65"/>
      <c r="FNE65"/>
      <c r="FNF65"/>
      <c r="FNG65"/>
      <c r="FNH65"/>
      <c r="FNI65"/>
      <c r="FNJ65"/>
      <c r="FNK65"/>
      <c r="FNL65"/>
      <c r="FNM65"/>
      <c r="FNN65"/>
      <c r="FNO65"/>
      <c r="FNP65"/>
      <c r="FNQ65"/>
      <c r="FNR65"/>
      <c r="FNS65"/>
      <c r="FNT65"/>
      <c r="FNU65"/>
      <c r="FNV65"/>
      <c r="FNW65"/>
      <c r="FNX65"/>
      <c r="FNY65"/>
      <c r="FNZ65"/>
      <c r="FOA65"/>
      <c r="FOB65"/>
      <c r="FOC65"/>
      <c r="FOD65"/>
      <c r="FOE65"/>
      <c r="FOF65"/>
      <c r="FOG65"/>
      <c r="FOH65"/>
      <c r="FOI65"/>
      <c r="FOJ65"/>
      <c r="FOK65"/>
      <c r="FOL65"/>
      <c r="FOM65"/>
      <c r="FON65"/>
      <c r="FOO65"/>
      <c r="FOP65"/>
      <c r="FOQ65"/>
      <c r="FOR65"/>
      <c r="FOS65"/>
      <c r="FOT65"/>
      <c r="FOU65"/>
      <c r="FOV65"/>
      <c r="FOW65"/>
      <c r="FOX65"/>
      <c r="FOY65"/>
      <c r="FOZ65"/>
      <c r="FPA65"/>
      <c r="FPB65"/>
      <c r="FPC65"/>
      <c r="FPD65"/>
      <c r="FPE65"/>
      <c r="FPF65"/>
      <c r="FPG65"/>
      <c r="FPH65"/>
      <c r="FPI65"/>
      <c r="FPJ65"/>
      <c r="FPK65"/>
      <c r="FPL65"/>
      <c r="FPM65"/>
      <c r="FPN65"/>
      <c r="FPO65"/>
      <c r="FPP65"/>
      <c r="FPQ65"/>
      <c r="FPR65"/>
      <c r="FPS65"/>
      <c r="FPT65"/>
      <c r="FPU65"/>
      <c r="FPV65"/>
      <c r="FPW65"/>
      <c r="FPX65"/>
      <c r="FPY65"/>
      <c r="FPZ65"/>
      <c r="FQA65"/>
      <c r="FQB65"/>
      <c r="FQC65"/>
      <c r="FQD65"/>
      <c r="FQE65"/>
      <c r="FQF65"/>
      <c r="FQG65"/>
      <c r="FQH65"/>
      <c r="FQI65"/>
      <c r="FQJ65"/>
      <c r="FQK65"/>
      <c r="FQL65"/>
      <c r="FQM65"/>
      <c r="FQN65"/>
      <c r="FQO65"/>
      <c r="FQP65"/>
      <c r="FQQ65"/>
      <c r="FQR65"/>
      <c r="FQS65"/>
      <c r="FQT65"/>
      <c r="FQU65"/>
      <c r="FQV65"/>
      <c r="FQW65"/>
      <c r="FQX65"/>
      <c r="FQY65"/>
      <c r="FQZ65"/>
      <c r="FRA65"/>
      <c r="FRB65"/>
      <c r="FRC65"/>
      <c r="FRD65"/>
      <c r="FRE65"/>
      <c r="FRF65"/>
      <c r="FRG65"/>
      <c r="FRH65"/>
      <c r="FRI65"/>
      <c r="FRJ65"/>
      <c r="FRK65"/>
      <c r="FRL65"/>
      <c r="FRM65"/>
      <c r="FRN65"/>
      <c r="FRO65"/>
      <c r="FRP65"/>
      <c r="FRQ65"/>
      <c r="FRR65"/>
      <c r="FRS65"/>
      <c r="FRT65"/>
      <c r="FRU65"/>
      <c r="FRV65"/>
      <c r="FRW65"/>
      <c r="FRX65"/>
      <c r="FRY65"/>
      <c r="FRZ65"/>
      <c r="FSA65"/>
      <c r="FSB65"/>
      <c r="FSC65"/>
      <c r="FSD65"/>
      <c r="FSE65"/>
      <c r="FSF65"/>
      <c r="FSG65"/>
      <c r="FSH65"/>
      <c r="FSI65"/>
      <c r="FSJ65"/>
      <c r="FSK65"/>
      <c r="FSL65"/>
      <c r="FSM65"/>
      <c r="FSN65"/>
      <c r="FSO65"/>
      <c r="FSP65"/>
      <c r="FSQ65"/>
      <c r="FSR65"/>
      <c r="FSS65"/>
      <c r="FST65"/>
      <c r="FSU65"/>
      <c r="FSV65"/>
      <c r="FSW65"/>
      <c r="FSX65"/>
      <c r="FSY65"/>
      <c r="FSZ65"/>
      <c r="FTA65"/>
      <c r="FTB65"/>
      <c r="FTC65"/>
      <c r="FTD65"/>
      <c r="FTE65"/>
      <c r="FTF65"/>
      <c r="FTG65"/>
      <c r="FTH65"/>
      <c r="FTI65"/>
      <c r="FTJ65"/>
      <c r="FTK65"/>
      <c r="FTL65"/>
      <c r="FTM65"/>
      <c r="FTN65"/>
      <c r="FTO65"/>
      <c r="FTP65"/>
      <c r="FTQ65"/>
      <c r="FTR65"/>
      <c r="FTS65"/>
      <c r="FTT65"/>
      <c r="FTU65"/>
      <c r="FTV65"/>
      <c r="FTW65"/>
      <c r="FTX65"/>
      <c r="FTY65"/>
      <c r="FTZ65"/>
      <c r="FUA65"/>
      <c r="FUB65"/>
      <c r="FUC65"/>
      <c r="FUD65"/>
      <c r="FUE65"/>
      <c r="FUF65"/>
      <c r="FUG65"/>
      <c r="FUH65"/>
      <c r="FUI65"/>
      <c r="FUJ65"/>
      <c r="FUK65"/>
      <c r="FUL65"/>
      <c r="FUM65"/>
      <c r="FUN65"/>
      <c r="FUO65"/>
      <c r="FUP65"/>
      <c r="FUQ65"/>
      <c r="FUR65"/>
      <c r="FUS65"/>
      <c r="FUT65"/>
      <c r="FUU65"/>
      <c r="FUV65"/>
      <c r="FUW65"/>
      <c r="FUX65"/>
      <c r="FUY65"/>
      <c r="FUZ65"/>
      <c r="FVA65"/>
      <c r="FVB65"/>
      <c r="FVC65"/>
      <c r="FVD65"/>
      <c r="FVE65"/>
      <c r="FVF65"/>
      <c r="FVG65"/>
      <c r="FVH65"/>
      <c r="FVI65"/>
      <c r="FVJ65"/>
      <c r="FVK65"/>
      <c r="FVL65"/>
      <c r="FVM65"/>
      <c r="FVN65"/>
      <c r="FVO65"/>
      <c r="FVP65"/>
      <c r="FVQ65"/>
      <c r="FVR65"/>
      <c r="FVS65"/>
      <c r="FVT65"/>
      <c r="FVU65"/>
      <c r="FVV65"/>
      <c r="FVW65"/>
      <c r="FVX65"/>
      <c r="FVY65"/>
      <c r="FVZ65"/>
      <c r="FWA65"/>
      <c r="FWB65"/>
      <c r="FWC65"/>
      <c r="FWD65"/>
      <c r="FWE65"/>
      <c r="FWF65"/>
      <c r="FWG65"/>
      <c r="FWH65"/>
      <c r="FWI65"/>
      <c r="FWJ65"/>
      <c r="FWK65"/>
      <c r="FWL65"/>
      <c r="FWM65"/>
      <c r="FWN65"/>
      <c r="FWO65"/>
      <c r="FWP65"/>
      <c r="FWQ65"/>
      <c r="FWR65"/>
      <c r="FWS65"/>
      <c r="FWT65"/>
      <c r="FWU65"/>
      <c r="FWV65"/>
      <c r="FWW65"/>
      <c r="FWX65"/>
      <c r="FWY65"/>
      <c r="FWZ65"/>
      <c r="FXA65"/>
      <c r="FXB65"/>
      <c r="FXC65"/>
      <c r="FXD65"/>
      <c r="FXE65"/>
      <c r="FXF65"/>
      <c r="FXG65"/>
      <c r="FXH65"/>
      <c r="FXI65"/>
      <c r="FXJ65"/>
      <c r="FXK65"/>
      <c r="FXL65"/>
      <c r="FXM65"/>
      <c r="FXN65"/>
      <c r="FXO65"/>
      <c r="FXP65"/>
      <c r="FXQ65"/>
      <c r="FXR65"/>
      <c r="FXS65"/>
      <c r="FXT65"/>
      <c r="FXU65"/>
      <c r="FXV65"/>
      <c r="FXW65"/>
      <c r="FXX65"/>
      <c r="FXY65"/>
      <c r="FXZ65"/>
      <c r="FYA65"/>
      <c r="FYB65"/>
      <c r="FYC65"/>
      <c r="FYD65"/>
      <c r="FYE65"/>
      <c r="FYF65"/>
      <c r="FYG65"/>
      <c r="FYH65"/>
      <c r="FYI65"/>
      <c r="FYJ65"/>
      <c r="FYK65"/>
      <c r="FYL65"/>
      <c r="FYM65"/>
      <c r="FYN65"/>
      <c r="FYO65"/>
      <c r="FYP65"/>
      <c r="FYQ65"/>
      <c r="FYR65"/>
      <c r="FYS65"/>
      <c r="FYT65"/>
      <c r="FYU65"/>
      <c r="FYV65"/>
      <c r="FYW65"/>
      <c r="FYX65"/>
      <c r="FYY65"/>
      <c r="FYZ65"/>
      <c r="FZA65"/>
      <c r="FZB65"/>
      <c r="FZC65"/>
      <c r="FZD65"/>
      <c r="FZE65"/>
      <c r="FZF65"/>
      <c r="FZG65"/>
      <c r="FZH65"/>
      <c r="FZI65"/>
      <c r="FZJ65"/>
      <c r="FZK65"/>
      <c r="FZL65"/>
      <c r="FZM65"/>
      <c r="FZN65"/>
      <c r="FZO65"/>
      <c r="FZP65"/>
      <c r="FZQ65"/>
      <c r="FZR65"/>
      <c r="FZS65"/>
      <c r="FZT65"/>
      <c r="FZU65"/>
      <c r="FZV65"/>
      <c r="FZW65"/>
      <c r="FZX65"/>
      <c r="FZY65"/>
      <c r="FZZ65"/>
      <c r="GAA65"/>
      <c r="GAB65"/>
      <c r="GAC65"/>
      <c r="GAD65"/>
      <c r="GAE65"/>
      <c r="GAF65"/>
      <c r="GAG65"/>
      <c r="GAH65"/>
      <c r="GAI65"/>
      <c r="GAJ65"/>
      <c r="GAK65"/>
      <c r="GAL65"/>
      <c r="GAM65"/>
      <c r="GAN65"/>
      <c r="GAO65"/>
      <c r="GAP65"/>
      <c r="GAQ65"/>
      <c r="GAR65"/>
      <c r="GAS65"/>
      <c r="GAT65"/>
      <c r="GAU65"/>
      <c r="GAV65"/>
      <c r="GAW65"/>
      <c r="GAX65"/>
      <c r="GAY65"/>
      <c r="GAZ65"/>
      <c r="GBA65"/>
      <c r="GBB65"/>
      <c r="GBC65"/>
      <c r="GBD65"/>
      <c r="GBE65"/>
      <c r="GBF65"/>
      <c r="GBG65"/>
      <c r="GBH65"/>
      <c r="GBI65"/>
      <c r="GBJ65"/>
      <c r="GBK65"/>
      <c r="GBL65"/>
      <c r="GBM65"/>
      <c r="GBN65"/>
      <c r="GBO65"/>
      <c r="GBP65"/>
      <c r="GBQ65"/>
      <c r="GBR65"/>
      <c r="GBS65"/>
      <c r="GBT65"/>
      <c r="GBU65"/>
      <c r="GBV65"/>
      <c r="GBW65"/>
      <c r="GBX65"/>
      <c r="GBY65"/>
      <c r="GBZ65"/>
      <c r="GCA65"/>
      <c r="GCB65"/>
      <c r="GCC65"/>
      <c r="GCD65"/>
      <c r="GCE65"/>
      <c r="GCF65"/>
      <c r="GCG65"/>
      <c r="GCH65"/>
      <c r="GCI65"/>
      <c r="GCJ65"/>
      <c r="GCK65"/>
      <c r="GCL65"/>
      <c r="GCM65"/>
      <c r="GCN65"/>
      <c r="GCO65"/>
      <c r="GCP65"/>
      <c r="GCQ65"/>
      <c r="GCR65"/>
      <c r="GCS65"/>
      <c r="GCT65"/>
      <c r="GCU65"/>
      <c r="GCV65"/>
      <c r="GCW65"/>
      <c r="GCX65"/>
      <c r="GCY65"/>
      <c r="GCZ65"/>
      <c r="GDA65"/>
      <c r="GDB65"/>
      <c r="GDC65"/>
      <c r="GDD65"/>
      <c r="GDE65"/>
      <c r="GDF65"/>
      <c r="GDG65"/>
      <c r="GDH65"/>
      <c r="GDI65"/>
      <c r="GDJ65"/>
      <c r="GDK65"/>
      <c r="GDL65"/>
      <c r="GDM65"/>
      <c r="GDN65"/>
      <c r="GDO65"/>
      <c r="GDP65"/>
      <c r="GDQ65"/>
      <c r="GDR65"/>
      <c r="GDS65"/>
      <c r="GDT65"/>
      <c r="GDU65"/>
      <c r="GDV65"/>
      <c r="GDW65"/>
      <c r="GDX65"/>
      <c r="GDY65"/>
      <c r="GDZ65"/>
      <c r="GEA65"/>
      <c r="GEB65"/>
      <c r="GEC65"/>
      <c r="GED65"/>
      <c r="GEE65"/>
      <c r="GEF65"/>
      <c r="GEG65"/>
      <c r="GEH65"/>
      <c r="GEI65"/>
      <c r="GEJ65"/>
      <c r="GEK65"/>
      <c r="GEL65"/>
      <c r="GEM65"/>
      <c r="GEN65"/>
      <c r="GEO65"/>
      <c r="GEP65"/>
      <c r="GEQ65"/>
      <c r="GER65"/>
      <c r="GES65"/>
      <c r="GET65"/>
      <c r="GEU65"/>
      <c r="GEV65"/>
      <c r="GEW65"/>
      <c r="GEX65"/>
      <c r="GEY65"/>
      <c r="GEZ65"/>
      <c r="GFA65"/>
      <c r="GFB65"/>
      <c r="GFC65"/>
      <c r="GFD65"/>
      <c r="GFE65"/>
      <c r="GFF65"/>
      <c r="GFG65"/>
      <c r="GFH65"/>
      <c r="GFI65"/>
      <c r="GFJ65"/>
      <c r="GFK65"/>
      <c r="GFL65"/>
      <c r="GFM65"/>
      <c r="GFN65"/>
      <c r="GFO65"/>
      <c r="GFP65"/>
      <c r="GFQ65"/>
      <c r="GFR65"/>
      <c r="GFS65"/>
      <c r="GFT65"/>
      <c r="GFU65"/>
      <c r="GFV65"/>
      <c r="GFW65"/>
      <c r="GFX65"/>
      <c r="GFY65"/>
      <c r="GFZ65"/>
      <c r="GGA65"/>
      <c r="GGB65"/>
      <c r="GGC65"/>
      <c r="GGD65"/>
      <c r="GGE65"/>
      <c r="GGF65"/>
      <c r="GGG65"/>
      <c r="GGH65"/>
      <c r="GGI65"/>
      <c r="GGJ65"/>
      <c r="GGK65"/>
      <c r="GGL65"/>
      <c r="GGM65"/>
      <c r="GGN65"/>
      <c r="GGO65"/>
      <c r="GGP65"/>
      <c r="GGQ65"/>
      <c r="GGR65"/>
      <c r="GGS65"/>
      <c r="GGT65"/>
      <c r="GGU65"/>
      <c r="GGV65"/>
      <c r="GGW65"/>
      <c r="GGX65"/>
      <c r="GGY65"/>
      <c r="GGZ65"/>
      <c r="GHA65"/>
      <c r="GHB65"/>
      <c r="GHC65"/>
      <c r="GHD65"/>
      <c r="GHE65"/>
      <c r="GHF65"/>
      <c r="GHG65"/>
      <c r="GHH65"/>
      <c r="GHI65"/>
      <c r="GHJ65"/>
      <c r="GHK65"/>
      <c r="GHL65"/>
      <c r="GHM65"/>
      <c r="GHN65"/>
      <c r="GHO65"/>
      <c r="GHP65"/>
      <c r="GHQ65"/>
      <c r="GHR65"/>
      <c r="GHS65"/>
      <c r="GHT65"/>
      <c r="GHU65"/>
      <c r="GHV65"/>
      <c r="GHW65"/>
      <c r="GHX65"/>
      <c r="GHY65"/>
      <c r="GHZ65"/>
      <c r="GIA65"/>
      <c r="GIB65"/>
      <c r="GIC65"/>
      <c r="GID65"/>
      <c r="GIE65"/>
      <c r="GIF65"/>
      <c r="GIG65"/>
      <c r="GIH65"/>
      <c r="GII65"/>
      <c r="GIJ65"/>
      <c r="GIK65"/>
      <c r="GIL65"/>
      <c r="GIM65"/>
      <c r="GIN65"/>
      <c r="GIO65"/>
      <c r="GIP65"/>
      <c r="GIQ65"/>
      <c r="GIR65"/>
      <c r="GIS65"/>
      <c r="GIT65"/>
      <c r="GIU65"/>
      <c r="GIV65"/>
      <c r="GIW65"/>
      <c r="GIX65"/>
      <c r="GIY65"/>
      <c r="GIZ65"/>
      <c r="GJA65"/>
      <c r="GJB65"/>
      <c r="GJC65"/>
      <c r="GJD65"/>
      <c r="GJE65"/>
      <c r="GJF65"/>
      <c r="GJG65"/>
      <c r="GJH65"/>
      <c r="GJI65"/>
      <c r="GJJ65"/>
      <c r="GJK65"/>
      <c r="GJL65"/>
      <c r="GJM65"/>
      <c r="GJN65"/>
      <c r="GJO65"/>
      <c r="GJP65"/>
      <c r="GJQ65"/>
      <c r="GJR65"/>
      <c r="GJS65"/>
      <c r="GJT65"/>
      <c r="GJU65"/>
      <c r="GJV65"/>
      <c r="GJW65"/>
      <c r="GJX65"/>
      <c r="GJY65"/>
      <c r="GJZ65"/>
      <c r="GKA65"/>
      <c r="GKB65"/>
      <c r="GKC65"/>
      <c r="GKD65"/>
      <c r="GKE65"/>
      <c r="GKF65"/>
      <c r="GKG65"/>
      <c r="GKH65"/>
      <c r="GKI65"/>
      <c r="GKJ65"/>
      <c r="GKK65"/>
      <c r="GKL65"/>
      <c r="GKM65"/>
      <c r="GKN65"/>
      <c r="GKO65"/>
      <c r="GKP65"/>
      <c r="GKQ65"/>
      <c r="GKR65"/>
      <c r="GKS65"/>
      <c r="GKT65"/>
      <c r="GKU65"/>
      <c r="GKV65"/>
      <c r="GKW65"/>
      <c r="GKX65"/>
      <c r="GKY65"/>
      <c r="GKZ65"/>
      <c r="GLA65"/>
      <c r="GLB65"/>
      <c r="GLC65"/>
      <c r="GLD65"/>
      <c r="GLE65"/>
      <c r="GLF65"/>
      <c r="GLG65"/>
      <c r="GLH65"/>
      <c r="GLI65"/>
      <c r="GLJ65"/>
      <c r="GLK65"/>
      <c r="GLL65"/>
      <c r="GLM65"/>
      <c r="GLN65"/>
      <c r="GLO65"/>
      <c r="GLP65"/>
      <c r="GLQ65"/>
      <c r="GLR65"/>
      <c r="GLS65"/>
      <c r="GLT65"/>
      <c r="GLU65"/>
      <c r="GLV65"/>
      <c r="GLW65"/>
      <c r="GLX65"/>
      <c r="GLY65"/>
      <c r="GLZ65"/>
      <c r="GMA65"/>
      <c r="GMB65"/>
      <c r="GMC65"/>
      <c r="GMD65"/>
      <c r="GME65"/>
      <c r="GMF65"/>
      <c r="GMG65"/>
      <c r="GMH65"/>
      <c r="GMI65"/>
      <c r="GMJ65"/>
      <c r="GMK65"/>
      <c r="GML65"/>
      <c r="GMM65"/>
      <c r="GMN65"/>
      <c r="GMO65"/>
      <c r="GMP65"/>
      <c r="GMQ65"/>
      <c r="GMR65"/>
      <c r="GMS65"/>
      <c r="GMT65"/>
      <c r="GMU65"/>
      <c r="GMV65"/>
      <c r="GMW65"/>
      <c r="GMX65"/>
      <c r="GMY65"/>
      <c r="GMZ65"/>
      <c r="GNA65"/>
      <c r="GNB65"/>
      <c r="GNC65"/>
      <c r="GND65"/>
      <c r="GNE65"/>
      <c r="GNF65"/>
      <c r="GNG65"/>
      <c r="GNH65"/>
      <c r="GNI65"/>
      <c r="GNJ65"/>
      <c r="GNK65"/>
      <c r="GNL65"/>
      <c r="GNM65"/>
      <c r="GNN65"/>
      <c r="GNO65"/>
      <c r="GNP65"/>
      <c r="GNQ65"/>
      <c r="GNR65"/>
      <c r="GNS65"/>
      <c r="GNT65"/>
      <c r="GNU65"/>
      <c r="GNV65"/>
      <c r="GNW65"/>
      <c r="GNX65"/>
      <c r="GNY65"/>
      <c r="GNZ65"/>
      <c r="GOA65"/>
      <c r="GOB65"/>
      <c r="GOC65"/>
      <c r="GOD65"/>
      <c r="GOE65"/>
      <c r="GOF65"/>
      <c r="GOG65"/>
      <c r="GOH65"/>
      <c r="GOI65"/>
      <c r="GOJ65"/>
      <c r="GOK65"/>
      <c r="GOL65"/>
      <c r="GOM65"/>
      <c r="GON65"/>
      <c r="GOO65"/>
      <c r="GOP65"/>
      <c r="GOQ65"/>
      <c r="GOR65"/>
      <c r="GOS65"/>
      <c r="GOT65"/>
      <c r="GOU65"/>
      <c r="GOV65"/>
      <c r="GOW65"/>
      <c r="GOX65"/>
      <c r="GOY65"/>
      <c r="GOZ65"/>
      <c r="GPA65"/>
      <c r="GPB65"/>
      <c r="GPC65"/>
      <c r="GPD65"/>
      <c r="GPE65"/>
      <c r="GPF65"/>
      <c r="GPG65"/>
      <c r="GPH65"/>
      <c r="GPI65"/>
      <c r="GPJ65"/>
      <c r="GPK65"/>
      <c r="GPL65"/>
      <c r="GPM65"/>
      <c r="GPN65"/>
      <c r="GPO65"/>
      <c r="GPP65"/>
      <c r="GPQ65"/>
      <c r="GPR65"/>
      <c r="GPS65"/>
      <c r="GPT65"/>
      <c r="GPU65"/>
      <c r="GPV65"/>
      <c r="GPW65"/>
      <c r="GPX65"/>
      <c r="GPY65"/>
      <c r="GPZ65"/>
      <c r="GQA65"/>
      <c r="GQB65"/>
      <c r="GQC65"/>
      <c r="GQD65"/>
      <c r="GQE65"/>
      <c r="GQF65"/>
      <c r="GQG65"/>
      <c r="GQH65"/>
      <c r="GQI65"/>
      <c r="GQJ65"/>
      <c r="GQK65"/>
      <c r="GQL65"/>
      <c r="GQM65"/>
      <c r="GQN65"/>
      <c r="GQO65"/>
      <c r="GQP65"/>
      <c r="GQQ65"/>
      <c r="GQR65"/>
      <c r="GQS65"/>
      <c r="GQT65"/>
      <c r="GQU65"/>
      <c r="GQV65"/>
      <c r="GQW65"/>
      <c r="GQX65"/>
      <c r="GQY65"/>
      <c r="GQZ65"/>
      <c r="GRA65"/>
      <c r="GRB65"/>
      <c r="GRC65"/>
      <c r="GRD65"/>
      <c r="GRE65"/>
      <c r="GRF65"/>
      <c r="GRG65"/>
      <c r="GRH65"/>
      <c r="GRI65"/>
      <c r="GRJ65"/>
      <c r="GRK65"/>
      <c r="GRL65"/>
      <c r="GRM65"/>
      <c r="GRN65"/>
      <c r="GRO65"/>
      <c r="GRP65"/>
      <c r="GRQ65"/>
      <c r="GRR65"/>
      <c r="GRS65"/>
      <c r="GRT65"/>
      <c r="GRU65"/>
      <c r="GRV65"/>
      <c r="GRW65"/>
      <c r="GRX65"/>
      <c r="GRY65"/>
      <c r="GRZ65"/>
      <c r="GSA65"/>
      <c r="GSB65"/>
      <c r="GSC65"/>
      <c r="GSD65"/>
      <c r="GSE65"/>
      <c r="GSF65"/>
      <c r="GSG65"/>
      <c r="GSH65"/>
      <c r="GSI65"/>
      <c r="GSJ65"/>
      <c r="GSK65"/>
      <c r="GSL65"/>
      <c r="GSM65"/>
      <c r="GSN65"/>
      <c r="GSO65"/>
      <c r="GSP65"/>
      <c r="GSQ65"/>
      <c r="GSR65"/>
      <c r="GSS65"/>
      <c r="GST65"/>
      <c r="GSU65"/>
      <c r="GSV65"/>
      <c r="GSW65"/>
      <c r="GSX65"/>
      <c r="GSY65"/>
      <c r="GSZ65"/>
      <c r="GTA65"/>
      <c r="GTB65"/>
      <c r="GTC65"/>
      <c r="GTD65"/>
      <c r="GTE65"/>
      <c r="GTF65"/>
      <c r="GTG65"/>
      <c r="GTH65"/>
      <c r="GTI65"/>
      <c r="GTJ65"/>
      <c r="GTK65"/>
      <c r="GTL65"/>
      <c r="GTM65"/>
      <c r="GTN65"/>
      <c r="GTO65"/>
      <c r="GTP65"/>
      <c r="GTQ65"/>
      <c r="GTR65"/>
      <c r="GTS65"/>
      <c r="GTT65"/>
      <c r="GTU65"/>
      <c r="GTV65"/>
      <c r="GTW65"/>
      <c r="GTX65"/>
      <c r="GTY65"/>
      <c r="GTZ65"/>
      <c r="GUA65"/>
      <c r="GUB65"/>
      <c r="GUC65"/>
      <c r="GUD65"/>
      <c r="GUE65"/>
      <c r="GUF65"/>
      <c r="GUG65"/>
      <c r="GUH65"/>
      <c r="GUI65"/>
      <c r="GUJ65"/>
      <c r="GUK65"/>
      <c r="GUL65"/>
      <c r="GUM65"/>
      <c r="GUN65"/>
      <c r="GUO65"/>
      <c r="GUP65"/>
      <c r="GUQ65"/>
      <c r="GUR65"/>
      <c r="GUS65"/>
      <c r="GUT65"/>
      <c r="GUU65"/>
      <c r="GUV65"/>
      <c r="GUW65"/>
      <c r="GUX65"/>
      <c r="GUY65"/>
      <c r="GUZ65"/>
      <c r="GVA65"/>
      <c r="GVB65"/>
      <c r="GVC65"/>
      <c r="GVD65"/>
      <c r="GVE65"/>
      <c r="GVF65"/>
      <c r="GVG65"/>
      <c r="GVH65"/>
      <c r="GVI65"/>
      <c r="GVJ65"/>
      <c r="GVK65"/>
      <c r="GVL65"/>
      <c r="GVM65"/>
      <c r="GVN65"/>
      <c r="GVO65"/>
      <c r="GVP65"/>
      <c r="GVQ65"/>
      <c r="GVR65"/>
      <c r="GVS65"/>
      <c r="GVT65"/>
      <c r="GVU65"/>
      <c r="GVV65"/>
      <c r="GVW65"/>
      <c r="GVX65"/>
      <c r="GVY65"/>
      <c r="GVZ65"/>
      <c r="GWA65"/>
      <c r="GWB65"/>
      <c r="GWC65"/>
      <c r="GWD65"/>
      <c r="GWE65"/>
      <c r="GWF65"/>
      <c r="GWG65"/>
      <c r="GWH65"/>
      <c r="GWI65"/>
      <c r="GWJ65"/>
      <c r="GWK65"/>
      <c r="GWL65"/>
      <c r="GWM65"/>
      <c r="GWN65"/>
      <c r="GWO65"/>
      <c r="GWP65"/>
      <c r="GWQ65"/>
      <c r="GWR65"/>
      <c r="GWS65"/>
      <c r="GWT65"/>
      <c r="GWU65"/>
      <c r="GWV65"/>
      <c r="GWW65"/>
      <c r="GWX65"/>
      <c r="GWY65"/>
      <c r="GWZ65"/>
      <c r="GXA65"/>
      <c r="GXB65"/>
      <c r="GXC65"/>
      <c r="GXD65"/>
      <c r="GXE65"/>
      <c r="GXF65"/>
      <c r="GXG65"/>
      <c r="GXH65"/>
      <c r="GXI65"/>
      <c r="GXJ65"/>
      <c r="GXK65"/>
      <c r="GXL65"/>
      <c r="GXM65"/>
      <c r="GXN65"/>
      <c r="GXO65"/>
      <c r="GXP65"/>
      <c r="GXQ65"/>
      <c r="GXR65"/>
      <c r="GXS65"/>
      <c r="GXT65"/>
      <c r="GXU65"/>
      <c r="GXV65"/>
      <c r="GXW65"/>
      <c r="GXX65"/>
      <c r="GXY65"/>
      <c r="GXZ65"/>
      <c r="GYA65"/>
      <c r="GYB65"/>
      <c r="GYC65"/>
      <c r="GYD65"/>
      <c r="GYE65"/>
      <c r="GYF65"/>
      <c r="GYG65"/>
      <c r="GYH65"/>
      <c r="GYI65"/>
      <c r="GYJ65"/>
      <c r="GYK65"/>
      <c r="GYL65"/>
      <c r="GYM65"/>
      <c r="GYN65"/>
      <c r="GYO65"/>
      <c r="GYP65"/>
      <c r="GYQ65"/>
      <c r="GYR65"/>
      <c r="GYS65"/>
      <c r="GYT65"/>
      <c r="GYU65"/>
      <c r="GYV65"/>
      <c r="GYW65"/>
      <c r="GYX65"/>
      <c r="GYY65"/>
      <c r="GYZ65"/>
      <c r="GZA65"/>
      <c r="GZB65"/>
      <c r="GZC65"/>
      <c r="GZD65"/>
      <c r="GZE65"/>
      <c r="GZF65"/>
      <c r="GZG65"/>
      <c r="GZH65"/>
      <c r="GZI65"/>
      <c r="GZJ65"/>
      <c r="GZK65"/>
      <c r="GZL65"/>
      <c r="GZM65"/>
      <c r="GZN65"/>
      <c r="GZO65"/>
      <c r="GZP65"/>
      <c r="GZQ65"/>
      <c r="GZR65"/>
      <c r="GZS65"/>
      <c r="GZT65"/>
      <c r="GZU65"/>
      <c r="GZV65"/>
      <c r="GZW65"/>
      <c r="GZX65"/>
      <c r="GZY65"/>
      <c r="GZZ65"/>
      <c r="HAA65"/>
      <c r="HAB65"/>
      <c r="HAC65"/>
      <c r="HAD65"/>
      <c r="HAE65"/>
      <c r="HAF65"/>
      <c r="HAG65"/>
      <c r="HAH65"/>
      <c r="HAI65"/>
      <c r="HAJ65"/>
      <c r="HAK65"/>
      <c r="HAL65"/>
      <c r="HAM65"/>
      <c r="HAN65"/>
      <c r="HAO65"/>
      <c r="HAP65"/>
      <c r="HAQ65"/>
      <c r="HAR65"/>
      <c r="HAS65"/>
      <c r="HAT65"/>
      <c r="HAU65"/>
      <c r="HAV65"/>
      <c r="HAW65"/>
      <c r="HAX65"/>
      <c r="HAY65"/>
      <c r="HAZ65"/>
      <c r="HBA65"/>
      <c r="HBB65"/>
      <c r="HBC65"/>
      <c r="HBD65"/>
      <c r="HBE65"/>
      <c r="HBF65"/>
      <c r="HBG65"/>
      <c r="HBH65"/>
      <c r="HBI65"/>
      <c r="HBJ65"/>
      <c r="HBK65"/>
      <c r="HBL65"/>
      <c r="HBM65"/>
      <c r="HBN65"/>
      <c r="HBO65"/>
      <c r="HBP65"/>
      <c r="HBQ65"/>
      <c r="HBR65"/>
      <c r="HBS65"/>
      <c r="HBT65"/>
      <c r="HBU65"/>
      <c r="HBV65"/>
      <c r="HBW65"/>
      <c r="HBX65"/>
      <c r="HBY65"/>
      <c r="HBZ65"/>
      <c r="HCA65"/>
      <c r="HCB65"/>
      <c r="HCC65"/>
      <c r="HCD65"/>
      <c r="HCE65"/>
      <c r="HCF65"/>
      <c r="HCG65"/>
      <c r="HCH65"/>
      <c r="HCI65"/>
      <c r="HCJ65"/>
      <c r="HCK65"/>
      <c r="HCL65"/>
      <c r="HCM65"/>
      <c r="HCN65"/>
      <c r="HCO65"/>
      <c r="HCP65"/>
      <c r="HCQ65"/>
      <c r="HCR65"/>
      <c r="HCS65"/>
      <c r="HCT65"/>
      <c r="HCU65"/>
      <c r="HCV65"/>
      <c r="HCW65"/>
      <c r="HCX65"/>
      <c r="HCY65"/>
      <c r="HCZ65"/>
      <c r="HDA65"/>
      <c r="HDB65"/>
      <c r="HDC65"/>
      <c r="HDD65"/>
      <c r="HDE65"/>
      <c r="HDF65"/>
      <c r="HDG65"/>
      <c r="HDH65"/>
      <c r="HDI65"/>
      <c r="HDJ65"/>
      <c r="HDK65"/>
      <c r="HDL65"/>
      <c r="HDM65"/>
      <c r="HDN65"/>
      <c r="HDO65"/>
      <c r="HDP65"/>
      <c r="HDQ65"/>
      <c r="HDR65"/>
      <c r="HDS65"/>
      <c r="HDT65"/>
      <c r="HDU65"/>
      <c r="HDV65"/>
      <c r="HDW65"/>
      <c r="HDX65"/>
      <c r="HDY65"/>
      <c r="HDZ65"/>
      <c r="HEA65"/>
      <c r="HEB65"/>
      <c r="HEC65"/>
      <c r="HED65"/>
      <c r="HEE65"/>
      <c r="HEF65"/>
      <c r="HEG65"/>
      <c r="HEH65"/>
      <c r="HEI65"/>
      <c r="HEJ65"/>
      <c r="HEK65"/>
      <c r="HEL65"/>
      <c r="HEM65"/>
      <c r="HEN65"/>
      <c r="HEO65"/>
      <c r="HEP65"/>
      <c r="HEQ65"/>
      <c r="HER65"/>
      <c r="HES65"/>
      <c r="HET65"/>
      <c r="HEU65"/>
      <c r="HEV65"/>
      <c r="HEW65"/>
      <c r="HEX65"/>
      <c r="HEY65"/>
      <c r="HEZ65"/>
      <c r="HFA65"/>
      <c r="HFB65"/>
      <c r="HFC65"/>
      <c r="HFD65"/>
      <c r="HFE65"/>
      <c r="HFF65"/>
      <c r="HFG65"/>
      <c r="HFH65"/>
      <c r="HFI65"/>
      <c r="HFJ65"/>
      <c r="HFK65"/>
      <c r="HFL65"/>
      <c r="HFM65"/>
      <c r="HFN65"/>
      <c r="HFO65"/>
      <c r="HFP65"/>
      <c r="HFQ65"/>
      <c r="HFR65"/>
      <c r="HFS65"/>
      <c r="HFT65"/>
      <c r="HFU65"/>
      <c r="HFV65"/>
      <c r="HFW65"/>
      <c r="HFX65"/>
      <c r="HFY65"/>
      <c r="HFZ65"/>
      <c r="HGA65"/>
      <c r="HGB65"/>
      <c r="HGC65"/>
      <c r="HGD65"/>
      <c r="HGE65"/>
      <c r="HGF65"/>
      <c r="HGG65"/>
      <c r="HGH65"/>
      <c r="HGI65"/>
      <c r="HGJ65"/>
      <c r="HGK65"/>
      <c r="HGL65"/>
      <c r="HGM65"/>
      <c r="HGN65"/>
      <c r="HGO65"/>
      <c r="HGP65"/>
      <c r="HGQ65"/>
      <c r="HGR65"/>
      <c r="HGS65"/>
      <c r="HGT65"/>
      <c r="HGU65"/>
      <c r="HGV65"/>
      <c r="HGW65"/>
      <c r="HGX65"/>
      <c r="HGY65"/>
      <c r="HGZ65"/>
      <c r="HHA65"/>
      <c r="HHB65"/>
      <c r="HHC65"/>
      <c r="HHD65"/>
      <c r="HHE65"/>
      <c r="HHF65"/>
      <c r="HHG65"/>
      <c r="HHH65"/>
      <c r="HHI65"/>
      <c r="HHJ65"/>
      <c r="HHK65"/>
      <c r="HHL65"/>
      <c r="HHM65"/>
      <c r="HHN65"/>
      <c r="HHO65"/>
      <c r="HHP65"/>
      <c r="HHQ65"/>
      <c r="HHR65"/>
      <c r="HHS65"/>
      <c r="HHT65"/>
      <c r="HHU65"/>
      <c r="HHV65"/>
      <c r="HHW65"/>
      <c r="HHX65"/>
      <c r="HHY65"/>
      <c r="HHZ65"/>
      <c r="HIA65"/>
      <c r="HIB65"/>
      <c r="HIC65"/>
      <c r="HID65"/>
      <c r="HIE65"/>
      <c r="HIF65"/>
      <c r="HIG65"/>
      <c r="HIH65"/>
      <c r="HII65"/>
      <c r="HIJ65"/>
      <c r="HIK65"/>
      <c r="HIL65"/>
      <c r="HIM65"/>
      <c r="HIN65"/>
      <c r="HIO65"/>
      <c r="HIP65"/>
      <c r="HIQ65"/>
      <c r="HIR65"/>
      <c r="HIS65"/>
      <c r="HIT65"/>
      <c r="HIU65"/>
      <c r="HIV65"/>
      <c r="HIW65"/>
      <c r="HIX65"/>
      <c r="HIY65"/>
      <c r="HIZ65"/>
      <c r="HJA65"/>
      <c r="HJB65"/>
      <c r="HJC65"/>
      <c r="HJD65"/>
      <c r="HJE65"/>
      <c r="HJF65"/>
      <c r="HJG65"/>
      <c r="HJH65"/>
      <c r="HJI65"/>
      <c r="HJJ65"/>
      <c r="HJK65"/>
      <c r="HJL65"/>
      <c r="HJM65"/>
      <c r="HJN65"/>
      <c r="HJO65"/>
      <c r="HJP65"/>
      <c r="HJQ65"/>
      <c r="HJR65"/>
      <c r="HJS65"/>
      <c r="HJT65"/>
      <c r="HJU65"/>
      <c r="HJV65"/>
      <c r="HJW65"/>
      <c r="HJX65"/>
      <c r="HJY65"/>
      <c r="HJZ65"/>
      <c r="HKA65"/>
      <c r="HKB65"/>
      <c r="HKC65"/>
      <c r="HKD65"/>
      <c r="HKE65"/>
      <c r="HKF65"/>
      <c r="HKG65"/>
      <c r="HKH65"/>
      <c r="HKI65"/>
      <c r="HKJ65"/>
      <c r="HKK65"/>
      <c r="HKL65"/>
      <c r="HKM65"/>
      <c r="HKN65"/>
      <c r="HKO65"/>
      <c r="HKP65"/>
      <c r="HKQ65"/>
      <c r="HKR65"/>
      <c r="HKS65"/>
      <c r="HKT65"/>
      <c r="HKU65"/>
      <c r="HKV65"/>
      <c r="HKW65"/>
      <c r="HKX65"/>
      <c r="HKY65"/>
      <c r="HKZ65"/>
      <c r="HLA65"/>
      <c r="HLB65"/>
      <c r="HLC65"/>
      <c r="HLD65"/>
      <c r="HLE65"/>
      <c r="HLF65"/>
      <c r="HLG65"/>
      <c r="HLH65"/>
      <c r="HLI65"/>
      <c r="HLJ65"/>
      <c r="HLK65"/>
      <c r="HLL65"/>
      <c r="HLM65"/>
      <c r="HLN65"/>
      <c r="HLO65"/>
      <c r="HLP65"/>
      <c r="HLQ65"/>
      <c r="HLR65"/>
      <c r="HLS65"/>
      <c r="HLT65"/>
      <c r="HLU65"/>
      <c r="HLV65"/>
      <c r="HLW65"/>
      <c r="HLX65"/>
      <c r="HLY65"/>
      <c r="HLZ65"/>
      <c r="HMA65"/>
      <c r="HMB65"/>
      <c r="HMC65"/>
      <c r="HMD65"/>
      <c r="HME65"/>
      <c r="HMF65"/>
      <c r="HMG65"/>
      <c r="HMH65"/>
      <c r="HMI65"/>
      <c r="HMJ65"/>
      <c r="HMK65"/>
      <c r="HML65"/>
      <c r="HMM65"/>
      <c r="HMN65"/>
      <c r="HMO65"/>
      <c r="HMP65"/>
      <c r="HMQ65"/>
      <c r="HMR65"/>
      <c r="HMS65"/>
      <c r="HMT65"/>
      <c r="HMU65"/>
      <c r="HMV65"/>
      <c r="HMW65"/>
      <c r="HMX65"/>
      <c r="HMY65"/>
      <c r="HMZ65"/>
      <c r="HNA65"/>
      <c r="HNB65"/>
      <c r="HNC65"/>
      <c r="HND65"/>
      <c r="HNE65"/>
      <c r="HNF65"/>
      <c r="HNG65"/>
      <c r="HNH65"/>
      <c r="HNI65"/>
      <c r="HNJ65"/>
      <c r="HNK65"/>
      <c r="HNL65"/>
      <c r="HNM65"/>
      <c r="HNN65"/>
      <c r="HNO65"/>
      <c r="HNP65"/>
      <c r="HNQ65"/>
      <c r="HNR65"/>
      <c r="HNS65"/>
      <c r="HNT65"/>
      <c r="HNU65"/>
      <c r="HNV65"/>
      <c r="HNW65"/>
      <c r="HNX65"/>
      <c r="HNY65"/>
      <c r="HNZ65"/>
      <c r="HOA65"/>
      <c r="HOB65"/>
      <c r="HOC65"/>
      <c r="HOD65"/>
      <c r="HOE65"/>
      <c r="HOF65"/>
      <c r="HOG65"/>
      <c r="HOH65"/>
      <c r="HOI65"/>
      <c r="HOJ65"/>
      <c r="HOK65"/>
      <c r="HOL65"/>
      <c r="HOM65"/>
      <c r="HON65"/>
      <c r="HOO65"/>
      <c r="HOP65"/>
      <c r="HOQ65"/>
      <c r="HOR65"/>
      <c r="HOS65"/>
      <c r="HOT65"/>
      <c r="HOU65"/>
      <c r="HOV65"/>
      <c r="HOW65"/>
      <c r="HOX65"/>
      <c r="HOY65"/>
      <c r="HOZ65"/>
      <c r="HPA65"/>
      <c r="HPB65"/>
      <c r="HPC65"/>
      <c r="HPD65"/>
      <c r="HPE65"/>
      <c r="HPF65"/>
      <c r="HPG65"/>
      <c r="HPH65"/>
      <c r="HPI65"/>
      <c r="HPJ65"/>
      <c r="HPK65"/>
      <c r="HPL65"/>
      <c r="HPM65"/>
      <c r="HPN65"/>
      <c r="HPO65"/>
      <c r="HPP65"/>
      <c r="HPQ65"/>
      <c r="HPR65"/>
      <c r="HPS65"/>
      <c r="HPT65"/>
      <c r="HPU65"/>
      <c r="HPV65"/>
      <c r="HPW65"/>
      <c r="HPX65"/>
      <c r="HPY65"/>
      <c r="HPZ65"/>
      <c r="HQA65"/>
      <c r="HQB65"/>
      <c r="HQC65"/>
      <c r="HQD65"/>
      <c r="HQE65"/>
      <c r="HQF65"/>
      <c r="HQG65"/>
      <c r="HQH65"/>
      <c r="HQI65"/>
      <c r="HQJ65"/>
      <c r="HQK65"/>
      <c r="HQL65"/>
      <c r="HQM65"/>
      <c r="HQN65"/>
      <c r="HQO65"/>
      <c r="HQP65"/>
      <c r="HQQ65"/>
      <c r="HQR65"/>
      <c r="HQS65"/>
      <c r="HQT65"/>
      <c r="HQU65"/>
      <c r="HQV65"/>
      <c r="HQW65"/>
      <c r="HQX65"/>
      <c r="HQY65"/>
      <c r="HQZ65"/>
      <c r="HRA65"/>
      <c r="HRB65"/>
      <c r="HRC65"/>
      <c r="HRD65"/>
      <c r="HRE65"/>
      <c r="HRF65"/>
      <c r="HRG65"/>
      <c r="HRH65"/>
      <c r="HRI65"/>
      <c r="HRJ65"/>
      <c r="HRK65"/>
      <c r="HRL65"/>
      <c r="HRM65"/>
      <c r="HRN65"/>
      <c r="HRO65"/>
      <c r="HRP65"/>
      <c r="HRQ65"/>
      <c r="HRR65"/>
      <c r="HRS65"/>
      <c r="HRT65"/>
      <c r="HRU65"/>
      <c r="HRV65"/>
      <c r="HRW65"/>
      <c r="HRX65"/>
      <c r="HRY65"/>
      <c r="HRZ65"/>
      <c r="HSA65"/>
      <c r="HSB65"/>
      <c r="HSC65"/>
      <c r="HSD65"/>
      <c r="HSE65"/>
      <c r="HSF65"/>
      <c r="HSG65"/>
      <c r="HSH65"/>
      <c r="HSI65"/>
      <c r="HSJ65"/>
      <c r="HSK65"/>
      <c r="HSL65"/>
      <c r="HSM65"/>
      <c r="HSN65"/>
      <c r="HSO65"/>
      <c r="HSP65"/>
      <c r="HSQ65"/>
      <c r="HSR65"/>
      <c r="HSS65"/>
      <c r="HST65"/>
      <c r="HSU65"/>
      <c r="HSV65"/>
      <c r="HSW65"/>
      <c r="HSX65"/>
      <c r="HSY65"/>
      <c r="HSZ65"/>
      <c r="HTA65"/>
      <c r="HTB65"/>
      <c r="HTC65"/>
      <c r="HTD65"/>
      <c r="HTE65"/>
      <c r="HTF65"/>
      <c r="HTG65"/>
      <c r="HTH65"/>
      <c r="HTI65"/>
      <c r="HTJ65"/>
      <c r="HTK65"/>
      <c r="HTL65"/>
      <c r="HTM65"/>
      <c r="HTN65"/>
      <c r="HTO65"/>
      <c r="HTP65"/>
      <c r="HTQ65"/>
      <c r="HTR65"/>
      <c r="HTS65"/>
      <c r="HTT65"/>
      <c r="HTU65"/>
      <c r="HTV65"/>
      <c r="HTW65"/>
      <c r="HTX65"/>
      <c r="HTY65"/>
      <c r="HTZ65"/>
      <c r="HUA65"/>
      <c r="HUB65"/>
      <c r="HUC65"/>
      <c r="HUD65"/>
      <c r="HUE65"/>
      <c r="HUF65"/>
      <c r="HUG65"/>
      <c r="HUH65"/>
      <c r="HUI65"/>
      <c r="HUJ65"/>
      <c r="HUK65"/>
      <c r="HUL65"/>
      <c r="HUM65"/>
      <c r="HUN65"/>
      <c r="HUO65"/>
      <c r="HUP65"/>
      <c r="HUQ65"/>
      <c r="HUR65"/>
      <c r="HUS65"/>
      <c r="HUT65"/>
      <c r="HUU65"/>
      <c r="HUV65"/>
      <c r="HUW65"/>
      <c r="HUX65"/>
      <c r="HUY65"/>
      <c r="HUZ65"/>
      <c r="HVA65"/>
      <c r="HVB65"/>
      <c r="HVC65"/>
      <c r="HVD65"/>
      <c r="HVE65"/>
      <c r="HVF65"/>
      <c r="HVG65"/>
      <c r="HVH65"/>
      <c r="HVI65"/>
      <c r="HVJ65"/>
      <c r="HVK65"/>
      <c r="HVL65"/>
      <c r="HVM65"/>
      <c r="HVN65"/>
      <c r="HVO65"/>
      <c r="HVP65"/>
      <c r="HVQ65"/>
      <c r="HVR65"/>
      <c r="HVS65"/>
      <c r="HVT65"/>
      <c r="HVU65"/>
      <c r="HVV65"/>
      <c r="HVW65"/>
      <c r="HVX65"/>
      <c r="HVY65"/>
      <c r="HVZ65"/>
      <c r="HWA65"/>
      <c r="HWB65"/>
      <c r="HWC65"/>
      <c r="HWD65"/>
      <c r="HWE65"/>
      <c r="HWF65"/>
      <c r="HWG65"/>
      <c r="HWH65"/>
      <c r="HWI65"/>
      <c r="HWJ65"/>
      <c r="HWK65"/>
      <c r="HWL65"/>
      <c r="HWM65"/>
      <c r="HWN65"/>
      <c r="HWO65"/>
      <c r="HWP65"/>
      <c r="HWQ65"/>
      <c r="HWR65"/>
      <c r="HWS65"/>
      <c r="HWT65"/>
      <c r="HWU65"/>
      <c r="HWV65"/>
      <c r="HWW65"/>
      <c r="HWX65"/>
      <c r="HWY65"/>
      <c r="HWZ65"/>
      <c r="HXA65"/>
      <c r="HXB65"/>
      <c r="HXC65"/>
      <c r="HXD65"/>
      <c r="HXE65"/>
      <c r="HXF65"/>
      <c r="HXG65"/>
      <c r="HXH65"/>
      <c r="HXI65"/>
      <c r="HXJ65"/>
      <c r="HXK65"/>
      <c r="HXL65"/>
      <c r="HXM65"/>
      <c r="HXN65"/>
      <c r="HXO65"/>
      <c r="HXP65"/>
      <c r="HXQ65"/>
      <c r="HXR65"/>
      <c r="HXS65"/>
      <c r="HXT65"/>
      <c r="HXU65"/>
      <c r="HXV65"/>
      <c r="HXW65"/>
      <c r="HXX65"/>
      <c r="HXY65"/>
      <c r="HXZ65"/>
      <c r="HYA65"/>
      <c r="HYB65"/>
      <c r="HYC65"/>
      <c r="HYD65"/>
      <c r="HYE65"/>
      <c r="HYF65"/>
      <c r="HYG65"/>
      <c r="HYH65"/>
      <c r="HYI65"/>
      <c r="HYJ65"/>
      <c r="HYK65"/>
      <c r="HYL65"/>
      <c r="HYM65"/>
      <c r="HYN65"/>
      <c r="HYO65"/>
      <c r="HYP65"/>
      <c r="HYQ65"/>
      <c r="HYR65"/>
      <c r="HYS65"/>
      <c r="HYT65"/>
      <c r="HYU65"/>
      <c r="HYV65"/>
      <c r="HYW65"/>
      <c r="HYX65"/>
      <c r="HYY65"/>
      <c r="HYZ65"/>
      <c r="HZA65"/>
      <c r="HZB65"/>
      <c r="HZC65"/>
      <c r="HZD65"/>
      <c r="HZE65"/>
      <c r="HZF65"/>
      <c r="HZG65"/>
      <c r="HZH65"/>
      <c r="HZI65"/>
      <c r="HZJ65"/>
      <c r="HZK65"/>
      <c r="HZL65"/>
      <c r="HZM65"/>
      <c r="HZN65"/>
      <c r="HZO65"/>
      <c r="HZP65"/>
      <c r="HZQ65"/>
      <c r="HZR65"/>
      <c r="HZS65"/>
      <c r="HZT65"/>
      <c r="HZU65"/>
      <c r="HZV65"/>
      <c r="HZW65"/>
      <c r="HZX65"/>
      <c r="HZY65"/>
      <c r="HZZ65"/>
      <c r="IAA65"/>
      <c r="IAB65"/>
      <c r="IAC65"/>
      <c r="IAD65"/>
      <c r="IAE65"/>
      <c r="IAF65"/>
      <c r="IAG65"/>
      <c r="IAH65"/>
      <c r="IAI65"/>
      <c r="IAJ65"/>
      <c r="IAK65"/>
      <c r="IAL65"/>
      <c r="IAM65"/>
      <c r="IAN65"/>
      <c r="IAO65"/>
      <c r="IAP65"/>
      <c r="IAQ65"/>
      <c r="IAR65"/>
      <c r="IAS65"/>
      <c r="IAT65"/>
      <c r="IAU65"/>
      <c r="IAV65"/>
      <c r="IAW65"/>
      <c r="IAX65"/>
      <c r="IAY65"/>
      <c r="IAZ65"/>
      <c r="IBA65"/>
      <c r="IBB65"/>
      <c r="IBC65"/>
      <c r="IBD65"/>
      <c r="IBE65"/>
      <c r="IBF65"/>
      <c r="IBG65"/>
      <c r="IBH65"/>
      <c r="IBI65"/>
      <c r="IBJ65"/>
      <c r="IBK65"/>
      <c r="IBL65"/>
      <c r="IBM65"/>
      <c r="IBN65"/>
      <c r="IBO65"/>
      <c r="IBP65"/>
      <c r="IBQ65"/>
      <c r="IBR65"/>
      <c r="IBS65"/>
      <c r="IBT65"/>
      <c r="IBU65"/>
      <c r="IBV65"/>
      <c r="IBW65"/>
      <c r="IBX65"/>
      <c r="IBY65"/>
      <c r="IBZ65"/>
      <c r="ICA65"/>
      <c r="ICB65"/>
      <c r="ICC65"/>
      <c r="ICD65"/>
      <c r="ICE65"/>
      <c r="ICF65"/>
      <c r="ICG65"/>
      <c r="ICH65"/>
      <c r="ICI65"/>
      <c r="ICJ65"/>
      <c r="ICK65"/>
      <c r="ICL65"/>
      <c r="ICM65"/>
      <c r="ICN65"/>
      <c r="ICO65"/>
      <c r="ICP65"/>
      <c r="ICQ65"/>
      <c r="ICR65"/>
      <c r="ICS65"/>
      <c r="ICT65"/>
      <c r="ICU65"/>
      <c r="ICV65"/>
      <c r="ICW65"/>
      <c r="ICX65"/>
      <c r="ICY65"/>
      <c r="ICZ65"/>
      <c r="IDA65"/>
      <c r="IDB65"/>
      <c r="IDC65"/>
      <c r="IDD65"/>
      <c r="IDE65"/>
      <c r="IDF65"/>
      <c r="IDG65"/>
      <c r="IDH65"/>
      <c r="IDI65"/>
      <c r="IDJ65"/>
      <c r="IDK65"/>
      <c r="IDL65"/>
      <c r="IDM65"/>
      <c r="IDN65"/>
      <c r="IDO65"/>
      <c r="IDP65"/>
      <c r="IDQ65"/>
      <c r="IDR65"/>
      <c r="IDS65"/>
      <c r="IDT65"/>
      <c r="IDU65"/>
      <c r="IDV65"/>
      <c r="IDW65"/>
      <c r="IDX65"/>
      <c r="IDY65"/>
      <c r="IDZ65"/>
      <c r="IEA65"/>
      <c r="IEB65"/>
      <c r="IEC65"/>
      <c r="IED65"/>
      <c r="IEE65"/>
      <c r="IEF65"/>
      <c r="IEG65"/>
      <c r="IEH65"/>
      <c r="IEI65"/>
      <c r="IEJ65"/>
      <c r="IEK65"/>
      <c r="IEL65"/>
      <c r="IEM65"/>
      <c r="IEN65"/>
      <c r="IEO65"/>
      <c r="IEP65"/>
      <c r="IEQ65"/>
      <c r="IER65"/>
      <c r="IES65"/>
      <c r="IET65"/>
      <c r="IEU65"/>
      <c r="IEV65"/>
      <c r="IEW65"/>
      <c r="IEX65"/>
      <c r="IEY65"/>
      <c r="IEZ65"/>
      <c r="IFA65"/>
      <c r="IFB65"/>
      <c r="IFC65"/>
      <c r="IFD65"/>
      <c r="IFE65"/>
      <c r="IFF65"/>
      <c r="IFG65"/>
      <c r="IFH65"/>
      <c r="IFI65"/>
      <c r="IFJ65"/>
      <c r="IFK65"/>
      <c r="IFL65"/>
      <c r="IFM65"/>
      <c r="IFN65"/>
      <c r="IFO65"/>
      <c r="IFP65"/>
      <c r="IFQ65"/>
      <c r="IFR65"/>
      <c r="IFS65"/>
      <c r="IFT65"/>
      <c r="IFU65"/>
      <c r="IFV65"/>
      <c r="IFW65"/>
      <c r="IFX65"/>
      <c r="IFY65"/>
      <c r="IFZ65"/>
      <c r="IGA65"/>
      <c r="IGB65"/>
      <c r="IGC65"/>
      <c r="IGD65"/>
      <c r="IGE65"/>
      <c r="IGF65"/>
      <c r="IGG65"/>
      <c r="IGH65"/>
      <c r="IGI65"/>
      <c r="IGJ65"/>
      <c r="IGK65"/>
      <c r="IGL65"/>
      <c r="IGM65"/>
      <c r="IGN65"/>
      <c r="IGO65"/>
      <c r="IGP65"/>
      <c r="IGQ65"/>
      <c r="IGR65"/>
      <c r="IGS65"/>
      <c r="IGT65"/>
      <c r="IGU65"/>
      <c r="IGV65"/>
      <c r="IGW65"/>
      <c r="IGX65"/>
      <c r="IGY65"/>
      <c r="IGZ65"/>
      <c r="IHA65"/>
      <c r="IHB65"/>
      <c r="IHC65"/>
      <c r="IHD65"/>
      <c r="IHE65"/>
      <c r="IHF65"/>
      <c r="IHG65"/>
      <c r="IHH65"/>
      <c r="IHI65"/>
      <c r="IHJ65"/>
      <c r="IHK65"/>
      <c r="IHL65"/>
      <c r="IHM65"/>
      <c r="IHN65"/>
      <c r="IHO65"/>
      <c r="IHP65"/>
      <c r="IHQ65"/>
      <c r="IHR65"/>
      <c r="IHS65"/>
      <c r="IHT65"/>
      <c r="IHU65"/>
      <c r="IHV65"/>
      <c r="IHW65"/>
      <c r="IHX65"/>
      <c r="IHY65"/>
      <c r="IHZ65"/>
      <c r="IIA65"/>
      <c r="IIB65"/>
      <c r="IIC65"/>
      <c r="IID65"/>
      <c r="IIE65"/>
      <c r="IIF65"/>
      <c r="IIG65"/>
      <c r="IIH65"/>
      <c r="III65"/>
      <c r="IIJ65"/>
      <c r="IIK65"/>
      <c r="IIL65"/>
      <c r="IIM65"/>
      <c r="IIN65"/>
      <c r="IIO65"/>
      <c r="IIP65"/>
      <c r="IIQ65"/>
      <c r="IIR65"/>
      <c r="IIS65"/>
      <c r="IIT65"/>
      <c r="IIU65"/>
      <c r="IIV65"/>
      <c r="IIW65"/>
      <c r="IIX65"/>
      <c r="IIY65"/>
      <c r="IIZ65"/>
      <c r="IJA65"/>
      <c r="IJB65"/>
      <c r="IJC65"/>
      <c r="IJD65"/>
      <c r="IJE65"/>
      <c r="IJF65"/>
      <c r="IJG65"/>
      <c r="IJH65"/>
      <c r="IJI65"/>
      <c r="IJJ65"/>
      <c r="IJK65"/>
      <c r="IJL65"/>
      <c r="IJM65"/>
      <c r="IJN65"/>
      <c r="IJO65"/>
      <c r="IJP65"/>
      <c r="IJQ65"/>
      <c r="IJR65"/>
      <c r="IJS65"/>
      <c r="IJT65"/>
      <c r="IJU65"/>
      <c r="IJV65"/>
      <c r="IJW65"/>
      <c r="IJX65"/>
      <c r="IJY65"/>
      <c r="IJZ65"/>
      <c r="IKA65"/>
      <c r="IKB65"/>
      <c r="IKC65"/>
      <c r="IKD65"/>
      <c r="IKE65"/>
      <c r="IKF65"/>
      <c r="IKG65"/>
      <c r="IKH65"/>
      <c r="IKI65"/>
      <c r="IKJ65"/>
      <c r="IKK65"/>
      <c r="IKL65"/>
      <c r="IKM65"/>
      <c r="IKN65"/>
      <c r="IKO65"/>
      <c r="IKP65"/>
      <c r="IKQ65"/>
      <c r="IKR65"/>
      <c r="IKS65"/>
      <c r="IKT65"/>
      <c r="IKU65"/>
      <c r="IKV65"/>
      <c r="IKW65"/>
      <c r="IKX65"/>
      <c r="IKY65"/>
      <c r="IKZ65"/>
      <c r="ILA65"/>
      <c r="ILB65"/>
      <c r="ILC65"/>
      <c r="ILD65"/>
      <c r="ILE65"/>
      <c r="ILF65"/>
      <c r="ILG65"/>
      <c r="ILH65"/>
      <c r="ILI65"/>
      <c r="ILJ65"/>
      <c r="ILK65"/>
      <c r="ILL65"/>
      <c r="ILM65"/>
      <c r="ILN65"/>
      <c r="ILO65"/>
      <c r="ILP65"/>
      <c r="ILQ65"/>
      <c r="ILR65"/>
      <c r="ILS65"/>
      <c r="ILT65"/>
      <c r="ILU65"/>
      <c r="ILV65"/>
      <c r="ILW65"/>
      <c r="ILX65"/>
      <c r="ILY65"/>
      <c r="ILZ65"/>
      <c r="IMA65"/>
      <c r="IMB65"/>
      <c r="IMC65"/>
      <c r="IMD65"/>
      <c r="IME65"/>
      <c r="IMF65"/>
      <c r="IMG65"/>
      <c r="IMH65"/>
      <c r="IMI65"/>
      <c r="IMJ65"/>
      <c r="IMK65"/>
      <c r="IML65"/>
      <c r="IMM65"/>
      <c r="IMN65"/>
      <c r="IMO65"/>
      <c r="IMP65"/>
      <c r="IMQ65"/>
      <c r="IMR65"/>
      <c r="IMS65"/>
      <c r="IMT65"/>
      <c r="IMU65"/>
      <c r="IMV65"/>
      <c r="IMW65"/>
      <c r="IMX65"/>
      <c r="IMY65"/>
      <c r="IMZ65"/>
      <c r="INA65"/>
      <c r="INB65"/>
      <c r="INC65"/>
      <c r="IND65"/>
      <c r="INE65"/>
      <c r="INF65"/>
      <c r="ING65"/>
      <c r="INH65"/>
      <c r="INI65"/>
      <c r="INJ65"/>
      <c r="INK65"/>
      <c r="INL65"/>
      <c r="INM65"/>
      <c r="INN65"/>
      <c r="INO65"/>
      <c r="INP65"/>
      <c r="INQ65"/>
      <c r="INR65"/>
      <c r="INS65"/>
      <c r="INT65"/>
      <c r="INU65"/>
      <c r="INV65"/>
      <c r="INW65"/>
      <c r="INX65"/>
      <c r="INY65"/>
      <c r="INZ65"/>
      <c r="IOA65"/>
      <c r="IOB65"/>
      <c r="IOC65"/>
      <c r="IOD65"/>
      <c r="IOE65"/>
      <c r="IOF65"/>
      <c r="IOG65"/>
      <c r="IOH65"/>
      <c r="IOI65"/>
      <c r="IOJ65"/>
      <c r="IOK65"/>
      <c r="IOL65"/>
      <c r="IOM65"/>
      <c r="ION65"/>
      <c r="IOO65"/>
      <c r="IOP65"/>
      <c r="IOQ65"/>
      <c r="IOR65"/>
      <c r="IOS65"/>
      <c r="IOT65"/>
      <c r="IOU65"/>
      <c r="IOV65"/>
      <c r="IOW65"/>
      <c r="IOX65"/>
      <c r="IOY65"/>
      <c r="IOZ65"/>
      <c r="IPA65"/>
      <c r="IPB65"/>
      <c r="IPC65"/>
      <c r="IPD65"/>
      <c r="IPE65"/>
      <c r="IPF65"/>
      <c r="IPG65"/>
      <c r="IPH65"/>
      <c r="IPI65"/>
      <c r="IPJ65"/>
      <c r="IPK65"/>
      <c r="IPL65"/>
      <c r="IPM65"/>
      <c r="IPN65"/>
      <c r="IPO65"/>
      <c r="IPP65"/>
      <c r="IPQ65"/>
      <c r="IPR65"/>
      <c r="IPS65"/>
      <c r="IPT65"/>
      <c r="IPU65"/>
      <c r="IPV65"/>
      <c r="IPW65"/>
      <c r="IPX65"/>
      <c r="IPY65"/>
      <c r="IPZ65"/>
      <c r="IQA65"/>
      <c r="IQB65"/>
      <c r="IQC65"/>
      <c r="IQD65"/>
      <c r="IQE65"/>
      <c r="IQF65"/>
      <c r="IQG65"/>
      <c r="IQH65"/>
      <c r="IQI65"/>
      <c r="IQJ65"/>
      <c r="IQK65"/>
      <c r="IQL65"/>
      <c r="IQM65"/>
      <c r="IQN65"/>
      <c r="IQO65"/>
      <c r="IQP65"/>
      <c r="IQQ65"/>
      <c r="IQR65"/>
      <c r="IQS65"/>
      <c r="IQT65"/>
      <c r="IQU65"/>
      <c r="IQV65"/>
      <c r="IQW65"/>
      <c r="IQX65"/>
      <c r="IQY65"/>
      <c r="IQZ65"/>
      <c r="IRA65"/>
      <c r="IRB65"/>
      <c r="IRC65"/>
      <c r="IRD65"/>
      <c r="IRE65"/>
      <c r="IRF65"/>
      <c r="IRG65"/>
      <c r="IRH65"/>
      <c r="IRI65"/>
      <c r="IRJ65"/>
      <c r="IRK65"/>
      <c r="IRL65"/>
      <c r="IRM65"/>
      <c r="IRN65"/>
      <c r="IRO65"/>
      <c r="IRP65"/>
      <c r="IRQ65"/>
      <c r="IRR65"/>
      <c r="IRS65"/>
      <c r="IRT65"/>
      <c r="IRU65"/>
      <c r="IRV65"/>
      <c r="IRW65"/>
      <c r="IRX65"/>
      <c r="IRY65"/>
      <c r="IRZ65"/>
      <c r="ISA65"/>
      <c r="ISB65"/>
      <c r="ISC65"/>
      <c r="ISD65"/>
      <c r="ISE65"/>
      <c r="ISF65"/>
      <c r="ISG65"/>
      <c r="ISH65"/>
      <c r="ISI65"/>
      <c r="ISJ65"/>
      <c r="ISK65"/>
      <c r="ISL65"/>
      <c r="ISM65"/>
      <c r="ISN65"/>
      <c r="ISO65"/>
      <c r="ISP65"/>
      <c r="ISQ65"/>
      <c r="ISR65"/>
      <c r="ISS65"/>
      <c r="IST65"/>
      <c r="ISU65"/>
      <c r="ISV65"/>
      <c r="ISW65"/>
      <c r="ISX65"/>
      <c r="ISY65"/>
      <c r="ISZ65"/>
      <c r="ITA65"/>
      <c r="ITB65"/>
      <c r="ITC65"/>
      <c r="ITD65"/>
      <c r="ITE65"/>
      <c r="ITF65"/>
      <c r="ITG65"/>
      <c r="ITH65"/>
      <c r="ITI65"/>
      <c r="ITJ65"/>
      <c r="ITK65"/>
      <c r="ITL65"/>
      <c r="ITM65"/>
      <c r="ITN65"/>
      <c r="ITO65"/>
      <c r="ITP65"/>
      <c r="ITQ65"/>
      <c r="ITR65"/>
      <c r="ITS65"/>
      <c r="ITT65"/>
      <c r="ITU65"/>
      <c r="ITV65"/>
      <c r="ITW65"/>
      <c r="ITX65"/>
      <c r="ITY65"/>
      <c r="ITZ65"/>
      <c r="IUA65"/>
      <c r="IUB65"/>
      <c r="IUC65"/>
      <c r="IUD65"/>
      <c r="IUE65"/>
      <c r="IUF65"/>
      <c r="IUG65"/>
      <c r="IUH65"/>
      <c r="IUI65"/>
      <c r="IUJ65"/>
      <c r="IUK65"/>
      <c r="IUL65"/>
      <c r="IUM65"/>
      <c r="IUN65"/>
      <c r="IUO65"/>
      <c r="IUP65"/>
      <c r="IUQ65"/>
      <c r="IUR65"/>
      <c r="IUS65"/>
      <c r="IUT65"/>
      <c r="IUU65"/>
      <c r="IUV65"/>
      <c r="IUW65"/>
      <c r="IUX65"/>
      <c r="IUY65"/>
      <c r="IUZ65"/>
      <c r="IVA65"/>
      <c r="IVB65"/>
      <c r="IVC65"/>
      <c r="IVD65"/>
      <c r="IVE65"/>
      <c r="IVF65"/>
      <c r="IVG65"/>
      <c r="IVH65"/>
      <c r="IVI65"/>
      <c r="IVJ65"/>
      <c r="IVK65"/>
      <c r="IVL65"/>
      <c r="IVM65"/>
      <c r="IVN65"/>
      <c r="IVO65"/>
      <c r="IVP65"/>
      <c r="IVQ65"/>
      <c r="IVR65"/>
      <c r="IVS65"/>
      <c r="IVT65"/>
      <c r="IVU65"/>
      <c r="IVV65"/>
      <c r="IVW65"/>
      <c r="IVX65"/>
      <c r="IVY65"/>
      <c r="IVZ65"/>
      <c r="IWA65"/>
      <c r="IWB65"/>
      <c r="IWC65"/>
      <c r="IWD65"/>
      <c r="IWE65"/>
      <c r="IWF65"/>
      <c r="IWG65"/>
      <c r="IWH65"/>
      <c r="IWI65"/>
      <c r="IWJ65"/>
      <c r="IWK65"/>
      <c r="IWL65"/>
      <c r="IWM65"/>
      <c r="IWN65"/>
      <c r="IWO65"/>
      <c r="IWP65"/>
      <c r="IWQ65"/>
      <c r="IWR65"/>
      <c r="IWS65"/>
      <c r="IWT65"/>
      <c r="IWU65"/>
      <c r="IWV65"/>
      <c r="IWW65"/>
      <c r="IWX65"/>
      <c r="IWY65"/>
      <c r="IWZ65"/>
      <c r="IXA65"/>
      <c r="IXB65"/>
      <c r="IXC65"/>
      <c r="IXD65"/>
      <c r="IXE65"/>
      <c r="IXF65"/>
      <c r="IXG65"/>
      <c r="IXH65"/>
      <c r="IXI65"/>
      <c r="IXJ65"/>
      <c r="IXK65"/>
      <c r="IXL65"/>
      <c r="IXM65"/>
      <c r="IXN65"/>
      <c r="IXO65"/>
      <c r="IXP65"/>
      <c r="IXQ65"/>
      <c r="IXR65"/>
      <c r="IXS65"/>
      <c r="IXT65"/>
      <c r="IXU65"/>
      <c r="IXV65"/>
      <c r="IXW65"/>
      <c r="IXX65"/>
      <c r="IXY65"/>
      <c r="IXZ65"/>
      <c r="IYA65"/>
      <c r="IYB65"/>
      <c r="IYC65"/>
      <c r="IYD65"/>
      <c r="IYE65"/>
      <c r="IYF65"/>
      <c r="IYG65"/>
      <c r="IYH65"/>
      <c r="IYI65"/>
      <c r="IYJ65"/>
      <c r="IYK65"/>
      <c r="IYL65"/>
      <c r="IYM65"/>
      <c r="IYN65"/>
      <c r="IYO65"/>
      <c r="IYP65"/>
      <c r="IYQ65"/>
      <c r="IYR65"/>
      <c r="IYS65"/>
      <c r="IYT65"/>
      <c r="IYU65"/>
      <c r="IYV65"/>
      <c r="IYW65"/>
      <c r="IYX65"/>
      <c r="IYY65"/>
      <c r="IYZ65"/>
      <c r="IZA65"/>
      <c r="IZB65"/>
      <c r="IZC65"/>
      <c r="IZD65"/>
      <c r="IZE65"/>
      <c r="IZF65"/>
      <c r="IZG65"/>
      <c r="IZH65"/>
      <c r="IZI65"/>
      <c r="IZJ65"/>
      <c r="IZK65"/>
      <c r="IZL65"/>
      <c r="IZM65"/>
      <c r="IZN65"/>
      <c r="IZO65"/>
      <c r="IZP65"/>
      <c r="IZQ65"/>
      <c r="IZR65"/>
      <c r="IZS65"/>
      <c r="IZT65"/>
      <c r="IZU65"/>
      <c r="IZV65"/>
      <c r="IZW65"/>
      <c r="IZX65"/>
      <c r="IZY65"/>
      <c r="IZZ65"/>
      <c r="JAA65"/>
      <c r="JAB65"/>
      <c r="JAC65"/>
      <c r="JAD65"/>
      <c r="JAE65"/>
      <c r="JAF65"/>
      <c r="JAG65"/>
      <c r="JAH65"/>
      <c r="JAI65"/>
      <c r="JAJ65"/>
      <c r="JAK65"/>
      <c r="JAL65"/>
      <c r="JAM65"/>
      <c r="JAN65"/>
      <c r="JAO65"/>
      <c r="JAP65"/>
      <c r="JAQ65"/>
      <c r="JAR65"/>
      <c r="JAS65"/>
      <c r="JAT65"/>
      <c r="JAU65"/>
      <c r="JAV65"/>
      <c r="JAW65"/>
      <c r="JAX65"/>
      <c r="JAY65"/>
      <c r="JAZ65"/>
      <c r="JBA65"/>
      <c r="JBB65"/>
      <c r="JBC65"/>
      <c r="JBD65"/>
      <c r="JBE65"/>
      <c r="JBF65"/>
      <c r="JBG65"/>
      <c r="JBH65"/>
      <c r="JBI65"/>
      <c r="JBJ65"/>
      <c r="JBK65"/>
      <c r="JBL65"/>
      <c r="JBM65"/>
      <c r="JBN65"/>
      <c r="JBO65"/>
      <c r="JBP65"/>
      <c r="JBQ65"/>
      <c r="JBR65"/>
      <c r="JBS65"/>
      <c r="JBT65"/>
      <c r="JBU65"/>
      <c r="JBV65"/>
      <c r="JBW65"/>
      <c r="JBX65"/>
      <c r="JBY65"/>
      <c r="JBZ65"/>
      <c r="JCA65"/>
      <c r="JCB65"/>
      <c r="JCC65"/>
      <c r="JCD65"/>
      <c r="JCE65"/>
      <c r="JCF65"/>
      <c r="JCG65"/>
      <c r="JCH65"/>
      <c r="JCI65"/>
      <c r="JCJ65"/>
      <c r="JCK65"/>
      <c r="JCL65"/>
      <c r="JCM65"/>
      <c r="JCN65"/>
      <c r="JCO65"/>
      <c r="JCP65"/>
      <c r="JCQ65"/>
      <c r="JCR65"/>
      <c r="JCS65"/>
      <c r="JCT65"/>
      <c r="JCU65"/>
      <c r="JCV65"/>
      <c r="JCW65"/>
      <c r="JCX65"/>
      <c r="JCY65"/>
      <c r="JCZ65"/>
      <c r="JDA65"/>
      <c r="JDB65"/>
      <c r="JDC65"/>
      <c r="JDD65"/>
      <c r="JDE65"/>
      <c r="JDF65"/>
      <c r="JDG65"/>
      <c r="JDH65"/>
      <c r="JDI65"/>
      <c r="JDJ65"/>
      <c r="JDK65"/>
      <c r="JDL65"/>
      <c r="JDM65"/>
      <c r="JDN65"/>
      <c r="JDO65"/>
      <c r="JDP65"/>
      <c r="JDQ65"/>
      <c r="JDR65"/>
      <c r="JDS65"/>
      <c r="JDT65"/>
      <c r="JDU65"/>
      <c r="JDV65"/>
      <c r="JDW65"/>
      <c r="JDX65"/>
      <c r="JDY65"/>
      <c r="JDZ65"/>
      <c r="JEA65"/>
      <c r="JEB65"/>
      <c r="JEC65"/>
      <c r="JED65"/>
      <c r="JEE65"/>
      <c r="JEF65"/>
      <c r="JEG65"/>
      <c r="JEH65"/>
      <c r="JEI65"/>
      <c r="JEJ65"/>
      <c r="JEK65"/>
      <c r="JEL65"/>
      <c r="JEM65"/>
      <c r="JEN65"/>
      <c r="JEO65"/>
      <c r="JEP65"/>
      <c r="JEQ65"/>
      <c r="JER65"/>
      <c r="JES65"/>
      <c r="JET65"/>
      <c r="JEU65"/>
      <c r="JEV65"/>
      <c r="JEW65"/>
      <c r="JEX65"/>
      <c r="JEY65"/>
      <c r="JEZ65"/>
      <c r="JFA65"/>
      <c r="JFB65"/>
      <c r="JFC65"/>
      <c r="JFD65"/>
      <c r="JFE65"/>
      <c r="JFF65"/>
      <c r="JFG65"/>
      <c r="JFH65"/>
      <c r="JFI65"/>
      <c r="JFJ65"/>
      <c r="JFK65"/>
      <c r="JFL65"/>
      <c r="JFM65"/>
      <c r="JFN65"/>
      <c r="JFO65"/>
      <c r="JFP65"/>
      <c r="JFQ65"/>
      <c r="JFR65"/>
      <c r="JFS65"/>
      <c r="JFT65"/>
      <c r="JFU65"/>
      <c r="JFV65"/>
      <c r="JFW65"/>
      <c r="JFX65"/>
      <c r="JFY65"/>
      <c r="JFZ65"/>
      <c r="JGA65"/>
      <c r="JGB65"/>
      <c r="JGC65"/>
      <c r="JGD65"/>
      <c r="JGE65"/>
      <c r="JGF65"/>
      <c r="JGG65"/>
      <c r="JGH65"/>
      <c r="JGI65"/>
      <c r="JGJ65"/>
      <c r="JGK65"/>
      <c r="JGL65"/>
      <c r="JGM65"/>
      <c r="JGN65"/>
      <c r="JGO65"/>
      <c r="JGP65"/>
      <c r="JGQ65"/>
      <c r="JGR65"/>
      <c r="JGS65"/>
      <c r="JGT65"/>
      <c r="JGU65"/>
      <c r="JGV65"/>
      <c r="JGW65"/>
      <c r="JGX65"/>
      <c r="JGY65"/>
      <c r="JGZ65"/>
      <c r="JHA65"/>
      <c r="JHB65"/>
      <c r="JHC65"/>
      <c r="JHD65"/>
      <c r="JHE65"/>
      <c r="JHF65"/>
      <c r="JHG65"/>
      <c r="JHH65"/>
      <c r="JHI65"/>
      <c r="JHJ65"/>
      <c r="JHK65"/>
      <c r="JHL65"/>
      <c r="JHM65"/>
      <c r="JHN65"/>
      <c r="JHO65"/>
      <c r="JHP65"/>
      <c r="JHQ65"/>
      <c r="JHR65"/>
      <c r="JHS65"/>
      <c r="JHT65"/>
      <c r="JHU65"/>
      <c r="JHV65"/>
      <c r="JHW65"/>
      <c r="JHX65"/>
      <c r="JHY65"/>
      <c r="JHZ65"/>
      <c r="JIA65"/>
      <c r="JIB65"/>
      <c r="JIC65"/>
      <c r="JID65"/>
      <c r="JIE65"/>
      <c r="JIF65"/>
      <c r="JIG65"/>
      <c r="JIH65"/>
      <c r="JII65"/>
      <c r="JIJ65"/>
      <c r="JIK65"/>
      <c r="JIL65"/>
      <c r="JIM65"/>
      <c r="JIN65"/>
      <c r="JIO65"/>
      <c r="JIP65"/>
      <c r="JIQ65"/>
      <c r="JIR65"/>
      <c r="JIS65"/>
      <c r="JIT65"/>
      <c r="JIU65"/>
      <c r="JIV65"/>
      <c r="JIW65"/>
      <c r="JIX65"/>
      <c r="JIY65"/>
      <c r="JIZ65"/>
      <c r="JJA65"/>
      <c r="JJB65"/>
      <c r="JJC65"/>
      <c r="JJD65"/>
      <c r="JJE65"/>
      <c r="JJF65"/>
      <c r="JJG65"/>
      <c r="JJH65"/>
      <c r="JJI65"/>
      <c r="JJJ65"/>
      <c r="JJK65"/>
      <c r="JJL65"/>
      <c r="JJM65"/>
      <c r="JJN65"/>
      <c r="JJO65"/>
      <c r="JJP65"/>
      <c r="JJQ65"/>
      <c r="JJR65"/>
      <c r="JJS65"/>
      <c r="JJT65"/>
      <c r="JJU65"/>
      <c r="JJV65"/>
      <c r="JJW65"/>
      <c r="JJX65"/>
      <c r="JJY65"/>
      <c r="JJZ65"/>
      <c r="JKA65"/>
      <c r="JKB65"/>
      <c r="JKC65"/>
      <c r="JKD65"/>
      <c r="JKE65"/>
      <c r="JKF65"/>
      <c r="JKG65"/>
      <c r="JKH65"/>
      <c r="JKI65"/>
      <c r="JKJ65"/>
      <c r="JKK65"/>
      <c r="JKL65"/>
      <c r="JKM65"/>
      <c r="JKN65"/>
      <c r="JKO65"/>
      <c r="JKP65"/>
      <c r="JKQ65"/>
      <c r="JKR65"/>
      <c r="JKS65"/>
      <c r="JKT65"/>
      <c r="JKU65"/>
      <c r="JKV65"/>
      <c r="JKW65"/>
      <c r="JKX65"/>
      <c r="JKY65"/>
      <c r="JKZ65"/>
      <c r="JLA65"/>
      <c r="JLB65"/>
      <c r="JLC65"/>
      <c r="JLD65"/>
      <c r="JLE65"/>
      <c r="JLF65"/>
      <c r="JLG65"/>
      <c r="JLH65"/>
      <c r="JLI65"/>
      <c r="JLJ65"/>
      <c r="JLK65"/>
      <c r="JLL65"/>
      <c r="JLM65"/>
      <c r="JLN65"/>
      <c r="JLO65"/>
      <c r="JLP65"/>
      <c r="JLQ65"/>
      <c r="JLR65"/>
      <c r="JLS65"/>
      <c r="JLT65"/>
      <c r="JLU65"/>
      <c r="JLV65"/>
      <c r="JLW65"/>
      <c r="JLX65"/>
      <c r="JLY65"/>
      <c r="JLZ65"/>
      <c r="JMA65"/>
      <c r="JMB65"/>
      <c r="JMC65"/>
      <c r="JMD65"/>
      <c r="JME65"/>
      <c r="JMF65"/>
      <c r="JMG65"/>
      <c r="JMH65"/>
      <c r="JMI65"/>
      <c r="JMJ65"/>
      <c r="JMK65"/>
      <c r="JML65"/>
      <c r="JMM65"/>
      <c r="JMN65"/>
      <c r="JMO65"/>
      <c r="JMP65"/>
      <c r="JMQ65"/>
      <c r="JMR65"/>
      <c r="JMS65"/>
      <c r="JMT65"/>
      <c r="JMU65"/>
      <c r="JMV65"/>
      <c r="JMW65"/>
      <c r="JMX65"/>
      <c r="JMY65"/>
      <c r="JMZ65"/>
      <c r="JNA65"/>
      <c r="JNB65"/>
      <c r="JNC65"/>
      <c r="JND65"/>
      <c r="JNE65"/>
      <c r="JNF65"/>
      <c r="JNG65"/>
      <c r="JNH65"/>
      <c r="JNI65"/>
      <c r="JNJ65"/>
      <c r="JNK65"/>
      <c r="JNL65"/>
      <c r="JNM65"/>
      <c r="JNN65"/>
      <c r="JNO65"/>
      <c r="JNP65"/>
      <c r="JNQ65"/>
      <c r="JNR65"/>
      <c r="JNS65"/>
      <c r="JNT65"/>
      <c r="JNU65"/>
      <c r="JNV65"/>
      <c r="JNW65"/>
      <c r="JNX65"/>
      <c r="JNY65"/>
      <c r="JNZ65"/>
      <c r="JOA65"/>
      <c r="JOB65"/>
      <c r="JOC65"/>
      <c r="JOD65"/>
      <c r="JOE65"/>
      <c r="JOF65"/>
      <c r="JOG65"/>
      <c r="JOH65"/>
      <c r="JOI65"/>
      <c r="JOJ65"/>
      <c r="JOK65"/>
      <c r="JOL65"/>
      <c r="JOM65"/>
      <c r="JON65"/>
      <c r="JOO65"/>
      <c r="JOP65"/>
      <c r="JOQ65"/>
      <c r="JOR65"/>
      <c r="JOS65"/>
      <c r="JOT65"/>
      <c r="JOU65"/>
      <c r="JOV65"/>
      <c r="JOW65"/>
      <c r="JOX65"/>
      <c r="JOY65"/>
      <c r="JOZ65"/>
      <c r="JPA65"/>
      <c r="JPB65"/>
      <c r="JPC65"/>
      <c r="JPD65"/>
      <c r="JPE65"/>
      <c r="JPF65"/>
      <c r="JPG65"/>
      <c r="JPH65"/>
      <c r="JPI65"/>
      <c r="JPJ65"/>
      <c r="JPK65"/>
      <c r="JPL65"/>
      <c r="JPM65"/>
      <c r="JPN65"/>
      <c r="JPO65"/>
      <c r="JPP65"/>
      <c r="JPQ65"/>
      <c r="JPR65"/>
      <c r="JPS65"/>
      <c r="JPT65"/>
      <c r="JPU65"/>
      <c r="JPV65"/>
      <c r="JPW65"/>
      <c r="JPX65"/>
      <c r="JPY65"/>
      <c r="JPZ65"/>
      <c r="JQA65"/>
      <c r="JQB65"/>
      <c r="JQC65"/>
      <c r="JQD65"/>
      <c r="JQE65"/>
      <c r="JQF65"/>
      <c r="JQG65"/>
      <c r="JQH65"/>
      <c r="JQI65"/>
      <c r="JQJ65"/>
      <c r="JQK65"/>
      <c r="JQL65"/>
      <c r="JQM65"/>
      <c r="JQN65"/>
      <c r="JQO65"/>
      <c r="JQP65"/>
      <c r="JQQ65"/>
      <c r="JQR65"/>
      <c r="JQS65"/>
      <c r="JQT65"/>
      <c r="JQU65"/>
      <c r="JQV65"/>
      <c r="JQW65"/>
      <c r="JQX65"/>
      <c r="JQY65"/>
      <c r="JQZ65"/>
      <c r="JRA65"/>
      <c r="JRB65"/>
      <c r="JRC65"/>
      <c r="JRD65"/>
      <c r="JRE65"/>
      <c r="JRF65"/>
      <c r="JRG65"/>
      <c r="JRH65"/>
      <c r="JRI65"/>
      <c r="JRJ65"/>
      <c r="JRK65"/>
      <c r="JRL65"/>
      <c r="JRM65"/>
      <c r="JRN65"/>
      <c r="JRO65"/>
      <c r="JRP65"/>
      <c r="JRQ65"/>
      <c r="JRR65"/>
      <c r="JRS65"/>
      <c r="JRT65"/>
      <c r="JRU65"/>
      <c r="JRV65"/>
      <c r="JRW65"/>
      <c r="JRX65"/>
      <c r="JRY65"/>
      <c r="JRZ65"/>
      <c r="JSA65"/>
      <c r="JSB65"/>
      <c r="JSC65"/>
      <c r="JSD65"/>
      <c r="JSE65"/>
      <c r="JSF65"/>
      <c r="JSG65"/>
      <c r="JSH65"/>
      <c r="JSI65"/>
      <c r="JSJ65"/>
      <c r="JSK65"/>
      <c r="JSL65"/>
      <c r="JSM65"/>
      <c r="JSN65"/>
      <c r="JSO65"/>
      <c r="JSP65"/>
      <c r="JSQ65"/>
      <c r="JSR65"/>
      <c r="JSS65"/>
      <c r="JST65"/>
      <c r="JSU65"/>
      <c r="JSV65"/>
      <c r="JSW65"/>
      <c r="JSX65"/>
      <c r="JSY65"/>
      <c r="JSZ65"/>
      <c r="JTA65"/>
      <c r="JTB65"/>
      <c r="JTC65"/>
      <c r="JTD65"/>
      <c r="JTE65"/>
      <c r="JTF65"/>
      <c r="JTG65"/>
      <c r="JTH65"/>
      <c r="JTI65"/>
      <c r="JTJ65"/>
      <c r="JTK65"/>
      <c r="JTL65"/>
      <c r="JTM65"/>
      <c r="JTN65"/>
      <c r="JTO65"/>
      <c r="JTP65"/>
      <c r="JTQ65"/>
      <c r="JTR65"/>
      <c r="JTS65"/>
      <c r="JTT65"/>
      <c r="JTU65"/>
      <c r="JTV65"/>
      <c r="JTW65"/>
      <c r="JTX65"/>
      <c r="JTY65"/>
      <c r="JTZ65"/>
      <c r="JUA65"/>
      <c r="JUB65"/>
      <c r="JUC65"/>
      <c r="JUD65"/>
      <c r="JUE65"/>
      <c r="JUF65"/>
      <c r="JUG65"/>
      <c r="JUH65"/>
      <c r="JUI65"/>
      <c r="JUJ65"/>
      <c r="JUK65"/>
      <c r="JUL65"/>
      <c r="JUM65"/>
      <c r="JUN65"/>
      <c r="JUO65"/>
      <c r="JUP65"/>
      <c r="JUQ65"/>
      <c r="JUR65"/>
      <c r="JUS65"/>
      <c r="JUT65"/>
      <c r="JUU65"/>
      <c r="JUV65"/>
      <c r="JUW65"/>
      <c r="JUX65"/>
      <c r="JUY65"/>
      <c r="JUZ65"/>
      <c r="JVA65"/>
      <c r="JVB65"/>
      <c r="JVC65"/>
      <c r="JVD65"/>
      <c r="JVE65"/>
      <c r="JVF65"/>
      <c r="JVG65"/>
      <c r="JVH65"/>
      <c r="JVI65"/>
      <c r="JVJ65"/>
      <c r="JVK65"/>
      <c r="JVL65"/>
      <c r="JVM65"/>
      <c r="JVN65"/>
      <c r="JVO65"/>
      <c r="JVP65"/>
      <c r="JVQ65"/>
      <c r="JVR65"/>
      <c r="JVS65"/>
      <c r="JVT65"/>
      <c r="JVU65"/>
      <c r="JVV65"/>
      <c r="JVW65"/>
      <c r="JVX65"/>
      <c r="JVY65"/>
      <c r="JVZ65"/>
      <c r="JWA65"/>
      <c r="JWB65"/>
      <c r="JWC65"/>
      <c r="JWD65"/>
      <c r="JWE65"/>
      <c r="JWF65"/>
      <c r="JWG65"/>
      <c r="JWH65"/>
      <c r="JWI65"/>
      <c r="JWJ65"/>
      <c r="JWK65"/>
      <c r="JWL65"/>
      <c r="JWM65"/>
      <c r="JWN65"/>
      <c r="JWO65"/>
      <c r="JWP65"/>
      <c r="JWQ65"/>
      <c r="JWR65"/>
      <c r="JWS65"/>
      <c r="JWT65"/>
      <c r="JWU65"/>
      <c r="JWV65"/>
      <c r="JWW65"/>
      <c r="JWX65"/>
      <c r="JWY65"/>
      <c r="JWZ65"/>
      <c r="JXA65"/>
      <c r="JXB65"/>
      <c r="JXC65"/>
      <c r="JXD65"/>
      <c r="JXE65"/>
      <c r="JXF65"/>
      <c r="JXG65"/>
      <c r="JXH65"/>
      <c r="JXI65"/>
      <c r="JXJ65"/>
      <c r="JXK65"/>
      <c r="JXL65"/>
      <c r="JXM65"/>
      <c r="JXN65"/>
      <c r="JXO65"/>
      <c r="JXP65"/>
      <c r="JXQ65"/>
      <c r="JXR65"/>
      <c r="JXS65"/>
      <c r="JXT65"/>
      <c r="JXU65"/>
      <c r="JXV65"/>
      <c r="JXW65"/>
      <c r="JXX65"/>
      <c r="JXY65"/>
      <c r="JXZ65"/>
      <c r="JYA65"/>
      <c r="JYB65"/>
      <c r="JYC65"/>
      <c r="JYD65"/>
      <c r="JYE65"/>
      <c r="JYF65"/>
      <c r="JYG65"/>
      <c r="JYH65"/>
      <c r="JYI65"/>
      <c r="JYJ65"/>
      <c r="JYK65"/>
      <c r="JYL65"/>
      <c r="JYM65"/>
      <c r="JYN65"/>
      <c r="JYO65"/>
      <c r="JYP65"/>
      <c r="JYQ65"/>
      <c r="JYR65"/>
      <c r="JYS65"/>
      <c r="JYT65"/>
      <c r="JYU65"/>
      <c r="JYV65"/>
      <c r="JYW65"/>
      <c r="JYX65"/>
      <c r="JYY65"/>
      <c r="JYZ65"/>
      <c r="JZA65"/>
      <c r="JZB65"/>
      <c r="JZC65"/>
      <c r="JZD65"/>
      <c r="JZE65"/>
      <c r="JZF65"/>
      <c r="JZG65"/>
      <c r="JZH65"/>
      <c r="JZI65"/>
      <c r="JZJ65"/>
      <c r="JZK65"/>
      <c r="JZL65"/>
      <c r="JZM65"/>
      <c r="JZN65"/>
      <c r="JZO65"/>
      <c r="JZP65"/>
      <c r="JZQ65"/>
      <c r="JZR65"/>
      <c r="JZS65"/>
      <c r="JZT65"/>
      <c r="JZU65"/>
      <c r="JZV65"/>
      <c r="JZW65"/>
      <c r="JZX65"/>
      <c r="JZY65"/>
      <c r="JZZ65"/>
      <c r="KAA65"/>
      <c r="KAB65"/>
      <c r="KAC65"/>
      <c r="KAD65"/>
      <c r="KAE65"/>
      <c r="KAF65"/>
      <c r="KAG65"/>
      <c r="KAH65"/>
      <c r="KAI65"/>
      <c r="KAJ65"/>
      <c r="KAK65"/>
      <c r="KAL65"/>
      <c r="KAM65"/>
      <c r="KAN65"/>
      <c r="KAO65"/>
      <c r="KAP65"/>
      <c r="KAQ65"/>
      <c r="KAR65"/>
      <c r="KAS65"/>
      <c r="KAT65"/>
      <c r="KAU65"/>
      <c r="KAV65"/>
      <c r="KAW65"/>
      <c r="KAX65"/>
      <c r="KAY65"/>
      <c r="KAZ65"/>
      <c r="KBA65"/>
      <c r="KBB65"/>
      <c r="KBC65"/>
      <c r="KBD65"/>
      <c r="KBE65"/>
      <c r="KBF65"/>
      <c r="KBG65"/>
      <c r="KBH65"/>
      <c r="KBI65"/>
      <c r="KBJ65"/>
      <c r="KBK65"/>
      <c r="KBL65"/>
      <c r="KBM65"/>
      <c r="KBN65"/>
      <c r="KBO65"/>
      <c r="KBP65"/>
      <c r="KBQ65"/>
      <c r="KBR65"/>
      <c r="KBS65"/>
      <c r="KBT65"/>
      <c r="KBU65"/>
      <c r="KBV65"/>
      <c r="KBW65"/>
      <c r="KBX65"/>
      <c r="KBY65"/>
      <c r="KBZ65"/>
      <c r="KCA65"/>
      <c r="KCB65"/>
      <c r="KCC65"/>
      <c r="KCD65"/>
      <c r="KCE65"/>
      <c r="KCF65"/>
      <c r="KCG65"/>
      <c r="KCH65"/>
      <c r="KCI65"/>
      <c r="KCJ65"/>
      <c r="KCK65"/>
      <c r="KCL65"/>
      <c r="KCM65"/>
      <c r="KCN65"/>
      <c r="KCO65"/>
      <c r="KCP65"/>
      <c r="KCQ65"/>
      <c r="KCR65"/>
      <c r="KCS65"/>
      <c r="KCT65"/>
      <c r="KCU65"/>
      <c r="KCV65"/>
      <c r="KCW65"/>
      <c r="KCX65"/>
      <c r="KCY65"/>
      <c r="KCZ65"/>
      <c r="KDA65"/>
      <c r="KDB65"/>
      <c r="KDC65"/>
      <c r="KDD65"/>
      <c r="KDE65"/>
      <c r="KDF65"/>
      <c r="KDG65"/>
      <c r="KDH65"/>
      <c r="KDI65"/>
      <c r="KDJ65"/>
      <c r="KDK65"/>
      <c r="KDL65"/>
      <c r="KDM65"/>
      <c r="KDN65"/>
      <c r="KDO65"/>
      <c r="KDP65"/>
      <c r="KDQ65"/>
      <c r="KDR65"/>
      <c r="KDS65"/>
      <c r="KDT65"/>
      <c r="KDU65"/>
      <c r="KDV65"/>
      <c r="KDW65"/>
      <c r="KDX65"/>
      <c r="KDY65"/>
      <c r="KDZ65"/>
      <c r="KEA65"/>
      <c r="KEB65"/>
      <c r="KEC65"/>
      <c r="KED65"/>
      <c r="KEE65"/>
      <c r="KEF65"/>
      <c r="KEG65"/>
      <c r="KEH65"/>
      <c r="KEI65"/>
      <c r="KEJ65"/>
      <c r="KEK65"/>
      <c r="KEL65"/>
      <c r="KEM65"/>
      <c r="KEN65"/>
      <c r="KEO65"/>
      <c r="KEP65"/>
      <c r="KEQ65"/>
      <c r="KER65"/>
      <c r="KES65"/>
      <c r="KET65"/>
      <c r="KEU65"/>
      <c r="KEV65"/>
      <c r="KEW65"/>
      <c r="KEX65"/>
      <c r="KEY65"/>
      <c r="KEZ65"/>
      <c r="KFA65"/>
      <c r="KFB65"/>
      <c r="KFC65"/>
      <c r="KFD65"/>
      <c r="KFE65"/>
      <c r="KFF65"/>
      <c r="KFG65"/>
      <c r="KFH65"/>
      <c r="KFI65"/>
      <c r="KFJ65"/>
      <c r="KFK65"/>
      <c r="KFL65"/>
      <c r="KFM65"/>
      <c r="KFN65"/>
      <c r="KFO65"/>
      <c r="KFP65"/>
      <c r="KFQ65"/>
      <c r="KFR65"/>
      <c r="KFS65"/>
      <c r="KFT65"/>
      <c r="KFU65"/>
      <c r="KFV65"/>
      <c r="KFW65"/>
      <c r="KFX65"/>
      <c r="KFY65"/>
      <c r="KFZ65"/>
      <c r="KGA65"/>
      <c r="KGB65"/>
      <c r="KGC65"/>
      <c r="KGD65"/>
      <c r="KGE65"/>
      <c r="KGF65"/>
      <c r="KGG65"/>
      <c r="KGH65"/>
      <c r="KGI65"/>
      <c r="KGJ65"/>
      <c r="KGK65"/>
      <c r="KGL65"/>
      <c r="KGM65"/>
      <c r="KGN65"/>
      <c r="KGO65"/>
      <c r="KGP65"/>
      <c r="KGQ65"/>
      <c r="KGR65"/>
      <c r="KGS65"/>
      <c r="KGT65"/>
      <c r="KGU65"/>
      <c r="KGV65"/>
      <c r="KGW65"/>
      <c r="KGX65"/>
      <c r="KGY65"/>
      <c r="KGZ65"/>
      <c r="KHA65"/>
      <c r="KHB65"/>
      <c r="KHC65"/>
      <c r="KHD65"/>
      <c r="KHE65"/>
      <c r="KHF65"/>
      <c r="KHG65"/>
      <c r="KHH65"/>
      <c r="KHI65"/>
      <c r="KHJ65"/>
      <c r="KHK65"/>
      <c r="KHL65"/>
      <c r="KHM65"/>
      <c r="KHN65"/>
      <c r="KHO65"/>
      <c r="KHP65"/>
      <c r="KHQ65"/>
      <c r="KHR65"/>
      <c r="KHS65"/>
      <c r="KHT65"/>
      <c r="KHU65"/>
      <c r="KHV65"/>
      <c r="KHW65"/>
      <c r="KHX65"/>
      <c r="KHY65"/>
      <c r="KHZ65"/>
      <c r="KIA65"/>
      <c r="KIB65"/>
      <c r="KIC65"/>
      <c r="KID65"/>
      <c r="KIE65"/>
      <c r="KIF65"/>
      <c r="KIG65"/>
      <c r="KIH65"/>
      <c r="KII65"/>
      <c r="KIJ65"/>
      <c r="KIK65"/>
      <c r="KIL65"/>
      <c r="KIM65"/>
      <c r="KIN65"/>
      <c r="KIO65"/>
      <c r="KIP65"/>
      <c r="KIQ65"/>
      <c r="KIR65"/>
      <c r="KIS65"/>
      <c r="KIT65"/>
      <c r="KIU65"/>
      <c r="KIV65"/>
      <c r="KIW65"/>
      <c r="KIX65"/>
      <c r="KIY65"/>
      <c r="KIZ65"/>
      <c r="KJA65"/>
      <c r="KJB65"/>
      <c r="KJC65"/>
      <c r="KJD65"/>
      <c r="KJE65"/>
      <c r="KJF65"/>
      <c r="KJG65"/>
      <c r="KJH65"/>
      <c r="KJI65"/>
      <c r="KJJ65"/>
      <c r="KJK65"/>
      <c r="KJL65"/>
      <c r="KJM65"/>
      <c r="KJN65"/>
      <c r="KJO65"/>
      <c r="KJP65"/>
      <c r="KJQ65"/>
      <c r="KJR65"/>
      <c r="KJS65"/>
      <c r="KJT65"/>
      <c r="KJU65"/>
      <c r="KJV65"/>
      <c r="KJW65"/>
      <c r="KJX65"/>
      <c r="KJY65"/>
      <c r="KJZ65"/>
      <c r="KKA65"/>
      <c r="KKB65"/>
      <c r="KKC65"/>
      <c r="KKD65"/>
      <c r="KKE65"/>
      <c r="KKF65"/>
      <c r="KKG65"/>
      <c r="KKH65"/>
      <c r="KKI65"/>
      <c r="KKJ65"/>
      <c r="KKK65"/>
      <c r="KKL65"/>
      <c r="KKM65"/>
      <c r="KKN65"/>
      <c r="KKO65"/>
      <c r="KKP65"/>
      <c r="KKQ65"/>
      <c r="KKR65"/>
      <c r="KKS65"/>
      <c r="KKT65"/>
      <c r="KKU65"/>
      <c r="KKV65"/>
      <c r="KKW65"/>
      <c r="KKX65"/>
      <c r="KKY65"/>
      <c r="KKZ65"/>
      <c r="KLA65"/>
      <c r="KLB65"/>
      <c r="KLC65"/>
      <c r="KLD65"/>
      <c r="KLE65"/>
      <c r="KLF65"/>
      <c r="KLG65"/>
      <c r="KLH65"/>
      <c r="KLI65"/>
      <c r="KLJ65"/>
      <c r="KLK65"/>
      <c r="KLL65"/>
      <c r="KLM65"/>
      <c r="KLN65"/>
      <c r="KLO65"/>
      <c r="KLP65"/>
      <c r="KLQ65"/>
      <c r="KLR65"/>
      <c r="KLS65"/>
      <c r="KLT65"/>
      <c r="KLU65"/>
      <c r="KLV65"/>
      <c r="KLW65"/>
      <c r="KLX65"/>
      <c r="KLY65"/>
      <c r="KLZ65"/>
      <c r="KMA65"/>
      <c r="KMB65"/>
      <c r="KMC65"/>
      <c r="KMD65"/>
      <c r="KME65"/>
      <c r="KMF65"/>
      <c r="KMG65"/>
      <c r="KMH65"/>
      <c r="KMI65"/>
      <c r="KMJ65"/>
      <c r="KMK65"/>
      <c r="KML65"/>
      <c r="KMM65"/>
      <c r="KMN65"/>
      <c r="KMO65"/>
      <c r="KMP65"/>
      <c r="KMQ65"/>
      <c r="KMR65"/>
      <c r="KMS65"/>
      <c r="KMT65"/>
      <c r="KMU65"/>
      <c r="KMV65"/>
      <c r="KMW65"/>
      <c r="KMX65"/>
      <c r="KMY65"/>
      <c r="KMZ65"/>
      <c r="KNA65"/>
      <c r="KNB65"/>
      <c r="KNC65"/>
      <c r="KND65"/>
      <c r="KNE65"/>
      <c r="KNF65"/>
      <c r="KNG65"/>
      <c r="KNH65"/>
      <c r="KNI65"/>
      <c r="KNJ65"/>
      <c r="KNK65"/>
      <c r="KNL65"/>
      <c r="KNM65"/>
      <c r="KNN65"/>
      <c r="KNO65"/>
      <c r="KNP65"/>
      <c r="KNQ65"/>
      <c r="KNR65"/>
      <c r="KNS65"/>
      <c r="KNT65"/>
      <c r="KNU65"/>
      <c r="KNV65"/>
      <c r="KNW65"/>
      <c r="KNX65"/>
      <c r="KNY65"/>
      <c r="KNZ65"/>
      <c r="KOA65"/>
      <c r="KOB65"/>
      <c r="KOC65"/>
      <c r="KOD65"/>
      <c r="KOE65"/>
      <c r="KOF65"/>
      <c r="KOG65"/>
      <c r="KOH65"/>
      <c r="KOI65"/>
      <c r="KOJ65"/>
      <c r="KOK65"/>
      <c r="KOL65"/>
      <c r="KOM65"/>
      <c r="KON65"/>
      <c r="KOO65"/>
      <c r="KOP65"/>
      <c r="KOQ65"/>
      <c r="KOR65"/>
      <c r="KOS65"/>
      <c r="KOT65"/>
      <c r="KOU65"/>
      <c r="KOV65"/>
      <c r="KOW65"/>
      <c r="KOX65"/>
      <c r="KOY65"/>
      <c r="KOZ65"/>
      <c r="KPA65"/>
      <c r="KPB65"/>
      <c r="KPC65"/>
      <c r="KPD65"/>
      <c r="KPE65"/>
      <c r="KPF65"/>
      <c r="KPG65"/>
      <c r="KPH65"/>
      <c r="KPI65"/>
      <c r="KPJ65"/>
      <c r="KPK65"/>
      <c r="KPL65"/>
      <c r="KPM65"/>
      <c r="KPN65"/>
      <c r="KPO65"/>
      <c r="KPP65"/>
      <c r="KPQ65"/>
      <c r="KPR65"/>
      <c r="KPS65"/>
      <c r="KPT65"/>
      <c r="KPU65"/>
      <c r="KPV65"/>
      <c r="KPW65"/>
      <c r="KPX65"/>
      <c r="KPY65"/>
      <c r="KPZ65"/>
      <c r="KQA65"/>
      <c r="KQB65"/>
      <c r="KQC65"/>
      <c r="KQD65"/>
      <c r="KQE65"/>
      <c r="KQF65"/>
      <c r="KQG65"/>
      <c r="KQH65"/>
      <c r="KQI65"/>
      <c r="KQJ65"/>
      <c r="KQK65"/>
      <c r="KQL65"/>
      <c r="KQM65"/>
      <c r="KQN65"/>
      <c r="KQO65"/>
      <c r="KQP65"/>
      <c r="KQQ65"/>
      <c r="KQR65"/>
      <c r="KQS65"/>
      <c r="KQT65"/>
      <c r="KQU65"/>
      <c r="KQV65"/>
      <c r="KQW65"/>
      <c r="KQX65"/>
      <c r="KQY65"/>
      <c r="KQZ65"/>
      <c r="KRA65"/>
      <c r="KRB65"/>
      <c r="KRC65"/>
      <c r="KRD65"/>
      <c r="KRE65"/>
      <c r="KRF65"/>
      <c r="KRG65"/>
      <c r="KRH65"/>
      <c r="KRI65"/>
      <c r="KRJ65"/>
      <c r="KRK65"/>
      <c r="KRL65"/>
      <c r="KRM65"/>
      <c r="KRN65"/>
      <c r="KRO65"/>
      <c r="KRP65"/>
      <c r="KRQ65"/>
      <c r="KRR65"/>
      <c r="KRS65"/>
      <c r="KRT65"/>
      <c r="KRU65"/>
      <c r="KRV65"/>
      <c r="KRW65"/>
      <c r="KRX65"/>
      <c r="KRY65"/>
      <c r="KRZ65"/>
      <c r="KSA65"/>
      <c r="KSB65"/>
      <c r="KSC65"/>
      <c r="KSD65"/>
      <c r="KSE65"/>
      <c r="KSF65"/>
      <c r="KSG65"/>
      <c r="KSH65"/>
      <c r="KSI65"/>
      <c r="KSJ65"/>
      <c r="KSK65"/>
      <c r="KSL65"/>
      <c r="KSM65"/>
      <c r="KSN65"/>
      <c r="KSO65"/>
      <c r="KSP65"/>
      <c r="KSQ65"/>
      <c r="KSR65"/>
      <c r="KSS65"/>
      <c r="KST65"/>
      <c r="KSU65"/>
      <c r="KSV65"/>
      <c r="KSW65"/>
      <c r="KSX65"/>
      <c r="KSY65"/>
      <c r="KSZ65"/>
      <c r="KTA65"/>
      <c r="KTB65"/>
      <c r="KTC65"/>
      <c r="KTD65"/>
      <c r="KTE65"/>
      <c r="KTF65"/>
      <c r="KTG65"/>
      <c r="KTH65"/>
      <c r="KTI65"/>
      <c r="KTJ65"/>
      <c r="KTK65"/>
      <c r="KTL65"/>
      <c r="KTM65"/>
      <c r="KTN65"/>
      <c r="KTO65"/>
      <c r="KTP65"/>
      <c r="KTQ65"/>
      <c r="KTR65"/>
      <c r="KTS65"/>
      <c r="KTT65"/>
      <c r="KTU65"/>
      <c r="KTV65"/>
      <c r="KTW65"/>
      <c r="KTX65"/>
      <c r="KTY65"/>
      <c r="KTZ65"/>
      <c r="KUA65"/>
      <c r="KUB65"/>
      <c r="KUC65"/>
      <c r="KUD65"/>
      <c r="KUE65"/>
      <c r="KUF65"/>
      <c r="KUG65"/>
      <c r="KUH65"/>
      <c r="KUI65"/>
      <c r="KUJ65"/>
      <c r="KUK65"/>
      <c r="KUL65"/>
      <c r="KUM65"/>
      <c r="KUN65"/>
      <c r="KUO65"/>
      <c r="KUP65"/>
      <c r="KUQ65"/>
      <c r="KUR65"/>
      <c r="KUS65"/>
      <c r="KUT65"/>
      <c r="KUU65"/>
      <c r="KUV65"/>
      <c r="KUW65"/>
      <c r="KUX65"/>
      <c r="KUY65"/>
      <c r="KUZ65"/>
      <c r="KVA65"/>
      <c r="KVB65"/>
      <c r="KVC65"/>
      <c r="KVD65"/>
      <c r="KVE65"/>
      <c r="KVF65"/>
      <c r="KVG65"/>
      <c r="KVH65"/>
      <c r="KVI65"/>
      <c r="KVJ65"/>
      <c r="KVK65"/>
      <c r="KVL65"/>
      <c r="KVM65"/>
      <c r="KVN65"/>
      <c r="KVO65"/>
      <c r="KVP65"/>
      <c r="KVQ65"/>
      <c r="KVR65"/>
      <c r="KVS65"/>
      <c r="KVT65"/>
      <c r="KVU65"/>
      <c r="KVV65"/>
      <c r="KVW65"/>
      <c r="KVX65"/>
      <c r="KVY65"/>
      <c r="KVZ65"/>
      <c r="KWA65"/>
      <c r="KWB65"/>
      <c r="KWC65"/>
      <c r="KWD65"/>
      <c r="KWE65"/>
      <c r="KWF65"/>
      <c r="KWG65"/>
      <c r="KWH65"/>
      <c r="KWI65"/>
      <c r="KWJ65"/>
      <c r="KWK65"/>
      <c r="KWL65"/>
      <c r="KWM65"/>
      <c r="KWN65"/>
      <c r="KWO65"/>
      <c r="KWP65"/>
      <c r="KWQ65"/>
      <c r="KWR65"/>
      <c r="KWS65"/>
      <c r="KWT65"/>
      <c r="KWU65"/>
      <c r="KWV65"/>
      <c r="KWW65"/>
      <c r="KWX65"/>
      <c r="KWY65"/>
      <c r="KWZ65"/>
      <c r="KXA65"/>
      <c r="KXB65"/>
      <c r="KXC65"/>
      <c r="KXD65"/>
      <c r="KXE65"/>
      <c r="KXF65"/>
      <c r="KXG65"/>
      <c r="KXH65"/>
      <c r="KXI65"/>
      <c r="KXJ65"/>
      <c r="KXK65"/>
      <c r="KXL65"/>
      <c r="KXM65"/>
      <c r="KXN65"/>
      <c r="KXO65"/>
      <c r="KXP65"/>
      <c r="KXQ65"/>
      <c r="KXR65"/>
      <c r="KXS65"/>
      <c r="KXT65"/>
      <c r="KXU65"/>
      <c r="KXV65"/>
      <c r="KXW65"/>
      <c r="KXX65"/>
      <c r="KXY65"/>
      <c r="KXZ65"/>
      <c r="KYA65"/>
      <c r="KYB65"/>
      <c r="KYC65"/>
      <c r="KYD65"/>
      <c r="KYE65"/>
      <c r="KYF65"/>
      <c r="KYG65"/>
      <c r="KYH65"/>
      <c r="KYI65"/>
      <c r="KYJ65"/>
      <c r="KYK65"/>
      <c r="KYL65"/>
      <c r="KYM65"/>
      <c r="KYN65"/>
      <c r="KYO65"/>
      <c r="KYP65"/>
      <c r="KYQ65"/>
      <c r="KYR65"/>
      <c r="KYS65"/>
      <c r="KYT65"/>
      <c r="KYU65"/>
      <c r="KYV65"/>
      <c r="KYW65"/>
      <c r="KYX65"/>
      <c r="KYY65"/>
      <c r="KYZ65"/>
      <c r="KZA65"/>
      <c r="KZB65"/>
      <c r="KZC65"/>
      <c r="KZD65"/>
      <c r="KZE65"/>
      <c r="KZF65"/>
      <c r="KZG65"/>
      <c r="KZH65"/>
      <c r="KZI65"/>
      <c r="KZJ65"/>
      <c r="KZK65"/>
      <c r="KZL65"/>
      <c r="KZM65"/>
      <c r="KZN65"/>
      <c r="KZO65"/>
      <c r="KZP65"/>
      <c r="KZQ65"/>
      <c r="KZR65"/>
      <c r="KZS65"/>
      <c r="KZT65"/>
      <c r="KZU65"/>
      <c r="KZV65"/>
      <c r="KZW65"/>
      <c r="KZX65"/>
      <c r="KZY65"/>
      <c r="KZZ65"/>
      <c r="LAA65"/>
      <c r="LAB65"/>
      <c r="LAC65"/>
      <c r="LAD65"/>
      <c r="LAE65"/>
      <c r="LAF65"/>
      <c r="LAG65"/>
      <c r="LAH65"/>
      <c r="LAI65"/>
      <c r="LAJ65"/>
      <c r="LAK65"/>
      <c r="LAL65"/>
      <c r="LAM65"/>
      <c r="LAN65"/>
      <c r="LAO65"/>
      <c r="LAP65"/>
      <c r="LAQ65"/>
      <c r="LAR65"/>
      <c r="LAS65"/>
      <c r="LAT65"/>
      <c r="LAU65"/>
      <c r="LAV65"/>
      <c r="LAW65"/>
      <c r="LAX65"/>
      <c r="LAY65"/>
      <c r="LAZ65"/>
      <c r="LBA65"/>
      <c r="LBB65"/>
      <c r="LBC65"/>
      <c r="LBD65"/>
      <c r="LBE65"/>
      <c r="LBF65"/>
      <c r="LBG65"/>
      <c r="LBH65"/>
      <c r="LBI65"/>
      <c r="LBJ65"/>
      <c r="LBK65"/>
      <c r="LBL65"/>
      <c r="LBM65"/>
      <c r="LBN65"/>
      <c r="LBO65"/>
      <c r="LBP65"/>
      <c r="LBQ65"/>
      <c r="LBR65"/>
      <c r="LBS65"/>
      <c r="LBT65"/>
      <c r="LBU65"/>
      <c r="LBV65"/>
      <c r="LBW65"/>
      <c r="LBX65"/>
      <c r="LBY65"/>
      <c r="LBZ65"/>
      <c r="LCA65"/>
      <c r="LCB65"/>
      <c r="LCC65"/>
      <c r="LCD65"/>
      <c r="LCE65"/>
      <c r="LCF65"/>
      <c r="LCG65"/>
      <c r="LCH65"/>
      <c r="LCI65"/>
      <c r="LCJ65"/>
      <c r="LCK65"/>
      <c r="LCL65"/>
      <c r="LCM65"/>
      <c r="LCN65"/>
      <c r="LCO65"/>
      <c r="LCP65"/>
      <c r="LCQ65"/>
      <c r="LCR65"/>
      <c r="LCS65"/>
      <c r="LCT65"/>
      <c r="LCU65"/>
      <c r="LCV65"/>
      <c r="LCW65"/>
      <c r="LCX65"/>
      <c r="LCY65"/>
      <c r="LCZ65"/>
      <c r="LDA65"/>
      <c r="LDB65"/>
      <c r="LDC65"/>
      <c r="LDD65"/>
      <c r="LDE65"/>
      <c r="LDF65"/>
      <c r="LDG65"/>
      <c r="LDH65"/>
      <c r="LDI65"/>
      <c r="LDJ65"/>
      <c r="LDK65"/>
      <c r="LDL65"/>
      <c r="LDM65"/>
      <c r="LDN65"/>
      <c r="LDO65"/>
      <c r="LDP65"/>
      <c r="LDQ65"/>
      <c r="LDR65"/>
      <c r="LDS65"/>
      <c r="LDT65"/>
      <c r="LDU65"/>
      <c r="LDV65"/>
      <c r="LDW65"/>
      <c r="LDX65"/>
      <c r="LDY65"/>
      <c r="LDZ65"/>
      <c r="LEA65"/>
      <c r="LEB65"/>
      <c r="LEC65"/>
      <c r="LED65"/>
      <c r="LEE65"/>
      <c r="LEF65"/>
      <c r="LEG65"/>
      <c r="LEH65"/>
      <c r="LEI65"/>
      <c r="LEJ65"/>
      <c r="LEK65"/>
      <c r="LEL65"/>
      <c r="LEM65"/>
      <c r="LEN65"/>
      <c r="LEO65"/>
      <c r="LEP65"/>
      <c r="LEQ65"/>
      <c r="LER65"/>
      <c r="LES65"/>
      <c r="LET65"/>
      <c r="LEU65"/>
      <c r="LEV65"/>
      <c r="LEW65"/>
      <c r="LEX65"/>
      <c r="LEY65"/>
      <c r="LEZ65"/>
      <c r="LFA65"/>
      <c r="LFB65"/>
      <c r="LFC65"/>
      <c r="LFD65"/>
      <c r="LFE65"/>
      <c r="LFF65"/>
      <c r="LFG65"/>
      <c r="LFH65"/>
      <c r="LFI65"/>
      <c r="LFJ65"/>
      <c r="LFK65"/>
      <c r="LFL65"/>
      <c r="LFM65"/>
      <c r="LFN65"/>
      <c r="LFO65"/>
      <c r="LFP65"/>
      <c r="LFQ65"/>
      <c r="LFR65"/>
      <c r="LFS65"/>
      <c r="LFT65"/>
      <c r="LFU65"/>
      <c r="LFV65"/>
      <c r="LFW65"/>
      <c r="LFX65"/>
      <c r="LFY65"/>
      <c r="LFZ65"/>
      <c r="LGA65"/>
      <c r="LGB65"/>
      <c r="LGC65"/>
      <c r="LGD65"/>
      <c r="LGE65"/>
      <c r="LGF65"/>
      <c r="LGG65"/>
      <c r="LGH65"/>
      <c r="LGI65"/>
      <c r="LGJ65"/>
      <c r="LGK65"/>
      <c r="LGL65"/>
      <c r="LGM65"/>
      <c r="LGN65"/>
      <c r="LGO65"/>
      <c r="LGP65"/>
      <c r="LGQ65"/>
      <c r="LGR65"/>
      <c r="LGS65"/>
      <c r="LGT65"/>
      <c r="LGU65"/>
      <c r="LGV65"/>
      <c r="LGW65"/>
      <c r="LGX65"/>
      <c r="LGY65"/>
      <c r="LGZ65"/>
      <c r="LHA65"/>
      <c r="LHB65"/>
      <c r="LHC65"/>
      <c r="LHD65"/>
      <c r="LHE65"/>
      <c r="LHF65"/>
      <c r="LHG65"/>
      <c r="LHH65"/>
      <c r="LHI65"/>
      <c r="LHJ65"/>
      <c r="LHK65"/>
      <c r="LHL65"/>
      <c r="LHM65"/>
      <c r="LHN65"/>
      <c r="LHO65"/>
      <c r="LHP65"/>
      <c r="LHQ65"/>
      <c r="LHR65"/>
      <c r="LHS65"/>
      <c r="LHT65"/>
      <c r="LHU65"/>
      <c r="LHV65"/>
      <c r="LHW65"/>
      <c r="LHX65"/>
      <c r="LHY65"/>
      <c r="LHZ65"/>
      <c r="LIA65"/>
      <c r="LIB65"/>
      <c r="LIC65"/>
      <c r="LID65"/>
      <c r="LIE65"/>
      <c r="LIF65"/>
      <c r="LIG65"/>
      <c r="LIH65"/>
      <c r="LII65"/>
      <c r="LIJ65"/>
      <c r="LIK65"/>
      <c r="LIL65"/>
      <c r="LIM65"/>
      <c r="LIN65"/>
      <c r="LIO65"/>
      <c r="LIP65"/>
      <c r="LIQ65"/>
      <c r="LIR65"/>
      <c r="LIS65"/>
      <c r="LIT65"/>
      <c r="LIU65"/>
      <c r="LIV65"/>
      <c r="LIW65"/>
      <c r="LIX65"/>
      <c r="LIY65"/>
      <c r="LIZ65"/>
      <c r="LJA65"/>
      <c r="LJB65"/>
      <c r="LJC65"/>
      <c r="LJD65"/>
      <c r="LJE65"/>
      <c r="LJF65"/>
      <c r="LJG65"/>
      <c r="LJH65"/>
      <c r="LJI65"/>
      <c r="LJJ65"/>
      <c r="LJK65"/>
      <c r="LJL65"/>
      <c r="LJM65"/>
      <c r="LJN65"/>
      <c r="LJO65"/>
      <c r="LJP65"/>
      <c r="LJQ65"/>
      <c r="LJR65"/>
      <c r="LJS65"/>
      <c r="LJT65"/>
      <c r="LJU65"/>
      <c r="LJV65"/>
      <c r="LJW65"/>
      <c r="LJX65"/>
      <c r="LJY65"/>
      <c r="LJZ65"/>
      <c r="LKA65"/>
      <c r="LKB65"/>
      <c r="LKC65"/>
      <c r="LKD65"/>
      <c r="LKE65"/>
      <c r="LKF65"/>
      <c r="LKG65"/>
      <c r="LKH65"/>
      <c r="LKI65"/>
      <c r="LKJ65"/>
      <c r="LKK65"/>
      <c r="LKL65"/>
      <c r="LKM65"/>
      <c r="LKN65"/>
      <c r="LKO65"/>
      <c r="LKP65"/>
      <c r="LKQ65"/>
      <c r="LKR65"/>
      <c r="LKS65"/>
      <c r="LKT65"/>
      <c r="LKU65"/>
      <c r="LKV65"/>
      <c r="LKW65"/>
      <c r="LKX65"/>
      <c r="LKY65"/>
      <c r="LKZ65"/>
      <c r="LLA65"/>
      <c r="LLB65"/>
      <c r="LLC65"/>
      <c r="LLD65"/>
      <c r="LLE65"/>
      <c r="LLF65"/>
      <c r="LLG65"/>
      <c r="LLH65"/>
      <c r="LLI65"/>
      <c r="LLJ65"/>
      <c r="LLK65"/>
      <c r="LLL65"/>
      <c r="LLM65"/>
      <c r="LLN65"/>
      <c r="LLO65"/>
      <c r="LLP65"/>
      <c r="LLQ65"/>
      <c r="LLR65"/>
      <c r="LLS65"/>
      <c r="LLT65"/>
      <c r="LLU65"/>
      <c r="LLV65"/>
      <c r="LLW65"/>
      <c r="LLX65"/>
      <c r="LLY65"/>
      <c r="LLZ65"/>
      <c r="LMA65"/>
      <c r="LMB65"/>
      <c r="LMC65"/>
      <c r="LMD65"/>
      <c r="LME65"/>
      <c r="LMF65"/>
      <c r="LMG65"/>
      <c r="LMH65"/>
      <c r="LMI65"/>
      <c r="LMJ65"/>
      <c r="LMK65"/>
      <c r="LML65"/>
      <c r="LMM65"/>
      <c r="LMN65"/>
      <c r="LMO65"/>
      <c r="LMP65"/>
      <c r="LMQ65"/>
      <c r="LMR65"/>
      <c r="LMS65"/>
      <c r="LMT65"/>
      <c r="LMU65"/>
      <c r="LMV65"/>
      <c r="LMW65"/>
      <c r="LMX65"/>
      <c r="LMY65"/>
      <c r="LMZ65"/>
      <c r="LNA65"/>
      <c r="LNB65"/>
      <c r="LNC65"/>
      <c r="LND65"/>
      <c r="LNE65"/>
      <c r="LNF65"/>
      <c r="LNG65"/>
      <c r="LNH65"/>
      <c r="LNI65"/>
      <c r="LNJ65"/>
      <c r="LNK65"/>
      <c r="LNL65"/>
      <c r="LNM65"/>
      <c r="LNN65"/>
      <c r="LNO65"/>
      <c r="LNP65"/>
      <c r="LNQ65"/>
      <c r="LNR65"/>
      <c r="LNS65"/>
      <c r="LNT65"/>
      <c r="LNU65"/>
      <c r="LNV65"/>
      <c r="LNW65"/>
      <c r="LNX65"/>
      <c r="LNY65"/>
      <c r="LNZ65"/>
      <c r="LOA65"/>
      <c r="LOB65"/>
      <c r="LOC65"/>
      <c r="LOD65"/>
      <c r="LOE65"/>
      <c r="LOF65"/>
      <c r="LOG65"/>
      <c r="LOH65"/>
      <c r="LOI65"/>
      <c r="LOJ65"/>
      <c r="LOK65"/>
      <c r="LOL65"/>
      <c r="LOM65"/>
      <c r="LON65"/>
      <c r="LOO65"/>
      <c r="LOP65"/>
      <c r="LOQ65"/>
      <c r="LOR65"/>
      <c r="LOS65"/>
      <c r="LOT65"/>
      <c r="LOU65"/>
      <c r="LOV65"/>
      <c r="LOW65"/>
      <c r="LOX65"/>
      <c r="LOY65"/>
      <c r="LOZ65"/>
      <c r="LPA65"/>
      <c r="LPB65"/>
      <c r="LPC65"/>
      <c r="LPD65"/>
      <c r="LPE65"/>
      <c r="LPF65"/>
      <c r="LPG65"/>
      <c r="LPH65"/>
      <c r="LPI65"/>
      <c r="LPJ65"/>
      <c r="LPK65"/>
      <c r="LPL65"/>
      <c r="LPM65"/>
      <c r="LPN65"/>
      <c r="LPO65"/>
      <c r="LPP65"/>
      <c r="LPQ65"/>
      <c r="LPR65"/>
      <c r="LPS65"/>
      <c r="LPT65"/>
      <c r="LPU65"/>
      <c r="LPV65"/>
      <c r="LPW65"/>
      <c r="LPX65"/>
      <c r="LPY65"/>
      <c r="LPZ65"/>
      <c r="LQA65"/>
      <c r="LQB65"/>
      <c r="LQC65"/>
      <c r="LQD65"/>
      <c r="LQE65"/>
      <c r="LQF65"/>
      <c r="LQG65"/>
      <c r="LQH65"/>
      <c r="LQI65"/>
      <c r="LQJ65"/>
      <c r="LQK65"/>
      <c r="LQL65"/>
      <c r="LQM65"/>
      <c r="LQN65"/>
      <c r="LQO65"/>
      <c r="LQP65"/>
      <c r="LQQ65"/>
      <c r="LQR65"/>
      <c r="LQS65"/>
      <c r="LQT65"/>
      <c r="LQU65"/>
      <c r="LQV65"/>
      <c r="LQW65"/>
      <c r="LQX65"/>
      <c r="LQY65"/>
      <c r="LQZ65"/>
      <c r="LRA65"/>
      <c r="LRB65"/>
      <c r="LRC65"/>
      <c r="LRD65"/>
      <c r="LRE65"/>
      <c r="LRF65"/>
      <c r="LRG65"/>
      <c r="LRH65"/>
      <c r="LRI65"/>
      <c r="LRJ65"/>
      <c r="LRK65"/>
      <c r="LRL65"/>
      <c r="LRM65"/>
      <c r="LRN65"/>
      <c r="LRO65"/>
      <c r="LRP65"/>
      <c r="LRQ65"/>
      <c r="LRR65"/>
      <c r="LRS65"/>
      <c r="LRT65"/>
      <c r="LRU65"/>
      <c r="LRV65"/>
      <c r="LRW65"/>
      <c r="LRX65"/>
      <c r="LRY65"/>
      <c r="LRZ65"/>
      <c r="LSA65"/>
      <c r="LSB65"/>
      <c r="LSC65"/>
      <c r="LSD65"/>
      <c r="LSE65"/>
      <c r="LSF65"/>
      <c r="LSG65"/>
      <c r="LSH65"/>
      <c r="LSI65"/>
      <c r="LSJ65"/>
      <c r="LSK65"/>
      <c r="LSL65"/>
      <c r="LSM65"/>
      <c r="LSN65"/>
      <c r="LSO65"/>
      <c r="LSP65"/>
      <c r="LSQ65"/>
      <c r="LSR65"/>
      <c r="LSS65"/>
      <c r="LST65"/>
      <c r="LSU65"/>
      <c r="LSV65"/>
      <c r="LSW65"/>
      <c r="LSX65"/>
      <c r="LSY65"/>
      <c r="LSZ65"/>
      <c r="LTA65"/>
      <c r="LTB65"/>
      <c r="LTC65"/>
      <c r="LTD65"/>
      <c r="LTE65"/>
      <c r="LTF65"/>
      <c r="LTG65"/>
      <c r="LTH65"/>
      <c r="LTI65"/>
      <c r="LTJ65"/>
      <c r="LTK65"/>
      <c r="LTL65"/>
      <c r="LTM65"/>
      <c r="LTN65"/>
      <c r="LTO65"/>
      <c r="LTP65"/>
      <c r="LTQ65"/>
      <c r="LTR65"/>
      <c r="LTS65"/>
      <c r="LTT65"/>
      <c r="LTU65"/>
      <c r="LTV65"/>
      <c r="LTW65"/>
      <c r="LTX65"/>
      <c r="LTY65"/>
      <c r="LTZ65"/>
      <c r="LUA65"/>
      <c r="LUB65"/>
      <c r="LUC65"/>
      <c r="LUD65"/>
      <c r="LUE65"/>
      <c r="LUF65"/>
      <c r="LUG65"/>
      <c r="LUH65"/>
      <c r="LUI65"/>
      <c r="LUJ65"/>
      <c r="LUK65"/>
      <c r="LUL65"/>
      <c r="LUM65"/>
      <c r="LUN65"/>
      <c r="LUO65"/>
      <c r="LUP65"/>
      <c r="LUQ65"/>
      <c r="LUR65"/>
      <c r="LUS65"/>
      <c r="LUT65"/>
      <c r="LUU65"/>
      <c r="LUV65"/>
      <c r="LUW65"/>
      <c r="LUX65"/>
      <c r="LUY65"/>
      <c r="LUZ65"/>
      <c r="LVA65"/>
      <c r="LVB65"/>
      <c r="LVC65"/>
      <c r="LVD65"/>
      <c r="LVE65"/>
      <c r="LVF65"/>
      <c r="LVG65"/>
      <c r="LVH65"/>
      <c r="LVI65"/>
      <c r="LVJ65"/>
      <c r="LVK65"/>
      <c r="LVL65"/>
      <c r="LVM65"/>
      <c r="LVN65"/>
      <c r="LVO65"/>
      <c r="LVP65"/>
      <c r="LVQ65"/>
      <c r="LVR65"/>
      <c r="LVS65"/>
      <c r="LVT65"/>
      <c r="LVU65"/>
      <c r="LVV65"/>
      <c r="LVW65"/>
      <c r="LVX65"/>
      <c r="LVY65"/>
      <c r="LVZ65"/>
      <c r="LWA65"/>
      <c r="LWB65"/>
      <c r="LWC65"/>
      <c r="LWD65"/>
      <c r="LWE65"/>
      <c r="LWF65"/>
      <c r="LWG65"/>
      <c r="LWH65"/>
      <c r="LWI65"/>
      <c r="LWJ65"/>
      <c r="LWK65"/>
      <c r="LWL65"/>
      <c r="LWM65"/>
      <c r="LWN65"/>
      <c r="LWO65"/>
      <c r="LWP65"/>
      <c r="LWQ65"/>
      <c r="LWR65"/>
      <c r="LWS65"/>
      <c r="LWT65"/>
      <c r="LWU65"/>
      <c r="LWV65"/>
      <c r="LWW65"/>
      <c r="LWX65"/>
      <c r="LWY65"/>
      <c r="LWZ65"/>
      <c r="LXA65"/>
      <c r="LXB65"/>
      <c r="LXC65"/>
      <c r="LXD65"/>
      <c r="LXE65"/>
      <c r="LXF65"/>
      <c r="LXG65"/>
      <c r="LXH65"/>
      <c r="LXI65"/>
      <c r="LXJ65"/>
      <c r="LXK65"/>
      <c r="LXL65"/>
      <c r="LXM65"/>
      <c r="LXN65"/>
      <c r="LXO65"/>
      <c r="LXP65"/>
      <c r="LXQ65"/>
      <c r="LXR65"/>
      <c r="LXS65"/>
      <c r="LXT65"/>
      <c r="LXU65"/>
      <c r="LXV65"/>
      <c r="LXW65"/>
      <c r="LXX65"/>
      <c r="LXY65"/>
      <c r="LXZ65"/>
      <c r="LYA65"/>
      <c r="LYB65"/>
      <c r="LYC65"/>
      <c r="LYD65"/>
      <c r="LYE65"/>
      <c r="LYF65"/>
      <c r="LYG65"/>
      <c r="LYH65"/>
      <c r="LYI65"/>
      <c r="LYJ65"/>
      <c r="LYK65"/>
      <c r="LYL65"/>
      <c r="LYM65"/>
      <c r="LYN65"/>
      <c r="LYO65"/>
      <c r="LYP65"/>
      <c r="LYQ65"/>
      <c r="LYR65"/>
      <c r="LYS65"/>
      <c r="LYT65"/>
      <c r="LYU65"/>
      <c r="LYV65"/>
      <c r="LYW65"/>
      <c r="LYX65"/>
      <c r="LYY65"/>
      <c r="LYZ65"/>
      <c r="LZA65"/>
      <c r="LZB65"/>
      <c r="LZC65"/>
      <c r="LZD65"/>
      <c r="LZE65"/>
      <c r="LZF65"/>
      <c r="LZG65"/>
      <c r="LZH65"/>
      <c r="LZI65"/>
      <c r="LZJ65"/>
      <c r="LZK65"/>
      <c r="LZL65"/>
      <c r="LZM65"/>
      <c r="LZN65"/>
      <c r="LZO65"/>
      <c r="LZP65"/>
      <c r="LZQ65"/>
      <c r="LZR65"/>
      <c r="LZS65"/>
      <c r="LZT65"/>
      <c r="LZU65"/>
      <c r="LZV65"/>
      <c r="LZW65"/>
      <c r="LZX65"/>
      <c r="LZY65"/>
      <c r="LZZ65"/>
      <c r="MAA65"/>
      <c r="MAB65"/>
      <c r="MAC65"/>
      <c r="MAD65"/>
      <c r="MAE65"/>
      <c r="MAF65"/>
      <c r="MAG65"/>
      <c r="MAH65"/>
      <c r="MAI65"/>
      <c r="MAJ65"/>
      <c r="MAK65"/>
      <c r="MAL65"/>
      <c r="MAM65"/>
      <c r="MAN65"/>
      <c r="MAO65"/>
      <c r="MAP65"/>
      <c r="MAQ65"/>
      <c r="MAR65"/>
      <c r="MAS65"/>
      <c r="MAT65"/>
      <c r="MAU65"/>
      <c r="MAV65"/>
      <c r="MAW65"/>
      <c r="MAX65"/>
      <c r="MAY65"/>
      <c r="MAZ65"/>
      <c r="MBA65"/>
      <c r="MBB65"/>
      <c r="MBC65"/>
      <c r="MBD65"/>
      <c r="MBE65"/>
      <c r="MBF65"/>
      <c r="MBG65"/>
      <c r="MBH65"/>
      <c r="MBI65"/>
      <c r="MBJ65"/>
      <c r="MBK65"/>
      <c r="MBL65"/>
      <c r="MBM65"/>
      <c r="MBN65"/>
      <c r="MBO65"/>
      <c r="MBP65"/>
      <c r="MBQ65"/>
      <c r="MBR65"/>
      <c r="MBS65"/>
      <c r="MBT65"/>
      <c r="MBU65"/>
      <c r="MBV65"/>
      <c r="MBW65"/>
      <c r="MBX65"/>
      <c r="MBY65"/>
      <c r="MBZ65"/>
      <c r="MCA65"/>
      <c r="MCB65"/>
      <c r="MCC65"/>
      <c r="MCD65"/>
      <c r="MCE65"/>
      <c r="MCF65"/>
      <c r="MCG65"/>
      <c r="MCH65"/>
      <c r="MCI65"/>
      <c r="MCJ65"/>
      <c r="MCK65"/>
      <c r="MCL65"/>
      <c r="MCM65"/>
      <c r="MCN65"/>
      <c r="MCO65"/>
      <c r="MCP65"/>
      <c r="MCQ65"/>
      <c r="MCR65"/>
      <c r="MCS65"/>
      <c r="MCT65"/>
      <c r="MCU65"/>
      <c r="MCV65"/>
      <c r="MCW65"/>
      <c r="MCX65"/>
      <c r="MCY65"/>
      <c r="MCZ65"/>
      <c r="MDA65"/>
      <c r="MDB65"/>
      <c r="MDC65"/>
      <c r="MDD65"/>
      <c r="MDE65"/>
      <c r="MDF65"/>
      <c r="MDG65"/>
      <c r="MDH65"/>
      <c r="MDI65"/>
      <c r="MDJ65"/>
      <c r="MDK65"/>
      <c r="MDL65"/>
      <c r="MDM65"/>
      <c r="MDN65"/>
      <c r="MDO65"/>
      <c r="MDP65"/>
      <c r="MDQ65"/>
      <c r="MDR65"/>
      <c r="MDS65"/>
      <c r="MDT65"/>
      <c r="MDU65"/>
      <c r="MDV65"/>
      <c r="MDW65"/>
      <c r="MDX65"/>
      <c r="MDY65"/>
      <c r="MDZ65"/>
      <c r="MEA65"/>
      <c r="MEB65"/>
      <c r="MEC65"/>
      <c r="MED65"/>
      <c r="MEE65"/>
      <c r="MEF65"/>
      <c r="MEG65"/>
      <c r="MEH65"/>
      <c r="MEI65"/>
      <c r="MEJ65"/>
      <c r="MEK65"/>
      <c r="MEL65"/>
      <c r="MEM65"/>
      <c r="MEN65"/>
      <c r="MEO65"/>
      <c r="MEP65"/>
      <c r="MEQ65"/>
      <c r="MER65"/>
      <c r="MES65"/>
      <c r="MET65"/>
      <c r="MEU65"/>
      <c r="MEV65"/>
      <c r="MEW65"/>
      <c r="MEX65"/>
      <c r="MEY65"/>
      <c r="MEZ65"/>
      <c r="MFA65"/>
      <c r="MFB65"/>
      <c r="MFC65"/>
      <c r="MFD65"/>
      <c r="MFE65"/>
      <c r="MFF65"/>
      <c r="MFG65"/>
      <c r="MFH65"/>
      <c r="MFI65"/>
      <c r="MFJ65"/>
      <c r="MFK65"/>
      <c r="MFL65"/>
      <c r="MFM65"/>
      <c r="MFN65"/>
      <c r="MFO65"/>
      <c r="MFP65"/>
      <c r="MFQ65"/>
      <c r="MFR65"/>
      <c r="MFS65"/>
      <c r="MFT65"/>
      <c r="MFU65"/>
      <c r="MFV65"/>
      <c r="MFW65"/>
      <c r="MFX65"/>
      <c r="MFY65"/>
      <c r="MFZ65"/>
      <c r="MGA65"/>
      <c r="MGB65"/>
      <c r="MGC65"/>
      <c r="MGD65"/>
      <c r="MGE65"/>
      <c r="MGF65"/>
      <c r="MGG65"/>
      <c r="MGH65"/>
      <c r="MGI65"/>
      <c r="MGJ65"/>
      <c r="MGK65"/>
      <c r="MGL65"/>
      <c r="MGM65"/>
      <c r="MGN65"/>
      <c r="MGO65"/>
      <c r="MGP65"/>
      <c r="MGQ65"/>
      <c r="MGR65"/>
      <c r="MGS65"/>
      <c r="MGT65"/>
      <c r="MGU65"/>
      <c r="MGV65"/>
      <c r="MGW65"/>
      <c r="MGX65"/>
      <c r="MGY65"/>
      <c r="MGZ65"/>
      <c r="MHA65"/>
      <c r="MHB65"/>
      <c r="MHC65"/>
      <c r="MHD65"/>
      <c r="MHE65"/>
      <c r="MHF65"/>
      <c r="MHG65"/>
      <c r="MHH65"/>
      <c r="MHI65"/>
      <c r="MHJ65"/>
      <c r="MHK65"/>
      <c r="MHL65"/>
      <c r="MHM65"/>
      <c r="MHN65"/>
      <c r="MHO65"/>
      <c r="MHP65"/>
      <c r="MHQ65"/>
      <c r="MHR65"/>
      <c r="MHS65"/>
      <c r="MHT65"/>
      <c r="MHU65"/>
      <c r="MHV65"/>
      <c r="MHW65"/>
      <c r="MHX65"/>
      <c r="MHY65"/>
      <c r="MHZ65"/>
      <c r="MIA65"/>
      <c r="MIB65"/>
      <c r="MIC65"/>
      <c r="MID65"/>
      <c r="MIE65"/>
      <c r="MIF65"/>
      <c r="MIG65"/>
      <c r="MIH65"/>
      <c r="MII65"/>
      <c r="MIJ65"/>
      <c r="MIK65"/>
      <c r="MIL65"/>
      <c r="MIM65"/>
      <c r="MIN65"/>
      <c r="MIO65"/>
      <c r="MIP65"/>
      <c r="MIQ65"/>
      <c r="MIR65"/>
      <c r="MIS65"/>
      <c r="MIT65"/>
      <c r="MIU65"/>
      <c r="MIV65"/>
      <c r="MIW65"/>
      <c r="MIX65"/>
      <c r="MIY65"/>
      <c r="MIZ65"/>
      <c r="MJA65"/>
      <c r="MJB65"/>
      <c r="MJC65"/>
      <c r="MJD65"/>
      <c r="MJE65"/>
      <c r="MJF65"/>
      <c r="MJG65"/>
      <c r="MJH65"/>
      <c r="MJI65"/>
      <c r="MJJ65"/>
      <c r="MJK65"/>
      <c r="MJL65"/>
      <c r="MJM65"/>
      <c r="MJN65"/>
      <c r="MJO65"/>
      <c r="MJP65"/>
      <c r="MJQ65"/>
      <c r="MJR65"/>
      <c r="MJS65"/>
      <c r="MJT65"/>
      <c r="MJU65"/>
      <c r="MJV65"/>
      <c r="MJW65"/>
      <c r="MJX65"/>
      <c r="MJY65"/>
      <c r="MJZ65"/>
      <c r="MKA65"/>
      <c r="MKB65"/>
      <c r="MKC65"/>
      <c r="MKD65"/>
      <c r="MKE65"/>
      <c r="MKF65"/>
      <c r="MKG65"/>
      <c r="MKH65"/>
      <c r="MKI65"/>
      <c r="MKJ65"/>
      <c r="MKK65"/>
      <c r="MKL65"/>
      <c r="MKM65"/>
      <c r="MKN65"/>
      <c r="MKO65"/>
      <c r="MKP65"/>
      <c r="MKQ65"/>
      <c r="MKR65"/>
      <c r="MKS65"/>
      <c r="MKT65"/>
      <c r="MKU65"/>
      <c r="MKV65"/>
      <c r="MKW65"/>
      <c r="MKX65"/>
      <c r="MKY65"/>
      <c r="MKZ65"/>
      <c r="MLA65"/>
      <c r="MLB65"/>
      <c r="MLC65"/>
      <c r="MLD65"/>
      <c r="MLE65"/>
      <c r="MLF65"/>
      <c r="MLG65"/>
      <c r="MLH65"/>
      <c r="MLI65"/>
      <c r="MLJ65"/>
      <c r="MLK65"/>
      <c r="MLL65"/>
      <c r="MLM65"/>
      <c r="MLN65"/>
      <c r="MLO65"/>
      <c r="MLP65"/>
      <c r="MLQ65"/>
      <c r="MLR65"/>
      <c r="MLS65"/>
      <c r="MLT65"/>
      <c r="MLU65"/>
      <c r="MLV65"/>
      <c r="MLW65"/>
      <c r="MLX65"/>
      <c r="MLY65"/>
      <c r="MLZ65"/>
      <c r="MMA65"/>
      <c r="MMB65"/>
      <c r="MMC65"/>
      <c r="MMD65"/>
      <c r="MME65"/>
      <c r="MMF65"/>
      <c r="MMG65"/>
      <c r="MMH65"/>
      <c r="MMI65"/>
      <c r="MMJ65"/>
      <c r="MMK65"/>
      <c r="MML65"/>
      <c r="MMM65"/>
      <c r="MMN65"/>
      <c r="MMO65"/>
      <c r="MMP65"/>
      <c r="MMQ65"/>
      <c r="MMR65"/>
      <c r="MMS65"/>
      <c r="MMT65"/>
      <c r="MMU65"/>
      <c r="MMV65"/>
      <c r="MMW65"/>
      <c r="MMX65"/>
      <c r="MMY65"/>
      <c r="MMZ65"/>
      <c r="MNA65"/>
      <c r="MNB65"/>
      <c r="MNC65"/>
      <c r="MND65"/>
      <c r="MNE65"/>
      <c r="MNF65"/>
      <c r="MNG65"/>
      <c r="MNH65"/>
      <c r="MNI65"/>
      <c r="MNJ65"/>
      <c r="MNK65"/>
      <c r="MNL65"/>
      <c r="MNM65"/>
      <c r="MNN65"/>
      <c r="MNO65"/>
      <c r="MNP65"/>
      <c r="MNQ65"/>
      <c r="MNR65"/>
      <c r="MNS65"/>
      <c r="MNT65"/>
      <c r="MNU65"/>
      <c r="MNV65"/>
      <c r="MNW65"/>
      <c r="MNX65"/>
      <c r="MNY65"/>
      <c r="MNZ65"/>
      <c r="MOA65"/>
      <c r="MOB65"/>
      <c r="MOC65"/>
      <c r="MOD65"/>
      <c r="MOE65"/>
      <c r="MOF65"/>
      <c r="MOG65"/>
      <c r="MOH65"/>
      <c r="MOI65"/>
      <c r="MOJ65"/>
      <c r="MOK65"/>
      <c r="MOL65"/>
      <c r="MOM65"/>
      <c r="MON65"/>
      <c r="MOO65"/>
      <c r="MOP65"/>
      <c r="MOQ65"/>
      <c r="MOR65"/>
      <c r="MOS65"/>
      <c r="MOT65"/>
      <c r="MOU65"/>
      <c r="MOV65"/>
      <c r="MOW65"/>
      <c r="MOX65"/>
      <c r="MOY65"/>
      <c r="MOZ65"/>
      <c r="MPA65"/>
      <c r="MPB65"/>
      <c r="MPC65"/>
      <c r="MPD65"/>
      <c r="MPE65"/>
      <c r="MPF65"/>
      <c r="MPG65"/>
      <c r="MPH65"/>
      <c r="MPI65"/>
      <c r="MPJ65"/>
      <c r="MPK65"/>
      <c r="MPL65"/>
      <c r="MPM65"/>
      <c r="MPN65"/>
      <c r="MPO65"/>
      <c r="MPP65"/>
      <c r="MPQ65"/>
      <c r="MPR65"/>
      <c r="MPS65"/>
      <c r="MPT65"/>
      <c r="MPU65"/>
      <c r="MPV65"/>
      <c r="MPW65"/>
      <c r="MPX65"/>
      <c r="MPY65"/>
      <c r="MPZ65"/>
      <c r="MQA65"/>
      <c r="MQB65"/>
      <c r="MQC65"/>
      <c r="MQD65"/>
      <c r="MQE65"/>
      <c r="MQF65"/>
      <c r="MQG65"/>
      <c r="MQH65"/>
      <c r="MQI65"/>
      <c r="MQJ65"/>
      <c r="MQK65"/>
      <c r="MQL65"/>
      <c r="MQM65"/>
      <c r="MQN65"/>
      <c r="MQO65"/>
      <c r="MQP65"/>
      <c r="MQQ65"/>
      <c r="MQR65"/>
      <c r="MQS65"/>
      <c r="MQT65"/>
      <c r="MQU65"/>
      <c r="MQV65"/>
      <c r="MQW65"/>
      <c r="MQX65"/>
      <c r="MQY65"/>
      <c r="MQZ65"/>
      <c r="MRA65"/>
      <c r="MRB65"/>
      <c r="MRC65"/>
      <c r="MRD65"/>
      <c r="MRE65"/>
      <c r="MRF65"/>
      <c r="MRG65"/>
      <c r="MRH65"/>
      <c r="MRI65"/>
      <c r="MRJ65"/>
      <c r="MRK65"/>
      <c r="MRL65"/>
      <c r="MRM65"/>
      <c r="MRN65"/>
      <c r="MRO65"/>
      <c r="MRP65"/>
      <c r="MRQ65"/>
      <c r="MRR65"/>
      <c r="MRS65"/>
      <c r="MRT65"/>
      <c r="MRU65"/>
      <c r="MRV65"/>
      <c r="MRW65"/>
      <c r="MRX65"/>
      <c r="MRY65"/>
      <c r="MRZ65"/>
      <c r="MSA65"/>
      <c r="MSB65"/>
      <c r="MSC65"/>
      <c r="MSD65"/>
      <c r="MSE65"/>
      <c r="MSF65"/>
      <c r="MSG65"/>
      <c r="MSH65"/>
      <c r="MSI65"/>
      <c r="MSJ65"/>
      <c r="MSK65"/>
      <c r="MSL65"/>
      <c r="MSM65"/>
      <c r="MSN65"/>
      <c r="MSO65"/>
      <c r="MSP65"/>
      <c r="MSQ65"/>
      <c r="MSR65"/>
      <c r="MSS65"/>
      <c r="MST65"/>
      <c r="MSU65"/>
      <c r="MSV65"/>
      <c r="MSW65"/>
      <c r="MSX65"/>
      <c r="MSY65"/>
      <c r="MSZ65"/>
      <c r="MTA65"/>
      <c r="MTB65"/>
      <c r="MTC65"/>
      <c r="MTD65"/>
      <c r="MTE65"/>
      <c r="MTF65"/>
      <c r="MTG65"/>
      <c r="MTH65"/>
      <c r="MTI65"/>
      <c r="MTJ65"/>
      <c r="MTK65"/>
      <c r="MTL65"/>
      <c r="MTM65"/>
      <c r="MTN65"/>
      <c r="MTO65"/>
      <c r="MTP65"/>
      <c r="MTQ65"/>
      <c r="MTR65"/>
      <c r="MTS65"/>
      <c r="MTT65"/>
      <c r="MTU65"/>
      <c r="MTV65"/>
      <c r="MTW65"/>
      <c r="MTX65"/>
      <c r="MTY65"/>
      <c r="MTZ65"/>
      <c r="MUA65"/>
      <c r="MUB65"/>
      <c r="MUC65"/>
      <c r="MUD65"/>
      <c r="MUE65"/>
      <c r="MUF65"/>
      <c r="MUG65"/>
      <c r="MUH65"/>
      <c r="MUI65"/>
      <c r="MUJ65"/>
      <c r="MUK65"/>
      <c r="MUL65"/>
      <c r="MUM65"/>
      <c r="MUN65"/>
      <c r="MUO65"/>
      <c r="MUP65"/>
      <c r="MUQ65"/>
      <c r="MUR65"/>
      <c r="MUS65"/>
      <c r="MUT65"/>
      <c r="MUU65"/>
      <c r="MUV65"/>
      <c r="MUW65"/>
      <c r="MUX65"/>
      <c r="MUY65"/>
      <c r="MUZ65"/>
      <c r="MVA65"/>
      <c r="MVB65"/>
      <c r="MVC65"/>
      <c r="MVD65"/>
      <c r="MVE65"/>
      <c r="MVF65"/>
      <c r="MVG65"/>
      <c r="MVH65"/>
      <c r="MVI65"/>
      <c r="MVJ65"/>
      <c r="MVK65"/>
      <c r="MVL65"/>
      <c r="MVM65"/>
      <c r="MVN65"/>
      <c r="MVO65"/>
      <c r="MVP65"/>
      <c r="MVQ65"/>
      <c r="MVR65"/>
      <c r="MVS65"/>
      <c r="MVT65"/>
      <c r="MVU65"/>
      <c r="MVV65"/>
      <c r="MVW65"/>
      <c r="MVX65"/>
      <c r="MVY65"/>
      <c r="MVZ65"/>
      <c r="MWA65"/>
      <c r="MWB65"/>
      <c r="MWC65"/>
      <c r="MWD65"/>
      <c r="MWE65"/>
      <c r="MWF65"/>
      <c r="MWG65"/>
      <c r="MWH65"/>
      <c r="MWI65"/>
      <c r="MWJ65"/>
      <c r="MWK65"/>
      <c r="MWL65"/>
      <c r="MWM65"/>
      <c r="MWN65"/>
      <c r="MWO65"/>
      <c r="MWP65"/>
      <c r="MWQ65"/>
      <c r="MWR65"/>
      <c r="MWS65"/>
      <c r="MWT65"/>
      <c r="MWU65"/>
      <c r="MWV65"/>
      <c r="MWW65"/>
      <c r="MWX65"/>
      <c r="MWY65"/>
      <c r="MWZ65"/>
      <c r="MXA65"/>
      <c r="MXB65"/>
      <c r="MXC65"/>
      <c r="MXD65"/>
      <c r="MXE65"/>
      <c r="MXF65"/>
      <c r="MXG65"/>
      <c r="MXH65"/>
      <c r="MXI65"/>
      <c r="MXJ65"/>
      <c r="MXK65"/>
      <c r="MXL65"/>
      <c r="MXM65"/>
      <c r="MXN65"/>
      <c r="MXO65"/>
      <c r="MXP65"/>
      <c r="MXQ65"/>
      <c r="MXR65"/>
      <c r="MXS65"/>
      <c r="MXT65"/>
      <c r="MXU65"/>
      <c r="MXV65"/>
      <c r="MXW65"/>
      <c r="MXX65"/>
      <c r="MXY65"/>
      <c r="MXZ65"/>
      <c r="MYA65"/>
      <c r="MYB65"/>
      <c r="MYC65"/>
      <c r="MYD65"/>
      <c r="MYE65"/>
      <c r="MYF65"/>
      <c r="MYG65"/>
      <c r="MYH65"/>
      <c r="MYI65"/>
      <c r="MYJ65"/>
      <c r="MYK65"/>
      <c r="MYL65"/>
      <c r="MYM65"/>
      <c r="MYN65"/>
      <c r="MYO65"/>
      <c r="MYP65"/>
      <c r="MYQ65"/>
      <c r="MYR65"/>
      <c r="MYS65"/>
      <c r="MYT65"/>
      <c r="MYU65"/>
      <c r="MYV65"/>
      <c r="MYW65"/>
      <c r="MYX65"/>
      <c r="MYY65"/>
      <c r="MYZ65"/>
      <c r="MZA65"/>
      <c r="MZB65"/>
      <c r="MZC65"/>
      <c r="MZD65"/>
      <c r="MZE65"/>
      <c r="MZF65"/>
      <c r="MZG65"/>
      <c r="MZH65"/>
      <c r="MZI65"/>
      <c r="MZJ65"/>
      <c r="MZK65"/>
      <c r="MZL65"/>
      <c r="MZM65"/>
      <c r="MZN65"/>
      <c r="MZO65"/>
      <c r="MZP65"/>
      <c r="MZQ65"/>
      <c r="MZR65"/>
      <c r="MZS65"/>
      <c r="MZT65"/>
      <c r="MZU65"/>
      <c r="MZV65"/>
      <c r="MZW65"/>
      <c r="MZX65"/>
      <c r="MZY65"/>
      <c r="MZZ65"/>
      <c r="NAA65"/>
      <c r="NAB65"/>
      <c r="NAC65"/>
      <c r="NAD65"/>
      <c r="NAE65"/>
      <c r="NAF65"/>
      <c r="NAG65"/>
      <c r="NAH65"/>
      <c r="NAI65"/>
      <c r="NAJ65"/>
      <c r="NAK65"/>
      <c r="NAL65"/>
      <c r="NAM65"/>
      <c r="NAN65"/>
      <c r="NAO65"/>
      <c r="NAP65"/>
      <c r="NAQ65"/>
      <c r="NAR65"/>
      <c r="NAS65"/>
      <c r="NAT65"/>
      <c r="NAU65"/>
      <c r="NAV65"/>
      <c r="NAW65"/>
      <c r="NAX65"/>
      <c r="NAY65"/>
      <c r="NAZ65"/>
      <c r="NBA65"/>
      <c r="NBB65"/>
      <c r="NBC65"/>
      <c r="NBD65"/>
      <c r="NBE65"/>
      <c r="NBF65"/>
      <c r="NBG65"/>
      <c r="NBH65"/>
      <c r="NBI65"/>
      <c r="NBJ65"/>
      <c r="NBK65"/>
      <c r="NBL65"/>
      <c r="NBM65"/>
      <c r="NBN65"/>
      <c r="NBO65"/>
      <c r="NBP65"/>
      <c r="NBQ65"/>
      <c r="NBR65"/>
      <c r="NBS65"/>
      <c r="NBT65"/>
      <c r="NBU65"/>
      <c r="NBV65"/>
      <c r="NBW65"/>
      <c r="NBX65"/>
      <c r="NBY65"/>
      <c r="NBZ65"/>
      <c r="NCA65"/>
      <c r="NCB65"/>
      <c r="NCC65"/>
      <c r="NCD65"/>
      <c r="NCE65"/>
      <c r="NCF65"/>
      <c r="NCG65"/>
      <c r="NCH65"/>
      <c r="NCI65"/>
      <c r="NCJ65"/>
      <c r="NCK65"/>
      <c r="NCL65"/>
      <c r="NCM65"/>
      <c r="NCN65"/>
      <c r="NCO65"/>
      <c r="NCP65"/>
      <c r="NCQ65"/>
      <c r="NCR65"/>
      <c r="NCS65"/>
      <c r="NCT65"/>
      <c r="NCU65"/>
      <c r="NCV65"/>
      <c r="NCW65"/>
      <c r="NCX65"/>
      <c r="NCY65"/>
      <c r="NCZ65"/>
      <c r="NDA65"/>
      <c r="NDB65"/>
      <c r="NDC65"/>
      <c r="NDD65"/>
      <c r="NDE65"/>
      <c r="NDF65"/>
      <c r="NDG65"/>
      <c r="NDH65"/>
      <c r="NDI65"/>
      <c r="NDJ65"/>
      <c r="NDK65"/>
      <c r="NDL65"/>
      <c r="NDM65"/>
      <c r="NDN65"/>
      <c r="NDO65"/>
      <c r="NDP65"/>
      <c r="NDQ65"/>
      <c r="NDR65"/>
      <c r="NDS65"/>
      <c r="NDT65"/>
      <c r="NDU65"/>
      <c r="NDV65"/>
      <c r="NDW65"/>
      <c r="NDX65"/>
      <c r="NDY65"/>
      <c r="NDZ65"/>
      <c r="NEA65"/>
      <c r="NEB65"/>
      <c r="NEC65"/>
      <c r="NED65"/>
      <c r="NEE65"/>
      <c r="NEF65"/>
      <c r="NEG65"/>
      <c r="NEH65"/>
      <c r="NEI65"/>
      <c r="NEJ65"/>
      <c r="NEK65"/>
      <c r="NEL65"/>
      <c r="NEM65"/>
      <c r="NEN65"/>
      <c r="NEO65"/>
      <c r="NEP65"/>
      <c r="NEQ65"/>
      <c r="NER65"/>
      <c r="NES65"/>
      <c r="NET65"/>
      <c r="NEU65"/>
      <c r="NEV65"/>
      <c r="NEW65"/>
      <c r="NEX65"/>
      <c r="NEY65"/>
      <c r="NEZ65"/>
      <c r="NFA65"/>
      <c r="NFB65"/>
      <c r="NFC65"/>
      <c r="NFD65"/>
      <c r="NFE65"/>
      <c r="NFF65"/>
      <c r="NFG65"/>
      <c r="NFH65"/>
      <c r="NFI65"/>
      <c r="NFJ65"/>
      <c r="NFK65"/>
      <c r="NFL65"/>
      <c r="NFM65"/>
      <c r="NFN65"/>
      <c r="NFO65"/>
      <c r="NFP65"/>
      <c r="NFQ65"/>
      <c r="NFR65"/>
      <c r="NFS65"/>
      <c r="NFT65"/>
      <c r="NFU65"/>
      <c r="NFV65"/>
      <c r="NFW65"/>
      <c r="NFX65"/>
      <c r="NFY65"/>
      <c r="NFZ65"/>
      <c r="NGA65"/>
      <c r="NGB65"/>
      <c r="NGC65"/>
      <c r="NGD65"/>
      <c r="NGE65"/>
      <c r="NGF65"/>
      <c r="NGG65"/>
      <c r="NGH65"/>
      <c r="NGI65"/>
      <c r="NGJ65"/>
      <c r="NGK65"/>
      <c r="NGL65"/>
      <c r="NGM65"/>
      <c r="NGN65"/>
      <c r="NGO65"/>
      <c r="NGP65"/>
      <c r="NGQ65"/>
      <c r="NGR65"/>
      <c r="NGS65"/>
      <c r="NGT65"/>
      <c r="NGU65"/>
      <c r="NGV65"/>
      <c r="NGW65"/>
      <c r="NGX65"/>
      <c r="NGY65"/>
      <c r="NGZ65"/>
      <c r="NHA65"/>
      <c r="NHB65"/>
      <c r="NHC65"/>
      <c r="NHD65"/>
      <c r="NHE65"/>
      <c r="NHF65"/>
      <c r="NHG65"/>
      <c r="NHH65"/>
      <c r="NHI65"/>
      <c r="NHJ65"/>
      <c r="NHK65"/>
      <c r="NHL65"/>
      <c r="NHM65"/>
      <c r="NHN65"/>
      <c r="NHO65"/>
      <c r="NHP65"/>
      <c r="NHQ65"/>
      <c r="NHR65"/>
      <c r="NHS65"/>
      <c r="NHT65"/>
      <c r="NHU65"/>
      <c r="NHV65"/>
      <c r="NHW65"/>
      <c r="NHX65"/>
      <c r="NHY65"/>
      <c r="NHZ65"/>
      <c r="NIA65"/>
      <c r="NIB65"/>
      <c r="NIC65"/>
      <c r="NID65"/>
      <c r="NIE65"/>
      <c r="NIF65"/>
      <c r="NIG65"/>
      <c r="NIH65"/>
      <c r="NII65"/>
      <c r="NIJ65"/>
      <c r="NIK65"/>
      <c r="NIL65"/>
      <c r="NIM65"/>
      <c r="NIN65"/>
      <c r="NIO65"/>
      <c r="NIP65"/>
      <c r="NIQ65"/>
      <c r="NIR65"/>
      <c r="NIS65"/>
      <c r="NIT65"/>
      <c r="NIU65"/>
      <c r="NIV65"/>
      <c r="NIW65"/>
      <c r="NIX65"/>
      <c r="NIY65"/>
      <c r="NIZ65"/>
      <c r="NJA65"/>
      <c r="NJB65"/>
      <c r="NJC65"/>
      <c r="NJD65"/>
      <c r="NJE65"/>
      <c r="NJF65"/>
      <c r="NJG65"/>
      <c r="NJH65"/>
      <c r="NJI65"/>
      <c r="NJJ65"/>
      <c r="NJK65"/>
      <c r="NJL65"/>
      <c r="NJM65"/>
      <c r="NJN65"/>
      <c r="NJO65"/>
      <c r="NJP65"/>
      <c r="NJQ65"/>
      <c r="NJR65"/>
      <c r="NJS65"/>
      <c r="NJT65"/>
      <c r="NJU65"/>
      <c r="NJV65"/>
      <c r="NJW65"/>
      <c r="NJX65"/>
      <c r="NJY65"/>
      <c r="NJZ65"/>
      <c r="NKA65"/>
      <c r="NKB65"/>
      <c r="NKC65"/>
      <c r="NKD65"/>
      <c r="NKE65"/>
      <c r="NKF65"/>
      <c r="NKG65"/>
      <c r="NKH65"/>
      <c r="NKI65"/>
      <c r="NKJ65"/>
      <c r="NKK65"/>
      <c r="NKL65"/>
      <c r="NKM65"/>
      <c r="NKN65"/>
      <c r="NKO65"/>
      <c r="NKP65"/>
      <c r="NKQ65"/>
      <c r="NKR65"/>
      <c r="NKS65"/>
      <c r="NKT65"/>
      <c r="NKU65"/>
      <c r="NKV65"/>
      <c r="NKW65"/>
      <c r="NKX65"/>
      <c r="NKY65"/>
      <c r="NKZ65"/>
      <c r="NLA65"/>
      <c r="NLB65"/>
      <c r="NLC65"/>
      <c r="NLD65"/>
      <c r="NLE65"/>
      <c r="NLF65"/>
      <c r="NLG65"/>
      <c r="NLH65"/>
      <c r="NLI65"/>
      <c r="NLJ65"/>
      <c r="NLK65"/>
      <c r="NLL65"/>
      <c r="NLM65"/>
      <c r="NLN65"/>
      <c r="NLO65"/>
      <c r="NLP65"/>
      <c r="NLQ65"/>
      <c r="NLR65"/>
      <c r="NLS65"/>
      <c r="NLT65"/>
      <c r="NLU65"/>
      <c r="NLV65"/>
      <c r="NLW65"/>
      <c r="NLX65"/>
      <c r="NLY65"/>
      <c r="NLZ65"/>
      <c r="NMA65"/>
      <c r="NMB65"/>
      <c r="NMC65"/>
      <c r="NMD65"/>
      <c r="NME65"/>
      <c r="NMF65"/>
      <c r="NMG65"/>
      <c r="NMH65"/>
      <c r="NMI65"/>
      <c r="NMJ65"/>
      <c r="NMK65"/>
      <c r="NML65"/>
      <c r="NMM65"/>
      <c r="NMN65"/>
      <c r="NMO65"/>
      <c r="NMP65"/>
      <c r="NMQ65"/>
      <c r="NMR65"/>
      <c r="NMS65"/>
      <c r="NMT65"/>
      <c r="NMU65"/>
      <c r="NMV65"/>
      <c r="NMW65"/>
      <c r="NMX65"/>
      <c r="NMY65"/>
      <c r="NMZ65"/>
      <c r="NNA65"/>
      <c r="NNB65"/>
      <c r="NNC65"/>
      <c r="NND65"/>
      <c r="NNE65"/>
      <c r="NNF65"/>
      <c r="NNG65"/>
      <c r="NNH65"/>
      <c r="NNI65"/>
      <c r="NNJ65"/>
      <c r="NNK65"/>
      <c r="NNL65"/>
      <c r="NNM65"/>
      <c r="NNN65"/>
      <c r="NNO65"/>
      <c r="NNP65"/>
      <c r="NNQ65"/>
      <c r="NNR65"/>
      <c r="NNS65"/>
      <c r="NNT65"/>
      <c r="NNU65"/>
      <c r="NNV65"/>
      <c r="NNW65"/>
      <c r="NNX65"/>
      <c r="NNY65"/>
      <c r="NNZ65"/>
      <c r="NOA65"/>
      <c r="NOB65"/>
      <c r="NOC65"/>
      <c r="NOD65"/>
      <c r="NOE65"/>
      <c r="NOF65"/>
      <c r="NOG65"/>
      <c r="NOH65"/>
      <c r="NOI65"/>
      <c r="NOJ65"/>
      <c r="NOK65"/>
      <c r="NOL65"/>
      <c r="NOM65"/>
      <c r="NON65"/>
      <c r="NOO65"/>
      <c r="NOP65"/>
      <c r="NOQ65"/>
      <c r="NOR65"/>
      <c r="NOS65"/>
      <c r="NOT65"/>
      <c r="NOU65"/>
      <c r="NOV65"/>
      <c r="NOW65"/>
      <c r="NOX65"/>
      <c r="NOY65"/>
      <c r="NOZ65"/>
      <c r="NPA65"/>
      <c r="NPB65"/>
      <c r="NPC65"/>
      <c r="NPD65"/>
      <c r="NPE65"/>
      <c r="NPF65"/>
      <c r="NPG65"/>
      <c r="NPH65"/>
      <c r="NPI65"/>
      <c r="NPJ65"/>
      <c r="NPK65"/>
      <c r="NPL65"/>
      <c r="NPM65"/>
      <c r="NPN65"/>
      <c r="NPO65"/>
      <c r="NPP65"/>
      <c r="NPQ65"/>
      <c r="NPR65"/>
      <c r="NPS65"/>
      <c r="NPT65"/>
      <c r="NPU65"/>
      <c r="NPV65"/>
      <c r="NPW65"/>
      <c r="NPX65"/>
      <c r="NPY65"/>
      <c r="NPZ65"/>
      <c r="NQA65"/>
      <c r="NQB65"/>
      <c r="NQC65"/>
      <c r="NQD65"/>
      <c r="NQE65"/>
      <c r="NQF65"/>
      <c r="NQG65"/>
      <c r="NQH65"/>
      <c r="NQI65"/>
      <c r="NQJ65"/>
      <c r="NQK65"/>
      <c r="NQL65"/>
      <c r="NQM65"/>
      <c r="NQN65"/>
      <c r="NQO65"/>
      <c r="NQP65"/>
      <c r="NQQ65"/>
      <c r="NQR65"/>
      <c r="NQS65"/>
      <c r="NQT65"/>
      <c r="NQU65"/>
      <c r="NQV65"/>
      <c r="NQW65"/>
      <c r="NQX65"/>
      <c r="NQY65"/>
      <c r="NQZ65"/>
      <c r="NRA65"/>
      <c r="NRB65"/>
      <c r="NRC65"/>
      <c r="NRD65"/>
      <c r="NRE65"/>
      <c r="NRF65"/>
      <c r="NRG65"/>
      <c r="NRH65"/>
      <c r="NRI65"/>
      <c r="NRJ65"/>
      <c r="NRK65"/>
      <c r="NRL65"/>
      <c r="NRM65"/>
      <c r="NRN65"/>
      <c r="NRO65"/>
      <c r="NRP65"/>
      <c r="NRQ65"/>
      <c r="NRR65"/>
      <c r="NRS65"/>
      <c r="NRT65"/>
      <c r="NRU65"/>
      <c r="NRV65"/>
      <c r="NRW65"/>
      <c r="NRX65"/>
      <c r="NRY65"/>
      <c r="NRZ65"/>
      <c r="NSA65"/>
      <c r="NSB65"/>
      <c r="NSC65"/>
      <c r="NSD65"/>
      <c r="NSE65"/>
      <c r="NSF65"/>
      <c r="NSG65"/>
      <c r="NSH65"/>
      <c r="NSI65"/>
      <c r="NSJ65"/>
      <c r="NSK65"/>
      <c r="NSL65"/>
      <c r="NSM65"/>
      <c r="NSN65"/>
      <c r="NSO65"/>
      <c r="NSP65"/>
      <c r="NSQ65"/>
      <c r="NSR65"/>
      <c r="NSS65"/>
      <c r="NST65"/>
      <c r="NSU65"/>
      <c r="NSV65"/>
      <c r="NSW65"/>
      <c r="NSX65"/>
      <c r="NSY65"/>
      <c r="NSZ65"/>
      <c r="NTA65"/>
      <c r="NTB65"/>
      <c r="NTC65"/>
      <c r="NTD65"/>
      <c r="NTE65"/>
      <c r="NTF65"/>
      <c r="NTG65"/>
      <c r="NTH65"/>
      <c r="NTI65"/>
      <c r="NTJ65"/>
      <c r="NTK65"/>
      <c r="NTL65"/>
      <c r="NTM65"/>
      <c r="NTN65"/>
      <c r="NTO65"/>
      <c r="NTP65"/>
      <c r="NTQ65"/>
      <c r="NTR65"/>
      <c r="NTS65"/>
      <c r="NTT65"/>
      <c r="NTU65"/>
      <c r="NTV65"/>
      <c r="NTW65"/>
      <c r="NTX65"/>
      <c r="NTY65"/>
      <c r="NTZ65"/>
      <c r="NUA65"/>
      <c r="NUB65"/>
      <c r="NUC65"/>
      <c r="NUD65"/>
      <c r="NUE65"/>
      <c r="NUF65"/>
      <c r="NUG65"/>
      <c r="NUH65"/>
      <c r="NUI65"/>
      <c r="NUJ65"/>
      <c r="NUK65"/>
      <c r="NUL65"/>
      <c r="NUM65"/>
      <c r="NUN65"/>
      <c r="NUO65"/>
      <c r="NUP65"/>
      <c r="NUQ65"/>
      <c r="NUR65"/>
      <c r="NUS65"/>
      <c r="NUT65"/>
      <c r="NUU65"/>
      <c r="NUV65"/>
      <c r="NUW65"/>
      <c r="NUX65"/>
      <c r="NUY65"/>
      <c r="NUZ65"/>
      <c r="NVA65"/>
      <c r="NVB65"/>
      <c r="NVC65"/>
      <c r="NVD65"/>
      <c r="NVE65"/>
      <c r="NVF65"/>
      <c r="NVG65"/>
      <c r="NVH65"/>
      <c r="NVI65"/>
      <c r="NVJ65"/>
      <c r="NVK65"/>
      <c r="NVL65"/>
      <c r="NVM65"/>
      <c r="NVN65"/>
      <c r="NVO65"/>
      <c r="NVP65"/>
      <c r="NVQ65"/>
      <c r="NVR65"/>
      <c r="NVS65"/>
      <c r="NVT65"/>
      <c r="NVU65"/>
      <c r="NVV65"/>
      <c r="NVW65"/>
      <c r="NVX65"/>
      <c r="NVY65"/>
      <c r="NVZ65"/>
      <c r="NWA65"/>
      <c r="NWB65"/>
      <c r="NWC65"/>
      <c r="NWD65"/>
      <c r="NWE65"/>
      <c r="NWF65"/>
      <c r="NWG65"/>
      <c r="NWH65"/>
      <c r="NWI65"/>
      <c r="NWJ65"/>
      <c r="NWK65"/>
      <c r="NWL65"/>
      <c r="NWM65"/>
      <c r="NWN65"/>
      <c r="NWO65"/>
      <c r="NWP65"/>
      <c r="NWQ65"/>
      <c r="NWR65"/>
      <c r="NWS65"/>
      <c r="NWT65"/>
      <c r="NWU65"/>
      <c r="NWV65"/>
      <c r="NWW65"/>
      <c r="NWX65"/>
      <c r="NWY65"/>
      <c r="NWZ65"/>
      <c r="NXA65"/>
      <c r="NXB65"/>
      <c r="NXC65"/>
      <c r="NXD65"/>
      <c r="NXE65"/>
      <c r="NXF65"/>
      <c r="NXG65"/>
      <c r="NXH65"/>
      <c r="NXI65"/>
      <c r="NXJ65"/>
      <c r="NXK65"/>
      <c r="NXL65"/>
      <c r="NXM65"/>
      <c r="NXN65"/>
      <c r="NXO65"/>
      <c r="NXP65"/>
      <c r="NXQ65"/>
      <c r="NXR65"/>
      <c r="NXS65"/>
      <c r="NXT65"/>
      <c r="NXU65"/>
      <c r="NXV65"/>
      <c r="NXW65"/>
      <c r="NXX65"/>
      <c r="NXY65"/>
      <c r="NXZ65"/>
      <c r="NYA65"/>
      <c r="NYB65"/>
      <c r="NYC65"/>
      <c r="NYD65"/>
      <c r="NYE65"/>
      <c r="NYF65"/>
      <c r="NYG65"/>
      <c r="NYH65"/>
      <c r="NYI65"/>
      <c r="NYJ65"/>
      <c r="NYK65"/>
      <c r="NYL65"/>
      <c r="NYM65"/>
      <c r="NYN65"/>
      <c r="NYO65"/>
      <c r="NYP65"/>
      <c r="NYQ65"/>
      <c r="NYR65"/>
      <c r="NYS65"/>
      <c r="NYT65"/>
      <c r="NYU65"/>
      <c r="NYV65"/>
      <c r="NYW65"/>
      <c r="NYX65"/>
      <c r="NYY65"/>
      <c r="NYZ65"/>
      <c r="NZA65"/>
      <c r="NZB65"/>
      <c r="NZC65"/>
      <c r="NZD65"/>
      <c r="NZE65"/>
      <c r="NZF65"/>
      <c r="NZG65"/>
      <c r="NZH65"/>
      <c r="NZI65"/>
      <c r="NZJ65"/>
      <c r="NZK65"/>
      <c r="NZL65"/>
      <c r="NZM65"/>
      <c r="NZN65"/>
      <c r="NZO65"/>
      <c r="NZP65"/>
      <c r="NZQ65"/>
      <c r="NZR65"/>
      <c r="NZS65"/>
      <c r="NZT65"/>
      <c r="NZU65"/>
      <c r="NZV65"/>
      <c r="NZW65"/>
      <c r="NZX65"/>
      <c r="NZY65"/>
      <c r="NZZ65"/>
      <c r="OAA65"/>
      <c r="OAB65"/>
      <c r="OAC65"/>
      <c r="OAD65"/>
      <c r="OAE65"/>
      <c r="OAF65"/>
      <c r="OAG65"/>
      <c r="OAH65"/>
      <c r="OAI65"/>
      <c r="OAJ65"/>
      <c r="OAK65"/>
      <c r="OAL65"/>
      <c r="OAM65"/>
      <c r="OAN65"/>
      <c r="OAO65"/>
      <c r="OAP65"/>
      <c r="OAQ65"/>
      <c r="OAR65"/>
      <c r="OAS65"/>
      <c r="OAT65"/>
      <c r="OAU65"/>
      <c r="OAV65"/>
      <c r="OAW65"/>
      <c r="OAX65"/>
      <c r="OAY65"/>
      <c r="OAZ65"/>
      <c r="OBA65"/>
      <c r="OBB65"/>
      <c r="OBC65"/>
      <c r="OBD65"/>
      <c r="OBE65"/>
      <c r="OBF65"/>
      <c r="OBG65"/>
      <c r="OBH65"/>
      <c r="OBI65"/>
      <c r="OBJ65"/>
      <c r="OBK65"/>
      <c r="OBL65"/>
      <c r="OBM65"/>
      <c r="OBN65"/>
      <c r="OBO65"/>
      <c r="OBP65"/>
      <c r="OBQ65"/>
      <c r="OBR65"/>
      <c r="OBS65"/>
      <c r="OBT65"/>
      <c r="OBU65"/>
      <c r="OBV65"/>
      <c r="OBW65"/>
      <c r="OBX65"/>
      <c r="OBY65"/>
      <c r="OBZ65"/>
      <c r="OCA65"/>
      <c r="OCB65"/>
      <c r="OCC65"/>
      <c r="OCD65"/>
      <c r="OCE65"/>
      <c r="OCF65"/>
      <c r="OCG65"/>
      <c r="OCH65"/>
      <c r="OCI65"/>
      <c r="OCJ65"/>
      <c r="OCK65"/>
      <c r="OCL65"/>
      <c r="OCM65"/>
      <c r="OCN65"/>
      <c r="OCO65"/>
      <c r="OCP65"/>
      <c r="OCQ65"/>
      <c r="OCR65"/>
      <c r="OCS65"/>
      <c r="OCT65"/>
      <c r="OCU65"/>
      <c r="OCV65"/>
      <c r="OCW65"/>
      <c r="OCX65"/>
      <c r="OCY65"/>
      <c r="OCZ65"/>
      <c r="ODA65"/>
      <c r="ODB65"/>
      <c r="ODC65"/>
      <c r="ODD65"/>
      <c r="ODE65"/>
      <c r="ODF65"/>
      <c r="ODG65"/>
      <c r="ODH65"/>
      <c r="ODI65"/>
      <c r="ODJ65"/>
      <c r="ODK65"/>
      <c r="ODL65"/>
      <c r="ODM65"/>
      <c r="ODN65"/>
      <c r="ODO65"/>
      <c r="ODP65"/>
      <c r="ODQ65"/>
      <c r="ODR65"/>
      <c r="ODS65"/>
      <c r="ODT65"/>
      <c r="ODU65"/>
      <c r="ODV65"/>
      <c r="ODW65"/>
      <c r="ODX65"/>
      <c r="ODY65"/>
      <c r="ODZ65"/>
      <c r="OEA65"/>
      <c r="OEB65"/>
      <c r="OEC65"/>
      <c r="OED65"/>
      <c r="OEE65"/>
      <c r="OEF65"/>
      <c r="OEG65"/>
      <c r="OEH65"/>
      <c r="OEI65"/>
      <c r="OEJ65"/>
      <c r="OEK65"/>
      <c r="OEL65"/>
      <c r="OEM65"/>
      <c r="OEN65"/>
      <c r="OEO65"/>
      <c r="OEP65"/>
      <c r="OEQ65"/>
      <c r="OER65"/>
      <c r="OES65"/>
      <c r="OET65"/>
      <c r="OEU65"/>
      <c r="OEV65"/>
      <c r="OEW65"/>
      <c r="OEX65"/>
      <c r="OEY65"/>
      <c r="OEZ65"/>
      <c r="OFA65"/>
      <c r="OFB65"/>
      <c r="OFC65"/>
      <c r="OFD65"/>
      <c r="OFE65"/>
      <c r="OFF65"/>
      <c r="OFG65"/>
      <c r="OFH65"/>
      <c r="OFI65"/>
      <c r="OFJ65"/>
      <c r="OFK65"/>
      <c r="OFL65"/>
      <c r="OFM65"/>
      <c r="OFN65"/>
      <c r="OFO65"/>
      <c r="OFP65"/>
      <c r="OFQ65"/>
      <c r="OFR65"/>
      <c r="OFS65"/>
      <c r="OFT65"/>
      <c r="OFU65"/>
      <c r="OFV65"/>
      <c r="OFW65"/>
      <c r="OFX65"/>
      <c r="OFY65"/>
      <c r="OFZ65"/>
      <c r="OGA65"/>
      <c r="OGB65"/>
      <c r="OGC65"/>
      <c r="OGD65"/>
      <c r="OGE65"/>
      <c r="OGF65"/>
      <c r="OGG65"/>
      <c r="OGH65"/>
      <c r="OGI65"/>
      <c r="OGJ65"/>
      <c r="OGK65"/>
      <c r="OGL65"/>
      <c r="OGM65"/>
      <c r="OGN65"/>
      <c r="OGO65"/>
      <c r="OGP65"/>
      <c r="OGQ65"/>
      <c r="OGR65"/>
      <c r="OGS65"/>
      <c r="OGT65"/>
      <c r="OGU65"/>
      <c r="OGV65"/>
      <c r="OGW65"/>
      <c r="OGX65"/>
      <c r="OGY65"/>
      <c r="OGZ65"/>
      <c r="OHA65"/>
      <c r="OHB65"/>
      <c r="OHC65"/>
      <c r="OHD65"/>
      <c r="OHE65"/>
      <c r="OHF65"/>
      <c r="OHG65"/>
      <c r="OHH65"/>
      <c r="OHI65"/>
      <c r="OHJ65"/>
      <c r="OHK65"/>
      <c r="OHL65"/>
      <c r="OHM65"/>
      <c r="OHN65"/>
      <c r="OHO65"/>
      <c r="OHP65"/>
      <c r="OHQ65"/>
      <c r="OHR65"/>
      <c r="OHS65"/>
      <c r="OHT65"/>
      <c r="OHU65"/>
      <c r="OHV65"/>
      <c r="OHW65"/>
      <c r="OHX65"/>
      <c r="OHY65"/>
      <c r="OHZ65"/>
      <c r="OIA65"/>
      <c r="OIB65"/>
      <c r="OIC65"/>
      <c r="OID65"/>
      <c r="OIE65"/>
      <c r="OIF65"/>
      <c r="OIG65"/>
      <c r="OIH65"/>
      <c r="OII65"/>
      <c r="OIJ65"/>
      <c r="OIK65"/>
      <c r="OIL65"/>
      <c r="OIM65"/>
      <c r="OIN65"/>
      <c r="OIO65"/>
      <c r="OIP65"/>
      <c r="OIQ65"/>
      <c r="OIR65"/>
      <c r="OIS65"/>
      <c r="OIT65"/>
      <c r="OIU65"/>
      <c r="OIV65"/>
      <c r="OIW65"/>
      <c r="OIX65"/>
      <c r="OIY65"/>
      <c r="OIZ65"/>
      <c r="OJA65"/>
      <c r="OJB65"/>
      <c r="OJC65"/>
      <c r="OJD65"/>
      <c r="OJE65"/>
      <c r="OJF65"/>
      <c r="OJG65"/>
      <c r="OJH65"/>
      <c r="OJI65"/>
      <c r="OJJ65"/>
      <c r="OJK65"/>
      <c r="OJL65"/>
      <c r="OJM65"/>
      <c r="OJN65"/>
      <c r="OJO65"/>
      <c r="OJP65"/>
      <c r="OJQ65"/>
      <c r="OJR65"/>
      <c r="OJS65"/>
      <c r="OJT65"/>
      <c r="OJU65"/>
      <c r="OJV65"/>
      <c r="OJW65"/>
      <c r="OJX65"/>
      <c r="OJY65"/>
      <c r="OJZ65"/>
      <c r="OKA65"/>
      <c r="OKB65"/>
      <c r="OKC65"/>
      <c r="OKD65"/>
      <c r="OKE65"/>
      <c r="OKF65"/>
      <c r="OKG65"/>
      <c r="OKH65"/>
      <c r="OKI65"/>
      <c r="OKJ65"/>
      <c r="OKK65"/>
      <c r="OKL65"/>
      <c r="OKM65"/>
      <c r="OKN65"/>
      <c r="OKO65"/>
      <c r="OKP65"/>
      <c r="OKQ65"/>
      <c r="OKR65"/>
      <c r="OKS65"/>
      <c r="OKT65"/>
      <c r="OKU65"/>
      <c r="OKV65"/>
      <c r="OKW65"/>
      <c r="OKX65"/>
      <c r="OKY65"/>
      <c r="OKZ65"/>
      <c r="OLA65"/>
      <c r="OLB65"/>
      <c r="OLC65"/>
      <c r="OLD65"/>
      <c r="OLE65"/>
      <c r="OLF65"/>
      <c r="OLG65"/>
      <c r="OLH65"/>
      <c r="OLI65"/>
      <c r="OLJ65"/>
      <c r="OLK65"/>
      <c r="OLL65"/>
      <c r="OLM65"/>
      <c r="OLN65"/>
      <c r="OLO65"/>
      <c r="OLP65"/>
      <c r="OLQ65"/>
      <c r="OLR65"/>
      <c r="OLS65"/>
      <c r="OLT65"/>
      <c r="OLU65"/>
      <c r="OLV65"/>
      <c r="OLW65"/>
      <c r="OLX65"/>
      <c r="OLY65"/>
      <c r="OLZ65"/>
      <c r="OMA65"/>
      <c r="OMB65"/>
      <c r="OMC65"/>
      <c r="OMD65"/>
      <c r="OME65"/>
      <c r="OMF65"/>
      <c r="OMG65"/>
      <c r="OMH65"/>
      <c r="OMI65"/>
      <c r="OMJ65"/>
      <c r="OMK65"/>
      <c r="OML65"/>
      <c r="OMM65"/>
      <c r="OMN65"/>
      <c r="OMO65"/>
      <c r="OMP65"/>
      <c r="OMQ65"/>
      <c r="OMR65"/>
      <c r="OMS65"/>
      <c r="OMT65"/>
      <c r="OMU65"/>
      <c r="OMV65"/>
      <c r="OMW65"/>
      <c r="OMX65"/>
      <c r="OMY65"/>
      <c r="OMZ65"/>
      <c r="ONA65"/>
      <c r="ONB65"/>
      <c r="ONC65"/>
      <c r="OND65"/>
      <c r="ONE65"/>
      <c r="ONF65"/>
      <c r="ONG65"/>
      <c r="ONH65"/>
      <c r="ONI65"/>
      <c r="ONJ65"/>
      <c r="ONK65"/>
      <c r="ONL65"/>
      <c r="ONM65"/>
      <c r="ONN65"/>
      <c r="ONO65"/>
      <c r="ONP65"/>
      <c r="ONQ65"/>
      <c r="ONR65"/>
      <c r="ONS65"/>
      <c r="ONT65"/>
      <c r="ONU65"/>
      <c r="ONV65"/>
      <c r="ONW65"/>
      <c r="ONX65"/>
      <c r="ONY65"/>
      <c r="ONZ65"/>
      <c r="OOA65"/>
      <c r="OOB65"/>
      <c r="OOC65"/>
      <c r="OOD65"/>
      <c r="OOE65"/>
      <c r="OOF65"/>
      <c r="OOG65"/>
      <c r="OOH65"/>
      <c r="OOI65"/>
      <c r="OOJ65"/>
      <c r="OOK65"/>
      <c r="OOL65"/>
      <c r="OOM65"/>
      <c r="OON65"/>
      <c r="OOO65"/>
      <c r="OOP65"/>
      <c r="OOQ65"/>
      <c r="OOR65"/>
      <c r="OOS65"/>
      <c r="OOT65"/>
      <c r="OOU65"/>
      <c r="OOV65"/>
      <c r="OOW65"/>
      <c r="OOX65"/>
      <c r="OOY65"/>
      <c r="OOZ65"/>
      <c r="OPA65"/>
      <c r="OPB65"/>
      <c r="OPC65"/>
      <c r="OPD65"/>
      <c r="OPE65"/>
      <c r="OPF65"/>
      <c r="OPG65"/>
      <c r="OPH65"/>
      <c r="OPI65"/>
      <c r="OPJ65"/>
      <c r="OPK65"/>
      <c r="OPL65"/>
      <c r="OPM65"/>
      <c r="OPN65"/>
      <c r="OPO65"/>
      <c r="OPP65"/>
      <c r="OPQ65"/>
      <c r="OPR65"/>
      <c r="OPS65"/>
      <c r="OPT65"/>
      <c r="OPU65"/>
      <c r="OPV65"/>
      <c r="OPW65"/>
      <c r="OPX65"/>
      <c r="OPY65"/>
      <c r="OPZ65"/>
      <c r="OQA65"/>
      <c r="OQB65"/>
      <c r="OQC65"/>
      <c r="OQD65"/>
      <c r="OQE65"/>
      <c r="OQF65"/>
      <c r="OQG65"/>
      <c r="OQH65"/>
      <c r="OQI65"/>
      <c r="OQJ65"/>
      <c r="OQK65"/>
      <c r="OQL65"/>
      <c r="OQM65"/>
      <c r="OQN65"/>
      <c r="OQO65"/>
      <c r="OQP65"/>
      <c r="OQQ65"/>
      <c r="OQR65"/>
      <c r="OQS65"/>
      <c r="OQT65"/>
      <c r="OQU65"/>
      <c r="OQV65"/>
      <c r="OQW65"/>
      <c r="OQX65"/>
      <c r="OQY65"/>
      <c r="OQZ65"/>
      <c r="ORA65"/>
      <c r="ORB65"/>
      <c r="ORC65"/>
      <c r="ORD65"/>
      <c r="ORE65"/>
      <c r="ORF65"/>
      <c r="ORG65"/>
      <c r="ORH65"/>
      <c r="ORI65"/>
      <c r="ORJ65"/>
      <c r="ORK65"/>
      <c r="ORL65"/>
      <c r="ORM65"/>
      <c r="ORN65"/>
      <c r="ORO65"/>
      <c r="ORP65"/>
      <c r="ORQ65"/>
      <c r="ORR65"/>
      <c r="ORS65"/>
      <c r="ORT65"/>
      <c r="ORU65"/>
      <c r="ORV65"/>
      <c r="ORW65"/>
      <c r="ORX65"/>
      <c r="ORY65"/>
      <c r="ORZ65"/>
      <c r="OSA65"/>
      <c r="OSB65"/>
      <c r="OSC65"/>
      <c r="OSD65"/>
      <c r="OSE65"/>
      <c r="OSF65"/>
      <c r="OSG65"/>
      <c r="OSH65"/>
      <c r="OSI65"/>
      <c r="OSJ65"/>
      <c r="OSK65"/>
      <c r="OSL65"/>
      <c r="OSM65"/>
      <c r="OSN65"/>
      <c r="OSO65"/>
      <c r="OSP65"/>
      <c r="OSQ65"/>
      <c r="OSR65"/>
      <c r="OSS65"/>
      <c r="OST65"/>
      <c r="OSU65"/>
      <c r="OSV65"/>
      <c r="OSW65"/>
      <c r="OSX65"/>
      <c r="OSY65"/>
      <c r="OSZ65"/>
      <c r="OTA65"/>
      <c r="OTB65"/>
      <c r="OTC65"/>
      <c r="OTD65"/>
      <c r="OTE65"/>
      <c r="OTF65"/>
      <c r="OTG65"/>
      <c r="OTH65"/>
      <c r="OTI65"/>
      <c r="OTJ65"/>
      <c r="OTK65"/>
      <c r="OTL65"/>
      <c r="OTM65"/>
      <c r="OTN65"/>
      <c r="OTO65"/>
      <c r="OTP65"/>
      <c r="OTQ65"/>
      <c r="OTR65"/>
      <c r="OTS65"/>
      <c r="OTT65"/>
      <c r="OTU65"/>
      <c r="OTV65"/>
      <c r="OTW65"/>
      <c r="OTX65"/>
      <c r="OTY65"/>
      <c r="OTZ65"/>
      <c r="OUA65"/>
      <c r="OUB65"/>
      <c r="OUC65"/>
      <c r="OUD65"/>
      <c r="OUE65"/>
      <c r="OUF65"/>
      <c r="OUG65"/>
      <c r="OUH65"/>
      <c r="OUI65"/>
      <c r="OUJ65"/>
      <c r="OUK65"/>
      <c r="OUL65"/>
      <c r="OUM65"/>
      <c r="OUN65"/>
      <c r="OUO65"/>
      <c r="OUP65"/>
      <c r="OUQ65"/>
      <c r="OUR65"/>
      <c r="OUS65"/>
      <c r="OUT65"/>
      <c r="OUU65"/>
      <c r="OUV65"/>
      <c r="OUW65"/>
      <c r="OUX65"/>
      <c r="OUY65"/>
      <c r="OUZ65"/>
      <c r="OVA65"/>
      <c r="OVB65"/>
      <c r="OVC65"/>
      <c r="OVD65"/>
      <c r="OVE65"/>
      <c r="OVF65"/>
      <c r="OVG65"/>
      <c r="OVH65"/>
      <c r="OVI65"/>
      <c r="OVJ65"/>
      <c r="OVK65"/>
      <c r="OVL65"/>
      <c r="OVM65"/>
      <c r="OVN65"/>
      <c r="OVO65"/>
      <c r="OVP65"/>
      <c r="OVQ65"/>
      <c r="OVR65"/>
      <c r="OVS65"/>
      <c r="OVT65"/>
      <c r="OVU65"/>
      <c r="OVV65"/>
      <c r="OVW65"/>
      <c r="OVX65"/>
      <c r="OVY65"/>
      <c r="OVZ65"/>
      <c r="OWA65"/>
      <c r="OWB65"/>
      <c r="OWC65"/>
      <c r="OWD65"/>
      <c r="OWE65"/>
      <c r="OWF65"/>
      <c r="OWG65"/>
      <c r="OWH65"/>
      <c r="OWI65"/>
      <c r="OWJ65"/>
      <c r="OWK65"/>
      <c r="OWL65"/>
      <c r="OWM65"/>
      <c r="OWN65"/>
      <c r="OWO65"/>
      <c r="OWP65"/>
      <c r="OWQ65"/>
      <c r="OWR65"/>
      <c r="OWS65"/>
      <c r="OWT65"/>
      <c r="OWU65"/>
      <c r="OWV65"/>
      <c r="OWW65"/>
      <c r="OWX65"/>
      <c r="OWY65"/>
      <c r="OWZ65"/>
      <c r="OXA65"/>
      <c r="OXB65"/>
      <c r="OXC65"/>
      <c r="OXD65"/>
      <c r="OXE65"/>
      <c r="OXF65"/>
      <c r="OXG65"/>
      <c r="OXH65"/>
      <c r="OXI65"/>
      <c r="OXJ65"/>
      <c r="OXK65"/>
      <c r="OXL65"/>
      <c r="OXM65"/>
      <c r="OXN65"/>
      <c r="OXO65"/>
      <c r="OXP65"/>
      <c r="OXQ65"/>
      <c r="OXR65"/>
      <c r="OXS65"/>
      <c r="OXT65"/>
      <c r="OXU65"/>
      <c r="OXV65"/>
      <c r="OXW65"/>
      <c r="OXX65"/>
      <c r="OXY65"/>
      <c r="OXZ65"/>
      <c r="OYA65"/>
      <c r="OYB65"/>
      <c r="OYC65"/>
      <c r="OYD65"/>
      <c r="OYE65"/>
      <c r="OYF65"/>
      <c r="OYG65"/>
      <c r="OYH65"/>
      <c r="OYI65"/>
      <c r="OYJ65"/>
      <c r="OYK65"/>
      <c r="OYL65"/>
      <c r="OYM65"/>
      <c r="OYN65"/>
      <c r="OYO65"/>
      <c r="OYP65"/>
      <c r="OYQ65"/>
      <c r="OYR65"/>
      <c r="OYS65"/>
      <c r="OYT65"/>
      <c r="OYU65"/>
      <c r="OYV65"/>
      <c r="OYW65"/>
      <c r="OYX65"/>
      <c r="OYY65"/>
      <c r="OYZ65"/>
      <c r="OZA65"/>
      <c r="OZB65"/>
      <c r="OZC65"/>
      <c r="OZD65"/>
      <c r="OZE65"/>
      <c r="OZF65"/>
      <c r="OZG65"/>
      <c r="OZH65"/>
      <c r="OZI65"/>
      <c r="OZJ65"/>
      <c r="OZK65"/>
      <c r="OZL65"/>
      <c r="OZM65"/>
      <c r="OZN65"/>
      <c r="OZO65"/>
      <c r="OZP65"/>
      <c r="OZQ65"/>
      <c r="OZR65"/>
      <c r="OZS65"/>
      <c r="OZT65"/>
      <c r="OZU65"/>
      <c r="OZV65"/>
      <c r="OZW65"/>
      <c r="OZX65"/>
      <c r="OZY65"/>
      <c r="OZZ65"/>
      <c r="PAA65"/>
      <c r="PAB65"/>
      <c r="PAC65"/>
      <c r="PAD65"/>
      <c r="PAE65"/>
      <c r="PAF65"/>
      <c r="PAG65"/>
      <c r="PAH65"/>
      <c r="PAI65"/>
      <c r="PAJ65"/>
      <c r="PAK65"/>
      <c r="PAL65"/>
      <c r="PAM65"/>
      <c r="PAN65"/>
      <c r="PAO65"/>
      <c r="PAP65"/>
      <c r="PAQ65"/>
      <c r="PAR65"/>
      <c r="PAS65"/>
      <c r="PAT65"/>
      <c r="PAU65"/>
      <c r="PAV65"/>
      <c r="PAW65"/>
      <c r="PAX65"/>
      <c r="PAY65"/>
      <c r="PAZ65"/>
      <c r="PBA65"/>
      <c r="PBB65"/>
      <c r="PBC65"/>
      <c r="PBD65"/>
      <c r="PBE65"/>
      <c r="PBF65"/>
      <c r="PBG65"/>
      <c r="PBH65"/>
      <c r="PBI65"/>
      <c r="PBJ65"/>
      <c r="PBK65"/>
      <c r="PBL65"/>
      <c r="PBM65"/>
      <c r="PBN65"/>
      <c r="PBO65"/>
      <c r="PBP65"/>
      <c r="PBQ65"/>
      <c r="PBR65"/>
      <c r="PBS65"/>
      <c r="PBT65"/>
      <c r="PBU65"/>
      <c r="PBV65"/>
      <c r="PBW65"/>
      <c r="PBX65"/>
      <c r="PBY65"/>
      <c r="PBZ65"/>
      <c r="PCA65"/>
      <c r="PCB65"/>
      <c r="PCC65"/>
      <c r="PCD65"/>
      <c r="PCE65"/>
      <c r="PCF65"/>
      <c r="PCG65"/>
      <c r="PCH65"/>
      <c r="PCI65"/>
      <c r="PCJ65"/>
      <c r="PCK65"/>
      <c r="PCL65"/>
      <c r="PCM65"/>
      <c r="PCN65"/>
      <c r="PCO65"/>
      <c r="PCP65"/>
      <c r="PCQ65"/>
      <c r="PCR65"/>
      <c r="PCS65"/>
      <c r="PCT65"/>
      <c r="PCU65"/>
      <c r="PCV65"/>
      <c r="PCW65"/>
      <c r="PCX65"/>
      <c r="PCY65"/>
      <c r="PCZ65"/>
      <c r="PDA65"/>
      <c r="PDB65"/>
      <c r="PDC65"/>
      <c r="PDD65"/>
      <c r="PDE65"/>
      <c r="PDF65"/>
      <c r="PDG65"/>
      <c r="PDH65"/>
      <c r="PDI65"/>
      <c r="PDJ65"/>
      <c r="PDK65"/>
      <c r="PDL65"/>
      <c r="PDM65"/>
      <c r="PDN65"/>
      <c r="PDO65"/>
      <c r="PDP65"/>
      <c r="PDQ65"/>
      <c r="PDR65"/>
      <c r="PDS65"/>
      <c r="PDT65"/>
      <c r="PDU65"/>
      <c r="PDV65"/>
      <c r="PDW65"/>
      <c r="PDX65"/>
      <c r="PDY65"/>
      <c r="PDZ65"/>
      <c r="PEA65"/>
      <c r="PEB65"/>
      <c r="PEC65"/>
      <c r="PED65"/>
      <c r="PEE65"/>
      <c r="PEF65"/>
      <c r="PEG65"/>
      <c r="PEH65"/>
      <c r="PEI65"/>
      <c r="PEJ65"/>
      <c r="PEK65"/>
      <c r="PEL65"/>
      <c r="PEM65"/>
      <c r="PEN65"/>
      <c r="PEO65"/>
      <c r="PEP65"/>
      <c r="PEQ65"/>
      <c r="PER65"/>
      <c r="PES65"/>
      <c r="PET65"/>
      <c r="PEU65"/>
      <c r="PEV65"/>
      <c r="PEW65"/>
      <c r="PEX65"/>
      <c r="PEY65"/>
      <c r="PEZ65"/>
      <c r="PFA65"/>
      <c r="PFB65"/>
      <c r="PFC65"/>
      <c r="PFD65"/>
      <c r="PFE65"/>
      <c r="PFF65"/>
      <c r="PFG65"/>
      <c r="PFH65"/>
      <c r="PFI65"/>
      <c r="PFJ65"/>
      <c r="PFK65"/>
      <c r="PFL65"/>
      <c r="PFM65"/>
      <c r="PFN65"/>
      <c r="PFO65"/>
      <c r="PFP65"/>
      <c r="PFQ65"/>
      <c r="PFR65"/>
      <c r="PFS65"/>
      <c r="PFT65"/>
      <c r="PFU65"/>
      <c r="PFV65"/>
      <c r="PFW65"/>
      <c r="PFX65"/>
      <c r="PFY65"/>
      <c r="PFZ65"/>
      <c r="PGA65"/>
      <c r="PGB65"/>
      <c r="PGC65"/>
      <c r="PGD65"/>
      <c r="PGE65"/>
      <c r="PGF65"/>
      <c r="PGG65"/>
      <c r="PGH65"/>
      <c r="PGI65"/>
      <c r="PGJ65"/>
      <c r="PGK65"/>
      <c r="PGL65"/>
      <c r="PGM65"/>
      <c r="PGN65"/>
      <c r="PGO65"/>
      <c r="PGP65"/>
      <c r="PGQ65"/>
      <c r="PGR65"/>
      <c r="PGS65"/>
      <c r="PGT65"/>
      <c r="PGU65"/>
      <c r="PGV65"/>
      <c r="PGW65"/>
      <c r="PGX65"/>
      <c r="PGY65"/>
      <c r="PGZ65"/>
      <c r="PHA65"/>
      <c r="PHB65"/>
      <c r="PHC65"/>
      <c r="PHD65"/>
      <c r="PHE65"/>
      <c r="PHF65"/>
      <c r="PHG65"/>
      <c r="PHH65"/>
      <c r="PHI65"/>
      <c r="PHJ65"/>
      <c r="PHK65"/>
      <c r="PHL65"/>
      <c r="PHM65"/>
      <c r="PHN65"/>
      <c r="PHO65"/>
      <c r="PHP65"/>
      <c r="PHQ65"/>
      <c r="PHR65"/>
      <c r="PHS65"/>
      <c r="PHT65"/>
      <c r="PHU65"/>
      <c r="PHV65"/>
      <c r="PHW65"/>
      <c r="PHX65"/>
      <c r="PHY65"/>
      <c r="PHZ65"/>
      <c r="PIA65"/>
      <c r="PIB65"/>
      <c r="PIC65"/>
      <c r="PID65"/>
      <c r="PIE65"/>
      <c r="PIF65"/>
      <c r="PIG65"/>
      <c r="PIH65"/>
      <c r="PII65"/>
      <c r="PIJ65"/>
      <c r="PIK65"/>
      <c r="PIL65"/>
      <c r="PIM65"/>
      <c r="PIN65"/>
      <c r="PIO65"/>
      <c r="PIP65"/>
      <c r="PIQ65"/>
      <c r="PIR65"/>
      <c r="PIS65"/>
      <c r="PIT65"/>
      <c r="PIU65"/>
      <c r="PIV65"/>
      <c r="PIW65"/>
      <c r="PIX65"/>
      <c r="PIY65"/>
      <c r="PIZ65"/>
      <c r="PJA65"/>
      <c r="PJB65"/>
      <c r="PJC65"/>
      <c r="PJD65"/>
      <c r="PJE65"/>
      <c r="PJF65"/>
      <c r="PJG65"/>
      <c r="PJH65"/>
      <c r="PJI65"/>
      <c r="PJJ65"/>
      <c r="PJK65"/>
      <c r="PJL65"/>
      <c r="PJM65"/>
      <c r="PJN65"/>
      <c r="PJO65"/>
      <c r="PJP65"/>
      <c r="PJQ65"/>
      <c r="PJR65"/>
      <c r="PJS65"/>
      <c r="PJT65"/>
      <c r="PJU65"/>
      <c r="PJV65"/>
      <c r="PJW65"/>
      <c r="PJX65"/>
      <c r="PJY65"/>
      <c r="PJZ65"/>
      <c r="PKA65"/>
      <c r="PKB65"/>
      <c r="PKC65"/>
      <c r="PKD65"/>
      <c r="PKE65"/>
      <c r="PKF65"/>
      <c r="PKG65"/>
      <c r="PKH65"/>
      <c r="PKI65"/>
      <c r="PKJ65"/>
      <c r="PKK65"/>
      <c r="PKL65"/>
      <c r="PKM65"/>
      <c r="PKN65"/>
      <c r="PKO65"/>
      <c r="PKP65"/>
      <c r="PKQ65"/>
      <c r="PKR65"/>
      <c r="PKS65"/>
      <c r="PKT65"/>
      <c r="PKU65"/>
      <c r="PKV65"/>
      <c r="PKW65"/>
      <c r="PKX65"/>
      <c r="PKY65"/>
      <c r="PKZ65"/>
      <c r="PLA65"/>
      <c r="PLB65"/>
      <c r="PLC65"/>
      <c r="PLD65"/>
      <c r="PLE65"/>
      <c r="PLF65"/>
      <c r="PLG65"/>
      <c r="PLH65"/>
      <c r="PLI65"/>
      <c r="PLJ65"/>
      <c r="PLK65"/>
      <c r="PLL65"/>
      <c r="PLM65"/>
      <c r="PLN65"/>
      <c r="PLO65"/>
      <c r="PLP65"/>
      <c r="PLQ65"/>
      <c r="PLR65"/>
      <c r="PLS65"/>
      <c r="PLT65"/>
      <c r="PLU65"/>
      <c r="PLV65"/>
      <c r="PLW65"/>
      <c r="PLX65"/>
      <c r="PLY65"/>
      <c r="PLZ65"/>
      <c r="PMA65"/>
      <c r="PMB65"/>
      <c r="PMC65"/>
      <c r="PMD65"/>
      <c r="PME65"/>
      <c r="PMF65"/>
      <c r="PMG65"/>
      <c r="PMH65"/>
      <c r="PMI65"/>
      <c r="PMJ65"/>
      <c r="PMK65"/>
      <c r="PML65"/>
      <c r="PMM65"/>
      <c r="PMN65"/>
      <c r="PMO65"/>
      <c r="PMP65"/>
      <c r="PMQ65"/>
      <c r="PMR65"/>
      <c r="PMS65"/>
      <c r="PMT65"/>
      <c r="PMU65"/>
      <c r="PMV65"/>
      <c r="PMW65"/>
      <c r="PMX65"/>
      <c r="PMY65"/>
      <c r="PMZ65"/>
      <c r="PNA65"/>
      <c r="PNB65"/>
      <c r="PNC65"/>
      <c r="PND65"/>
      <c r="PNE65"/>
      <c r="PNF65"/>
      <c r="PNG65"/>
      <c r="PNH65"/>
      <c r="PNI65"/>
      <c r="PNJ65"/>
      <c r="PNK65"/>
      <c r="PNL65"/>
      <c r="PNM65"/>
      <c r="PNN65"/>
      <c r="PNO65"/>
      <c r="PNP65"/>
      <c r="PNQ65"/>
      <c r="PNR65"/>
      <c r="PNS65"/>
      <c r="PNT65"/>
      <c r="PNU65"/>
      <c r="PNV65"/>
      <c r="PNW65"/>
      <c r="PNX65"/>
      <c r="PNY65"/>
      <c r="PNZ65"/>
      <c r="POA65"/>
      <c r="POB65"/>
      <c r="POC65"/>
      <c r="POD65"/>
      <c r="POE65"/>
      <c r="POF65"/>
      <c r="POG65"/>
      <c r="POH65"/>
      <c r="POI65"/>
      <c r="POJ65"/>
      <c r="POK65"/>
      <c r="POL65"/>
      <c r="POM65"/>
      <c r="PON65"/>
      <c r="POO65"/>
      <c r="POP65"/>
      <c r="POQ65"/>
      <c r="POR65"/>
      <c r="POS65"/>
      <c r="POT65"/>
      <c r="POU65"/>
      <c r="POV65"/>
      <c r="POW65"/>
      <c r="POX65"/>
      <c r="POY65"/>
      <c r="POZ65"/>
      <c r="PPA65"/>
      <c r="PPB65"/>
      <c r="PPC65"/>
      <c r="PPD65"/>
      <c r="PPE65"/>
      <c r="PPF65"/>
      <c r="PPG65"/>
      <c r="PPH65"/>
      <c r="PPI65"/>
      <c r="PPJ65"/>
      <c r="PPK65"/>
      <c r="PPL65"/>
      <c r="PPM65"/>
      <c r="PPN65"/>
      <c r="PPO65"/>
      <c r="PPP65"/>
      <c r="PPQ65"/>
      <c r="PPR65"/>
      <c r="PPS65"/>
      <c r="PPT65"/>
      <c r="PPU65"/>
      <c r="PPV65"/>
      <c r="PPW65"/>
      <c r="PPX65"/>
      <c r="PPY65"/>
      <c r="PPZ65"/>
      <c r="PQA65"/>
      <c r="PQB65"/>
      <c r="PQC65"/>
      <c r="PQD65"/>
      <c r="PQE65"/>
      <c r="PQF65"/>
      <c r="PQG65"/>
      <c r="PQH65"/>
      <c r="PQI65"/>
      <c r="PQJ65"/>
      <c r="PQK65"/>
      <c r="PQL65"/>
      <c r="PQM65"/>
      <c r="PQN65"/>
      <c r="PQO65"/>
      <c r="PQP65"/>
      <c r="PQQ65"/>
      <c r="PQR65"/>
      <c r="PQS65"/>
      <c r="PQT65"/>
      <c r="PQU65"/>
      <c r="PQV65"/>
      <c r="PQW65"/>
      <c r="PQX65"/>
      <c r="PQY65"/>
      <c r="PQZ65"/>
      <c r="PRA65"/>
      <c r="PRB65"/>
      <c r="PRC65"/>
      <c r="PRD65"/>
      <c r="PRE65"/>
      <c r="PRF65"/>
      <c r="PRG65"/>
      <c r="PRH65"/>
      <c r="PRI65"/>
      <c r="PRJ65"/>
      <c r="PRK65"/>
      <c r="PRL65"/>
      <c r="PRM65"/>
      <c r="PRN65"/>
      <c r="PRO65"/>
      <c r="PRP65"/>
      <c r="PRQ65"/>
      <c r="PRR65"/>
      <c r="PRS65"/>
      <c r="PRT65"/>
      <c r="PRU65"/>
      <c r="PRV65"/>
      <c r="PRW65"/>
      <c r="PRX65"/>
      <c r="PRY65"/>
      <c r="PRZ65"/>
      <c r="PSA65"/>
      <c r="PSB65"/>
      <c r="PSC65"/>
      <c r="PSD65"/>
      <c r="PSE65"/>
      <c r="PSF65"/>
      <c r="PSG65"/>
      <c r="PSH65"/>
      <c r="PSI65"/>
      <c r="PSJ65"/>
      <c r="PSK65"/>
      <c r="PSL65"/>
      <c r="PSM65"/>
      <c r="PSN65"/>
      <c r="PSO65"/>
      <c r="PSP65"/>
      <c r="PSQ65"/>
      <c r="PSR65"/>
      <c r="PSS65"/>
      <c r="PST65"/>
      <c r="PSU65"/>
      <c r="PSV65"/>
      <c r="PSW65"/>
      <c r="PSX65"/>
      <c r="PSY65"/>
      <c r="PSZ65"/>
      <c r="PTA65"/>
      <c r="PTB65"/>
      <c r="PTC65"/>
      <c r="PTD65"/>
      <c r="PTE65"/>
      <c r="PTF65"/>
      <c r="PTG65"/>
      <c r="PTH65"/>
      <c r="PTI65"/>
      <c r="PTJ65"/>
      <c r="PTK65"/>
      <c r="PTL65"/>
      <c r="PTM65"/>
      <c r="PTN65"/>
      <c r="PTO65"/>
      <c r="PTP65"/>
      <c r="PTQ65"/>
      <c r="PTR65"/>
      <c r="PTS65"/>
      <c r="PTT65"/>
      <c r="PTU65"/>
      <c r="PTV65"/>
      <c r="PTW65"/>
      <c r="PTX65"/>
      <c r="PTY65"/>
      <c r="PTZ65"/>
      <c r="PUA65"/>
      <c r="PUB65"/>
      <c r="PUC65"/>
      <c r="PUD65"/>
      <c r="PUE65"/>
      <c r="PUF65"/>
      <c r="PUG65"/>
      <c r="PUH65"/>
      <c r="PUI65"/>
      <c r="PUJ65"/>
      <c r="PUK65"/>
      <c r="PUL65"/>
      <c r="PUM65"/>
      <c r="PUN65"/>
      <c r="PUO65"/>
      <c r="PUP65"/>
      <c r="PUQ65"/>
      <c r="PUR65"/>
      <c r="PUS65"/>
      <c r="PUT65"/>
      <c r="PUU65"/>
      <c r="PUV65"/>
      <c r="PUW65"/>
      <c r="PUX65"/>
      <c r="PUY65"/>
      <c r="PUZ65"/>
      <c r="PVA65"/>
      <c r="PVB65"/>
      <c r="PVC65"/>
      <c r="PVD65"/>
      <c r="PVE65"/>
      <c r="PVF65"/>
      <c r="PVG65"/>
      <c r="PVH65"/>
      <c r="PVI65"/>
      <c r="PVJ65"/>
      <c r="PVK65"/>
      <c r="PVL65"/>
      <c r="PVM65"/>
      <c r="PVN65"/>
      <c r="PVO65"/>
      <c r="PVP65"/>
      <c r="PVQ65"/>
      <c r="PVR65"/>
      <c r="PVS65"/>
      <c r="PVT65"/>
      <c r="PVU65"/>
      <c r="PVV65"/>
      <c r="PVW65"/>
      <c r="PVX65"/>
      <c r="PVY65"/>
      <c r="PVZ65"/>
      <c r="PWA65"/>
      <c r="PWB65"/>
      <c r="PWC65"/>
      <c r="PWD65"/>
      <c r="PWE65"/>
      <c r="PWF65"/>
      <c r="PWG65"/>
      <c r="PWH65"/>
      <c r="PWI65"/>
      <c r="PWJ65"/>
      <c r="PWK65"/>
      <c r="PWL65"/>
      <c r="PWM65"/>
      <c r="PWN65"/>
      <c r="PWO65"/>
      <c r="PWP65"/>
      <c r="PWQ65"/>
      <c r="PWR65"/>
      <c r="PWS65"/>
      <c r="PWT65"/>
      <c r="PWU65"/>
      <c r="PWV65"/>
      <c r="PWW65"/>
      <c r="PWX65"/>
      <c r="PWY65"/>
      <c r="PWZ65"/>
      <c r="PXA65"/>
      <c r="PXB65"/>
      <c r="PXC65"/>
      <c r="PXD65"/>
      <c r="PXE65"/>
      <c r="PXF65"/>
      <c r="PXG65"/>
      <c r="PXH65"/>
      <c r="PXI65"/>
      <c r="PXJ65"/>
      <c r="PXK65"/>
      <c r="PXL65"/>
      <c r="PXM65"/>
      <c r="PXN65"/>
      <c r="PXO65"/>
      <c r="PXP65"/>
      <c r="PXQ65"/>
      <c r="PXR65"/>
      <c r="PXS65"/>
      <c r="PXT65"/>
      <c r="PXU65"/>
      <c r="PXV65"/>
      <c r="PXW65"/>
      <c r="PXX65"/>
      <c r="PXY65"/>
      <c r="PXZ65"/>
      <c r="PYA65"/>
      <c r="PYB65"/>
      <c r="PYC65"/>
      <c r="PYD65"/>
      <c r="PYE65"/>
      <c r="PYF65"/>
      <c r="PYG65"/>
      <c r="PYH65"/>
      <c r="PYI65"/>
      <c r="PYJ65"/>
      <c r="PYK65"/>
      <c r="PYL65"/>
      <c r="PYM65"/>
      <c r="PYN65"/>
      <c r="PYO65"/>
      <c r="PYP65"/>
      <c r="PYQ65"/>
      <c r="PYR65"/>
      <c r="PYS65"/>
      <c r="PYT65"/>
      <c r="PYU65"/>
      <c r="PYV65"/>
      <c r="PYW65"/>
      <c r="PYX65"/>
      <c r="PYY65"/>
      <c r="PYZ65"/>
      <c r="PZA65"/>
      <c r="PZB65"/>
      <c r="PZC65"/>
      <c r="PZD65"/>
      <c r="PZE65"/>
      <c r="PZF65"/>
      <c r="PZG65"/>
      <c r="PZH65"/>
      <c r="PZI65"/>
      <c r="PZJ65"/>
      <c r="PZK65"/>
      <c r="PZL65"/>
      <c r="PZM65"/>
      <c r="PZN65"/>
      <c r="PZO65"/>
      <c r="PZP65"/>
      <c r="PZQ65"/>
      <c r="PZR65"/>
      <c r="PZS65"/>
      <c r="PZT65"/>
      <c r="PZU65"/>
      <c r="PZV65"/>
      <c r="PZW65"/>
      <c r="PZX65"/>
      <c r="PZY65"/>
      <c r="PZZ65"/>
      <c r="QAA65"/>
      <c r="QAB65"/>
      <c r="QAC65"/>
      <c r="QAD65"/>
      <c r="QAE65"/>
      <c r="QAF65"/>
      <c r="QAG65"/>
      <c r="QAH65"/>
      <c r="QAI65"/>
      <c r="QAJ65"/>
      <c r="QAK65"/>
      <c r="QAL65"/>
      <c r="QAM65"/>
      <c r="QAN65"/>
      <c r="QAO65"/>
      <c r="QAP65"/>
      <c r="QAQ65"/>
      <c r="QAR65"/>
      <c r="QAS65"/>
      <c r="QAT65"/>
      <c r="QAU65"/>
      <c r="QAV65"/>
      <c r="QAW65"/>
      <c r="QAX65"/>
      <c r="QAY65"/>
      <c r="QAZ65"/>
      <c r="QBA65"/>
      <c r="QBB65"/>
      <c r="QBC65"/>
      <c r="QBD65"/>
      <c r="QBE65"/>
      <c r="QBF65"/>
      <c r="QBG65"/>
      <c r="QBH65"/>
      <c r="QBI65"/>
      <c r="QBJ65"/>
      <c r="QBK65"/>
      <c r="QBL65"/>
      <c r="QBM65"/>
      <c r="QBN65"/>
      <c r="QBO65"/>
      <c r="QBP65"/>
      <c r="QBQ65"/>
      <c r="QBR65"/>
      <c r="QBS65"/>
      <c r="QBT65"/>
      <c r="QBU65"/>
      <c r="QBV65"/>
      <c r="QBW65"/>
      <c r="QBX65"/>
      <c r="QBY65"/>
      <c r="QBZ65"/>
      <c r="QCA65"/>
      <c r="QCB65"/>
      <c r="QCC65"/>
      <c r="QCD65"/>
      <c r="QCE65"/>
      <c r="QCF65"/>
      <c r="QCG65"/>
      <c r="QCH65"/>
      <c r="QCI65"/>
      <c r="QCJ65"/>
      <c r="QCK65"/>
      <c r="QCL65"/>
      <c r="QCM65"/>
      <c r="QCN65"/>
      <c r="QCO65"/>
      <c r="QCP65"/>
      <c r="QCQ65"/>
      <c r="QCR65"/>
      <c r="QCS65"/>
      <c r="QCT65"/>
      <c r="QCU65"/>
      <c r="QCV65"/>
      <c r="QCW65"/>
      <c r="QCX65"/>
      <c r="QCY65"/>
      <c r="QCZ65"/>
      <c r="QDA65"/>
      <c r="QDB65"/>
      <c r="QDC65"/>
      <c r="QDD65"/>
      <c r="QDE65"/>
      <c r="QDF65"/>
      <c r="QDG65"/>
      <c r="QDH65"/>
      <c r="QDI65"/>
      <c r="QDJ65"/>
      <c r="QDK65"/>
      <c r="QDL65"/>
      <c r="QDM65"/>
      <c r="QDN65"/>
      <c r="QDO65"/>
      <c r="QDP65"/>
      <c r="QDQ65"/>
      <c r="QDR65"/>
      <c r="QDS65"/>
      <c r="QDT65"/>
      <c r="QDU65"/>
      <c r="QDV65"/>
      <c r="QDW65"/>
      <c r="QDX65"/>
      <c r="QDY65"/>
      <c r="QDZ65"/>
      <c r="QEA65"/>
      <c r="QEB65"/>
      <c r="QEC65"/>
      <c r="QED65"/>
      <c r="QEE65"/>
      <c r="QEF65"/>
      <c r="QEG65"/>
      <c r="QEH65"/>
      <c r="QEI65"/>
      <c r="QEJ65"/>
      <c r="QEK65"/>
      <c r="QEL65"/>
      <c r="QEM65"/>
      <c r="QEN65"/>
      <c r="QEO65"/>
      <c r="QEP65"/>
      <c r="QEQ65"/>
      <c r="QER65"/>
      <c r="QES65"/>
      <c r="QET65"/>
      <c r="QEU65"/>
      <c r="QEV65"/>
      <c r="QEW65"/>
      <c r="QEX65"/>
      <c r="QEY65"/>
      <c r="QEZ65"/>
      <c r="QFA65"/>
      <c r="QFB65"/>
      <c r="QFC65"/>
      <c r="QFD65"/>
      <c r="QFE65"/>
      <c r="QFF65"/>
      <c r="QFG65"/>
      <c r="QFH65"/>
      <c r="QFI65"/>
      <c r="QFJ65"/>
      <c r="QFK65"/>
      <c r="QFL65"/>
      <c r="QFM65"/>
      <c r="QFN65"/>
      <c r="QFO65"/>
      <c r="QFP65"/>
      <c r="QFQ65"/>
      <c r="QFR65"/>
      <c r="QFS65"/>
      <c r="QFT65"/>
      <c r="QFU65"/>
      <c r="QFV65"/>
      <c r="QFW65"/>
      <c r="QFX65"/>
      <c r="QFY65"/>
      <c r="QFZ65"/>
      <c r="QGA65"/>
      <c r="QGB65"/>
      <c r="QGC65"/>
      <c r="QGD65"/>
      <c r="QGE65"/>
      <c r="QGF65"/>
      <c r="QGG65"/>
      <c r="QGH65"/>
      <c r="QGI65"/>
      <c r="QGJ65"/>
      <c r="QGK65"/>
      <c r="QGL65"/>
      <c r="QGM65"/>
      <c r="QGN65"/>
      <c r="QGO65"/>
      <c r="QGP65"/>
      <c r="QGQ65"/>
      <c r="QGR65"/>
      <c r="QGS65"/>
      <c r="QGT65"/>
      <c r="QGU65"/>
      <c r="QGV65"/>
      <c r="QGW65"/>
      <c r="QGX65"/>
      <c r="QGY65"/>
      <c r="QGZ65"/>
      <c r="QHA65"/>
      <c r="QHB65"/>
      <c r="QHC65"/>
      <c r="QHD65"/>
      <c r="QHE65"/>
      <c r="QHF65"/>
      <c r="QHG65"/>
      <c r="QHH65"/>
      <c r="QHI65"/>
      <c r="QHJ65"/>
      <c r="QHK65"/>
      <c r="QHL65"/>
      <c r="QHM65"/>
      <c r="QHN65"/>
      <c r="QHO65"/>
      <c r="QHP65"/>
      <c r="QHQ65"/>
      <c r="QHR65"/>
      <c r="QHS65"/>
      <c r="QHT65"/>
      <c r="QHU65"/>
      <c r="QHV65"/>
      <c r="QHW65"/>
      <c r="QHX65"/>
      <c r="QHY65"/>
      <c r="QHZ65"/>
      <c r="QIA65"/>
      <c r="QIB65"/>
      <c r="QIC65"/>
      <c r="QID65"/>
      <c r="QIE65"/>
      <c r="QIF65"/>
      <c r="QIG65"/>
      <c r="QIH65"/>
      <c r="QII65"/>
      <c r="QIJ65"/>
      <c r="QIK65"/>
      <c r="QIL65"/>
      <c r="QIM65"/>
      <c r="QIN65"/>
      <c r="QIO65"/>
      <c r="QIP65"/>
      <c r="QIQ65"/>
      <c r="QIR65"/>
      <c r="QIS65"/>
      <c r="QIT65"/>
      <c r="QIU65"/>
      <c r="QIV65"/>
      <c r="QIW65"/>
      <c r="QIX65"/>
      <c r="QIY65"/>
      <c r="QIZ65"/>
      <c r="QJA65"/>
      <c r="QJB65"/>
      <c r="QJC65"/>
      <c r="QJD65"/>
      <c r="QJE65"/>
      <c r="QJF65"/>
      <c r="QJG65"/>
      <c r="QJH65"/>
      <c r="QJI65"/>
      <c r="QJJ65"/>
      <c r="QJK65"/>
      <c r="QJL65"/>
      <c r="QJM65"/>
      <c r="QJN65"/>
      <c r="QJO65"/>
      <c r="QJP65"/>
      <c r="QJQ65"/>
      <c r="QJR65"/>
      <c r="QJS65"/>
      <c r="QJT65"/>
      <c r="QJU65"/>
      <c r="QJV65"/>
      <c r="QJW65"/>
      <c r="QJX65"/>
      <c r="QJY65"/>
      <c r="QJZ65"/>
      <c r="QKA65"/>
      <c r="QKB65"/>
      <c r="QKC65"/>
      <c r="QKD65"/>
      <c r="QKE65"/>
      <c r="QKF65"/>
      <c r="QKG65"/>
      <c r="QKH65"/>
      <c r="QKI65"/>
      <c r="QKJ65"/>
      <c r="QKK65"/>
      <c r="QKL65"/>
      <c r="QKM65"/>
      <c r="QKN65"/>
      <c r="QKO65"/>
      <c r="QKP65"/>
      <c r="QKQ65"/>
      <c r="QKR65"/>
      <c r="QKS65"/>
      <c r="QKT65"/>
      <c r="QKU65"/>
      <c r="QKV65"/>
      <c r="QKW65"/>
      <c r="QKX65"/>
      <c r="QKY65"/>
      <c r="QKZ65"/>
      <c r="QLA65"/>
      <c r="QLB65"/>
      <c r="QLC65"/>
      <c r="QLD65"/>
      <c r="QLE65"/>
      <c r="QLF65"/>
      <c r="QLG65"/>
      <c r="QLH65"/>
      <c r="QLI65"/>
      <c r="QLJ65"/>
      <c r="QLK65"/>
      <c r="QLL65"/>
      <c r="QLM65"/>
      <c r="QLN65"/>
      <c r="QLO65"/>
      <c r="QLP65"/>
      <c r="QLQ65"/>
      <c r="QLR65"/>
      <c r="QLS65"/>
      <c r="QLT65"/>
      <c r="QLU65"/>
      <c r="QLV65"/>
      <c r="QLW65"/>
      <c r="QLX65"/>
      <c r="QLY65"/>
      <c r="QLZ65"/>
      <c r="QMA65"/>
      <c r="QMB65"/>
      <c r="QMC65"/>
      <c r="QMD65"/>
      <c r="QME65"/>
      <c r="QMF65"/>
      <c r="QMG65"/>
      <c r="QMH65"/>
      <c r="QMI65"/>
      <c r="QMJ65"/>
      <c r="QMK65"/>
      <c r="QML65"/>
      <c r="QMM65"/>
      <c r="QMN65"/>
      <c r="QMO65"/>
      <c r="QMP65"/>
      <c r="QMQ65"/>
      <c r="QMR65"/>
      <c r="QMS65"/>
      <c r="QMT65"/>
      <c r="QMU65"/>
      <c r="QMV65"/>
      <c r="QMW65"/>
      <c r="QMX65"/>
      <c r="QMY65"/>
      <c r="QMZ65"/>
      <c r="QNA65"/>
      <c r="QNB65"/>
      <c r="QNC65"/>
      <c r="QND65"/>
      <c r="QNE65"/>
      <c r="QNF65"/>
      <c r="QNG65"/>
      <c r="QNH65"/>
      <c r="QNI65"/>
      <c r="QNJ65"/>
      <c r="QNK65"/>
      <c r="QNL65"/>
      <c r="QNM65"/>
      <c r="QNN65"/>
      <c r="QNO65"/>
      <c r="QNP65"/>
      <c r="QNQ65"/>
      <c r="QNR65"/>
      <c r="QNS65"/>
      <c r="QNT65"/>
      <c r="QNU65"/>
      <c r="QNV65"/>
      <c r="QNW65"/>
      <c r="QNX65"/>
      <c r="QNY65"/>
      <c r="QNZ65"/>
      <c r="QOA65"/>
      <c r="QOB65"/>
      <c r="QOC65"/>
      <c r="QOD65"/>
      <c r="QOE65"/>
      <c r="QOF65"/>
      <c r="QOG65"/>
      <c r="QOH65"/>
      <c r="QOI65"/>
      <c r="QOJ65"/>
      <c r="QOK65"/>
      <c r="QOL65"/>
      <c r="QOM65"/>
      <c r="QON65"/>
      <c r="QOO65"/>
      <c r="QOP65"/>
      <c r="QOQ65"/>
      <c r="QOR65"/>
      <c r="QOS65"/>
      <c r="QOT65"/>
      <c r="QOU65"/>
      <c r="QOV65"/>
      <c r="QOW65"/>
      <c r="QOX65"/>
      <c r="QOY65"/>
      <c r="QOZ65"/>
      <c r="QPA65"/>
      <c r="QPB65"/>
      <c r="QPC65"/>
      <c r="QPD65"/>
      <c r="QPE65"/>
      <c r="QPF65"/>
      <c r="QPG65"/>
      <c r="QPH65"/>
      <c r="QPI65"/>
      <c r="QPJ65"/>
      <c r="QPK65"/>
      <c r="QPL65"/>
      <c r="QPM65"/>
      <c r="QPN65"/>
      <c r="QPO65"/>
      <c r="QPP65"/>
      <c r="QPQ65"/>
      <c r="QPR65"/>
      <c r="QPS65"/>
      <c r="QPT65"/>
      <c r="QPU65"/>
      <c r="QPV65"/>
      <c r="QPW65"/>
      <c r="QPX65"/>
      <c r="QPY65"/>
      <c r="QPZ65"/>
      <c r="QQA65"/>
      <c r="QQB65"/>
      <c r="QQC65"/>
      <c r="QQD65"/>
      <c r="QQE65"/>
      <c r="QQF65"/>
      <c r="QQG65"/>
      <c r="QQH65"/>
      <c r="QQI65"/>
      <c r="QQJ65"/>
      <c r="QQK65"/>
      <c r="QQL65"/>
      <c r="QQM65"/>
      <c r="QQN65"/>
      <c r="QQO65"/>
      <c r="QQP65"/>
      <c r="QQQ65"/>
      <c r="QQR65"/>
      <c r="QQS65"/>
      <c r="QQT65"/>
      <c r="QQU65"/>
      <c r="QQV65"/>
      <c r="QQW65"/>
      <c r="QQX65"/>
      <c r="QQY65"/>
      <c r="QQZ65"/>
      <c r="QRA65"/>
      <c r="QRB65"/>
      <c r="QRC65"/>
      <c r="QRD65"/>
      <c r="QRE65"/>
      <c r="QRF65"/>
      <c r="QRG65"/>
      <c r="QRH65"/>
      <c r="QRI65"/>
      <c r="QRJ65"/>
      <c r="QRK65"/>
      <c r="QRL65"/>
      <c r="QRM65"/>
      <c r="QRN65"/>
      <c r="QRO65"/>
      <c r="QRP65"/>
      <c r="QRQ65"/>
      <c r="QRR65"/>
      <c r="QRS65"/>
      <c r="QRT65"/>
      <c r="QRU65"/>
      <c r="QRV65"/>
      <c r="QRW65"/>
      <c r="QRX65"/>
      <c r="QRY65"/>
      <c r="QRZ65"/>
      <c r="QSA65"/>
      <c r="QSB65"/>
      <c r="QSC65"/>
      <c r="QSD65"/>
      <c r="QSE65"/>
      <c r="QSF65"/>
      <c r="QSG65"/>
      <c r="QSH65"/>
      <c r="QSI65"/>
      <c r="QSJ65"/>
      <c r="QSK65"/>
      <c r="QSL65"/>
      <c r="QSM65"/>
      <c r="QSN65"/>
      <c r="QSO65"/>
      <c r="QSP65"/>
      <c r="QSQ65"/>
      <c r="QSR65"/>
      <c r="QSS65"/>
      <c r="QST65"/>
      <c r="QSU65"/>
      <c r="QSV65"/>
      <c r="QSW65"/>
      <c r="QSX65"/>
      <c r="QSY65"/>
      <c r="QSZ65"/>
      <c r="QTA65"/>
      <c r="QTB65"/>
      <c r="QTC65"/>
      <c r="QTD65"/>
      <c r="QTE65"/>
      <c r="QTF65"/>
      <c r="QTG65"/>
      <c r="QTH65"/>
      <c r="QTI65"/>
      <c r="QTJ65"/>
      <c r="QTK65"/>
      <c r="QTL65"/>
      <c r="QTM65"/>
      <c r="QTN65"/>
      <c r="QTO65"/>
      <c r="QTP65"/>
      <c r="QTQ65"/>
      <c r="QTR65"/>
      <c r="QTS65"/>
      <c r="QTT65"/>
      <c r="QTU65"/>
      <c r="QTV65"/>
      <c r="QTW65"/>
      <c r="QTX65"/>
      <c r="QTY65"/>
      <c r="QTZ65"/>
      <c r="QUA65"/>
      <c r="QUB65"/>
      <c r="QUC65"/>
      <c r="QUD65"/>
      <c r="QUE65"/>
      <c r="QUF65"/>
      <c r="QUG65"/>
      <c r="QUH65"/>
      <c r="QUI65"/>
      <c r="QUJ65"/>
      <c r="QUK65"/>
      <c r="QUL65"/>
      <c r="QUM65"/>
      <c r="QUN65"/>
      <c r="QUO65"/>
      <c r="QUP65"/>
      <c r="QUQ65"/>
      <c r="QUR65"/>
      <c r="QUS65"/>
      <c r="QUT65"/>
      <c r="QUU65"/>
      <c r="QUV65"/>
      <c r="QUW65"/>
      <c r="QUX65"/>
      <c r="QUY65"/>
      <c r="QUZ65"/>
      <c r="QVA65"/>
      <c r="QVB65"/>
      <c r="QVC65"/>
      <c r="QVD65"/>
      <c r="QVE65"/>
      <c r="QVF65"/>
      <c r="QVG65"/>
      <c r="QVH65"/>
      <c r="QVI65"/>
      <c r="QVJ65"/>
      <c r="QVK65"/>
      <c r="QVL65"/>
      <c r="QVM65"/>
      <c r="QVN65"/>
      <c r="QVO65"/>
      <c r="QVP65"/>
      <c r="QVQ65"/>
      <c r="QVR65"/>
      <c r="QVS65"/>
      <c r="QVT65"/>
      <c r="QVU65"/>
      <c r="QVV65"/>
      <c r="QVW65"/>
      <c r="QVX65"/>
      <c r="QVY65"/>
      <c r="QVZ65"/>
      <c r="QWA65"/>
      <c r="QWB65"/>
      <c r="QWC65"/>
      <c r="QWD65"/>
      <c r="QWE65"/>
      <c r="QWF65"/>
      <c r="QWG65"/>
      <c r="QWH65"/>
      <c r="QWI65"/>
      <c r="QWJ65"/>
      <c r="QWK65"/>
      <c r="QWL65"/>
      <c r="QWM65"/>
      <c r="QWN65"/>
      <c r="QWO65"/>
      <c r="QWP65"/>
      <c r="QWQ65"/>
      <c r="QWR65"/>
      <c r="QWS65"/>
      <c r="QWT65"/>
      <c r="QWU65"/>
      <c r="QWV65"/>
      <c r="QWW65"/>
      <c r="QWX65"/>
      <c r="QWY65"/>
      <c r="QWZ65"/>
      <c r="QXA65"/>
      <c r="QXB65"/>
      <c r="QXC65"/>
      <c r="QXD65"/>
      <c r="QXE65"/>
      <c r="QXF65"/>
      <c r="QXG65"/>
      <c r="QXH65"/>
      <c r="QXI65"/>
      <c r="QXJ65"/>
      <c r="QXK65"/>
      <c r="QXL65"/>
      <c r="QXM65"/>
      <c r="QXN65"/>
      <c r="QXO65"/>
      <c r="QXP65"/>
      <c r="QXQ65"/>
      <c r="QXR65"/>
      <c r="QXS65"/>
      <c r="QXT65"/>
      <c r="QXU65"/>
      <c r="QXV65"/>
      <c r="QXW65"/>
      <c r="QXX65"/>
      <c r="QXY65"/>
      <c r="QXZ65"/>
      <c r="QYA65"/>
      <c r="QYB65"/>
      <c r="QYC65"/>
      <c r="QYD65"/>
      <c r="QYE65"/>
      <c r="QYF65"/>
      <c r="QYG65"/>
      <c r="QYH65"/>
      <c r="QYI65"/>
      <c r="QYJ65"/>
      <c r="QYK65"/>
      <c r="QYL65"/>
      <c r="QYM65"/>
      <c r="QYN65"/>
      <c r="QYO65"/>
      <c r="QYP65"/>
      <c r="QYQ65"/>
      <c r="QYR65"/>
      <c r="QYS65"/>
      <c r="QYT65"/>
      <c r="QYU65"/>
      <c r="QYV65"/>
      <c r="QYW65"/>
      <c r="QYX65"/>
      <c r="QYY65"/>
      <c r="QYZ65"/>
      <c r="QZA65"/>
      <c r="QZB65"/>
      <c r="QZC65"/>
      <c r="QZD65"/>
      <c r="QZE65"/>
      <c r="QZF65"/>
      <c r="QZG65"/>
      <c r="QZH65"/>
      <c r="QZI65"/>
      <c r="QZJ65"/>
      <c r="QZK65"/>
      <c r="QZL65"/>
      <c r="QZM65"/>
      <c r="QZN65"/>
      <c r="QZO65"/>
      <c r="QZP65"/>
      <c r="QZQ65"/>
      <c r="QZR65"/>
      <c r="QZS65"/>
      <c r="QZT65"/>
      <c r="QZU65"/>
      <c r="QZV65"/>
      <c r="QZW65"/>
      <c r="QZX65"/>
      <c r="QZY65"/>
      <c r="QZZ65"/>
      <c r="RAA65"/>
      <c r="RAB65"/>
      <c r="RAC65"/>
      <c r="RAD65"/>
      <c r="RAE65"/>
      <c r="RAF65"/>
      <c r="RAG65"/>
      <c r="RAH65"/>
      <c r="RAI65"/>
      <c r="RAJ65"/>
      <c r="RAK65"/>
      <c r="RAL65"/>
      <c r="RAM65"/>
      <c r="RAN65"/>
      <c r="RAO65"/>
      <c r="RAP65"/>
      <c r="RAQ65"/>
      <c r="RAR65"/>
      <c r="RAS65"/>
      <c r="RAT65"/>
      <c r="RAU65"/>
      <c r="RAV65"/>
      <c r="RAW65"/>
      <c r="RAX65"/>
      <c r="RAY65"/>
      <c r="RAZ65"/>
      <c r="RBA65"/>
      <c r="RBB65"/>
      <c r="RBC65"/>
      <c r="RBD65"/>
      <c r="RBE65"/>
      <c r="RBF65"/>
      <c r="RBG65"/>
      <c r="RBH65"/>
      <c r="RBI65"/>
      <c r="RBJ65"/>
      <c r="RBK65"/>
      <c r="RBL65"/>
      <c r="RBM65"/>
      <c r="RBN65"/>
      <c r="RBO65"/>
      <c r="RBP65"/>
      <c r="RBQ65"/>
      <c r="RBR65"/>
      <c r="RBS65"/>
      <c r="RBT65"/>
      <c r="RBU65"/>
      <c r="RBV65"/>
      <c r="RBW65"/>
      <c r="RBX65"/>
      <c r="RBY65"/>
      <c r="RBZ65"/>
      <c r="RCA65"/>
      <c r="RCB65"/>
      <c r="RCC65"/>
      <c r="RCD65"/>
      <c r="RCE65"/>
      <c r="RCF65"/>
      <c r="RCG65"/>
      <c r="RCH65"/>
      <c r="RCI65"/>
      <c r="RCJ65"/>
      <c r="RCK65"/>
      <c r="RCL65"/>
      <c r="RCM65"/>
      <c r="RCN65"/>
      <c r="RCO65"/>
      <c r="RCP65"/>
      <c r="RCQ65"/>
      <c r="RCR65"/>
      <c r="RCS65"/>
      <c r="RCT65"/>
      <c r="RCU65"/>
      <c r="RCV65"/>
      <c r="RCW65"/>
      <c r="RCX65"/>
      <c r="RCY65"/>
      <c r="RCZ65"/>
      <c r="RDA65"/>
      <c r="RDB65"/>
      <c r="RDC65"/>
      <c r="RDD65"/>
      <c r="RDE65"/>
      <c r="RDF65"/>
      <c r="RDG65"/>
      <c r="RDH65"/>
      <c r="RDI65"/>
      <c r="RDJ65"/>
      <c r="RDK65"/>
      <c r="RDL65"/>
      <c r="RDM65"/>
      <c r="RDN65"/>
      <c r="RDO65"/>
      <c r="RDP65"/>
      <c r="RDQ65"/>
      <c r="RDR65"/>
      <c r="RDS65"/>
      <c r="RDT65"/>
      <c r="RDU65"/>
      <c r="RDV65"/>
      <c r="RDW65"/>
      <c r="RDX65"/>
      <c r="RDY65"/>
      <c r="RDZ65"/>
      <c r="REA65"/>
      <c r="REB65"/>
      <c r="REC65"/>
      <c r="RED65"/>
      <c r="REE65"/>
      <c r="REF65"/>
      <c r="REG65"/>
      <c r="REH65"/>
      <c r="REI65"/>
      <c r="REJ65"/>
      <c r="REK65"/>
      <c r="REL65"/>
      <c r="REM65"/>
      <c r="REN65"/>
      <c r="REO65"/>
      <c r="REP65"/>
      <c r="REQ65"/>
      <c r="RER65"/>
      <c r="RES65"/>
      <c r="RET65"/>
      <c r="REU65"/>
      <c r="REV65"/>
      <c r="REW65"/>
      <c r="REX65"/>
      <c r="REY65"/>
      <c r="REZ65"/>
      <c r="RFA65"/>
      <c r="RFB65"/>
      <c r="RFC65"/>
      <c r="RFD65"/>
      <c r="RFE65"/>
      <c r="RFF65"/>
      <c r="RFG65"/>
      <c r="RFH65"/>
      <c r="RFI65"/>
      <c r="RFJ65"/>
      <c r="RFK65"/>
      <c r="RFL65"/>
      <c r="RFM65"/>
      <c r="RFN65"/>
      <c r="RFO65"/>
      <c r="RFP65"/>
      <c r="RFQ65"/>
      <c r="RFR65"/>
      <c r="RFS65"/>
      <c r="RFT65"/>
      <c r="RFU65"/>
      <c r="RFV65"/>
      <c r="RFW65"/>
      <c r="RFX65"/>
      <c r="RFY65"/>
      <c r="RFZ65"/>
      <c r="RGA65"/>
      <c r="RGB65"/>
      <c r="RGC65"/>
      <c r="RGD65"/>
      <c r="RGE65"/>
      <c r="RGF65"/>
      <c r="RGG65"/>
      <c r="RGH65"/>
      <c r="RGI65"/>
      <c r="RGJ65"/>
      <c r="RGK65"/>
      <c r="RGL65"/>
      <c r="RGM65"/>
      <c r="RGN65"/>
      <c r="RGO65"/>
      <c r="RGP65"/>
      <c r="RGQ65"/>
      <c r="RGR65"/>
      <c r="RGS65"/>
      <c r="RGT65"/>
      <c r="RGU65"/>
      <c r="RGV65"/>
      <c r="RGW65"/>
      <c r="RGX65"/>
      <c r="RGY65"/>
      <c r="RGZ65"/>
      <c r="RHA65"/>
      <c r="RHB65"/>
      <c r="RHC65"/>
      <c r="RHD65"/>
      <c r="RHE65"/>
      <c r="RHF65"/>
      <c r="RHG65"/>
      <c r="RHH65"/>
      <c r="RHI65"/>
      <c r="RHJ65"/>
      <c r="RHK65"/>
      <c r="RHL65"/>
      <c r="RHM65"/>
      <c r="RHN65"/>
      <c r="RHO65"/>
      <c r="RHP65"/>
      <c r="RHQ65"/>
      <c r="RHR65"/>
      <c r="RHS65"/>
      <c r="RHT65"/>
      <c r="RHU65"/>
      <c r="RHV65"/>
      <c r="RHW65"/>
      <c r="RHX65"/>
      <c r="RHY65"/>
      <c r="RHZ65"/>
      <c r="RIA65"/>
      <c r="RIB65"/>
      <c r="RIC65"/>
      <c r="RID65"/>
      <c r="RIE65"/>
      <c r="RIF65"/>
      <c r="RIG65"/>
      <c r="RIH65"/>
      <c r="RII65"/>
      <c r="RIJ65"/>
      <c r="RIK65"/>
      <c r="RIL65"/>
      <c r="RIM65"/>
      <c r="RIN65"/>
      <c r="RIO65"/>
      <c r="RIP65"/>
      <c r="RIQ65"/>
      <c r="RIR65"/>
      <c r="RIS65"/>
      <c r="RIT65"/>
      <c r="RIU65"/>
      <c r="RIV65"/>
      <c r="RIW65"/>
      <c r="RIX65"/>
      <c r="RIY65"/>
      <c r="RIZ65"/>
      <c r="RJA65"/>
      <c r="RJB65"/>
      <c r="RJC65"/>
      <c r="RJD65"/>
      <c r="RJE65"/>
      <c r="RJF65"/>
      <c r="RJG65"/>
      <c r="RJH65"/>
      <c r="RJI65"/>
      <c r="RJJ65"/>
      <c r="RJK65"/>
      <c r="RJL65"/>
      <c r="RJM65"/>
      <c r="RJN65"/>
      <c r="RJO65"/>
      <c r="RJP65"/>
      <c r="RJQ65"/>
      <c r="RJR65"/>
      <c r="RJS65"/>
      <c r="RJT65"/>
      <c r="RJU65"/>
      <c r="RJV65"/>
      <c r="RJW65"/>
      <c r="RJX65"/>
      <c r="RJY65"/>
      <c r="RJZ65"/>
      <c r="RKA65"/>
      <c r="RKB65"/>
      <c r="RKC65"/>
      <c r="RKD65"/>
      <c r="RKE65"/>
      <c r="RKF65"/>
      <c r="RKG65"/>
      <c r="RKH65"/>
      <c r="RKI65"/>
      <c r="RKJ65"/>
      <c r="RKK65"/>
      <c r="RKL65"/>
      <c r="RKM65"/>
      <c r="RKN65"/>
      <c r="RKO65"/>
      <c r="RKP65"/>
      <c r="RKQ65"/>
      <c r="RKR65"/>
      <c r="RKS65"/>
      <c r="RKT65"/>
      <c r="RKU65"/>
      <c r="RKV65"/>
      <c r="RKW65"/>
      <c r="RKX65"/>
      <c r="RKY65"/>
      <c r="RKZ65"/>
      <c r="RLA65"/>
      <c r="RLB65"/>
      <c r="RLC65"/>
      <c r="RLD65"/>
      <c r="RLE65"/>
      <c r="RLF65"/>
      <c r="RLG65"/>
      <c r="RLH65"/>
      <c r="RLI65"/>
      <c r="RLJ65"/>
      <c r="RLK65"/>
      <c r="RLL65"/>
      <c r="RLM65"/>
      <c r="RLN65"/>
      <c r="RLO65"/>
      <c r="RLP65"/>
      <c r="RLQ65"/>
      <c r="RLR65"/>
      <c r="RLS65"/>
      <c r="RLT65"/>
      <c r="RLU65"/>
      <c r="RLV65"/>
      <c r="RLW65"/>
      <c r="RLX65"/>
      <c r="RLY65"/>
      <c r="RLZ65"/>
      <c r="RMA65"/>
      <c r="RMB65"/>
      <c r="RMC65"/>
      <c r="RMD65"/>
      <c r="RME65"/>
      <c r="RMF65"/>
      <c r="RMG65"/>
      <c r="RMH65"/>
      <c r="RMI65"/>
      <c r="RMJ65"/>
      <c r="RMK65"/>
      <c r="RML65"/>
      <c r="RMM65"/>
      <c r="RMN65"/>
      <c r="RMO65"/>
      <c r="RMP65"/>
      <c r="RMQ65"/>
      <c r="RMR65"/>
      <c r="RMS65"/>
      <c r="RMT65"/>
      <c r="RMU65"/>
      <c r="RMV65"/>
      <c r="RMW65"/>
      <c r="RMX65"/>
      <c r="RMY65"/>
      <c r="RMZ65"/>
      <c r="RNA65"/>
      <c r="RNB65"/>
      <c r="RNC65"/>
      <c r="RND65"/>
      <c r="RNE65"/>
      <c r="RNF65"/>
      <c r="RNG65"/>
      <c r="RNH65"/>
      <c r="RNI65"/>
      <c r="RNJ65"/>
      <c r="RNK65"/>
      <c r="RNL65"/>
      <c r="RNM65"/>
      <c r="RNN65"/>
      <c r="RNO65"/>
      <c r="RNP65"/>
      <c r="RNQ65"/>
      <c r="RNR65"/>
      <c r="RNS65"/>
      <c r="RNT65"/>
      <c r="RNU65"/>
      <c r="RNV65"/>
      <c r="RNW65"/>
      <c r="RNX65"/>
      <c r="RNY65"/>
      <c r="RNZ65"/>
      <c r="ROA65"/>
      <c r="ROB65"/>
      <c r="ROC65"/>
      <c r="ROD65"/>
      <c r="ROE65"/>
      <c r="ROF65"/>
      <c r="ROG65"/>
      <c r="ROH65"/>
      <c r="ROI65"/>
      <c r="ROJ65"/>
      <c r="ROK65"/>
      <c r="ROL65"/>
      <c r="ROM65"/>
      <c r="RON65"/>
      <c r="ROO65"/>
      <c r="ROP65"/>
      <c r="ROQ65"/>
      <c r="ROR65"/>
      <c r="ROS65"/>
      <c r="ROT65"/>
      <c r="ROU65"/>
      <c r="ROV65"/>
      <c r="ROW65"/>
      <c r="ROX65"/>
      <c r="ROY65"/>
      <c r="ROZ65"/>
      <c r="RPA65"/>
      <c r="RPB65"/>
      <c r="RPC65"/>
      <c r="RPD65"/>
      <c r="RPE65"/>
      <c r="RPF65"/>
      <c r="RPG65"/>
      <c r="RPH65"/>
      <c r="RPI65"/>
      <c r="RPJ65"/>
      <c r="RPK65"/>
      <c r="RPL65"/>
      <c r="RPM65"/>
      <c r="RPN65"/>
      <c r="RPO65"/>
      <c r="RPP65"/>
      <c r="RPQ65"/>
      <c r="RPR65"/>
      <c r="RPS65"/>
      <c r="RPT65"/>
      <c r="RPU65"/>
      <c r="RPV65"/>
      <c r="RPW65"/>
      <c r="RPX65"/>
      <c r="RPY65"/>
      <c r="RPZ65"/>
      <c r="RQA65"/>
      <c r="RQB65"/>
      <c r="RQC65"/>
      <c r="RQD65"/>
      <c r="RQE65"/>
      <c r="RQF65"/>
      <c r="RQG65"/>
      <c r="RQH65"/>
      <c r="RQI65"/>
      <c r="RQJ65"/>
      <c r="RQK65"/>
      <c r="RQL65"/>
      <c r="RQM65"/>
      <c r="RQN65"/>
      <c r="RQO65"/>
      <c r="RQP65"/>
      <c r="RQQ65"/>
      <c r="RQR65"/>
      <c r="RQS65"/>
      <c r="RQT65"/>
      <c r="RQU65"/>
      <c r="RQV65"/>
      <c r="RQW65"/>
      <c r="RQX65"/>
      <c r="RQY65"/>
      <c r="RQZ65"/>
      <c r="RRA65"/>
      <c r="RRB65"/>
      <c r="RRC65"/>
      <c r="RRD65"/>
      <c r="RRE65"/>
      <c r="RRF65"/>
      <c r="RRG65"/>
      <c r="RRH65"/>
      <c r="RRI65"/>
      <c r="RRJ65"/>
      <c r="RRK65"/>
      <c r="RRL65"/>
      <c r="RRM65"/>
      <c r="RRN65"/>
      <c r="RRO65"/>
      <c r="RRP65"/>
      <c r="RRQ65"/>
      <c r="RRR65"/>
      <c r="RRS65"/>
      <c r="RRT65"/>
      <c r="RRU65"/>
      <c r="RRV65"/>
      <c r="RRW65"/>
      <c r="RRX65"/>
      <c r="RRY65"/>
      <c r="RRZ65"/>
      <c r="RSA65"/>
      <c r="RSB65"/>
      <c r="RSC65"/>
      <c r="RSD65"/>
      <c r="RSE65"/>
      <c r="RSF65"/>
      <c r="RSG65"/>
      <c r="RSH65"/>
      <c r="RSI65"/>
      <c r="RSJ65"/>
      <c r="RSK65"/>
      <c r="RSL65"/>
      <c r="RSM65"/>
      <c r="RSN65"/>
      <c r="RSO65"/>
      <c r="RSP65"/>
      <c r="RSQ65"/>
      <c r="RSR65"/>
      <c r="RSS65"/>
      <c r="RST65"/>
      <c r="RSU65"/>
      <c r="RSV65"/>
      <c r="RSW65"/>
      <c r="RSX65"/>
      <c r="RSY65"/>
      <c r="RSZ65"/>
      <c r="RTA65"/>
      <c r="RTB65"/>
      <c r="RTC65"/>
      <c r="RTD65"/>
      <c r="RTE65"/>
      <c r="RTF65"/>
      <c r="RTG65"/>
      <c r="RTH65"/>
      <c r="RTI65"/>
      <c r="RTJ65"/>
      <c r="RTK65"/>
      <c r="RTL65"/>
      <c r="RTM65"/>
      <c r="RTN65"/>
      <c r="RTO65"/>
      <c r="RTP65"/>
      <c r="RTQ65"/>
      <c r="RTR65"/>
      <c r="RTS65"/>
      <c r="RTT65"/>
      <c r="RTU65"/>
      <c r="RTV65"/>
      <c r="RTW65"/>
      <c r="RTX65"/>
      <c r="RTY65"/>
      <c r="RTZ65"/>
      <c r="RUA65"/>
      <c r="RUB65"/>
      <c r="RUC65"/>
      <c r="RUD65"/>
      <c r="RUE65"/>
      <c r="RUF65"/>
      <c r="RUG65"/>
      <c r="RUH65"/>
      <c r="RUI65"/>
      <c r="RUJ65"/>
      <c r="RUK65"/>
      <c r="RUL65"/>
      <c r="RUM65"/>
      <c r="RUN65"/>
      <c r="RUO65"/>
      <c r="RUP65"/>
      <c r="RUQ65"/>
      <c r="RUR65"/>
      <c r="RUS65"/>
      <c r="RUT65"/>
      <c r="RUU65"/>
      <c r="RUV65"/>
      <c r="RUW65"/>
      <c r="RUX65"/>
      <c r="RUY65"/>
      <c r="RUZ65"/>
      <c r="RVA65"/>
      <c r="RVB65"/>
      <c r="RVC65"/>
      <c r="RVD65"/>
      <c r="RVE65"/>
      <c r="RVF65"/>
      <c r="RVG65"/>
      <c r="RVH65"/>
      <c r="RVI65"/>
      <c r="RVJ65"/>
      <c r="RVK65"/>
      <c r="RVL65"/>
      <c r="RVM65"/>
      <c r="RVN65"/>
      <c r="RVO65"/>
      <c r="RVP65"/>
      <c r="RVQ65"/>
      <c r="RVR65"/>
      <c r="RVS65"/>
      <c r="RVT65"/>
      <c r="RVU65"/>
      <c r="RVV65"/>
      <c r="RVW65"/>
      <c r="RVX65"/>
      <c r="RVY65"/>
      <c r="RVZ65"/>
      <c r="RWA65"/>
      <c r="RWB65"/>
      <c r="RWC65"/>
      <c r="RWD65"/>
      <c r="RWE65"/>
      <c r="RWF65"/>
      <c r="RWG65"/>
      <c r="RWH65"/>
      <c r="RWI65"/>
      <c r="RWJ65"/>
      <c r="RWK65"/>
      <c r="RWL65"/>
      <c r="RWM65"/>
      <c r="RWN65"/>
      <c r="RWO65"/>
      <c r="RWP65"/>
      <c r="RWQ65"/>
      <c r="RWR65"/>
      <c r="RWS65"/>
      <c r="RWT65"/>
      <c r="RWU65"/>
      <c r="RWV65"/>
      <c r="RWW65"/>
      <c r="RWX65"/>
      <c r="RWY65"/>
      <c r="RWZ65"/>
      <c r="RXA65"/>
      <c r="RXB65"/>
      <c r="RXC65"/>
      <c r="RXD65"/>
      <c r="RXE65"/>
      <c r="RXF65"/>
      <c r="RXG65"/>
      <c r="RXH65"/>
      <c r="RXI65"/>
      <c r="RXJ65"/>
      <c r="RXK65"/>
      <c r="RXL65"/>
      <c r="RXM65"/>
      <c r="RXN65"/>
      <c r="RXO65"/>
      <c r="RXP65"/>
      <c r="RXQ65"/>
      <c r="RXR65"/>
      <c r="RXS65"/>
      <c r="RXT65"/>
      <c r="RXU65"/>
      <c r="RXV65"/>
      <c r="RXW65"/>
      <c r="RXX65"/>
      <c r="RXY65"/>
      <c r="RXZ65"/>
      <c r="RYA65"/>
      <c r="RYB65"/>
      <c r="RYC65"/>
      <c r="RYD65"/>
      <c r="RYE65"/>
      <c r="RYF65"/>
      <c r="RYG65"/>
      <c r="RYH65"/>
      <c r="RYI65"/>
      <c r="RYJ65"/>
      <c r="RYK65"/>
      <c r="RYL65"/>
      <c r="RYM65"/>
      <c r="RYN65"/>
      <c r="RYO65"/>
      <c r="RYP65"/>
      <c r="RYQ65"/>
      <c r="RYR65"/>
      <c r="RYS65"/>
      <c r="RYT65"/>
      <c r="RYU65"/>
      <c r="RYV65"/>
      <c r="RYW65"/>
      <c r="RYX65"/>
      <c r="RYY65"/>
      <c r="RYZ65"/>
      <c r="RZA65"/>
      <c r="RZB65"/>
      <c r="RZC65"/>
      <c r="RZD65"/>
      <c r="RZE65"/>
      <c r="RZF65"/>
      <c r="RZG65"/>
      <c r="RZH65"/>
      <c r="RZI65"/>
      <c r="RZJ65"/>
      <c r="RZK65"/>
      <c r="RZL65"/>
      <c r="RZM65"/>
      <c r="RZN65"/>
      <c r="RZO65"/>
      <c r="RZP65"/>
      <c r="RZQ65"/>
      <c r="RZR65"/>
      <c r="RZS65"/>
      <c r="RZT65"/>
      <c r="RZU65"/>
      <c r="RZV65"/>
      <c r="RZW65"/>
      <c r="RZX65"/>
      <c r="RZY65"/>
      <c r="RZZ65"/>
      <c r="SAA65"/>
      <c r="SAB65"/>
      <c r="SAC65"/>
      <c r="SAD65"/>
      <c r="SAE65"/>
      <c r="SAF65"/>
      <c r="SAG65"/>
      <c r="SAH65"/>
      <c r="SAI65"/>
      <c r="SAJ65"/>
      <c r="SAK65"/>
      <c r="SAL65"/>
      <c r="SAM65"/>
      <c r="SAN65"/>
      <c r="SAO65"/>
      <c r="SAP65"/>
      <c r="SAQ65"/>
      <c r="SAR65"/>
      <c r="SAS65"/>
      <c r="SAT65"/>
      <c r="SAU65"/>
      <c r="SAV65"/>
      <c r="SAW65"/>
      <c r="SAX65"/>
      <c r="SAY65"/>
      <c r="SAZ65"/>
      <c r="SBA65"/>
      <c r="SBB65"/>
      <c r="SBC65"/>
      <c r="SBD65"/>
      <c r="SBE65"/>
      <c r="SBF65"/>
      <c r="SBG65"/>
      <c r="SBH65"/>
      <c r="SBI65"/>
      <c r="SBJ65"/>
      <c r="SBK65"/>
      <c r="SBL65"/>
      <c r="SBM65"/>
      <c r="SBN65"/>
      <c r="SBO65"/>
      <c r="SBP65"/>
      <c r="SBQ65"/>
      <c r="SBR65"/>
      <c r="SBS65"/>
      <c r="SBT65"/>
      <c r="SBU65"/>
      <c r="SBV65"/>
      <c r="SBW65"/>
      <c r="SBX65"/>
      <c r="SBY65"/>
      <c r="SBZ65"/>
      <c r="SCA65"/>
      <c r="SCB65"/>
      <c r="SCC65"/>
      <c r="SCD65"/>
      <c r="SCE65"/>
      <c r="SCF65"/>
      <c r="SCG65"/>
      <c r="SCH65"/>
      <c r="SCI65"/>
      <c r="SCJ65"/>
      <c r="SCK65"/>
      <c r="SCL65"/>
      <c r="SCM65"/>
      <c r="SCN65"/>
      <c r="SCO65"/>
      <c r="SCP65"/>
      <c r="SCQ65"/>
      <c r="SCR65"/>
      <c r="SCS65"/>
      <c r="SCT65"/>
      <c r="SCU65"/>
      <c r="SCV65"/>
      <c r="SCW65"/>
      <c r="SCX65"/>
      <c r="SCY65"/>
      <c r="SCZ65"/>
      <c r="SDA65"/>
      <c r="SDB65"/>
      <c r="SDC65"/>
      <c r="SDD65"/>
      <c r="SDE65"/>
      <c r="SDF65"/>
      <c r="SDG65"/>
      <c r="SDH65"/>
      <c r="SDI65"/>
      <c r="SDJ65"/>
      <c r="SDK65"/>
      <c r="SDL65"/>
      <c r="SDM65"/>
      <c r="SDN65"/>
      <c r="SDO65"/>
      <c r="SDP65"/>
      <c r="SDQ65"/>
      <c r="SDR65"/>
      <c r="SDS65"/>
      <c r="SDT65"/>
      <c r="SDU65"/>
      <c r="SDV65"/>
      <c r="SDW65"/>
      <c r="SDX65"/>
      <c r="SDY65"/>
      <c r="SDZ65"/>
      <c r="SEA65"/>
      <c r="SEB65"/>
      <c r="SEC65"/>
      <c r="SED65"/>
      <c r="SEE65"/>
      <c r="SEF65"/>
      <c r="SEG65"/>
      <c r="SEH65"/>
      <c r="SEI65"/>
      <c r="SEJ65"/>
      <c r="SEK65"/>
      <c r="SEL65"/>
      <c r="SEM65"/>
      <c r="SEN65"/>
      <c r="SEO65"/>
      <c r="SEP65"/>
      <c r="SEQ65"/>
      <c r="SER65"/>
      <c r="SES65"/>
      <c r="SET65"/>
      <c r="SEU65"/>
      <c r="SEV65"/>
      <c r="SEW65"/>
      <c r="SEX65"/>
      <c r="SEY65"/>
      <c r="SEZ65"/>
      <c r="SFA65"/>
      <c r="SFB65"/>
      <c r="SFC65"/>
      <c r="SFD65"/>
      <c r="SFE65"/>
      <c r="SFF65"/>
      <c r="SFG65"/>
      <c r="SFH65"/>
      <c r="SFI65"/>
      <c r="SFJ65"/>
      <c r="SFK65"/>
      <c r="SFL65"/>
      <c r="SFM65"/>
      <c r="SFN65"/>
      <c r="SFO65"/>
      <c r="SFP65"/>
      <c r="SFQ65"/>
      <c r="SFR65"/>
      <c r="SFS65"/>
      <c r="SFT65"/>
      <c r="SFU65"/>
      <c r="SFV65"/>
      <c r="SFW65"/>
      <c r="SFX65"/>
      <c r="SFY65"/>
      <c r="SFZ65"/>
      <c r="SGA65"/>
      <c r="SGB65"/>
      <c r="SGC65"/>
      <c r="SGD65"/>
      <c r="SGE65"/>
      <c r="SGF65"/>
      <c r="SGG65"/>
      <c r="SGH65"/>
      <c r="SGI65"/>
      <c r="SGJ65"/>
      <c r="SGK65"/>
      <c r="SGL65"/>
      <c r="SGM65"/>
      <c r="SGN65"/>
      <c r="SGO65"/>
      <c r="SGP65"/>
      <c r="SGQ65"/>
      <c r="SGR65"/>
      <c r="SGS65"/>
      <c r="SGT65"/>
      <c r="SGU65"/>
      <c r="SGV65"/>
      <c r="SGW65"/>
      <c r="SGX65"/>
      <c r="SGY65"/>
      <c r="SGZ65"/>
      <c r="SHA65"/>
      <c r="SHB65"/>
      <c r="SHC65"/>
      <c r="SHD65"/>
      <c r="SHE65"/>
      <c r="SHF65"/>
      <c r="SHG65"/>
      <c r="SHH65"/>
      <c r="SHI65"/>
      <c r="SHJ65"/>
      <c r="SHK65"/>
      <c r="SHL65"/>
      <c r="SHM65"/>
      <c r="SHN65"/>
      <c r="SHO65"/>
      <c r="SHP65"/>
      <c r="SHQ65"/>
      <c r="SHR65"/>
      <c r="SHS65"/>
      <c r="SHT65"/>
      <c r="SHU65"/>
      <c r="SHV65"/>
      <c r="SHW65"/>
      <c r="SHX65"/>
      <c r="SHY65"/>
      <c r="SHZ65"/>
      <c r="SIA65"/>
      <c r="SIB65"/>
      <c r="SIC65"/>
      <c r="SID65"/>
      <c r="SIE65"/>
      <c r="SIF65"/>
      <c r="SIG65"/>
      <c r="SIH65"/>
      <c r="SII65"/>
      <c r="SIJ65"/>
      <c r="SIK65"/>
      <c r="SIL65"/>
      <c r="SIM65"/>
      <c r="SIN65"/>
      <c r="SIO65"/>
      <c r="SIP65"/>
      <c r="SIQ65"/>
      <c r="SIR65"/>
      <c r="SIS65"/>
      <c r="SIT65"/>
      <c r="SIU65"/>
      <c r="SIV65"/>
      <c r="SIW65"/>
      <c r="SIX65"/>
      <c r="SIY65"/>
      <c r="SIZ65"/>
      <c r="SJA65"/>
      <c r="SJB65"/>
      <c r="SJC65"/>
      <c r="SJD65"/>
      <c r="SJE65"/>
      <c r="SJF65"/>
      <c r="SJG65"/>
      <c r="SJH65"/>
      <c r="SJI65"/>
      <c r="SJJ65"/>
      <c r="SJK65"/>
      <c r="SJL65"/>
      <c r="SJM65"/>
      <c r="SJN65"/>
      <c r="SJO65"/>
      <c r="SJP65"/>
      <c r="SJQ65"/>
      <c r="SJR65"/>
      <c r="SJS65"/>
      <c r="SJT65"/>
      <c r="SJU65"/>
      <c r="SJV65"/>
      <c r="SJW65"/>
      <c r="SJX65"/>
      <c r="SJY65"/>
      <c r="SJZ65"/>
      <c r="SKA65"/>
      <c r="SKB65"/>
      <c r="SKC65"/>
      <c r="SKD65"/>
      <c r="SKE65"/>
      <c r="SKF65"/>
      <c r="SKG65"/>
      <c r="SKH65"/>
      <c r="SKI65"/>
      <c r="SKJ65"/>
      <c r="SKK65"/>
      <c r="SKL65"/>
      <c r="SKM65"/>
      <c r="SKN65"/>
      <c r="SKO65"/>
      <c r="SKP65"/>
      <c r="SKQ65"/>
      <c r="SKR65"/>
      <c r="SKS65"/>
      <c r="SKT65"/>
      <c r="SKU65"/>
      <c r="SKV65"/>
      <c r="SKW65"/>
      <c r="SKX65"/>
      <c r="SKY65"/>
      <c r="SKZ65"/>
      <c r="SLA65"/>
      <c r="SLB65"/>
      <c r="SLC65"/>
      <c r="SLD65"/>
      <c r="SLE65"/>
      <c r="SLF65"/>
      <c r="SLG65"/>
      <c r="SLH65"/>
      <c r="SLI65"/>
      <c r="SLJ65"/>
      <c r="SLK65"/>
      <c r="SLL65"/>
      <c r="SLM65"/>
      <c r="SLN65"/>
      <c r="SLO65"/>
      <c r="SLP65"/>
      <c r="SLQ65"/>
      <c r="SLR65"/>
      <c r="SLS65"/>
      <c r="SLT65"/>
      <c r="SLU65"/>
      <c r="SLV65"/>
      <c r="SLW65"/>
      <c r="SLX65"/>
      <c r="SLY65"/>
      <c r="SLZ65"/>
      <c r="SMA65"/>
      <c r="SMB65"/>
      <c r="SMC65"/>
      <c r="SMD65"/>
      <c r="SME65"/>
      <c r="SMF65"/>
      <c r="SMG65"/>
      <c r="SMH65"/>
      <c r="SMI65"/>
      <c r="SMJ65"/>
      <c r="SMK65"/>
      <c r="SML65"/>
      <c r="SMM65"/>
      <c r="SMN65"/>
      <c r="SMO65"/>
      <c r="SMP65"/>
      <c r="SMQ65"/>
      <c r="SMR65"/>
      <c r="SMS65"/>
      <c r="SMT65"/>
      <c r="SMU65"/>
      <c r="SMV65"/>
      <c r="SMW65"/>
      <c r="SMX65"/>
      <c r="SMY65"/>
      <c r="SMZ65"/>
      <c r="SNA65"/>
      <c r="SNB65"/>
      <c r="SNC65"/>
      <c r="SND65"/>
      <c r="SNE65"/>
      <c r="SNF65"/>
      <c r="SNG65"/>
      <c r="SNH65"/>
      <c r="SNI65"/>
      <c r="SNJ65"/>
      <c r="SNK65"/>
      <c r="SNL65"/>
      <c r="SNM65"/>
      <c r="SNN65"/>
      <c r="SNO65"/>
      <c r="SNP65"/>
      <c r="SNQ65"/>
      <c r="SNR65"/>
      <c r="SNS65"/>
      <c r="SNT65"/>
      <c r="SNU65"/>
      <c r="SNV65"/>
      <c r="SNW65"/>
      <c r="SNX65"/>
      <c r="SNY65"/>
      <c r="SNZ65"/>
      <c r="SOA65"/>
      <c r="SOB65"/>
      <c r="SOC65"/>
      <c r="SOD65"/>
      <c r="SOE65"/>
      <c r="SOF65"/>
      <c r="SOG65"/>
      <c r="SOH65"/>
      <c r="SOI65"/>
      <c r="SOJ65"/>
      <c r="SOK65"/>
      <c r="SOL65"/>
      <c r="SOM65"/>
      <c r="SON65"/>
      <c r="SOO65"/>
      <c r="SOP65"/>
      <c r="SOQ65"/>
      <c r="SOR65"/>
      <c r="SOS65"/>
      <c r="SOT65"/>
      <c r="SOU65"/>
      <c r="SOV65"/>
      <c r="SOW65"/>
      <c r="SOX65"/>
      <c r="SOY65"/>
      <c r="SOZ65"/>
      <c r="SPA65"/>
      <c r="SPB65"/>
      <c r="SPC65"/>
      <c r="SPD65"/>
      <c r="SPE65"/>
      <c r="SPF65"/>
      <c r="SPG65"/>
      <c r="SPH65"/>
      <c r="SPI65"/>
      <c r="SPJ65"/>
      <c r="SPK65"/>
      <c r="SPL65"/>
      <c r="SPM65"/>
      <c r="SPN65"/>
      <c r="SPO65"/>
      <c r="SPP65"/>
      <c r="SPQ65"/>
      <c r="SPR65"/>
      <c r="SPS65"/>
      <c r="SPT65"/>
      <c r="SPU65"/>
      <c r="SPV65"/>
      <c r="SPW65"/>
      <c r="SPX65"/>
      <c r="SPY65"/>
      <c r="SPZ65"/>
      <c r="SQA65"/>
      <c r="SQB65"/>
      <c r="SQC65"/>
      <c r="SQD65"/>
      <c r="SQE65"/>
      <c r="SQF65"/>
      <c r="SQG65"/>
      <c r="SQH65"/>
      <c r="SQI65"/>
      <c r="SQJ65"/>
      <c r="SQK65"/>
      <c r="SQL65"/>
      <c r="SQM65"/>
      <c r="SQN65"/>
      <c r="SQO65"/>
      <c r="SQP65"/>
      <c r="SQQ65"/>
      <c r="SQR65"/>
      <c r="SQS65"/>
      <c r="SQT65"/>
      <c r="SQU65"/>
      <c r="SQV65"/>
      <c r="SQW65"/>
      <c r="SQX65"/>
      <c r="SQY65"/>
      <c r="SQZ65"/>
      <c r="SRA65"/>
      <c r="SRB65"/>
      <c r="SRC65"/>
      <c r="SRD65"/>
      <c r="SRE65"/>
      <c r="SRF65"/>
      <c r="SRG65"/>
      <c r="SRH65"/>
      <c r="SRI65"/>
      <c r="SRJ65"/>
      <c r="SRK65"/>
      <c r="SRL65"/>
      <c r="SRM65"/>
      <c r="SRN65"/>
      <c r="SRO65"/>
      <c r="SRP65"/>
      <c r="SRQ65"/>
      <c r="SRR65"/>
      <c r="SRS65"/>
      <c r="SRT65"/>
      <c r="SRU65"/>
      <c r="SRV65"/>
      <c r="SRW65"/>
      <c r="SRX65"/>
      <c r="SRY65"/>
      <c r="SRZ65"/>
      <c r="SSA65"/>
      <c r="SSB65"/>
      <c r="SSC65"/>
      <c r="SSD65"/>
      <c r="SSE65"/>
      <c r="SSF65"/>
      <c r="SSG65"/>
      <c r="SSH65"/>
      <c r="SSI65"/>
      <c r="SSJ65"/>
      <c r="SSK65"/>
      <c r="SSL65"/>
      <c r="SSM65"/>
      <c r="SSN65"/>
      <c r="SSO65"/>
      <c r="SSP65"/>
      <c r="SSQ65"/>
      <c r="SSR65"/>
      <c r="SSS65"/>
      <c r="SST65"/>
      <c r="SSU65"/>
      <c r="SSV65"/>
      <c r="SSW65"/>
      <c r="SSX65"/>
      <c r="SSY65"/>
      <c r="SSZ65"/>
      <c r="STA65"/>
      <c r="STB65"/>
      <c r="STC65"/>
      <c r="STD65"/>
      <c r="STE65"/>
      <c r="STF65"/>
      <c r="STG65"/>
      <c r="STH65"/>
      <c r="STI65"/>
      <c r="STJ65"/>
      <c r="STK65"/>
      <c r="STL65"/>
      <c r="STM65"/>
      <c r="STN65"/>
      <c r="STO65"/>
      <c r="STP65"/>
      <c r="STQ65"/>
      <c r="STR65"/>
      <c r="STS65"/>
      <c r="STT65"/>
      <c r="STU65"/>
      <c r="STV65"/>
      <c r="STW65"/>
      <c r="STX65"/>
      <c r="STY65"/>
      <c r="STZ65"/>
      <c r="SUA65"/>
      <c r="SUB65"/>
      <c r="SUC65"/>
      <c r="SUD65"/>
      <c r="SUE65"/>
      <c r="SUF65"/>
      <c r="SUG65"/>
      <c r="SUH65"/>
      <c r="SUI65"/>
      <c r="SUJ65"/>
      <c r="SUK65"/>
      <c r="SUL65"/>
      <c r="SUM65"/>
      <c r="SUN65"/>
      <c r="SUO65"/>
      <c r="SUP65"/>
      <c r="SUQ65"/>
      <c r="SUR65"/>
      <c r="SUS65"/>
      <c r="SUT65"/>
      <c r="SUU65"/>
      <c r="SUV65"/>
      <c r="SUW65"/>
      <c r="SUX65"/>
      <c r="SUY65"/>
      <c r="SUZ65"/>
      <c r="SVA65"/>
      <c r="SVB65"/>
      <c r="SVC65"/>
      <c r="SVD65"/>
      <c r="SVE65"/>
      <c r="SVF65"/>
      <c r="SVG65"/>
      <c r="SVH65"/>
      <c r="SVI65"/>
      <c r="SVJ65"/>
      <c r="SVK65"/>
      <c r="SVL65"/>
      <c r="SVM65"/>
      <c r="SVN65"/>
      <c r="SVO65"/>
      <c r="SVP65"/>
      <c r="SVQ65"/>
      <c r="SVR65"/>
      <c r="SVS65"/>
      <c r="SVT65"/>
      <c r="SVU65"/>
      <c r="SVV65"/>
      <c r="SVW65"/>
      <c r="SVX65"/>
      <c r="SVY65"/>
      <c r="SVZ65"/>
      <c r="SWA65"/>
      <c r="SWB65"/>
      <c r="SWC65"/>
      <c r="SWD65"/>
      <c r="SWE65"/>
      <c r="SWF65"/>
      <c r="SWG65"/>
      <c r="SWH65"/>
      <c r="SWI65"/>
      <c r="SWJ65"/>
      <c r="SWK65"/>
      <c r="SWL65"/>
      <c r="SWM65"/>
      <c r="SWN65"/>
      <c r="SWO65"/>
      <c r="SWP65"/>
      <c r="SWQ65"/>
      <c r="SWR65"/>
      <c r="SWS65"/>
      <c r="SWT65"/>
      <c r="SWU65"/>
      <c r="SWV65"/>
      <c r="SWW65"/>
      <c r="SWX65"/>
      <c r="SWY65"/>
      <c r="SWZ65"/>
      <c r="SXA65"/>
      <c r="SXB65"/>
      <c r="SXC65"/>
      <c r="SXD65"/>
      <c r="SXE65"/>
      <c r="SXF65"/>
      <c r="SXG65"/>
      <c r="SXH65"/>
      <c r="SXI65"/>
      <c r="SXJ65"/>
      <c r="SXK65"/>
      <c r="SXL65"/>
      <c r="SXM65"/>
      <c r="SXN65"/>
      <c r="SXO65"/>
      <c r="SXP65"/>
      <c r="SXQ65"/>
      <c r="SXR65"/>
      <c r="SXS65"/>
      <c r="SXT65"/>
      <c r="SXU65"/>
      <c r="SXV65"/>
      <c r="SXW65"/>
      <c r="SXX65"/>
      <c r="SXY65"/>
      <c r="SXZ65"/>
      <c r="SYA65"/>
      <c r="SYB65"/>
      <c r="SYC65"/>
      <c r="SYD65"/>
      <c r="SYE65"/>
      <c r="SYF65"/>
      <c r="SYG65"/>
      <c r="SYH65"/>
      <c r="SYI65"/>
      <c r="SYJ65"/>
      <c r="SYK65"/>
      <c r="SYL65"/>
      <c r="SYM65"/>
      <c r="SYN65"/>
      <c r="SYO65"/>
      <c r="SYP65"/>
      <c r="SYQ65"/>
      <c r="SYR65"/>
      <c r="SYS65"/>
      <c r="SYT65"/>
      <c r="SYU65"/>
      <c r="SYV65"/>
      <c r="SYW65"/>
      <c r="SYX65"/>
      <c r="SYY65"/>
      <c r="SYZ65"/>
      <c r="SZA65"/>
      <c r="SZB65"/>
      <c r="SZC65"/>
      <c r="SZD65"/>
      <c r="SZE65"/>
      <c r="SZF65"/>
      <c r="SZG65"/>
      <c r="SZH65"/>
      <c r="SZI65"/>
      <c r="SZJ65"/>
      <c r="SZK65"/>
      <c r="SZL65"/>
      <c r="SZM65"/>
      <c r="SZN65"/>
      <c r="SZO65"/>
      <c r="SZP65"/>
      <c r="SZQ65"/>
      <c r="SZR65"/>
      <c r="SZS65"/>
      <c r="SZT65"/>
      <c r="SZU65"/>
      <c r="SZV65"/>
      <c r="SZW65"/>
      <c r="SZX65"/>
      <c r="SZY65"/>
      <c r="SZZ65"/>
      <c r="TAA65"/>
      <c r="TAB65"/>
      <c r="TAC65"/>
      <c r="TAD65"/>
      <c r="TAE65"/>
      <c r="TAF65"/>
      <c r="TAG65"/>
      <c r="TAH65"/>
      <c r="TAI65"/>
      <c r="TAJ65"/>
      <c r="TAK65"/>
      <c r="TAL65"/>
      <c r="TAM65"/>
      <c r="TAN65"/>
      <c r="TAO65"/>
      <c r="TAP65"/>
      <c r="TAQ65"/>
      <c r="TAR65"/>
      <c r="TAS65"/>
      <c r="TAT65"/>
      <c r="TAU65"/>
      <c r="TAV65"/>
      <c r="TAW65"/>
      <c r="TAX65"/>
      <c r="TAY65"/>
      <c r="TAZ65"/>
      <c r="TBA65"/>
      <c r="TBB65"/>
      <c r="TBC65"/>
      <c r="TBD65"/>
      <c r="TBE65"/>
      <c r="TBF65"/>
      <c r="TBG65"/>
      <c r="TBH65"/>
      <c r="TBI65"/>
      <c r="TBJ65"/>
      <c r="TBK65"/>
      <c r="TBL65"/>
      <c r="TBM65"/>
      <c r="TBN65"/>
      <c r="TBO65"/>
      <c r="TBP65"/>
      <c r="TBQ65"/>
      <c r="TBR65"/>
      <c r="TBS65"/>
      <c r="TBT65"/>
      <c r="TBU65"/>
      <c r="TBV65"/>
      <c r="TBW65"/>
      <c r="TBX65"/>
      <c r="TBY65"/>
      <c r="TBZ65"/>
      <c r="TCA65"/>
      <c r="TCB65"/>
      <c r="TCC65"/>
      <c r="TCD65"/>
      <c r="TCE65"/>
      <c r="TCF65"/>
      <c r="TCG65"/>
      <c r="TCH65"/>
      <c r="TCI65"/>
      <c r="TCJ65"/>
      <c r="TCK65"/>
      <c r="TCL65"/>
      <c r="TCM65"/>
      <c r="TCN65"/>
      <c r="TCO65"/>
      <c r="TCP65"/>
      <c r="TCQ65"/>
      <c r="TCR65"/>
      <c r="TCS65"/>
      <c r="TCT65"/>
      <c r="TCU65"/>
      <c r="TCV65"/>
      <c r="TCW65"/>
      <c r="TCX65"/>
      <c r="TCY65"/>
      <c r="TCZ65"/>
      <c r="TDA65"/>
      <c r="TDB65"/>
      <c r="TDC65"/>
      <c r="TDD65"/>
      <c r="TDE65"/>
      <c r="TDF65"/>
      <c r="TDG65"/>
      <c r="TDH65"/>
      <c r="TDI65"/>
      <c r="TDJ65"/>
      <c r="TDK65"/>
      <c r="TDL65"/>
      <c r="TDM65"/>
      <c r="TDN65"/>
      <c r="TDO65"/>
      <c r="TDP65"/>
      <c r="TDQ65"/>
      <c r="TDR65"/>
      <c r="TDS65"/>
      <c r="TDT65"/>
      <c r="TDU65"/>
      <c r="TDV65"/>
      <c r="TDW65"/>
      <c r="TDX65"/>
      <c r="TDY65"/>
      <c r="TDZ65"/>
      <c r="TEA65"/>
      <c r="TEB65"/>
      <c r="TEC65"/>
      <c r="TED65"/>
      <c r="TEE65"/>
      <c r="TEF65"/>
      <c r="TEG65"/>
      <c r="TEH65"/>
      <c r="TEI65"/>
      <c r="TEJ65"/>
      <c r="TEK65"/>
      <c r="TEL65"/>
      <c r="TEM65"/>
      <c r="TEN65"/>
      <c r="TEO65"/>
      <c r="TEP65"/>
      <c r="TEQ65"/>
      <c r="TER65"/>
      <c r="TES65"/>
      <c r="TET65"/>
      <c r="TEU65"/>
      <c r="TEV65"/>
      <c r="TEW65"/>
      <c r="TEX65"/>
      <c r="TEY65"/>
      <c r="TEZ65"/>
      <c r="TFA65"/>
      <c r="TFB65"/>
      <c r="TFC65"/>
      <c r="TFD65"/>
      <c r="TFE65"/>
      <c r="TFF65"/>
      <c r="TFG65"/>
      <c r="TFH65"/>
      <c r="TFI65"/>
      <c r="TFJ65"/>
      <c r="TFK65"/>
      <c r="TFL65"/>
      <c r="TFM65"/>
      <c r="TFN65"/>
      <c r="TFO65"/>
      <c r="TFP65"/>
      <c r="TFQ65"/>
      <c r="TFR65"/>
      <c r="TFS65"/>
      <c r="TFT65"/>
      <c r="TFU65"/>
      <c r="TFV65"/>
      <c r="TFW65"/>
      <c r="TFX65"/>
      <c r="TFY65"/>
      <c r="TFZ65"/>
      <c r="TGA65"/>
      <c r="TGB65"/>
      <c r="TGC65"/>
      <c r="TGD65"/>
      <c r="TGE65"/>
      <c r="TGF65"/>
      <c r="TGG65"/>
      <c r="TGH65"/>
      <c r="TGI65"/>
      <c r="TGJ65"/>
      <c r="TGK65"/>
      <c r="TGL65"/>
      <c r="TGM65"/>
      <c r="TGN65"/>
      <c r="TGO65"/>
      <c r="TGP65"/>
      <c r="TGQ65"/>
      <c r="TGR65"/>
      <c r="TGS65"/>
      <c r="TGT65"/>
      <c r="TGU65"/>
      <c r="TGV65"/>
      <c r="TGW65"/>
      <c r="TGX65"/>
      <c r="TGY65"/>
      <c r="TGZ65"/>
      <c r="THA65"/>
      <c r="THB65"/>
      <c r="THC65"/>
      <c r="THD65"/>
      <c r="THE65"/>
      <c r="THF65"/>
      <c r="THG65"/>
      <c r="THH65"/>
      <c r="THI65"/>
      <c r="THJ65"/>
      <c r="THK65"/>
      <c r="THL65"/>
      <c r="THM65"/>
      <c r="THN65"/>
      <c r="THO65"/>
      <c r="THP65"/>
      <c r="THQ65"/>
      <c r="THR65"/>
      <c r="THS65"/>
      <c r="THT65"/>
      <c r="THU65"/>
      <c r="THV65"/>
      <c r="THW65"/>
      <c r="THX65"/>
      <c r="THY65"/>
      <c r="THZ65"/>
      <c r="TIA65"/>
      <c r="TIB65"/>
      <c r="TIC65"/>
      <c r="TID65"/>
      <c r="TIE65"/>
      <c r="TIF65"/>
      <c r="TIG65"/>
      <c r="TIH65"/>
      <c r="TII65"/>
      <c r="TIJ65"/>
      <c r="TIK65"/>
      <c r="TIL65"/>
      <c r="TIM65"/>
      <c r="TIN65"/>
      <c r="TIO65"/>
      <c r="TIP65"/>
      <c r="TIQ65"/>
      <c r="TIR65"/>
      <c r="TIS65"/>
      <c r="TIT65"/>
      <c r="TIU65"/>
      <c r="TIV65"/>
      <c r="TIW65"/>
      <c r="TIX65"/>
      <c r="TIY65"/>
      <c r="TIZ65"/>
      <c r="TJA65"/>
      <c r="TJB65"/>
      <c r="TJC65"/>
      <c r="TJD65"/>
      <c r="TJE65"/>
      <c r="TJF65"/>
      <c r="TJG65"/>
      <c r="TJH65"/>
      <c r="TJI65"/>
      <c r="TJJ65"/>
      <c r="TJK65"/>
      <c r="TJL65"/>
      <c r="TJM65"/>
      <c r="TJN65"/>
      <c r="TJO65"/>
      <c r="TJP65"/>
      <c r="TJQ65"/>
      <c r="TJR65"/>
      <c r="TJS65"/>
      <c r="TJT65"/>
      <c r="TJU65"/>
      <c r="TJV65"/>
      <c r="TJW65"/>
      <c r="TJX65"/>
      <c r="TJY65"/>
      <c r="TJZ65"/>
      <c r="TKA65"/>
      <c r="TKB65"/>
      <c r="TKC65"/>
      <c r="TKD65"/>
      <c r="TKE65"/>
      <c r="TKF65"/>
      <c r="TKG65"/>
      <c r="TKH65"/>
      <c r="TKI65"/>
      <c r="TKJ65"/>
      <c r="TKK65"/>
      <c r="TKL65"/>
      <c r="TKM65"/>
      <c r="TKN65"/>
      <c r="TKO65"/>
      <c r="TKP65"/>
      <c r="TKQ65"/>
      <c r="TKR65"/>
      <c r="TKS65"/>
      <c r="TKT65"/>
      <c r="TKU65"/>
      <c r="TKV65"/>
      <c r="TKW65"/>
      <c r="TKX65"/>
      <c r="TKY65"/>
      <c r="TKZ65"/>
      <c r="TLA65"/>
      <c r="TLB65"/>
      <c r="TLC65"/>
      <c r="TLD65"/>
      <c r="TLE65"/>
      <c r="TLF65"/>
      <c r="TLG65"/>
      <c r="TLH65"/>
      <c r="TLI65"/>
      <c r="TLJ65"/>
      <c r="TLK65"/>
      <c r="TLL65"/>
      <c r="TLM65"/>
      <c r="TLN65"/>
      <c r="TLO65"/>
      <c r="TLP65"/>
      <c r="TLQ65"/>
      <c r="TLR65"/>
      <c r="TLS65"/>
      <c r="TLT65"/>
      <c r="TLU65"/>
      <c r="TLV65"/>
      <c r="TLW65"/>
      <c r="TLX65"/>
      <c r="TLY65"/>
      <c r="TLZ65"/>
      <c r="TMA65"/>
      <c r="TMB65"/>
      <c r="TMC65"/>
      <c r="TMD65"/>
      <c r="TME65"/>
      <c r="TMF65"/>
      <c r="TMG65"/>
      <c r="TMH65"/>
      <c r="TMI65"/>
      <c r="TMJ65"/>
      <c r="TMK65"/>
      <c r="TML65"/>
      <c r="TMM65"/>
      <c r="TMN65"/>
      <c r="TMO65"/>
      <c r="TMP65"/>
      <c r="TMQ65"/>
      <c r="TMR65"/>
      <c r="TMS65"/>
      <c r="TMT65"/>
      <c r="TMU65"/>
      <c r="TMV65"/>
      <c r="TMW65"/>
      <c r="TMX65"/>
      <c r="TMY65"/>
      <c r="TMZ65"/>
      <c r="TNA65"/>
      <c r="TNB65"/>
      <c r="TNC65"/>
      <c r="TND65"/>
      <c r="TNE65"/>
      <c r="TNF65"/>
      <c r="TNG65"/>
      <c r="TNH65"/>
      <c r="TNI65"/>
      <c r="TNJ65"/>
      <c r="TNK65"/>
      <c r="TNL65"/>
      <c r="TNM65"/>
      <c r="TNN65"/>
      <c r="TNO65"/>
      <c r="TNP65"/>
      <c r="TNQ65"/>
      <c r="TNR65"/>
      <c r="TNS65"/>
      <c r="TNT65"/>
      <c r="TNU65"/>
      <c r="TNV65"/>
      <c r="TNW65"/>
      <c r="TNX65"/>
      <c r="TNY65"/>
      <c r="TNZ65"/>
      <c r="TOA65"/>
      <c r="TOB65"/>
      <c r="TOC65"/>
      <c r="TOD65"/>
      <c r="TOE65"/>
      <c r="TOF65"/>
      <c r="TOG65"/>
      <c r="TOH65"/>
      <c r="TOI65"/>
      <c r="TOJ65"/>
      <c r="TOK65"/>
      <c r="TOL65"/>
      <c r="TOM65"/>
      <c r="TON65"/>
      <c r="TOO65"/>
      <c r="TOP65"/>
      <c r="TOQ65"/>
      <c r="TOR65"/>
      <c r="TOS65"/>
      <c r="TOT65"/>
      <c r="TOU65"/>
      <c r="TOV65"/>
      <c r="TOW65"/>
      <c r="TOX65"/>
      <c r="TOY65"/>
      <c r="TOZ65"/>
      <c r="TPA65"/>
      <c r="TPB65"/>
      <c r="TPC65"/>
      <c r="TPD65"/>
      <c r="TPE65"/>
      <c r="TPF65"/>
      <c r="TPG65"/>
      <c r="TPH65"/>
      <c r="TPI65"/>
      <c r="TPJ65"/>
      <c r="TPK65"/>
      <c r="TPL65"/>
      <c r="TPM65"/>
      <c r="TPN65"/>
      <c r="TPO65"/>
      <c r="TPP65"/>
      <c r="TPQ65"/>
      <c r="TPR65"/>
      <c r="TPS65"/>
      <c r="TPT65"/>
      <c r="TPU65"/>
      <c r="TPV65"/>
      <c r="TPW65"/>
      <c r="TPX65"/>
      <c r="TPY65"/>
      <c r="TPZ65"/>
      <c r="TQA65"/>
      <c r="TQB65"/>
      <c r="TQC65"/>
      <c r="TQD65"/>
      <c r="TQE65"/>
      <c r="TQF65"/>
      <c r="TQG65"/>
      <c r="TQH65"/>
      <c r="TQI65"/>
      <c r="TQJ65"/>
      <c r="TQK65"/>
      <c r="TQL65"/>
      <c r="TQM65"/>
      <c r="TQN65"/>
      <c r="TQO65"/>
      <c r="TQP65"/>
      <c r="TQQ65"/>
      <c r="TQR65"/>
      <c r="TQS65"/>
      <c r="TQT65"/>
      <c r="TQU65"/>
      <c r="TQV65"/>
      <c r="TQW65"/>
      <c r="TQX65"/>
      <c r="TQY65"/>
      <c r="TQZ65"/>
      <c r="TRA65"/>
      <c r="TRB65"/>
      <c r="TRC65"/>
      <c r="TRD65"/>
      <c r="TRE65"/>
      <c r="TRF65"/>
      <c r="TRG65"/>
      <c r="TRH65"/>
      <c r="TRI65"/>
      <c r="TRJ65"/>
      <c r="TRK65"/>
      <c r="TRL65"/>
      <c r="TRM65"/>
      <c r="TRN65"/>
      <c r="TRO65"/>
      <c r="TRP65"/>
      <c r="TRQ65"/>
      <c r="TRR65"/>
      <c r="TRS65"/>
      <c r="TRT65"/>
      <c r="TRU65"/>
      <c r="TRV65"/>
      <c r="TRW65"/>
      <c r="TRX65"/>
      <c r="TRY65"/>
      <c r="TRZ65"/>
      <c r="TSA65"/>
      <c r="TSB65"/>
      <c r="TSC65"/>
      <c r="TSD65"/>
      <c r="TSE65"/>
      <c r="TSF65"/>
      <c r="TSG65"/>
      <c r="TSH65"/>
      <c r="TSI65"/>
      <c r="TSJ65"/>
      <c r="TSK65"/>
      <c r="TSL65"/>
      <c r="TSM65"/>
      <c r="TSN65"/>
      <c r="TSO65"/>
      <c r="TSP65"/>
      <c r="TSQ65"/>
      <c r="TSR65"/>
      <c r="TSS65"/>
      <c r="TST65"/>
      <c r="TSU65"/>
      <c r="TSV65"/>
      <c r="TSW65"/>
      <c r="TSX65"/>
      <c r="TSY65"/>
      <c r="TSZ65"/>
      <c r="TTA65"/>
      <c r="TTB65"/>
      <c r="TTC65"/>
      <c r="TTD65"/>
      <c r="TTE65"/>
      <c r="TTF65"/>
      <c r="TTG65"/>
      <c r="TTH65"/>
      <c r="TTI65"/>
      <c r="TTJ65"/>
      <c r="TTK65"/>
      <c r="TTL65"/>
      <c r="TTM65"/>
      <c r="TTN65"/>
      <c r="TTO65"/>
      <c r="TTP65"/>
      <c r="TTQ65"/>
      <c r="TTR65"/>
      <c r="TTS65"/>
      <c r="TTT65"/>
      <c r="TTU65"/>
      <c r="TTV65"/>
      <c r="TTW65"/>
      <c r="TTX65"/>
      <c r="TTY65"/>
      <c r="TTZ65"/>
      <c r="TUA65"/>
      <c r="TUB65"/>
      <c r="TUC65"/>
      <c r="TUD65"/>
      <c r="TUE65"/>
      <c r="TUF65"/>
      <c r="TUG65"/>
      <c r="TUH65"/>
      <c r="TUI65"/>
      <c r="TUJ65"/>
      <c r="TUK65"/>
      <c r="TUL65"/>
      <c r="TUM65"/>
      <c r="TUN65"/>
      <c r="TUO65"/>
      <c r="TUP65"/>
      <c r="TUQ65"/>
      <c r="TUR65"/>
      <c r="TUS65"/>
      <c r="TUT65"/>
      <c r="TUU65"/>
      <c r="TUV65"/>
      <c r="TUW65"/>
      <c r="TUX65"/>
      <c r="TUY65"/>
      <c r="TUZ65"/>
      <c r="TVA65"/>
      <c r="TVB65"/>
      <c r="TVC65"/>
      <c r="TVD65"/>
      <c r="TVE65"/>
      <c r="TVF65"/>
      <c r="TVG65"/>
      <c r="TVH65"/>
      <c r="TVI65"/>
      <c r="TVJ65"/>
      <c r="TVK65"/>
      <c r="TVL65"/>
      <c r="TVM65"/>
      <c r="TVN65"/>
      <c r="TVO65"/>
      <c r="TVP65"/>
      <c r="TVQ65"/>
      <c r="TVR65"/>
      <c r="TVS65"/>
      <c r="TVT65"/>
      <c r="TVU65"/>
      <c r="TVV65"/>
      <c r="TVW65"/>
      <c r="TVX65"/>
      <c r="TVY65"/>
      <c r="TVZ65"/>
      <c r="TWA65"/>
      <c r="TWB65"/>
      <c r="TWC65"/>
      <c r="TWD65"/>
      <c r="TWE65"/>
      <c r="TWF65"/>
      <c r="TWG65"/>
      <c r="TWH65"/>
      <c r="TWI65"/>
      <c r="TWJ65"/>
      <c r="TWK65"/>
      <c r="TWL65"/>
      <c r="TWM65"/>
      <c r="TWN65"/>
      <c r="TWO65"/>
      <c r="TWP65"/>
      <c r="TWQ65"/>
      <c r="TWR65"/>
      <c r="TWS65"/>
      <c r="TWT65"/>
      <c r="TWU65"/>
      <c r="TWV65"/>
      <c r="TWW65"/>
      <c r="TWX65"/>
      <c r="TWY65"/>
      <c r="TWZ65"/>
      <c r="TXA65"/>
      <c r="TXB65"/>
      <c r="TXC65"/>
      <c r="TXD65"/>
      <c r="TXE65"/>
      <c r="TXF65"/>
      <c r="TXG65"/>
      <c r="TXH65"/>
      <c r="TXI65"/>
      <c r="TXJ65"/>
      <c r="TXK65"/>
      <c r="TXL65"/>
      <c r="TXM65"/>
      <c r="TXN65"/>
      <c r="TXO65"/>
      <c r="TXP65"/>
      <c r="TXQ65"/>
      <c r="TXR65"/>
      <c r="TXS65"/>
      <c r="TXT65"/>
      <c r="TXU65"/>
      <c r="TXV65"/>
      <c r="TXW65"/>
      <c r="TXX65"/>
      <c r="TXY65"/>
      <c r="TXZ65"/>
      <c r="TYA65"/>
      <c r="TYB65"/>
      <c r="TYC65"/>
      <c r="TYD65"/>
      <c r="TYE65"/>
      <c r="TYF65"/>
      <c r="TYG65"/>
      <c r="TYH65"/>
      <c r="TYI65"/>
      <c r="TYJ65"/>
      <c r="TYK65"/>
      <c r="TYL65"/>
      <c r="TYM65"/>
      <c r="TYN65"/>
      <c r="TYO65"/>
      <c r="TYP65"/>
      <c r="TYQ65"/>
      <c r="TYR65"/>
      <c r="TYS65"/>
      <c r="TYT65"/>
      <c r="TYU65"/>
      <c r="TYV65"/>
      <c r="TYW65"/>
      <c r="TYX65"/>
      <c r="TYY65"/>
      <c r="TYZ65"/>
      <c r="TZA65"/>
      <c r="TZB65"/>
      <c r="TZC65"/>
      <c r="TZD65"/>
      <c r="TZE65"/>
      <c r="TZF65"/>
      <c r="TZG65"/>
      <c r="TZH65"/>
      <c r="TZI65"/>
      <c r="TZJ65"/>
      <c r="TZK65"/>
      <c r="TZL65"/>
      <c r="TZM65"/>
      <c r="TZN65"/>
      <c r="TZO65"/>
      <c r="TZP65"/>
      <c r="TZQ65"/>
      <c r="TZR65"/>
      <c r="TZS65"/>
      <c r="TZT65"/>
      <c r="TZU65"/>
      <c r="TZV65"/>
      <c r="TZW65"/>
      <c r="TZX65"/>
      <c r="TZY65"/>
      <c r="TZZ65"/>
      <c r="UAA65"/>
      <c r="UAB65"/>
      <c r="UAC65"/>
      <c r="UAD65"/>
      <c r="UAE65"/>
      <c r="UAF65"/>
      <c r="UAG65"/>
      <c r="UAH65"/>
      <c r="UAI65"/>
      <c r="UAJ65"/>
      <c r="UAK65"/>
      <c r="UAL65"/>
      <c r="UAM65"/>
      <c r="UAN65"/>
      <c r="UAO65"/>
      <c r="UAP65"/>
      <c r="UAQ65"/>
      <c r="UAR65"/>
      <c r="UAS65"/>
      <c r="UAT65"/>
      <c r="UAU65"/>
      <c r="UAV65"/>
      <c r="UAW65"/>
      <c r="UAX65"/>
      <c r="UAY65"/>
      <c r="UAZ65"/>
      <c r="UBA65"/>
      <c r="UBB65"/>
      <c r="UBC65"/>
      <c r="UBD65"/>
      <c r="UBE65"/>
      <c r="UBF65"/>
      <c r="UBG65"/>
      <c r="UBH65"/>
      <c r="UBI65"/>
      <c r="UBJ65"/>
      <c r="UBK65"/>
      <c r="UBL65"/>
      <c r="UBM65"/>
      <c r="UBN65"/>
      <c r="UBO65"/>
      <c r="UBP65"/>
      <c r="UBQ65"/>
      <c r="UBR65"/>
      <c r="UBS65"/>
      <c r="UBT65"/>
      <c r="UBU65"/>
      <c r="UBV65"/>
      <c r="UBW65"/>
      <c r="UBX65"/>
      <c r="UBY65"/>
      <c r="UBZ65"/>
      <c r="UCA65"/>
      <c r="UCB65"/>
      <c r="UCC65"/>
      <c r="UCD65"/>
      <c r="UCE65"/>
      <c r="UCF65"/>
      <c r="UCG65"/>
      <c r="UCH65"/>
      <c r="UCI65"/>
      <c r="UCJ65"/>
      <c r="UCK65"/>
      <c r="UCL65"/>
      <c r="UCM65"/>
      <c r="UCN65"/>
      <c r="UCO65"/>
      <c r="UCP65"/>
      <c r="UCQ65"/>
      <c r="UCR65"/>
      <c r="UCS65"/>
      <c r="UCT65"/>
      <c r="UCU65"/>
      <c r="UCV65"/>
      <c r="UCW65"/>
      <c r="UCX65"/>
      <c r="UCY65"/>
      <c r="UCZ65"/>
      <c r="UDA65"/>
      <c r="UDB65"/>
      <c r="UDC65"/>
      <c r="UDD65"/>
      <c r="UDE65"/>
      <c r="UDF65"/>
      <c r="UDG65"/>
      <c r="UDH65"/>
      <c r="UDI65"/>
      <c r="UDJ65"/>
      <c r="UDK65"/>
      <c r="UDL65"/>
      <c r="UDM65"/>
      <c r="UDN65"/>
      <c r="UDO65"/>
      <c r="UDP65"/>
      <c r="UDQ65"/>
      <c r="UDR65"/>
      <c r="UDS65"/>
      <c r="UDT65"/>
      <c r="UDU65"/>
      <c r="UDV65"/>
      <c r="UDW65"/>
      <c r="UDX65"/>
      <c r="UDY65"/>
      <c r="UDZ65"/>
      <c r="UEA65"/>
      <c r="UEB65"/>
      <c r="UEC65"/>
      <c r="UED65"/>
      <c r="UEE65"/>
      <c r="UEF65"/>
      <c r="UEG65"/>
      <c r="UEH65"/>
      <c r="UEI65"/>
      <c r="UEJ65"/>
      <c r="UEK65"/>
      <c r="UEL65"/>
      <c r="UEM65"/>
      <c r="UEN65"/>
      <c r="UEO65"/>
      <c r="UEP65"/>
      <c r="UEQ65"/>
      <c r="UER65"/>
      <c r="UES65"/>
      <c r="UET65"/>
      <c r="UEU65"/>
      <c r="UEV65"/>
      <c r="UEW65"/>
      <c r="UEX65"/>
      <c r="UEY65"/>
      <c r="UEZ65"/>
      <c r="UFA65"/>
      <c r="UFB65"/>
      <c r="UFC65"/>
      <c r="UFD65"/>
      <c r="UFE65"/>
      <c r="UFF65"/>
      <c r="UFG65"/>
      <c r="UFH65"/>
      <c r="UFI65"/>
      <c r="UFJ65"/>
      <c r="UFK65"/>
      <c r="UFL65"/>
      <c r="UFM65"/>
      <c r="UFN65"/>
      <c r="UFO65"/>
      <c r="UFP65"/>
      <c r="UFQ65"/>
      <c r="UFR65"/>
      <c r="UFS65"/>
      <c r="UFT65"/>
      <c r="UFU65"/>
      <c r="UFV65"/>
      <c r="UFW65"/>
      <c r="UFX65"/>
      <c r="UFY65"/>
      <c r="UFZ65"/>
      <c r="UGA65"/>
      <c r="UGB65"/>
      <c r="UGC65"/>
      <c r="UGD65"/>
      <c r="UGE65"/>
      <c r="UGF65"/>
      <c r="UGG65"/>
      <c r="UGH65"/>
      <c r="UGI65"/>
      <c r="UGJ65"/>
      <c r="UGK65"/>
      <c r="UGL65"/>
      <c r="UGM65"/>
      <c r="UGN65"/>
      <c r="UGO65"/>
      <c r="UGP65"/>
      <c r="UGQ65"/>
      <c r="UGR65"/>
      <c r="UGS65"/>
      <c r="UGT65"/>
      <c r="UGU65"/>
      <c r="UGV65"/>
      <c r="UGW65"/>
      <c r="UGX65"/>
      <c r="UGY65"/>
      <c r="UGZ65"/>
      <c r="UHA65"/>
      <c r="UHB65"/>
      <c r="UHC65"/>
      <c r="UHD65"/>
      <c r="UHE65"/>
      <c r="UHF65"/>
      <c r="UHG65"/>
      <c r="UHH65"/>
      <c r="UHI65"/>
      <c r="UHJ65"/>
      <c r="UHK65"/>
      <c r="UHL65"/>
      <c r="UHM65"/>
      <c r="UHN65"/>
      <c r="UHO65"/>
      <c r="UHP65"/>
      <c r="UHQ65"/>
      <c r="UHR65"/>
      <c r="UHS65"/>
      <c r="UHT65"/>
      <c r="UHU65"/>
      <c r="UHV65"/>
      <c r="UHW65"/>
      <c r="UHX65"/>
      <c r="UHY65"/>
      <c r="UHZ65"/>
      <c r="UIA65"/>
      <c r="UIB65"/>
      <c r="UIC65"/>
      <c r="UID65"/>
      <c r="UIE65"/>
      <c r="UIF65"/>
      <c r="UIG65"/>
      <c r="UIH65"/>
      <c r="UII65"/>
      <c r="UIJ65"/>
      <c r="UIK65"/>
      <c r="UIL65"/>
      <c r="UIM65"/>
      <c r="UIN65"/>
      <c r="UIO65"/>
      <c r="UIP65"/>
      <c r="UIQ65"/>
      <c r="UIR65"/>
      <c r="UIS65"/>
      <c r="UIT65"/>
      <c r="UIU65"/>
      <c r="UIV65"/>
      <c r="UIW65"/>
      <c r="UIX65"/>
      <c r="UIY65"/>
      <c r="UIZ65"/>
      <c r="UJA65"/>
      <c r="UJB65"/>
      <c r="UJC65"/>
      <c r="UJD65"/>
      <c r="UJE65"/>
      <c r="UJF65"/>
      <c r="UJG65"/>
      <c r="UJH65"/>
      <c r="UJI65"/>
      <c r="UJJ65"/>
      <c r="UJK65"/>
      <c r="UJL65"/>
      <c r="UJM65"/>
      <c r="UJN65"/>
      <c r="UJO65"/>
      <c r="UJP65"/>
      <c r="UJQ65"/>
      <c r="UJR65"/>
      <c r="UJS65"/>
      <c r="UJT65"/>
      <c r="UJU65"/>
      <c r="UJV65"/>
      <c r="UJW65"/>
      <c r="UJX65"/>
      <c r="UJY65"/>
      <c r="UJZ65"/>
      <c r="UKA65"/>
      <c r="UKB65"/>
      <c r="UKC65"/>
      <c r="UKD65"/>
      <c r="UKE65"/>
      <c r="UKF65"/>
      <c r="UKG65"/>
      <c r="UKH65"/>
      <c r="UKI65"/>
      <c r="UKJ65"/>
      <c r="UKK65"/>
      <c r="UKL65"/>
      <c r="UKM65"/>
      <c r="UKN65"/>
      <c r="UKO65"/>
      <c r="UKP65"/>
      <c r="UKQ65"/>
      <c r="UKR65"/>
      <c r="UKS65"/>
      <c r="UKT65"/>
      <c r="UKU65"/>
      <c r="UKV65"/>
      <c r="UKW65"/>
      <c r="UKX65"/>
      <c r="UKY65"/>
      <c r="UKZ65"/>
      <c r="ULA65"/>
      <c r="ULB65"/>
      <c r="ULC65"/>
      <c r="ULD65"/>
      <c r="ULE65"/>
      <c r="ULF65"/>
      <c r="ULG65"/>
      <c r="ULH65"/>
      <c r="ULI65"/>
      <c r="ULJ65"/>
      <c r="ULK65"/>
      <c r="ULL65"/>
      <c r="ULM65"/>
      <c r="ULN65"/>
      <c r="ULO65"/>
      <c r="ULP65"/>
      <c r="ULQ65"/>
      <c r="ULR65"/>
      <c r="ULS65"/>
      <c r="ULT65"/>
      <c r="ULU65"/>
      <c r="ULV65"/>
      <c r="ULW65"/>
      <c r="ULX65"/>
      <c r="ULY65"/>
      <c r="ULZ65"/>
      <c r="UMA65"/>
      <c r="UMB65"/>
      <c r="UMC65"/>
      <c r="UMD65"/>
      <c r="UME65"/>
      <c r="UMF65"/>
      <c r="UMG65"/>
      <c r="UMH65"/>
      <c r="UMI65"/>
      <c r="UMJ65"/>
      <c r="UMK65"/>
      <c r="UML65"/>
      <c r="UMM65"/>
      <c r="UMN65"/>
      <c r="UMO65"/>
      <c r="UMP65"/>
      <c r="UMQ65"/>
      <c r="UMR65"/>
      <c r="UMS65"/>
      <c r="UMT65"/>
      <c r="UMU65"/>
      <c r="UMV65"/>
      <c r="UMW65"/>
      <c r="UMX65"/>
      <c r="UMY65"/>
      <c r="UMZ65"/>
      <c r="UNA65"/>
      <c r="UNB65"/>
      <c r="UNC65"/>
      <c r="UND65"/>
      <c r="UNE65"/>
      <c r="UNF65"/>
      <c r="UNG65"/>
      <c r="UNH65"/>
      <c r="UNI65"/>
      <c r="UNJ65"/>
      <c r="UNK65"/>
      <c r="UNL65"/>
      <c r="UNM65"/>
      <c r="UNN65"/>
      <c r="UNO65"/>
      <c r="UNP65"/>
      <c r="UNQ65"/>
      <c r="UNR65"/>
      <c r="UNS65"/>
      <c r="UNT65"/>
      <c r="UNU65"/>
      <c r="UNV65"/>
      <c r="UNW65"/>
      <c r="UNX65"/>
      <c r="UNY65"/>
      <c r="UNZ65"/>
      <c r="UOA65"/>
      <c r="UOB65"/>
      <c r="UOC65"/>
      <c r="UOD65"/>
      <c r="UOE65"/>
      <c r="UOF65"/>
      <c r="UOG65"/>
      <c r="UOH65"/>
      <c r="UOI65"/>
      <c r="UOJ65"/>
      <c r="UOK65"/>
      <c r="UOL65"/>
      <c r="UOM65"/>
      <c r="UON65"/>
      <c r="UOO65"/>
      <c r="UOP65"/>
      <c r="UOQ65"/>
      <c r="UOR65"/>
      <c r="UOS65"/>
      <c r="UOT65"/>
      <c r="UOU65"/>
      <c r="UOV65"/>
      <c r="UOW65"/>
      <c r="UOX65"/>
      <c r="UOY65"/>
      <c r="UOZ65"/>
      <c r="UPA65"/>
      <c r="UPB65"/>
      <c r="UPC65"/>
      <c r="UPD65"/>
      <c r="UPE65"/>
      <c r="UPF65"/>
      <c r="UPG65"/>
      <c r="UPH65"/>
      <c r="UPI65"/>
      <c r="UPJ65"/>
      <c r="UPK65"/>
      <c r="UPL65"/>
      <c r="UPM65"/>
      <c r="UPN65"/>
      <c r="UPO65"/>
      <c r="UPP65"/>
      <c r="UPQ65"/>
      <c r="UPR65"/>
      <c r="UPS65"/>
      <c r="UPT65"/>
      <c r="UPU65"/>
      <c r="UPV65"/>
      <c r="UPW65"/>
      <c r="UPX65"/>
      <c r="UPY65"/>
      <c r="UPZ65"/>
      <c r="UQA65"/>
      <c r="UQB65"/>
      <c r="UQC65"/>
      <c r="UQD65"/>
      <c r="UQE65"/>
      <c r="UQF65"/>
      <c r="UQG65"/>
      <c r="UQH65"/>
      <c r="UQI65"/>
      <c r="UQJ65"/>
      <c r="UQK65"/>
      <c r="UQL65"/>
      <c r="UQM65"/>
      <c r="UQN65"/>
      <c r="UQO65"/>
      <c r="UQP65"/>
      <c r="UQQ65"/>
      <c r="UQR65"/>
      <c r="UQS65"/>
      <c r="UQT65"/>
      <c r="UQU65"/>
      <c r="UQV65"/>
      <c r="UQW65"/>
      <c r="UQX65"/>
      <c r="UQY65"/>
      <c r="UQZ65"/>
      <c r="URA65"/>
      <c r="URB65"/>
      <c r="URC65"/>
      <c r="URD65"/>
      <c r="URE65"/>
      <c r="URF65"/>
      <c r="URG65"/>
      <c r="URH65"/>
      <c r="URI65"/>
      <c r="URJ65"/>
      <c r="URK65"/>
      <c r="URL65"/>
      <c r="URM65"/>
      <c r="URN65"/>
      <c r="URO65"/>
      <c r="URP65"/>
      <c r="URQ65"/>
      <c r="URR65"/>
      <c r="URS65"/>
      <c r="URT65"/>
      <c r="URU65"/>
      <c r="URV65"/>
      <c r="URW65"/>
      <c r="URX65"/>
      <c r="URY65"/>
      <c r="URZ65"/>
      <c r="USA65"/>
      <c r="USB65"/>
      <c r="USC65"/>
      <c r="USD65"/>
      <c r="USE65"/>
      <c r="USF65"/>
      <c r="USG65"/>
      <c r="USH65"/>
      <c r="USI65"/>
      <c r="USJ65"/>
      <c r="USK65"/>
      <c r="USL65"/>
      <c r="USM65"/>
      <c r="USN65"/>
      <c r="USO65"/>
      <c r="USP65"/>
      <c r="USQ65"/>
      <c r="USR65"/>
      <c r="USS65"/>
      <c r="UST65"/>
      <c r="USU65"/>
      <c r="USV65"/>
      <c r="USW65"/>
      <c r="USX65"/>
      <c r="USY65"/>
      <c r="USZ65"/>
      <c r="UTA65"/>
      <c r="UTB65"/>
      <c r="UTC65"/>
      <c r="UTD65"/>
      <c r="UTE65"/>
      <c r="UTF65"/>
      <c r="UTG65"/>
      <c r="UTH65"/>
      <c r="UTI65"/>
      <c r="UTJ65"/>
      <c r="UTK65"/>
      <c r="UTL65"/>
      <c r="UTM65"/>
      <c r="UTN65"/>
      <c r="UTO65"/>
      <c r="UTP65"/>
      <c r="UTQ65"/>
      <c r="UTR65"/>
      <c r="UTS65"/>
      <c r="UTT65"/>
      <c r="UTU65"/>
      <c r="UTV65"/>
      <c r="UTW65"/>
      <c r="UTX65"/>
      <c r="UTY65"/>
      <c r="UTZ65"/>
      <c r="UUA65"/>
      <c r="UUB65"/>
      <c r="UUC65"/>
      <c r="UUD65"/>
      <c r="UUE65"/>
      <c r="UUF65"/>
      <c r="UUG65"/>
      <c r="UUH65"/>
      <c r="UUI65"/>
      <c r="UUJ65"/>
      <c r="UUK65"/>
      <c r="UUL65"/>
      <c r="UUM65"/>
      <c r="UUN65"/>
      <c r="UUO65"/>
      <c r="UUP65"/>
      <c r="UUQ65"/>
      <c r="UUR65"/>
      <c r="UUS65"/>
      <c r="UUT65"/>
      <c r="UUU65"/>
      <c r="UUV65"/>
      <c r="UUW65"/>
      <c r="UUX65"/>
      <c r="UUY65"/>
      <c r="UUZ65"/>
      <c r="UVA65"/>
      <c r="UVB65"/>
      <c r="UVC65"/>
      <c r="UVD65"/>
      <c r="UVE65"/>
      <c r="UVF65"/>
      <c r="UVG65"/>
      <c r="UVH65"/>
      <c r="UVI65"/>
      <c r="UVJ65"/>
      <c r="UVK65"/>
      <c r="UVL65"/>
      <c r="UVM65"/>
      <c r="UVN65"/>
      <c r="UVO65"/>
      <c r="UVP65"/>
      <c r="UVQ65"/>
      <c r="UVR65"/>
      <c r="UVS65"/>
      <c r="UVT65"/>
      <c r="UVU65"/>
      <c r="UVV65"/>
      <c r="UVW65"/>
      <c r="UVX65"/>
      <c r="UVY65"/>
      <c r="UVZ65"/>
      <c r="UWA65"/>
      <c r="UWB65"/>
      <c r="UWC65"/>
      <c r="UWD65"/>
      <c r="UWE65"/>
      <c r="UWF65"/>
      <c r="UWG65"/>
      <c r="UWH65"/>
      <c r="UWI65"/>
      <c r="UWJ65"/>
      <c r="UWK65"/>
      <c r="UWL65"/>
      <c r="UWM65"/>
      <c r="UWN65"/>
      <c r="UWO65"/>
      <c r="UWP65"/>
      <c r="UWQ65"/>
      <c r="UWR65"/>
      <c r="UWS65"/>
      <c r="UWT65"/>
      <c r="UWU65"/>
      <c r="UWV65"/>
      <c r="UWW65"/>
      <c r="UWX65"/>
      <c r="UWY65"/>
      <c r="UWZ65"/>
      <c r="UXA65"/>
      <c r="UXB65"/>
      <c r="UXC65"/>
      <c r="UXD65"/>
      <c r="UXE65"/>
      <c r="UXF65"/>
      <c r="UXG65"/>
      <c r="UXH65"/>
      <c r="UXI65"/>
      <c r="UXJ65"/>
      <c r="UXK65"/>
      <c r="UXL65"/>
      <c r="UXM65"/>
      <c r="UXN65"/>
      <c r="UXO65"/>
      <c r="UXP65"/>
      <c r="UXQ65"/>
      <c r="UXR65"/>
      <c r="UXS65"/>
      <c r="UXT65"/>
      <c r="UXU65"/>
      <c r="UXV65"/>
      <c r="UXW65"/>
      <c r="UXX65"/>
      <c r="UXY65"/>
      <c r="UXZ65"/>
      <c r="UYA65"/>
      <c r="UYB65"/>
      <c r="UYC65"/>
      <c r="UYD65"/>
      <c r="UYE65"/>
      <c r="UYF65"/>
      <c r="UYG65"/>
      <c r="UYH65"/>
      <c r="UYI65"/>
      <c r="UYJ65"/>
      <c r="UYK65"/>
      <c r="UYL65"/>
      <c r="UYM65"/>
      <c r="UYN65"/>
      <c r="UYO65"/>
      <c r="UYP65"/>
      <c r="UYQ65"/>
      <c r="UYR65"/>
      <c r="UYS65"/>
      <c r="UYT65"/>
      <c r="UYU65"/>
      <c r="UYV65"/>
      <c r="UYW65"/>
      <c r="UYX65"/>
      <c r="UYY65"/>
      <c r="UYZ65"/>
      <c r="UZA65"/>
      <c r="UZB65"/>
      <c r="UZC65"/>
      <c r="UZD65"/>
      <c r="UZE65"/>
      <c r="UZF65"/>
      <c r="UZG65"/>
      <c r="UZH65"/>
      <c r="UZI65"/>
      <c r="UZJ65"/>
      <c r="UZK65"/>
      <c r="UZL65"/>
      <c r="UZM65"/>
      <c r="UZN65"/>
      <c r="UZO65"/>
      <c r="UZP65"/>
      <c r="UZQ65"/>
      <c r="UZR65"/>
      <c r="UZS65"/>
      <c r="UZT65"/>
      <c r="UZU65"/>
      <c r="UZV65"/>
      <c r="UZW65"/>
      <c r="UZX65"/>
      <c r="UZY65"/>
      <c r="UZZ65"/>
      <c r="VAA65"/>
      <c r="VAB65"/>
      <c r="VAC65"/>
      <c r="VAD65"/>
      <c r="VAE65"/>
      <c r="VAF65"/>
      <c r="VAG65"/>
      <c r="VAH65"/>
      <c r="VAI65"/>
      <c r="VAJ65"/>
      <c r="VAK65"/>
      <c r="VAL65"/>
      <c r="VAM65"/>
      <c r="VAN65"/>
      <c r="VAO65"/>
      <c r="VAP65"/>
      <c r="VAQ65"/>
      <c r="VAR65"/>
      <c r="VAS65"/>
      <c r="VAT65"/>
      <c r="VAU65"/>
      <c r="VAV65"/>
      <c r="VAW65"/>
      <c r="VAX65"/>
      <c r="VAY65"/>
      <c r="VAZ65"/>
      <c r="VBA65"/>
      <c r="VBB65"/>
      <c r="VBC65"/>
      <c r="VBD65"/>
      <c r="VBE65"/>
      <c r="VBF65"/>
      <c r="VBG65"/>
      <c r="VBH65"/>
      <c r="VBI65"/>
      <c r="VBJ65"/>
      <c r="VBK65"/>
      <c r="VBL65"/>
      <c r="VBM65"/>
      <c r="VBN65"/>
      <c r="VBO65"/>
      <c r="VBP65"/>
      <c r="VBQ65"/>
      <c r="VBR65"/>
      <c r="VBS65"/>
      <c r="VBT65"/>
      <c r="VBU65"/>
      <c r="VBV65"/>
      <c r="VBW65"/>
      <c r="VBX65"/>
      <c r="VBY65"/>
      <c r="VBZ65"/>
      <c r="VCA65"/>
      <c r="VCB65"/>
      <c r="VCC65"/>
      <c r="VCD65"/>
      <c r="VCE65"/>
      <c r="VCF65"/>
      <c r="VCG65"/>
      <c r="VCH65"/>
      <c r="VCI65"/>
      <c r="VCJ65"/>
      <c r="VCK65"/>
      <c r="VCL65"/>
      <c r="VCM65"/>
      <c r="VCN65"/>
      <c r="VCO65"/>
      <c r="VCP65"/>
      <c r="VCQ65"/>
      <c r="VCR65"/>
      <c r="VCS65"/>
      <c r="VCT65"/>
      <c r="VCU65"/>
      <c r="VCV65"/>
      <c r="VCW65"/>
      <c r="VCX65"/>
      <c r="VCY65"/>
      <c r="VCZ65"/>
      <c r="VDA65"/>
      <c r="VDB65"/>
      <c r="VDC65"/>
      <c r="VDD65"/>
      <c r="VDE65"/>
      <c r="VDF65"/>
      <c r="VDG65"/>
      <c r="VDH65"/>
      <c r="VDI65"/>
      <c r="VDJ65"/>
      <c r="VDK65"/>
      <c r="VDL65"/>
      <c r="VDM65"/>
      <c r="VDN65"/>
      <c r="VDO65"/>
      <c r="VDP65"/>
      <c r="VDQ65"/>
      <c r="VDR65"/>
      <c r="VDS65"/>
      <c r="VDT65"/>
      <c r="VDU65"/>
      <c r="VDV65"/>
      <c r="VDW65"/>
      <c r="VDX65"/>
      <c r="VDY65"/>
      <c r="VDZ65"/>
      <c r="VEA65"/>
      <c r="VEB65"/>
      <c r="VEC65"/>
      <c r="VED65"/>
      <c r="VEE65"/>
      <c r="VEF65"/>
      <c r="VEG65"/>
      <c r="VEH65"/>
      <c r="VEI65"/>
      <c r="VEJ65"/>
      <c r="VEK65"/>
      <c r="VEL65"/>
      <c r="VEM65"/>
      <c r="VEN65"/>
      <c r="VEO65"/>
      <c r="VEP65"/>
      <c r="VEQ65"/>
      <c r="VER65"/>
      <c r="VES65"/>
      <c r="VET65"/>
      <c r="VEU65"/>
      <c r="VEV65"/>
      <c r="VEW65"/>
      <c r="VEX65"/>
      <c r="VEY65"/>
      <c r="VEZ65"/>
      <c r="VFA65"/>
      <c r="VFB65"/>
      <c r="VFC65"/>
      <c r="VFD65"/>
      <c r="VFE65"/>
      <c r="VFF65"/>
      <c r="VFG65"/>
      <c r="VFH65"/>
      <c r="VFI65"/>
      <c r="VFJ65"/>
      <c r="VFK65"/>
      <c r="VFL65"/>
      <c r="VFM65"/>
      <c r="VFN65"/>
      <c r="VFO65"/>
      <c r="VFP65"/>
      <c r="VFQ65"/>
      <c r="VFR65"/>
      <c r="VFS65"/>
      <c r="VFT65"/>
      <c r="VFU65"/>
      <c r="VFV65"/>
      <c r="VFW65"/>
      <c r="VFX65"/>
      <c r="VFY65"/>
      <c r="VFZ65"/>
      <c r="VGA65"/>
      <c r="VGB65"/>
      <c r="VGC65"/>
      <c r="VGD65"/>
      <c r="VGE65"/>
      <c r="VGF65"/>
      <c r="VGG65"/>
      <c r="VGH65"/>
      <c r="VGI65"/>
      <c r="VGJ65"/>
      <c r="VGK65"/>
      <c r="VGL65"/>
      <c r="VGM65"/>
      <c r="VGN65"/>
      <c r="VGO65"/>
      <c r="VGP65"/>
      <c r="VGQ65"/>
      <c r="VGR65"/>
      <c r="VGS65"/>
      <c r="VGT65"/>
      <c r="VGU65"/>
      <c r="VGV65"/>
      <c r="VGW65"/>
      <c r="VGX65"/>
      <c r="VGY65"/>
      <c r="VGZ65"/>
      <c r="VHA65"/>
      <c r="VHB65"/>
      <c r="VHC65"/>
      <c r="VHD65"/>
      <c r="VHE65"/>
      <c r="VHF65"/>
      <c r="VHG65"/>
      <c r="VHH65"/>
      <c r="VHI65"/>
      <c r="VHJ65"/>
      <c r="VHK65"/>
      <c r="VHL65"/>
      <c r="VHM65"/>
      <c r="VHN65"/>
      <c r="VHO65"/>
      <c r="VHP65"/>
      <c r="VHQ65"/>
      <c r="VHR65"/>
      <c r="VHS65"/>
      <c r="VHT65"/>
      <c r="VHU65"/>
      <c r="VHV65"/>
      <c r="VHW65"/>
      <c r="VHX65"/>
      <c r="VHY65"/>
      <c r="VHZ65"/>
      <c r="VIA65"/>
      <c r="VIB65"/>
      <c r="VIC65"/>
      <c r="VID65"/>
      <c r="VIE65"/>
      <c r="VIF65"/>
      <c r="VIG65"/>
      <c r="VIH65"/>
      <c r="VII65"/>
      <c r="VIJ65"/>
      <c r="VIK65"/>
      <c r="VIL65"/>
      <c r="VIM65"/>
      <c r="VIN65"/>
      <c r="VIO65"/>
      <c r="VIP65"/>
      <c r="VIQ65"/>
      <c r="VIR65"/>
      <c r="VIS65"/>
      <c r="VIT65"/>
      <c r="VIU65"/>
      <c r="VIV65"/>
      <c r="VIW65"/>
      <c r="VIX65"/>
      <c r="VIY65"/>
      <c r="VIZ65"/>
      <c r="VJA65"/>
      <c r="VJB65"/>
      <c r="VJC65"/>
      <c r="VJD65"/>
      <c r="VJE65"/>
      <c r="VJF65"/>
      <c r="VJG65"/>
      <c r="VJH65"/>
      <c r="VJI65"/>
      <c r="VJJ65"/>
      <c r="VJK65"/>
      <c r="VJL65"/>
      <c r="VJM65"/>
      <c r="VJN65"/>
      <c r="VJO65"/>
      <c r="VJP65"/>
      <c r="VJQ65"/>
      <c r="VJR65"/>
      <c r="VJS65"/>
      <c r="VJT65"/>
      <c r="VJU65"/>
      <c r="VJV65"/>
      <c r="VJW65"/>
      <c r="VJX65"/>
      <c r="VJY65"/>
      <c r="VJZ65"/>
      <c r="VKA65"/>
      <c r="VKB65"/>
      <c r="VKC65"/>
      <c r="VKD65"/>
      <c r="VKE65"/>
      <c r="VKF65"/>
      <c r="VKG65"/>
      <c r="VKH65"/>
      <c r="VKI65"/>
      <c r="VKJ65"/>
      <c r="VKK65"/>
      <c r="VKL65"/>
      <c r="VKM65"/>
      <c r="VKN65"/>
      <c r="VKO65"/>
      <c r="VKP65"/>
      <c r="VKQ65"/>
      <c r="VKR65"/>
      <c r="VKS65"/>
      <c r="VKT65"/>
      <c r="VKU65"/>
      <c r="VKV65"/>
      <c r="VKW65"/>
      <c r="VKX65"/>
      <c r="VKY65"/>
      <c r="VKZ65"/>
      <c r="VLA65"/>
      <c r="VLB65"/>
      <c r="VLC65"/>
      <c r="VLD65"/>
      <c r="VLE65"/>
      <c r="VLF65"/>
      <c r="VLG65"/>
      <c r="VLH65"/>
      <c r="VLI65"/>
      <c r="VLJ65"/>
      <c r="VLK65"/>
      <c r="VLL65"/>
      <c r="VLM65"/>
      <c r="VLN65"/>
      <c r="VLO65"/>
      <c r="VLP65"/>
      <c r="VLQ65"/>
      <c r="VLR65"/>
      <c r="VLS65"/>
      <c r="VLT65"/>
      <c r="VLU65"/>
      <c r="VLV65"/>
      <c r="VLW65"/>
      <c r="VLX65"/>
      <c r="VLY65"/>
      <c r="VLZ65"/>
      <c r="VMA65"/>
      <c r="VMB65"/>
      <c r="VMC65"/>
      <c r="VMD65"/>
      <c r="VME65"/>
      <c r="VMF65"/>
      <c r="VMG65"/>
      <c r="VMH65"/>
      <c r="VMI65"/>
      <c r="VMJ65"/>
      <c r="VMK65"/>
      <c r="VML65"/>
      <c r="VMM65"/>
      <c r="VMN65"/>
      <c r="VMO65"/>
      <c r="VMP65"/>
      <c r="VMQ65"/>
      <c r="VMR65"/>
      <c r="VMS65"/>
      <c r="VMT65"/>
      <c r="VMU65"/>
      <c r="VMV65"/>
      <c r="VMW65"/>
      <c r="VMX65"/>
      <c r="VMY65"/>
      <c r="VMZ65"/>
      <c r="VNA65"/>
      <c r="VNB65"/>
      <c r="VNC65"/>
      <c r="VND65"/>
      <c r="VNE65"/>
      <c r="VNF65"/>
      <c r="VNG65"/>
      <c r="VNH65"/>
      <c r="VNI65"/>
      <c r="VNJ65"/>
      <c r="VNK65"/>
      <c r="VNL65"/>
      <c r="VNM65"/>
      <c r="VNN65"/>
      <c r="VNO65"/>
      <c r="VNP65"/>
      <c r="VNQ65"/>
      <c r="VNR65"/>
      <c r="VNS65"/>
      <c r="VNT65"/>
      <c r="VNU65"/>
      <c r="VNV65"/>
      <c r="VNW65"/>
      <c r="VNX65"/>
      <c r="VNY65"/>
      <c r="VNZ65"/>
      <c r="VOA65"/>
      <c r="VOB65"/>
      <c r="VOC65"/>
      <c r="VOD65"/>
      <c r="VOE65"/>
      <c r="VOF65"/>
      <c r="VOG65"/>
      <c r="VOH65"/>
      <c r="VOI65"/>
      <c r="VOJ65"/>
      <c r="VOK65"/>
      <c r="VOL65"/>
      <c r="VOM65"/>
      <c r="VON65"/>
      <c r="VOO65"/>
      <c r="VOP65"/>
      <c r="VOQ65"/>
      <c r="VOR65"/>
      <c r="VOS65"/>
      <c r="VOT65"/>
      <c r="VOU65"/>
      <c r="VOV65"/>
      <c r="VOW65"/>
      <c r="VOX65"/>
      <c r="VOY65"/>
      <c r="VOZ65"/>
      <c r="VPA65"/>
      <c r="VPB65"/>
      <c r="VPC65"/>
      <c r="VPD65"/>
      <c r="VPE65"/>
      <c r="VPF65"/>
      <c r="VPG65"/>
      <c r="VPH65"/>
      <c r="VPI65"/>
      <c r="VPJ65"/>
      <c r="VPK65"/>
      <c r="VPL65"/>
      <c r="VPM65"/>
      <c r="VPN65"/>
      <c r="VPO65"/>
      <c r="VPP65"/>
      <c r="VPQ65"/>
      <c r="VPR65"/>
      <c r="VPS65"/>
      <c r="VPT65"/>
      <c r="VPU65"/>
      <c r="VPV65"/>
      <c r="VPW65"/>
      <c r="VPX65"/>
      <c r="VPY65"/>
      <c r="VPZ65"/>
      <c r="VQA65"/>
      <c r="VQB65"/>
      <c r="VQC65"/>
      <c r="VQD65"/>
      <c r="VQE65"/>
      <c r="VQF65"/>
      <c r="VQG65"/>
      <c r="VQH65"/>
      <c r="VQI65"/>
      <c r="VQJ65"/>
      <c r="VQK65"/>
      <c r="VQL65"/>
      <c r="VQM65"/>
      <c r="VQN65"/>
      <c r="VQO65"/>
      <c r="VQP65"/>
      <c r="VQQ65"/>
      <c r="VQR65"/>
      <c r="VQS65"/>
      <c r="VQT65"/>
      <c r="VQU65"/>
      <c r="VQV65"/>
      <c r="VQW65"/>
      <c r="VQX65"/>
      <c r="VQY65"/>
      <c r="VQZ65"/>
      <c r="VRA65"/>
      <c r="VRB65"/>
      <c r="VRC65"/>
      <c r="VRD65"/>
      <c r="VRE65"/>
      <c r="VRF65"/>
      <c r="VRG65"/>
      <c r="VRH65"/>
      <c r="VRI65"/>
      <c r="VRJ65"/>
      <c r="VRK65"/>
      <c r="VRL65"/>
      <c r="VRM65"/>
      <c r="VRN65"/>
      <c r="VRO65"/>
      <c r="VRP65"/>
      <c r="VRQ65"/>
      <c r="VRR65"/>
      <c r="VRS65"/>
      <c r="VRT65"/>
      <c r="VRU65"/>
      <c r="VRV65"/>
      <c r="VRW65"/>
      <c r="VRX65"/>
      <c r="VRY65"/>
      <c r="VRZ65"/>
      <c r="VSA65"/>
      <c r="VSB65"/>
      <c r="VSC65"/>
      <c r="VSD65"/>
      <c r="VSE65"/>
      <c r="VSF65"/>
      <c r="VSG65"/>
      <c r="VSH65"/>
      <c r="VSI65"/>
      <c r="VSJ65"/>
      <c r="VSK65"/>
      <c r="VSL65"/>
      <c r="VSM65"/>
      <c r="VSN65"/>
      <c r="VSO65"/>
      <c r="VSP65"/>
      <c r="VSQ65"/>
      <c r="VSR65"/>
      <c r="VSS65"/>
      <c r="VST65"/>
      <c r="VSU65"/>
      <c r="VSV65"/>
      <c r="VSW65"/>
      <c r="VSX65"/>
      <c r="VSY65"/>
      <c r="VSZ65"/>
      <c r="VTA65"/>
      <c r="VTB65"/>
      <c r="VTC65"/>
      <c r="VTD65"/>
      <c r="VTE65"/>
      <c r="VTF65"/>
      <c r="VTG65"/>
      <c r="VTH65"/>
      <c r="VTI65"/>
      <c r="VTJ65"/>
      <c r="VTK65"/>
      <c r="VTL65"/>
      <c r="VTM65"/>
      <c r="VTN65"/>
      <c r="VTO65"/>
      <c r="VTP65"/>
      <c r="VTQ65"/>
      <c r="VTR65"/>
      <c r="VTS65"/>
      <c r="VTT65"/>
      <c r="VTU65"/>
      <c r="VTV65"/>
      <c r="VTW65"/>
      <c r="VTX65"/>
      <c r="VTY65"/>
      <c r="VTZ65"/>
      <c r="VUA65"/>
      <c r="VUB65"/>
      <c r="VUC65"/>
      <c r="VUD65"/>
      <c r="VUE65"/>
      <c r="VUF65"/>
      <c r="VUG65"/>
      <c r="VUH65"/>
      <c r="VUI65"/>
      <c r="VUJ65"/>
      <c r="VUK65"/>
      <c r="VUL65"/>
      <c r="VUM65"/>
      <c r="VUN65"/>
      <c r="VUO65"/>
      <c r="VUP65"/>
      <c r="VUQ65"/>
      <c r="VUR65"/>
      <c r="VUS65"/>
      <c r="VUT65"/>
      <c r="VUU65"/>
      <c r="VUV65"/>
      <c r="VUW65"/>
      <c r="VUX65"/>
      <c r="VUY65"/>
      <c r="VUZ65"/>
      <c r="VVA65"/>
      <c r="VVB65"/>
      <c r="VVC65"/>
      <c r="VVD65"/>
      <c r="VVE65"/>
      <c r="VVF65"/>
      <c r="VVG65"/>
      <c r="VVH65"/>
      <c r="VVI65"/>
      <c r="VVJ65"/>
      <c r="VVK65"/>
      <c r="VVL65"/>
      <c r="VVM65"/>
      <c r="VVN65"/>
      <c r="VVO65"/>
      <c r="VVP65"/>
      <c r="VVQ65"/>
      <c r="VVR65"/>
      <c r="VVS65"/>
      <c r="VVT65"/>
      <c r="VVU65"/>
      <c r="VVV65"/>
      <c r="VVW65"/>
      <c r="VVX65"/>
      <c r="VVY65"/>
      <c r="VVZ65"/>
      <c r="VWA65"/>
      <c r="VWB65"/>
      <c r="VWC65"/>
      <c r="VWD65"/>
      <c r="VWE65"/>
      <c r="VWF65"/>
      <c r="VWG65"/>
      <c r="VWH65"/>
      <c r="VWI65"/>
      <c r="VWJ65"/>
      <c r="VWK65"/>
      <c r="VWL65"/>
      <c r="VWM65"/>
      <c r="VWN65"/>
      <c r="VWO65"/>
      <c r="VWP65"/>
      <c r="VWQ65"/>
      <c r="VWR65"/>
      <c r="VWS65"/>
      <c r="VWT65"/>
      <c r="VWU65"/>
      <c r="VWV65"/>
      <c r="VWW65"/>
      <c r="VWX65"/>
      <c r="VWY65"/>
      <c r="VWZ65"/>
      <c r="VXA65"/>
      <c r="VXB65"/>
      <c r="VXC65"/>
      <c r="VXD65"/>
      <c r="VXE65"/>
      <c r="VXF65"/>
      <c r="VXG65"/>
      <c r="VXH65"/>
      <c r="VXI65"/>
      <c r="VXJ65"/>
      <c r="VXK65"/>
      <c r="VXL65"/>
      <c r="VXM65"/>
      <c r="VXN65"/>
      <c r="VXO65"/>
      <c r="VXP65"/>
      <c r="VXQ65"/>
      <c r="VXR65"/>
      <c r="VXS65"/>
      <c r="VXT65"/>
      <c r="VXU65"/>
      <c r="VXV65"/>
      <c r="VXW65"/>
      <c r="VXX65"/>
      <c r="VXY65"/>
      <c r="VXZ65"/>
      <c r="VYA65"/>
      <c r="VYB65"/>
      <c r="VYC65"/>
      <c r="VYD65"/>
      <c r="VYE65"/>
      <c r="VYF65"/>
      <c r="VYG65"/>
      <c r="VYH65"/>
      <c r="VYI65"/>
      <c r="VYJ65"/>
      <c r="VYK65"/>
      <c r="VYL65"/>
      <c r="VYM65"/>
      <c r="VYN65"/>
      <c r="VYO65"/>
      <c r="VYP65"/>
      <c r="VYQ65"/>
      <c r="VYR65"/>
      <c r="VYS65"/>
      <c r="VYT65"/>
      <c r="VYU65"/>
      <c r="VYV65"/>
      <c r="VYW65"/>
      <c r="VYX65"/>
      <c r="VYY65"/>
      <c r="VYZ65"/>
      <c r="VZA65"/>
      <c r="VZB65"/>
      <c r="VZC65"/>
      <c r="VZD65"/>
      <c r="VZE65"/>
      <c r="VZF65"/>
      <c r="VZG65"/>
      <c r="VZH65"/>
      <c r="VZI65"/>
      <c r="VZJ65"/>
      <c r="VZK65"/>
      <c r="VZL65"/>
      <c r="VZM65"/>
      <c r="VZN65"/>
      <c r="VZO65"/>
      <c r="VZP65"/>
      <c r="VZQ65"/>
      <c r="VZR65"/>
      <c r="VZS65"/>
      <c r="VZT65"/>
      <c r="VZU65"/>
      <c r="VZV65"/>
      <c r="VZW65"/>
      <c r="VZX65"/>
      <c r="VZY65"/>
      <c r="VZZ65"/>
      <c r="WAA65"/>
      <c r="WAB65"/>
      <c r="WAC65"/>
      <c r="WAD65"/>
      <c r="WAE65"/>
      <c r="WAF65"/>
      <c r="WAG65"/>
      <c r="WAH65"/>
      <c r="WAI65"/>
      <c r="WAJ65"/>
      <c r="WAK65"/>
      <c r="WAL65"/>
      <c r="WAM65"/>
      <c r="WAN65"/>
      <c r="WAO65"/>
      <c r="WAP65"/>
      <c r="WAQ65"/>
      <c r="WAR65"/>
      <c r="WAS65"/>
      <c r="WAT65"/>
      <c r="WAU65"/>
      <c r="WAV65"/>
      <c r="WAW65"/>
      <c r="WAX65"/>
      <c r="WAY65"/>
      <c r="WAZ65"/>
      <c r="WBA65"/>
      <c r="WBB65"/>
      <c r="WBC65"/>
      <c r="WBD65"/>
      <c r="WBE65"/>
      <c r="WBF65"/>
      <c r="WBG65"/>
      <c r="WBH65"/>
      <c r="WBI65"/>
      <c r="WBJ65"/>
      <c r="WBK65"/>
      <c r="WBL65"/>
      <c r="WBM65"/>
      <c r="WBN65"/>
      <c r="WBO65"/>
      <c r="WBP65"/>
      <c r="WBQ65"/>
      <c r="WBR65"/>
      <c r="WBS65"/>
      <c r="WBT65"/>
      <c r="WBU65"/>
      <c r="WBV65"/>
      <c r="WBW65"/>
      <c r="WBX65"/>
      <c r="WBY65"/>
      <c r="WBZ65"/>
      <c r="WCA65"/>
      <c r="WCB65"/>
      <c r="WCC65"/>
      <c r="WCD65"/>
      <c r="WCE65"/>
      <c r="WCF65"/>
      <c r="WCG65"/>
      <c r="WCH65"/>
      <c r="WCI65"/>
      <c r="WCJ65"/>
      <c r="WCK65"/>
      <c r="WCL65"/>
      <c r="WCM65"/>
      <c r="WCN65"/>
      <c r="WCO65"/>
      <c r="WCP65"/>
      <c r="WCQ65"/>
      <c r="WCR65"/>
      <c r="WCS65"/>
      <c r="WCT65"/>
      <c r="WCU65"/>
      <c r="WCV65"/>
      <c r="WCW65"/>
      <c r="WCX65"/>
      <c r="WCY65"/>
      <c r="WCZ65"/>
      <c r="WDA65"/>
      <c r="WDB65"/>
      <c r="WDC65"/>
      <c r="WDD65"/>
      <c r="WDE65"/>
      <c r="WDF65"/>
      <c r="WDG65"/>
      <c r="WDH65"/>
      <c r="WDI65"/>
      <c r="WDJ65"/>
      <c r="WDK65"/>
      <c r="WDL65"/>
      <c r="WDM65"/>
      <c r="WDN65"/>
      <c r="WDO65"/>
      <c r="WDP65"/>
      <c r="WDQ65"/>
      <c r="WDR65"/>
      <c r="WDS65"/>
      <c r="WDT65"/>
      <c r="WDU65"/>
      <c r="WDV65"/>
      <c r="WDW65"/>
      <c r="WDX65"/>
      <c r="WDY65"/>
      <c r="WDZ65"/>
      <c r="WEA65"/>
      <c r="WEB65"/>
      <c r="WEC65"/>
      <c r="WED65"/>
      <c r="WEE65"/>
      <c r="WEF65"/>
      <c r="WEG65"/>
      <c r="WEH65"/>
      <c r="WEI65"/>
      <c r="WEJ65"/>
      <c r="WEK65"/>
      <c r="WEL65"/>
      <c r="WEM65"/>
      <c r="WEN65"/>
      <c r="WEO65"/>
      <c r="WEP65"/>
      <c r="WEQ65"/>
      <c r="WER65"/>
      <c r="WES65"/>
      <c r="WET65"/>
      <c r="WEU65"/>
      <c r="WEV65"/>
      <c r="WEW65"/>
      <c r="WEX65"/>
      <c r="WEY65"/>
      <c r="WEZ65"/>
      <c r="WFA65"/>
      <c r="WFB65"/>
      <c r="WFC65"/>
      <c r="WFD65"/>
      <c r="WFE65"/>
      <c r="WFF65"/>
      <c r="WFG65"/>
      <c r="WFH65"/>
      <c r="WFI65"/>
      <c r="WFJ65"/>
      <c r="WFK65"/>
      <c r="WFL65"/>
      <c r="WFM65"/>
      <c r="WFN65"/>
      <c r="WFO65"/>
      <c r="WFP65"/>
      <c r="WFQ65"/>
      <c r="WFR65"/>
      <c r="WFS65"/>
      <c r="WFT65"/>
      <c r="WFU65"/>
      <c r="WFV65"/>
      <c r="WFW65"/>
      <c r="WFX65"/>
      <c r="WFY65"/>
      <c r="WFZ65"/>
      <c r="WGA65"/>
      <c r="WGB65"/>
      <c r="WGC65"/>
      <c r="WGD65"/>
      <c r="WGE65"/>
      <c r="WGF65"/>
      <c r="WGG65"/>
      <c r="WGH65"/>
      <c r="WGI65"/>
      <c r="WGJ65"/>
      <c r="WGK65"/>
      <c r="WGL65"/>
      <c r="WGM65"/>
      <c r="WGN65"/>
      <c r="WGO65"/>
      <c r="WGP65"/>
      <c r="WGQ65"/>
      <c r="WGR65"/>
      <c r="WGS65"/>
      <c r="WGT65"/>
      <c r="WGU65"/>
      <c r="WGV65"/>
      <c r="WGW65"/>
      <c r="WGX65"/>
      <c r="WGY65"/>
      <c r="WGZ65"/>
      <c r="WHA65"/>
      <c r="WHB65"/>
      <c r="WHC65"/>
      <c r="WHD65"/>
      <c r="WHE65"/>
      <c r="WHF65"/>
      <c r="WHG65"/>
      <c r="WHH65"/>
      <c r="WHI65"/>
      <c r="WHJ65"/>
      <c r="WHK65"/>
      <c r="WHL65"/>
      <c r="WHM65"/>
      <c r="WHN65"/>
      <c r="WHO65"/>
      <c r="WHP65"/>
      <c r="WHQ65"/>
      <c r="WHR65"/>
      <c r="WHS65"/>
      <c r="WHT65"/>
      <c r="WHU65"/>
      <c r="WHV65"/>
      <c r="WHW65"/>
      <c r="WHX65"/>
      <c r="WHY65"/>
      <c r="WHZ65"/>
      <c r="WIA65"/>
      <c r="WIB65"/>
      <c r="WIC65"/>
      <c r="WID65"/>
      <c r="WIE65"/>
      <c r="WIF65"/>
      <c r="WIG65"/>
      <c r="WIH65"/>
      <c r="WII65"/>
      <c r="WIJ65"/>
      <c r="WIK65"/>
      <c r="WIL65"/>
      <c r="WIM65"/>
      <c r="WIN65"/>
      <c r="WIO65"/>
      <c r="WIP65"/>
      <c r="WIQ65"/>
      <c r="WIR65"/>
      <c r="WIS65"/>
      <c r="WIT65"/>
      <c r="WIU65"/>
      <c r="WIV65"/>
      <c r="WIW65"/>
      <c r="WIX65"/>
      <c r="WIY65"/>
      <c r="WIZ65"/>
      <c r="WJA65"/>
      <c r="WJB65"/>
      <c r="WJC65"/>
      <c r="WJD65"/>
      <c r="WJE65"/>
      <c r="WJF65"/>
      <c r="WJG65"/>
      <c r="WJH65"/>
      <c r="WJI65"/>
      <c r="WJJ65"/>
      <c r="WJK65"/>
      <c r="WJL65"/>
      <c r="WJM65"/>
      <c r="WJN65"/>
      <c r="WJO65"/>
      <c r="WJP65"/>
      <c r="WJQ65"/>
      <c r="WJR65"/>
      <c r="WJS65"/>
      <c r="WJT65"/>
      <c r="WJU65"/>
      <c r="WJV65"/>
      <c r="WJW65"/>
      <c r="WJX65"/>
      <c r="WJY65"/>
      <c r="WJZ65"/>
      <c r="WKA65"/>
      <c r="WKB65"/>
      <c r="WKC65"/>
      <c r="WKD65"/>
      <c r="WKE65"/>
      <c r="WKF65"/>
      <c r="WKG65"/>
      <c r="WKH65"/>
      <c r="WKI65"/>
      <c r="WKJ65"/>
      <c r="WKK65"/>
      <c r="WKL65"/>
      <c r="WKM65"/>
      <c r="WKN65"/>
      <c r="WKO65"/>
      <c r="WKP65"/>
      <c r="WKQ65"/>
      <c r="WKR65"/>
      <c r="WKS65"/>
      <c r="WKT65"/>
      <c r="WKU65"/>
      <c r="WKV65"/>
      <c r="WKW65"/>
      <c r="WKX65"/>
      <c r="WKY65"/>
      <c r="WKZ65"/>
      <c r="WLA65"/>
      <c r="WLB65"/>
      <c r="WLC65"/>
      <c r="WLD65"/>
      <c r="WLE65"/>
      <c r="WLF65"/>
      <c r="WLG65"/>
      <c r="WLH65"/>
      <c r="WLI65"/>
      <c r="WLJ65"/>
      <c r="WLK65"/>
      <c r="WLL65"/>
      <c r="WLM65"/>
      <c r="WLN65"/>
      <c r="WLO65"/>
      <c r="WLP65"/>
      <c r="WLQ65"/>
      <c r="WLR65"/>
      <c r="WLS65"/>
      <c r="WLT65"/>
      <c r="WLU65"/>
      <c r="WLV65"/>
      <c r="WLW65"/>
      <c r="WLX65"/>
      <c r="WLY65"/>
      <c r="WLZ65"/>
      <c r="WMA65"/>
      <c r="WMB65"/>
      <c r="WMC65"/>
      <c r="WMD65"/>
      <c r="WME65"/>
      <c r="WMF65"/>
      <c r="WMG65"/>
      <c r="WMH65"/>
      <c r="WMI65"/>
      <c r="WMJ65"/>
      <c r="WMK65"/>
      <c r="WML65"/>
      <c r="WMM65"/>
      <c r="WMN65"/>
      <c r="WMO65"/>
      <c r="WMP65"/>
      <c r="WMQ65"/>
      <c r="WMR65"/>
      <c r="WMS65"/>
      <c r="WMT65"/>
      <c r="WMU65"/>
      <c r="WMV65"/>
      <c r="WMW65"/>
      <c r="WMX65"/>
      <c r="WMY65"/>
      <c r="WMZ65"/>
      <c r="WNA65"/>
      <c r="WNB65"/>
      <c r="WNC65"/>
      <c r="WND65"/>
      <c r="WNE65"/>
      <c r="WNF65"/>
      <c r="WNG65"/>
      <c r="WNH65"/>
      <c r="WNI65"/>
      <c r="WNJ65"/>
      <c r="WNK65"/>
      <c r="WNL65"/>
      <c r="WNM65"/>
      <c r="WNN65"/>
      <c r="WNO65"/>
      <c r="WNP65"/>
      <c r="WNQ65"/>
      <c r="WNR65"/>
      <c r="WNS65"/>
      <c r="WNT65"/>
      <c r="WNU65"/>
      <c r="WNV65"/>
      <c r="WNW65"/>
      <c r="WNX65"/>
      <c r="WNY65"/>
      <c r="WNZ65"/>
      <c r="WOA65"/>
      <c r="WOB65"/>
      <c r="WOC65"/>
      <c r="WOD65"/>
      <c r="WOE65"/>
      <c r="WOF65"/>
      <c r="WOG65"/>
      <c r="WOH65"/>
      <c r="WOI65"/>
      <c r="WOJ65"/>
      <c r="WOK65"/>
      <c r="WOL65"/>
      <c r="WOM65"/>
      <c r="WON65"/>
      <c r="WOO65"/>
      <c r="WOP65"/>
      <c r="WOQ65"/>
      <c r="WOR65"/>
      <c r="WOS65"/>
      <c r="WOT65"/>
      <c r="WOU65"/>
      <c r="WOV65"/>
      <c r="WOW65"/>
      <c r="WOX65"/>
      <c r="WOY65"/>
      <c r="WOZ65"/>
      <c r="WPA65"/>
      <c r="WPB65"/>
      <c r="WPC65"/>
      <c r="WPD65"/>
      <c r="WPE65"/>
      <c r="WPF65"/>
      <c r="WPG65"/>
      <c r="WPH65"/>
      <c r="WPI65"/>
      <c r="WPJ65"/>
      <c r="WPK65"/>
      <c r="WPL65"/>
      <c r="WPM65"/>
      <c r="WPN65"/>
      <c r="WPO65"/>
      <c r="WPP65"/>
      <c r="WPQ65"/>
      <c r="WPR65"/>
      <c r="WPS65"/>
      <c r="WPT65"/>
      <c r="WPU65"/>
      <c r="WPV65"/>
      <c r="WPW65"/>
      <c r="WPX65"/>
      <c r="WPY65"/>
      <c r="WPZ65"/>
      <c r="WQA65"/>
      <c r="WQB65"/>
      <c r="WQC65"/>
      <c r="WQD65"/>
      <c r="WQE65"/>
      <c r="WQF65"/>
      <c r="WQG65"/>
      <c r="WQH65"/>
      <c r="WQI65"/>
      <c r="WQJ65"/>
      <c r="WQK65"/>
      <c r="WQL65"/>
      <c r="WQM65"/>
      <c r="WQN65"/>
      <c r="WQO65"/>
      <c r="WQP65"/>
      <c r="WQQ65"/>
      <c r="WQR65"/>
      <c r="WQS65"/>
      <c r="WQT65"/>
      <c r="WQU65"/>
      <c r="WQV65"/>
      <c r="WQW65"/>
      <c r="WQX65"/>
      <c r="WQY65"/>
      <c r="WQZ65"/>
      <c r="WRA65"/>
      <c r="WRB65"/>
      <c r="WRC65"/>
      <c r="WRD65"/>
      <c r="WRE65"/>
      <c r="WRF65"/>
      <c r="WRG65"/>
      <c r="WRH65"/>
      <c r="WRI65"/>
      <c r="WRJ65"/>
      <c r="WRK65"/>
      <c r="WRL65"/>
      <c r="WRM65"/>
      <c r="WRN65"/>
      <c r="WRO65"/>
      <c r="WRP65"/>
      <c r="WRQ65"/>
      <c r="WRR65"/>
      <c r="WRS65"/>
      <c r="WRT65"/>
      <c r="WRU65"/>
      <c r="WRV65"/>
      <c r="WRW65"/>
      <c r="WRX65"/>
      <c r="WRY65"/>
      <c r="WRZ65"/>
      <c r="WSA65"/>
      <c r="WSB65"/>
      <c r="WSC65"/>
      <c r="WSD65"/>
      <c r="WSE65"/>
      <c r="WSF65"/>
      <c r="WSG65"/>
      <c r="WSH65"/>
      <c r="WSI65"/>
      <c r="WSJ65"/>
      <c r="WSK65"/>
      <c r="WSL65"/>
      <c r="WSM65"/>
      <c r="WSN65"/>
      <c r="WSO65"/>
      <c r="WSP65"/>
      <c r="WSQ65"/>
      <c r="WSR65"/>
      <c r="WSS65"/>
      <c r="WST65"/>
      <c r="WSU65"/>
      <c r="WSV65"/>
      <c r="WSW65"/>
      <c r="WSX65"/>
      <c r="WSY65"/>
      <c r="WSZ65"/>
      <c r="WTA65"/>
      <c r="WTB65"/>
      <c r="WTC65"/>
      <c r="WTD65"/>
      <c r="WTE65"/>
      <c r="WTF65"/>
      <c r="WTG65"/>
      <c r="WTH65"/>
      <c r="WTI65"/>
      <c r="WTJ65"/>
      <c r="WTK65"/>
      <c r="WTL65"/>
      <c r="WTM65"/>
      <c r="WTN65"/>
      <c r="WTO65"/>
      <c r="WTP65"/>
      <c r="WTQ65"/>
      <c r="WTR65"/>
      <c r="WTS65"/>
      <c r="WTT65"/>
      <c r="WTU65"/>
      <c r="WTV65"/>
      <c r="WTW65"/>
      <c r="WTX65"/>
      <c r="WTY65"/>
      <c r="WTZ65"/>
      <c r="WUA65"/>
      <c r="WUB65"/>
      <c r="WUC65"/>
      <c r="WUD65"/>
      <c r="WUE65"/>
      <c r="WUF65"/>
      <c r="WUG65"/>
      <c r="WUH65"/>
      <c r="WUI65"/>
      <c r="WUJ65"/>
      <c r="WUK65"/>
      <c r="WUL65"/>
      <c r="WUM65"/>
      <c r="WUN65"/>
      <c r="WUO65"/>
      <c r="WUP65"/>
      <c r="WUQ65"/>
      <c r="WUR65"/>
      <c r="WUS65"/>
      <c r="WUT65"/>
      <c r="WUU65"/>
      <c r="WUV65"/>
      <c r="WUW65"/>
      <c r="WUX65"/>
      <c r="WUY65"/>
      <c r="WUZ65"/>
      <c r="WVA65"/>
      <c r="WVB65"/>
      <c r="WVC65"/>
      <c r="WVD65"/>
      <c r="WVE65"/>
      <c r="WVF65"/>
      <c r="WVG65"/>
      <c r="WVH65"/>
      <c r="WVI65"/>
      <c r="WVJ65"/>
      <c r="WVK65"/>
      <c r="WVL65"/>
      <c r="WVM65"/>
      <c r="WVN65"/>
      <c r="WVO65"/>
      <c r="WVP65"/>
      <c r="WVQ65"/>
      <c r="WVR65"/>
      <c r="WVS65"/>
      <c r="WVT65"/>
      <c r="WVU65"/>
      <c r="WVV65"/>
      <c r="WVW65"/>
      <c r="WVX65"/>
      <c r="WVY65"/>
      <c r="WVZ65"/>
      <c r="WWA65"/>
      <c r="WWB65"/>
      <c r="WWC65"/>
      <c r="WWD65"/>
      <c r="WWE65"/>
      <c r="WWF65"/>
      <c r="WWG65"/>
      <c r="WWH65"/>
      <c r="WWI65"/>
      <c r="WWJ65"/>
      <c r="WWK65"/>
      <c r="WWL65"/>
      <c r="WWM65"/>
      <c r="WWN65"/>
      <c r="WWO65"/>
      <c r="WWP65"/>
      <c r="WWQ65"/>
      <c r="WWR65"/>
      <c r="WWS65"/>
      <c r="WWT65"/>
      <c r="WWU65"/>
      <c r="WWV65"/>
      <c r="WWW65"/>
      <c r="WWX65"/>
      <c r="WWY65"/>
      <c r="WWZ65"/>
      <c r="WXA65"/>
      <c r="WXB65"/>
      <c r="WXC65"/>
      <c r="WXD65"/>
      <c r="WXE65"/>
      <c r="WXF65"/>
      <c r="WXG65"/>
      <c r="WXH65"/>
      <c r="WXI65"/>
      <c r="WXJ65"/>
      <c r="WXK65"/>
      <c r="WXL65"/>
      <c r="WXM65"/>
      <c r="WXN65"/>
      <c r="WXO65"/>
      <c r="WXP65"/>
      <c r="WXQ65"/>
      <c r="WXR65"/>
      <c r="WXS65"/>
      <c r="WXT65"/>
      <c r="WXU65"/>
      <c r="WXV65"/>
      <c r="WXW65"/>
      <c r="WXX65"/>
      <c r="WXY65"/>
      <c r="WXZ65"/>
      <c r="WYA65"/>
      <c r="WYB65"/>
      <c r="WYC65"/>
      <c r="WYD65"/>
      <c r="WYE65"/>
      <c r="WYF65"/>
      <c r="WYG65"/>
      <c r="WYH65"/>
      <c r="WYI65"/>
      <c r="WYJ65"/>
      <c r="WYK65"/>
      <c r="WYL65"/>
      <c r="WYM65"/>
      <c r="WYN65"/>
      <c r="WYO65"/>
      <c r="WYP65"/>
      <c r="WYQ65"/>
      <c r="WYR65"/>
      <c r="WYS65"/>
      <c r="WYT65"/>
      <c r="WYU65"/>
      <c r="WYV65"/>
      <c r="WYW65"/>
      <c r="WYX65"/>
      <c r="WYY65"/>
      <c r="WYZ65"/>
      <c r="WZA65"/>
      <c r="WZB65"/>
      <c r="WZC65"/>
      <c r="WZD65"/>
      <c r="WZE65"/>
      <c r="WZF65"/>
      <c r="WZG65"/>
      <c r="WZH65"/>
      <c r="WZI65"/>
      <c r="WZJ65"/>
      <c r="WZK65"/>
      <c r="WZL65"/>
      <c r="WZM65"/>
      <c r="WZN65"/>
      <c r="WZO65"/>
      <c r="WZP65"/>
      <c r="WZQ65"/>
      <c r="WZR65"/>
      <c r="WZS65"/>
      <c r="WZT65"/>
      <c r="WZU65"/>
      <c r="WZV65"/>
      <c r="WZW65"/>
      <c r="WZX65"/>
      <c r="WZY65"/>
      <c r="WZZ65"/>
      <c r="XAA65"/>
      <c r="XAB65"/>
      <c r="XAC65"/>
      <c r="XAD65"/>
      <c r="XAE65"/>
      <c r="XAF65"/>
      <c r="XAG65"/>
      <c r="XAH65"/>
      <c r="XAI65"/>
      <c r="XAJ65"/>
      <c r="XAK65"/>
      <c r="XAL65"/>
      <c r="XAM65"/>
      <c r="XAN65"/>
      <c r="XAO65"/>
      <c r="XAP65"/>
      <c r="XAQ65"/>
      <c r="XAR65"/>
      <c r="XAS65"/>
      <c r="XAT65"/>
      <c r="XAU65"/>
      <c r="XAV65"/>
      <c r="XAW65"/>
      <c r="XAX65"/>
      <c r="XAY65"/>
      <c r="XAZ65"/>
      <c r="XBA65"/>
      <c r="XBB65"/>
      <c r="XBC65"/>
      <c r="XBD65"/>
      <c r="XBE65"/>
      <c r="XBF65"/>
      <c r="XBG65"/>
      <c r="XBH65"/>
      <c r="XBI65"/>
      <c r="XBJ65"/>
      <c r="XBK65"/>
      <c r="XBL65"/>
      <c r="XBM65"/>
      <c r="XBN65"/>
      <c r="XBO65"/>
      <c r="XBP65"/>
      <c r="XBQ65"/>
      <c r="XBR65"/>
      <c r="XBS65"/>
      <c r="XBT65"/>
      <c r="XBU65"/>
      <c r="XBV65"/>
      <c r="XBW65"/>
      <c r="XBX65"/>
      <c r="XBY65"/>
      <c r="XBZ65"/>
      <c r="XCA65"/>
      <c r="XCB65"/>
      <c r="XCC65"/>
      <c r="XCD65"/>
      <c r="XCE65"/>
      <c r="XCF65"/>
      <c r="XCG65"/>
      <c r="XCH65"/>
      <c r="XCI65"/>
      <c r="XCJ65"/>
      <c r="XCK65"/>
      <c r="XCL65"/>
      <c r="XCM65"/>
      <c r="XCN65"/>
      <c r="XCO65"/>
      <c r="XCP65"/>
      <c r="XCQ65"/>
      <c r="XCR65"/>
      <c r="XCS65"/>
      <c r="XCT65"/>
      <c r="XCU65"/>
      <c r="XCV65"/>
      <c r="XCW65"/>
      <c r="XCX65"/>
      <c r="XCY65"/>
      <c r="XCZ65"/>
      <c r="XDA65"/>
      <c r="XDB65"/>
      <c r="XDC65"/>
      <c r="XDD65"/>
      <c r="XDE65"/>
      <c r="XDF65"/>
      <c r="XDG65"/>
      <c r="XDH65"/>
      <c r="XDI65"/>
      <c r="XDJ65"/>
      <c r="XDK65"/>
      <c r="XDL65"/>
      <c r="XDM65"/>
      <c r="XDN65"/>
      <c r="XDO65"/>
      <c r="XDP65"/>
      <c r="XDQ65"/>
      <c r="XDR65"/>
      <c r="XDS65"/>
      <c r="XDT65"/>
      <c r="XDU65"/>
      <c r="XDV65"/>
      <c r="XDW65"/>
      <c r="XDX65"/>
      <c r="XDY65"/>
      <c r="XDZ65"/>
      <c r="XEA65"/>
      <c r="XEB65"/>
      <c r="XEC65"/>
      <c r="XED65"/>
      <c r="XEE65"/>
      <c r="XEF65"/>
      <c r="XEG65"/>
      <c r="XEH65"/>
      <c r="XEI65"/>
      <c r="XEJ65"/>
      <c r="XEK65"/>
      <c r="XEL65"/>
      <c r="XEM65"/>
      <c r="XEN65"/>
      <c r="XEO65"/>
      <c r="XEP65"/>
      <c r="XEQ65"/>
      <c r="XER65"/>
      <c r="XES65"/>
      <c r="XET65"/>
      <c r="XEU65"/>
      <c r="XEV65"/>
      <c r="XEW65"/>
      <c r="XEX65"/>
      <c r="XEY65"/>
      <c r="XEZ65"/>
      <c r="XFA65"/>
      <c r="XFB65"/>
      <c r="XFC65"/>
      <c r="XFD65"/>
    </row>
    <row r="66" spans="1:16384" s="1" customFormat="1" x14ac:dyDescent="0.25">
      <c r="A66" s="130">
        <f>IF(FollowingUnits="kg/head",FollowingYIeld*FollowingPopulation,FollowingYIeld)</f>
        <v>5</v>
      </c>
      <c r="B66" s="142" t="s">
        <v>394</v>
      </c>
      <c r="C66" s="150"/>
      <c r="D66" s="156">
        <f>IF(C66="",VLOOKUP(FollowingCropFullName,CropCoefficients,A67,FALSE),C66)</f>
        <v>5</v>
      </c>
      <c r="E66" s="142" t="s">
        <v>84</v>
      </c>
      <c r="F66" s="149"/>
      <c r="G66" s="148" t="str">
        <f>IF(F66="",VLOOKUP(FollowingCropFullName,CropCoefficients,A68,FALSE),F66)</f>
        <v>t/ha</v>
      </c>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c r="AMN66"/>
      <c r="AMO66"/>
      <c r="AMP66"/>
      <c r="AMQ66"/>
      <c r="AMR66"/>
      <c r="AMS66"/>
      <c r="AMT66"/>
      <c r="AMU66"/>
      <c r="AMV66"/>
      <c r="AMW66"/>
      <c r="AMX66"/>
      <c r="AMY66"/>
      <c r="AMZ66"/>
      <c r="ANA66"/>
      <c r="ANB66"/>
      <c r="ANC66"/>
      <c r="AND66"/>
      <c r="ANE66"/>
      <c r="ANF66"/>
      <c r="ANG66"/>
      <c r="ANH66"/>
      <c r="ANI66"/>
      <c r="ANJ66"/>
      <c r="ANK66"/>
      <c r="ANL66"/>
      <c r="ANM66"/>
      <c r="ANN66"/>
      <c r="ANO66"/>
      <c r="ANP66"/>
      <c r="ANQ66"/>
      <c r="ANR66"/>
      <c r="ANS66"/>
      <c r="ANT66"/>
      <c r="ANU66"/>
      <c r="ANV66"/>
      <c r="ANW66"/>
      <c r="ANX66"/>
      <c r="ANY66"/>
      <c r="ANZ66"/>
      <c r="AOA66"/>
      <c r="AOB66"/>
      <c r="AOC66"/>
      <c r="AOD66"/>
      <c r="AOE66"/>
      <c r="AOF66"/>
      <c r="AOG66"/>
      <c r="AOH66"/>
      <c r="AOI66"/>
      <c r="AOJ66"/>
      <c r="AOK66"/>
      <c r="AOL66"/>
      <c r="AOM66"/>
      <c r="AON66"/>
      <c r="AOO66"/>
      <c r="AOP66"/>
      <c r="AOQ66"/>
      <c r="AOR66"/>
      <c r="AOS66"/>
      <c r="AOT66"/>
      <c r="AOU66"/>
      <c r="AOV66"/>
      <c r="AOW66"/>
      <c r="AOX66"/>
      <c r="AOY66"/>
      <c r="AOZ66"/>
      <c r="APA66"/>
      <c r="APB66"/>
      <c r="APC66"/>
      <c r="APD66"/>
      <c r="APE66"/>
      <c r="APF66"/>
      <c r="APG66"/>
      <c r="APH66"/>
      <c r="API66"/>
      <c r="APJ66"/>
      <c r="APK66"/>
      <c r="APL66"/>
      <c r="APM66"/>
      <c r="APN66"/>
      <c r="APO66"/>
      <c r="APP66"/>
      <c r="APQ66"/>
      <c r="APR66"/>
      <c r="APS66"/>
      <c r="APT66"/>
      <c r="APU66"/>
      <c r="APV66"/>
      <c r="APW66"/>
      <c r="APX66"/>
      <c r="APY66"/>
      <c r="APZ66"/>
      <c r="AQA66"/>
      <c r="AQB66"/>
      <c r="AQC66"/>
      <c r="AQD66"/>
      <c r="AQE66"/>
      <c r="AQF66"/>
      <c r="AQG66"/>
      <c r="AQH66"/>
      <c r="AQI66"/>
      <c r="AQJ66"/>
      <c r="AQK66"/>
      <c r="AQL66"/>
      <c r="AQM66"/>
      <c r="AQN66"/>
      <c r="AQO66"/>
      <c r="AQP66"/>
      <c r="AQQ66"/>
      <c r="AQR66"/>
      <c r="AQS66"/>
      <c r="AQT66"/>
      <c r="AQU66"/>
      <c r="AQV66"/>
      <c r="AQW66"/>
      <c r="AQX66"/>
      <c r="AQY66"/>
      <c r="AQZ66"/>
      <c r="ARA66"/>
      <c r="ARB66"/>
      <c r="ARC66"/>
      <c r="ARD66"/>
      <c r="ARE66"/>
      <c r="ARF66"/>
      <c r="ARG66"/>
      <c r="ARH66"/>
      <c r="ARI66"/>
      <c r="ARJ66"/>
      <c r="ARK66"/>
      <c r="ARL66"/>
      <c r="ARM66"/>
      <c r="ARN66"/>
      <c r="ARO66"/>
      <c r="ARP66"/>
      <c r="ARQ66"/>
      <c r="ARR66"/>
      <c r="ARS66"/>
      <c r="ART66"/>
      <c r="ARU66"/>
      <c r="ARV66"/>
      <c r="ARW66"/>
      <c r="ARX66"/>
      <c r="ARY66"/>
      <c r="ARZ66"/>
      <c r="ASA66"/>
      <c r="ASB66"/>
      <c r="ASC66"/>
      <c r="ASD66"/>
      <c r="ASE66"/>
      <c r="ASF66"/>
      <c r="ASG66"/>
      <c r="ASH66"/>
      <c r="ASI66"/>
      <c r="ASJ66"/>
      <c r="ASK66"/>
      <c r="ASL66"/>
      <c r="ASM66"/>
      <c r="ASN66"/>
      <c r="ASO66"/>
      <c r="ASP66"/>
      <c r="ASQ66"/>
      <c r="ASR66"/>
      <c r="ASS66"/>
      <c r="AST66"/>
      <c r="ASU66"/>
      <c r="ASV66"/>
      <c r="ASW66"/>
      <c r="ASX66"/>
      <c r="ASY66"/>
      <c r="ASZ66"/>
      <c r="ATA66"/>
      <c r="ATB66"/>
      <c r="ATC66"/>
      <c r="ATD66"/>
      <c r="ATE66"/>
      <c r="ATF66"/>
      <c r="ATG66"/>
      <c r="ATH66"/>
      <c r="ATI66"/>
      <c r="ATJ66"/>
      <c r="ATK66"/>
      <c r="ATL66"/>
      <c r="ATM66"/>
      <c r="ATN66"/>
      <c r="ATO66"/>
      <c r="ATP66"/>
      <c r="ATQ66"/>
      <c r="ATR66"/>
      <c r="ATS66"/>
      <c r="ATT66"/>
      <c r="ATU66"/>
      <c r="ATV66"/>
      <c r="ATW66"/>
      <c r="ATX66"/>
      <c r="ATY66"/>
      <c r="ATZ66"/>
      <c r="AUA66"/>
      <c r="AUB66"/>
      <c r="AUC66"/>
      <c r="AUD66"/>
      <c r="AUE66"/>
      <c r="AUF66"/>
      <c r="AUG66"/>
      <c r="AUH66"/>
      <c r="AUI66"/>
      <c r="AUJ66"/>
      <c r="AUK66"/>
      <c r="AUL66"/>
      <c r="AUM66"/>
      <c r="AUN66"/>
      <c r="AUO66"/>
      <c r="AUP66"/>
      <c r="AUQ66"/>
      <c r="AUR66"/>
      <c r="AUS66"/>
      <c r="AUT66"/>
      <c r="AUU66"/>
      <c r="AUV66"/>
      <c r="AUW66"/>
      <c r="AUX66"/>
      <c r="AUY66"/>
      <c r="AUZ66"/>
      <c r="AVA66"/>
      <c r="AVB66"/>
      <c r="AVC66"/>
      <c r="AVD66"/>
      <c r="AVE66"/>
      <c r="AVF66"/>
      <c r="AVG66"/>
      <c r="AVH66"/>
      <c r="AVI66"/>
      <c r="AVJ66"/>
      <c r="AVK66"/>
      <c r="AVL66"/>
      <c r="AVM66"/>
      <c r="AVN66"/>
      <c r="AVO66"/>
      <c r="AVP66"/>
      <c r="AVQ66"/>
      <c r="AVR66"/>
      <c r="AVS66"/>
      <c r="AVT66"/>
      <c r="AVU66"/>
      <c r="AVV66"/>
      <c r="AVW66"/>
      <c r="AVX66"/>
      <c r="AVY66"/>
      <c r="AVZ66"/>
      <c r="AWA66"/>
      <c r="AWB66"/>
      <c r="AWC66"/>
      <c r="AWD66"/>
      <c r="AWE66"/>
      <c r="AWF66"/>
      <c r="AWG66"/>
      <c r="AWH66"/>
      <c r="AWI66"/>
      <c r="AWJ66"/>
      <c r="AWK66"/>
      <c r="AWL66"/>
      <c r="AWM66"/>
      <c r="AWN66"/>
      <c r="AWO66"/>
      <c r="AWP66"/>
      <c r="AWQ66"/>
      <c r="AWR66"/>
      <c r="AWS66"/>
      <c r="AWT66"/>
      <c r="AWU66"/>
      <c r="AWV66"/>
      <c r="AWW66"/>
      <c r="AWX66"/>
      <c r="AWY66"/>
      <c r="AWZ66"/>
      <c r="AXA66"/>
      <c r="AXB66"/>
      <c r="AXC66"/>
      <c r="AXD66"/>
      <c r="AXE66"/>
      <c r="AXF66"/>
      <c r="AXG66"/>
      <c r="AXH66"/>
      <c r="AXI66"/>
      <c r="AXJ66"/>
      <c r="AXK66"/>
      <c r="AXL66"/>
      <c r="AXM66"/>
      <c r="AXN66"/>
      <c r="AXO66"/>
      <c r="AXP66"/>
      <c r="AXQ66"/>
      <c r="AXR66"/>
      <c r="AXS66"/>
      <c r="AXT66"/>
      <c r="AXU66"/>
      <c r="AXV66"/>
      <c r="AXW66"/>
      <c r="AXX66"/>
      <c r="AXY66"/>
      <c r="AXZ66"/>
      <c r="AYA66"/>
      <c r="AYB66"/>
      <c r="AYC66"/>
      <c r="AYD66"/>
      <c r="AYE66"/>
      <c r="AYF66"/>
      <c r="AYG66"/>
      <c r="AYH66"/>
      <c r="AYI66"/>
      <c r="AYJ66"/>
      <c r="AYK66"/>
      <c r="AYL66"/>
      <c r="AYM66"/>
      <c r="AYN66"/>
      <c r="AYO66"/>
      <c r="AYP66"/>
      <c r="AYQ66"/>
      <c r="AYR66"/>
      <c r="AYS66"/>
      <c r="AYT66"/>
      <c r="AYU66"/>
      <c r="AYV66"/>
      <c r="AYW66"/>
      <c r="AYX66"/>
      <c r="AYY66"/>
      <c r="AYZ66"/>
      <c r="AZA66"/>
      <c r="AZB66"/>
      <c r="AZC66"/>
      <c r="AZD66"/>
      <c r="AZE66"/>
      <c r="AZF66"/>
      <c r="AZG66"/>
      <c r="AZH66"/>
      <c r="AZI66"/>
      <c r="AZJ66"/>
      <c r="AZK66"/>
      <c r="AZL66"/>
      <c r="AZM66"/>
      <c r="AZN66"/>
      <c r="AZO66"/>
      <c r="AZP66"/>
      <c r="AZQ66"/>
      <c r="AZR66"/>
      <c r="AZS66"/>
      <c r="AZT66"/>
      <c r="AZU66"/>
      <c r="AZV66"/>
      <c r="AZW66"/>
      <c r="AZX66"/>
      <c r="AZY66"/>
      <c r="AZZ66"/>
      <c r="BAA66"/>
      <c r="BAB66"/>
      <c r="BAC66"/>
      <c r="BAD66"/>
      <c r="BAE66"/>
      <c r="BAF66"/>
      <c r="BAG66"/>
      <c r="BAH66"/>
      <c r="BAI66"/>
      <c r="BAJ66"/>
      <c r="BAK66"/>
      <c r="BAL66"/>
      <c r="BAM66"/>
      <c r="BAN66"/>
      <c r="BAO66"/>
      <c r="BAP66"/>
      <c r="BAQ66"/>
      <c r="BAR66"/>
      <c r="BAS66"/>
      <c r="BAT66"/>
      <c r="BAU66"/>
      <c r="BAV66"/>
      <c r="BAW66"/>
      <c r="BAX66"/>
      <c r="BAY66"/>
      <c r="BAZ66"/>
      <c r="BBA66"/>
      <c r="BBB66"/>
      <c r="BBC66"/>
      <c r="BBD66"/>
      <c r="BBE66"/>
      <c r="BBF66"/>
      <c r="BBG66"/>
      <c r="BBH66"/>
      <c r="BBI66"/>
      <c r="BBJ66"/>
      <c r="BBK66"/>
      <c r="BBL66"/>
      <c r="BBM66"/>
      <c r="BBN66"/>
      <c r="BBO66"/>
      <c r="BBP66"/>
      <c r="BBQ66"/>
      <c r="BBR66"/>
      <c r="BBS66"/>
      <c r="BBT66"/>
      <c r="BBU66"/>
      <c r="BBV66"/>
      <c r="BBW66"/>
      <c r="BBX66"/>
      <c r="BBY66"/>
      <c r="BBZ66"/>
      <c r="BCA66"/>
      <c r="BCB66"/>
      <c r="BCC66"/>
      <c r="BCD66"/>
      <c r="BCE66"/>
      <c r="BCF66"/>
      <c r="BCG66"/>
      <c r="BCH66"/>
      <c r="BCI66"/>
      <c r="BCJ66"/>
      <c r="BCK66"/>
      <c r="BCL66"/>
      <c r="BCM66"/>
      <c r="BCN66"/>
      <c r="BCO66"/>
      <c r="BCP66"/>
      <c r="BCQ66"/>
      <c r="BCR66"/>
      <c r="BCS66"/>
      <c r="BCT66"/>
      <c r="BCU66"/>
      <c r="BCV66"/>
      <c r="BCW66"/>
      <c r="BCX66"/>
      <c r="BCY66"/>
      <c r="BCZ66"/>
      <c r="BDA66"/>
      <c r="BDB66"/>
      <c r="BDC66"/>
      <c r="BDD66"/>
      <c r="BDE66"/>
      <c r="BDF66"/>
      <c r="BDG66"/>
      <c r="BDH66"/>
      <c r="BDI66"/>
      <c r="BDJ66"/>
      <c r="BDK66"/>
      <c r="BDL66"/>
      <c r="BDM66"/>
      <c r="BDN66"/>
      <c r="BDO66"/>
      <c r="BDP66"/>
      <c r="BDQ66"/>
      <c r="BDR66"/>
      <c r="BDS66"/>
      <c r="BDT66"/>
      <c r="BDU66"/>
      <c r="BDV66"/>
      <c r="BDW66"/>
      <c r="BDX66"/>
      <c r="BDY66"/>
      <c r="BDZ66"/>
      <c r="BEA66"/>
      <c r="BEB66"/>
      <c r="BEC66"/>
      <c r="BED66"/>
      <c r="BEE66"/>
      <c r="BEF66"/>
      <c r="BEG66"/>
      <c r="BEH66"/>
      <c r="BEI66"/>
      <c r="BEJ66"/>
      <c r="BEK66"/>
      <c r="BEL66"/>
      <c r="BEM66"/>
      <c r="BEN66"/>
      <c r="BEO66"/>
      <c r="BEP66"/>
      <c r="BEQ66"/>
      <c r="BER66"/>
      <c r="BES66"/>
      <c r="BET66"/>
      <c r="BEU66"/>
      <c r="BEV66"/>
      <c r="BEW66"/>
      <c r="BEX66"/>
      <c r="BEY66"/>
      <c r="BEZ66"/>
      <c r="BFA66"/>
      <c r="BFB66"/>
      <c r="BFC66"/>
      <c r="BFD66"/>
      <c r="BFE66"/>
      <c r="BFF66"/>
      <c r="BFG66"/>
      <c r="BFH66"/>
      <c r="BFI66"/>
      <c r="BFJ66"/>
      <c r="BFK66"/>
      <c r="BFL66"/>
      <c r="BFM66"/>
      <c r="BFN66"/>
      <c r="BFO66"/>
      <c r="BFP66"/>
      <c r="BFQ66"/>
      <c r="BFR66"/>
      <c r="BFS66"/>
      <c r="BFT66"/>
      <c r="BFU66"/>
      <c r="BFV66"/>
      <c r="BFW66"/>
      <c r="BFX66"/>
      <c r="BFY66"/>
      <c r="BFZ66"/>
      <c r="BGA66"/>
      <c r="BGB66"/>
      <c r="BGC66"/>
      <c r="BGD66"/>
      <c r="BGE66"/>
      <c r="BGF66"/>
      <c r="BGG66"/>
      <c r="BGH66"/>
      <c r="BGI66"/>
      <c r="BGJ66"/>
      <c r="BGK66"/>
      <c r="BGL66"/>
      <c r="BGM66"/>
      <c r="BGN66"/>
      <c r="BGO66"/>
      <c r="BGP66"/>
      <c r="BGQ66"/>
      <c r="BGR66"/>
      <c r="BGS66"/>
      <c r="BGT66"/>
      <c r="BGU66"/>
      <c r="BGV66"/>
      <c r="BGW66"/>
      <c r="BGX66"/>
      <c r="BGY66"/>
      <c r="BGZ66"/>
      <c r="BHA66"/>
      <c r="BHB66"/>
      <c r="BHC66"/>
      <c r="BHD66"/>
      <c r="BHE66"/>
      <c r="BHF66"/>
      <c r="BHG66"/>
      <c r="BHH66"/>
      <c r="BHI66"/>
      <c r="BHJ66"/>
      <c r="BHK66"/>
      <c r="BHL66"/>
      <c r="BHM66"/>
      <c r="BHN66"/>
      <c r="BHO66"/>
      <c r="BHP66"/>
      <c r="BHQ66"/>
      <c r="BHR66"/>
      <c r="BHS66"/>
      <c r="BHT66"/>
      <c r="BHU66"/>
      <c r="BHV66"/>
      <c r="BHW66"/>
      <c r="BHX66"/>
      <c r="BHY66"/>
      <c r="BHZ66"/>
      <c r="BIA66"/>
      <c r="BIB66"/>
      <c r="BIC66"/>
      <c r="BID66"/>
      <c r="BIE66"/>
      <c r="BIF66"/>
      <c r="BIG66"/>
      <c r="BIH66"/>
      <c r="BII66"/>
      <c r="BIJ66"/>
      <c r="BIK66"/>
      <c r="BIL66"/>
      <c r="BIM66"/>
      <c r="BIN66"/>
      <c r="BIO66"/>
      <c r="BIP66"/>
      <c r="BIQ66"/>
      <c r="BIR66"/>
      <c r="BIS66"/>
      <c r="BIT66"/>
      <c r="BIU66"/>
      <c r="BIV66"/>
      <c r="BIW66"/>
      <c r="BIX66"/>
      <c r="BIY66"/>
      <c r="BIZ66"/>
      <c r="BJA66"/>
      <c r="BJB66"/>
      <c r="BJC66"/>
      <c r="BJD66"/>
      <c r="BJE66"/>
      <c r="BJF66"/>
      <c r="BJG66"/>
      <c r="BJH66"/>
      <c r="BJI66"/>
      <c r="BJJ66"/>
      <c r="BJK66"/>
      <c r="BJL66"/>
      <c r="BJM66"/>
      <c r="BJN66"/>
      <c r="BJO66"/>
      <c r="BJP66"/>
      <c r="BJQ66"/>
      <c r="BJR66"/>
      <c r="BJS66"/>
      <c r="BJT66"/>
      <c r="BJU66"/>
      <c r="BJV66"/>
      <c r="BJW66"/>
      <c r="BJX66"/>
      <c r="BJY66"/>
      <c r="BJZ66"/>
      <c r="BKA66"/>
      <c r="BKB66"/>
      <c r="BKC66"/>
      <c r="BKD66"/>
      <c r="BKE66"/>
      <c r="BKF66"/>
      <c r="BKG66"/>
      <c r="BKH66"/>
      <c r="BKI66"/>
      <c r="BKJ66"/>
      <c r="BKK66"/>
      <c r="BKL66"/>
      <c r="BKM66"/>
      <c r="BKN66"/>
      <c r="BKO66"/>
      <c r="BKP66"/>
      <c r="BKQ66"/>
      <c r="BKR66"/>
      <c r="BKS66"/>
      <c r="BKT66"/>
      <c r="BKU66"/>
      <c r="BKV66"/>
      <c r="BKW66"/>
      <c r="BKX66"/>
      <c r="BKY66"/>
      <c r="BKZ66"/>
      <c r="BLA66"/>
      <c r="BLB66"/>
      <c r="BLC66"/>
      <c r="BLD66"/>
      <c r="BLE66"/>
      <c r="BLF66"/>
      <c r="BLG66"/>
      <c r="BLH66"/>
      <c r="BLI66"/>
      <c r="BLJ66"/>
      <c r="BLK66"/>
      <c r="BLL66"/>
      <c r="BLM66"/>
      <c r="BLN66"/>
      <c r="BLO66"/>
      <c r="BLP66"/>
      <c r="BLQ66"/>
      <c r="BLR66"/>
      <c r="BLS66"/>
      <c r="BLT66"/>
      <c r="BLU66"/>
      <c r="BLV66"/>
      <c r="BLW66"/>
      <c r="BLX66"/>
      <c r="BLY66"/>
      <c r="BLZ66"/>
      <c r="BMA66"/>
      <c r="BMB66"/>
      <c r="BMC66"/>
      <c r="BMD66"/>
      <c r="BME66"/>
      <c r="BMF66"/>
      <c r="BMG66"/>
      <c r="BMH66"/>
      <c r="BMI66"/>
      <c r="BMJ66"/>
      <c r="BMK66"/>
      <c r="BML66"/>
      <c r="BMM66"/>
      <c r="BMN66"/>
      <c r="BMO66"/>
      <c r="BMP66"/>
      <c r="BMQ66"/>
      <c r="BMR66"/>
      <c r="BMS66"/>
      <c r="BMT66"/>
      <c r="BMU66"/>
      <c r="BMV66"/>
      <c r="BMW66"/>
      <c r="BMX66"/>
      <c r="BMY66"/>
      <c r="BMZ66"/>
      <c r="BNA66"/>
      <c r="BNB66"/>
      <c r="BNC66"/>
      <c r="BND66"/>
      <c r="BNE66"/>
      <c r="BNF66"/>
      <c r="BNG66"/>
      <c r="BNH66"/>
      <c r="BNI66"/>
      <c r="BNJ66"/>
      <c r="BNK66"/>
      <c r="BNL66"/>
      <c r="BNM66"/>
      <c r="BNN66"/>
      <c r="BNO66"/>
      <c r="BNP66"/>
      <c r="BNQ66"/>
      <c r="BNR66"/>
      <c r="BNS66"/>
      <c r="BNT66"/>
      <c r="BNU66"/>
      <c r="BNV66"/>
      <c r="BNW66"/>
      <c r="BNX66"/>
      <c r="BNY66"/>
      <c r="BNZ66"/>
      <c r="BOA66"/>
      <c r="BOB66"/>
      <c r="BOC66"/>
      <c r="BOD66"/>
      <c r="BOE66"/>
      <c r="BOF66"/>
      <c r="BOG66"/>
      <c r="BOH66"/>
      <c r="BOI66"/>
      <c r="BOJ66"/>
      <c r="BOK66"/>
      <c r="BOL66"/>
      <c r="BOM66"/>
      <c r="BON66"/>
      <c r="BOO66"/>
      <c r="BOP66"/>
      <c r="BOQ66"/>
      <c r="BOR66"/>
      <c r="BOS66"/>
      <c r="BOT66"/>
      <c r="BOU66"/>
      <c r="BOV66"/>
      <c r="BOW66"/>
      <c r="BOX66"/>
      <c r="BOY66"/>
      <c r="BOZ66"/>
      <c r="BPA66"/>
      <c r="BPB66"/>
      <c r="BPC66"/>
      <c r="BPD66"/>
      <c r="BPE66"/>
      <c r="BPF66"/>
      <c r="BPG66"/>
      <c r="BPH66"/>
      <c r="BPI66"/>
      <c r="BPJ66"/>
      <c r="BPK66"/>
      <c r="BPL66"/>
      <c r="BPM66"/>
      <c r="BPN66"/>
      <c r="BPO66"/>
      <c r="BPP66"/>
      <c r="BPQ66"/>
      <c r="BPR66"/>
      <c r="BPS66"/>
      <c r="BPT66"/>
      <c r="BPU66"/>
      <c r="BPV66"/>
      <c r="BPW66"/>
      <c r="BPX66"/>
      <c r="BPY66"/>
      <c r="BPZ66"/>
      <c r="BQA66"/>
      <c r="BQB66"/>
      <c r="BQC66"/>
      <c r="BQD66"/>
      <c r="BQE66"/>
      <c r="BQF66"/>
      <c r="BQG66"/>
      <c r="BQH66"/>
      <c r="BQI66"/>
      <c r="BQJ66"/>
      <c r="BQK66"/>
      <c r="BQL66"/>
      <c r="BQM66"/>
      <c r="BQN66"/>
      <c r="BQO66"/>
      <c r="BQP66"/>
      <c r="BQQ66"/>
      <c r="BQR66"/>
      <c r="BQS66"/>
      <c r="BQT66"/>
      <c r="BQU66"/>
      <c r="BQV66"/>
      <c r="BQW66"/>
      <c r="BQX66"/>
      <c r="BQY66"/>
      <c r="BQZ66"/>
      <c r="BRA66"/>
      <c r="BRB66"/>
      <c r="BRC66"/>
      <c r="BRD66"/>
      <c r="BRE66"/>
      <c r="BRF66"/>
      <c r="BRG66"/>
      <c r="BRH66"/>
      <c r="BRI66"/>
      <c r="BRJ66"/>
      <c r="BRK66"/>
      <c r="BRL66"/>
      <c r="BRM66"/>
      <c r="BRN66"/>
      <c r="BRO66"/>
      <c r="BRP66"/>
      <c r="BRQ66"/>
      <c r="BRR66"/>
      <c r="BRS66"/>
      <c r="BRT66"/>
      <c r="BRU66"/>
      <c r="BRV66"/>
      <c r="BRW66"/>
      <c r="BRX66"/>
      <c r="BRY66"/>
      <c r="BRZ66"/>
      <c r="BSA66"/>
      <c r="BSB66"/>
      <c r="BSC66"/>
      <c r="BSD66"/>
      <c r="BSE66"/>
      <c r="BSF66"/>
      <c r="BSG66"/>
      <c r="BSH66"/>
      <c r="BSI66"/>
      <c r="BSJ66"/>
      <c r="BSK66"/>
      <c r="BSL66"/>
      <c r="BSM66"/>
      <c r="BSN66"/>
      <c r="BSO66"/>
      <c r="BSP66"/>
      <c r="BSQ66"/>
      <c r="BSR66"/>
      <c r="BSS66"/>
      <c r="BST66"/>
      <c r="BSU66"/>
      <c r="BSV66"/>
      <c r="BSW66"/>
      <c r="BSX66"/>
      <c r="BSY66"/>
      <c r="BSZ66"/>
      <c r="BTA66"/>
      <c r="BTB66"/>
      <c r="BTC66"/>
      <c r="BTD66"/>
      <c r="BTE66"/>
      <c r="BTF66"/>
      <c r="BTG66"/>
      <c r="BTH66"/>
      <c r="BTI66"/>
      <c r="BTJ66"/>
      <c r="BTK66"/>
      <c r="BTL66"/>
      <c r="BTM66"/>
      <c r="BTN66"/>
      <c r="BTO66"/>
      <c r="BTP66"/>
      <c r="BTQ66"/>
      <c r="BTR66"/>
      <c r="BTS66"/>
      <c r="BTT66"/>
      <c r="BTU66"/>
      <c r="BTV66"/>
      <c r="BTW66"/>
      <c r="BTX66"/>
      <c r="BTY66"/>
      <c r="BTZ66"/>
      <c r="BUA66"/>
      <c r="BUB66"/>
      <c r="BUC66"/>
      <c r="BUD66"/>
      <c r="BUE66"/>
      <c r="BUF66"/>
      <c r="BUG66"/>
      <c r="BUH66"/>
      <c r="BUI66"/>
      <c r="BUJ66"/>
      <c r="BUK66"/>
      <c r="BUL66"/>
      <c r="BUM66"/>
      <c r="BUN66"/>
      <c r="BUO66"/>
      <c r="BUP66"/>
      <c r="BUQ66"/>
      <c r="BUR66"/>
      <c r="BUS66"/>
      <c r="BUT66"/>
      <c r="BUU66"/>
      <c r="BUV66"/>
      <c r="BUW66"/>
      <c r="BUX66"/>
      <c r="BUY66"/>
      <c r="BUZ66"/>
      <c r="BVA66"/>
      <c r="BVB66"/>
      <c r="BVC66"/>
      <c r="BVD66"/>
      <c r="BVE66"/>
      <c r="BVF66"/>
      <c r="BVG66"/>
      <c r="BVH66"/>
      <c r="BVI66"/>
      <c r="BVJ66"/>
      <c r="BVK66"/>
      <c r="BVL66"/>
      <c r="BVM66"/>
      <c r="BVN66"/>
      <c r="BVO66"/>
      <c r="BVP66"/>
      <c r="BVQ66"/>
      <c r="BVR66"/>
      <c r="BVS66"/>
      <c r="BVT66"/>
      <c r="BVU66"/>
      <c r="BVV66"/>
      <c r="BVW66"/>
      <c r="BVX66"/>
      <c r="BVY66"/>
      <c r="BVZ66"/>
      <c r="BWA66"/>
      <c r="BWB66"/>
      <c r="BWC66"/>
      <c r="BWD66"/>
      <c r="BWE66"/>
      <c r="BWF66"/>
      <c r="BWG66"/>
      <c r="BWH66"/>
      <c r="BWI66"/>
      <c r="BWJ66"/>
      <c r="BWK66"/>
      <c r="BWL66"/>
      <c r="BWM66"/>
      <c r="BWN66"/>
      <c r="BWO66"/>
      <c r="BWP66"/>
      <c r="BWQ66"/>
      <c r="BWR66"/>
      <c r="BWS66"/>
      <c r="BWT66"/>
      <c r="BWU66"/>
      <c r="BWV66"/>
      <c r="BWW66"/>
      <c r="BWX66"/>
      <c r="BWY66"/>
      <c r="BWZ66"/>
      <c r="BXA66"/>
      <c r="BXB66"/>
      <c r="BXC66"/>
      <c r="BXD66"/>
      <c r="BXE66"/>
      <c r="BXF66"/>
      <c r="BXG66"/>
      <c r="BXH66"/>
      <c r="BXI66"/>
      <c r="BXJ66"/>
      <c r="BXK66"/>
      <c r="BXL66"/>
      <c r="BXM66"/>
      <c r="BXN66"/>
      <c r="BXO66"/>
      <c r="BXP66"/>
      <c r="BXQ66"/>
      <c r="BXR66"/>
      <c r="BXS66"/>
      <c r="BXT66"/>
      <c r="BXU66"/>
      <c r="BXV66"/>
      <c r="BXW66"/>
      <c r="BXX66"/>
      <c r="BXY66"/>
      <c r="BXZ66"/>
      <c r="BYA66"/>
      <c r="BYB66"/>
      <c r="BYC66"/>
      <c r="BYD66"/>
      <c r="BYE66"/>
      <c r="BYF66"/>
      <c r="BYG66"/>
      <c r="BYH66"/>
      <c r="BYI66"/>
      <c r="BYJ66"/>
      <c r="BYK66"/>
      <c r="BYL66"/>
      <c r="BYM66"/>
      <c r="BYN66"/>
      <c r="BYO66"/>
      <c r="BYP66"/>
      <c r="BYQ66"/>
      <c r="BYR66"/>
      <c r="BYS66"/>
      <c r="BYT66"/>
      <c r="BYU66"/>
      <c r="BYV66"/>
      <c r="BYW66"/>
      <c r="BYX66"/>
      <c r="BYY66"/>
      <c r="BYZ66"/>
      <c r="BZA66"/>
      <c r="BZB66"/>
      <c r="BZC66"/>
      <c r="BZD66"/>
      <c r="BZE66"/>
      <c r="BZF66"/>
      <c r="BZG66"/>
      <c r="BZH66"/>
      <c r="BZI66"/>
      <c r="BZJ66"/>
      <c r="BZK66"/>
      <c r="BZL66"/>
      <c r="BZM66"/>
      <c r="BZN66"/>
      <c r="BZO66"/>
      <c r="BZP66"/>
      <c r="BZQ66"/>
      <c r="BZR66"/>
      <c r="BZS66"/>
      <c r="BZT66"/>
      <c r="BZU66"/>
      <c r="BZV66"/>
      <c r="BZW66"/>
      <c r="BZX66"/>
      <c r="BZY66"/>
      <c r="BZZ66"/>
      <c r="CAA66"/>
      <c r="CAB66"/>
      <c r="CAC66"/>
      <c r="CAD66"/>
      <c r="CAE66"/>
      <c r="CAF66"/>
      <c r="CAG66"/>
      <c r="CAH66"/>
      <c r="CAI66"/>
      <c r="CAJ66"/>
      <c r="CAK66"/>
      <c r="CAL66"/>
      <c r="CAM66"/>
      <c r="CAN66"/>
      <c r="CAO66"/>
      <c r="CAP66"/>
      <c r="CAQ66"/>
      <c r="CAR66"/>
      <c r="CAS66"/>
      <c r="CAT66"/>
      <c r="CAU66"/>
      <c r="CAV66"/>
      <c r="CAW66"/>
      <c r="CAX66"/>
      <c r="CAY66"/>
      <c r="CAZ66"/>
      <c r="CBA66"/>
      <c r="CBB66"/>
      <c r="CBC66"/>
      <c r="CBD66"/>
      <c r="CBE66"/>
      <c r="CBF66"/>
      <c r="CBG66"/>
      <c r="CBH66"/>
      <c r="CBI66"/>
      <c r="CBJ66"/>
      <c r="CBK66"/>
      <c r="CBL66"/>
      <c r="CBM66"/>
      <c r="CBN66"/>
      <c r="CBO66"/>
      <c r="CBP66"/>
      <c r="CBQ66"/>
      <c r="CBR66"/>
      <c r="CBS66"/>
      <c r="CBT66"/>
      <c r="CBU66"/>
      <c r="CBV66"/>
      <c r="CBW66"/>
      <c r="CBX66"/>
      <c r="CBY66"/>
      <c r="CBZ66"/>
      <c r="CCA66"/>
      <c r="CCB66"/>
      <c r="CCC66"/>
      <c r="CCD66"/>
      <c r="CCE66"/>
      <c r="CCF66"/>
      <c r="CCG66"/>
      <c r="CCH66"/>
      <c r="CCI66"/>
      <c r="CCJ66"/>
      <c r="CCK66"/>
      <c r="CCL66"/>
      <c r="CCM66"/>
      <c r="CCN66"/>
      <c r="CCO66"/>
      <c r="CCP66"/>
      <c r="CCQ66"/>
      <c r="CCR66"/>
      <c r="CCS66"/>
      <c r="CCT66"/>
      <c r="CCU66"/>
      <c r="CCV66"/>
      <c r="CCW66"/>
      <c r="CCX66"/>
      <c r="CCY66"/>
      <c r="CCZ66"/>
      <c r="CDA66"/>
      <c r="CDB66"/>
      <c r="CDC66"/>
      <c r="CDD66"/>
      <c r="CDE66"/>
      <c r="CDF66"/>
      <c r="CDG66"/>
      <c r="CDH66"/>
      <c r="CDI66"/>
      <c r="CDJ66"/>
      <c r="CDK66"/>
      <c r="CDL66"/>
      <c r="CDM66"/>
      <c r="CDN66"/>
      <c r="CDO66"/>
      <c r="CDP66"/>
      <c r="CDQ66"/>
      <c r="CDR66"/>
      <c r="CDS66"/>
      <c r="CDT66"/>
      <c r="CDU66"/>
      <c r="CDV66"/>
      <c r="CDW66"/>
      <c r="CDX66"/>
      <c r="CDY66"/>
      <c r="CDZ66"/>
      <c r="CEA66"/>
      <c r="CEB66"/>
      <c r="CEC66"/>
      <c r="CED66"/>
      <c r="CEE66"/>
      <c r="CEF66"/>
      <c r="CEG66"/>
      <c r="CEH66"/>
      <c r="CEI66"/>
      <c r="CEJ66"/>
      <c r="CEK66"/>
      <c r="CEL66"/>
      <c r="CEM66"/>
      <c r="CEN66"/>
      <c r="CEO66"/>
      <c r="CEP66"/>
      <c r="CEQ66"/>
      <c r="CER66"/>
      <c r="CES66"/>
      <c r="CET66"/>
      <c r="CEU66"/>
      <c r="CEV66"/>
      <c r="CEW66"/>
      <c r="CEX66"/>
      <c r="CEY66"/>
      <c r="CEZ66"/>
      <c r="CFA66"/>
      <c r="CFB66"/>
      <c r="CFC66"/>
      <c r="CFD66"/>
      <c r="CFE66"/>
      <c r="CFF66"/>
      <c r="CFG66"/>
      <c r="CFH66"/>
      <c r="CFI66"/>
      <c r="CFJ66"/>
      <c r="CFK66"/>
      <c r="CFL66"/>
      <c r="CFM66"/>
      <c r="CFN66"/>
      <c r="CFO66"/>
      <c r="CFP66"/>
      <c r="CFQ66"/>
      <c r="CFR66"/>
      <c r="CFS66"/>
      <c r="CFT66"/>
      <c r="CFU66"/>
      <c r="CFV66"/>
      <c r="CFW66"/>
      <c r="CFX66"/>
      <c r="CFY66"/>
      <c r="CFZ66"/>
      <c r="CGA66"/>
      <c r="CGB66"/>
      <c r="CGC66"/>
      <c r="CGD66"/>
      <c r="CGE66"/>
      <c r="CGF66"/>
      <c r="CGG66"/>
      <c r="CGH66"/>
      <c r="CGI66"/>
      <c r="CGJ66"/>
      <c r="CGK66"/>
      <c r="CGL66"/>
      <c r="CGM66"/>
      <c r="CGN66"/>
      <c r="CGO66"/>
      <c r="CGP66"/>
      <c r="CGQ66"/>
      <c r="CGR66"/>
      <c r="CGS66"/>
      <c r="CGT66"/>
      <c r="CGU66"/>
      <c r="CGV66"/>
      <c r="CGW66"/>
      <c r="CGX66"/>
      <c r="CGY66"/>
      <c r="CGZ66"/>
      <c r="CHA66"/>
      <c r="CHB66"/>
      <c r="CHC66"/>
      <c r="CHD66"/>
      <c r="CHE66"/>
      <c r="CHF66"/>
      <c r="CHG66"/>
      <c r="CHH66"/>
      <c r="CHI66"/>
      <c r="CHJ66"/>
      <c r="CHK66"/>
      <c r="CHL66"/>
      <c r="CHM66"/>
      <c r="CHN66"/>
      <c r="CHO66"/>
      <c r="CHP66"/>
      <c r="CHQ66"/>
      <c r="CHR66"/>
      <c r="CHS66"/>
      <c r="CHT66"/>
      <c r="CHU66"/>
      <c r="CHV66"/>
      <c r="CHW66"/>
      <c r="CHX66"/>
      <c r="CHY66"/>
      <c r="CHZ66"/>
      <c r="CIA66"/>
      <c r="CIB66"/>
      <c r="CIC66"/>
      <c r="CID66"/>
      <c r="CIE66"/>
      <c r="CIF66"/>
      <c r="CIG66"/>
      <c r="CIH66"/>
      <c r="CII66"/>
      <c r="CIJ66"/>
      <c r="CIK66"/>
      <c r="CIL66"/>
      <c r="CIM66"/>
      <c r="CIN66"/>
      <c r="CIO66"/>
      <c r="CIP66"/>
      <c r="CIQ66"/>
      <c r="CIR66"/>
      <c r="CIS66"/>
      <c r="CIT66"/>
      <c r="CIU66"/>
      <c r="CIV66"/>
      <c r="CIW66"/>
      <c r="CIX66"/>
      <c r="CIY66"/>
      <c r="CIZ66"/>
      <c r="CJA66"/>
      <c r="CJB66"/>
      <c r="CJC66"/>
      <c r="CJD66"/>
      <c r="CJE66"/>
      <c r="CJF66"/>
      <c r="CJG66"/>
      <c r="CJH66"/>
      <c r="CJI66"/>
      <c r="CJJ66"/>
      <c r="CJK66"/>
      <c r="CJL66"/>
      <c r="CJM66"/>
      <c r="CJN66"/>
      <c r="CJO66"/>
      <c r="CJP66"/>
      <c r="CJQ66"/>
      <c r="CJR66"/>
      <c r="CJS66"/>
      <c r="CJT66"/>
      <c r="CJU66"/>
      <c r="CJV66"/>
      <c r="CJW66"/>
      <c r="CJX66"/>
      <c r="CJY66"/>
      <c r="CJZ66"/>
      <c r="CKA66"/>
      <c r="CKB66"/>
      <c r="CKC66"/>
      <c r="CKD66"/>
      <c r="CKE66"/>
      <c r="CKF66"/>
      <c r="CKG66"/>
      <c r="CKH66"/>
      <c r="CKI66"/>
      <c r="CKJ66"/>
      <c r="CKK66"/>
      <c r="CKL66"/>
      <c r="CKM66"/>
      <c r="CKN66"/>
      <c r="CKO66"/>
      <c r="CKP66"/>
      <c r="CKQ66"/>
      <c r="CKR66"/>
      <c r="CKS66"/>
      <c r="CKT66"/>
      <c r="CKU66"/>
      <c r="CKV66"/>
      <c r="CKW66"/>
      <c r="CKX66"/>
      <c r="CKY66"/>
      <c r="CKZ66"/>
      <c r="CLA66"/>
      <c r="CLB66"/>
      <c r="CLC66"/>
      <c r="CLD66"/>
      <c r="CLE66"/>
      <c r="CLF66"/>
      <c r="CLG66"/>
      <c r="CLH66"/>
      <c r="CLI66"/>
      <c r="CLJ66"/>
      <c r="CLK66"/>
      <c r="CLL66"/>
      <c r="CLM66"/>
      <c r="CLN66"/>
      <c r="CLO66"/>
      <c r="CLP66"/>
      <c r="CLQ66"/>
      <c r="CLR66"/>
      <c r="CLS66"/>
      <c r="CLT66"/>
      <c r="CLU66"/>
      <c r="CLV66"/>
      <c r="CLW66"/>
      <c r="CLX66"/>
      <c r="CLY66"/>
      <c r="CLZ66"/>
      <c r="CMA66"/>
      <c r="CMB66"/>
      <c r="CMC66"/>
      <c r="CMD66"/>
      <c r="CME66"/>
      <c r="CMF66"/>
      <c r="CMG66"/>
      <c r="CMH66"/>
      <c r="CMI66"/>
      <c r="CMJ66"/>
      <c r="CMK66"/>
      <c r="CML66"/>
      <c r="CMM66"/>
      <c r="CMN66"/>
      <c r="CMO66"/>
      <c r="CMP66"/>
      <c r="CMQ66"/>
      <c r="CMR66"/>
      <c r="CMS66"/>
      <c r="CMT66"/>
      <c r="CMU66"/>
      <c r="CMV66"/>
      <c r="CMW66"/>
      <c r="CMX66"/>
      <c r="CMY66"/>
      <c r="CMZ66"/>
      <c r="CNA66"/>
      <c r="CNB66"/>
      <c r="CNC66"/>
      <c r="CND66"/>
      <c r="CNE66"/>
      <c r="CNF66"/>
      <c r="CNG66"/>
      <c r="CNH66"/>
      <c r="CNI66"/>
      <c r="CNJ66"/>
      <c r="CNK66"/>
      <c r="CNL66"/>
      <c r="CNM66"/>
      <c r="CNN66"/>
      <c r="CNO66"/>
      <c r="CNP66"/>
      <c r="CNQ66"/>
      <c r="CNR66"/>
      <c r="CNS66"/>
      <c r="CNT66"/>
      <c r="CNU66"/>
      <c r="CNV66"/>
      <c r="CNW66"/>
      <c r="CNX66"/>
      <c r="CNY66"/>
      <c r="CNZ66"/>
      <c r="COA66"/>
      <c r="COB66"/>
      <c r="COC66"/>
      <c r="COD66"/>
      <c r="COE66"/>
      <c r="COF66"/>
      <c r="COG66"/>
      <c r="COH66"/>
      <c r="COI66"/>
      <c r="COJ66"/>
      <c r="COK66"/>
      <c r="COL66"/>
      <c r="COM66"/>
      <c r="CON66"/>
      <c r="COO66"/>
      <c r="COP66"/>
      <c r="COQ66"/>
      <c r="COR66"/>
      <c r="COS66"/>
      <c r="COT66"/>
      <c r="COU66"/>
      <c r="COV66"/>
      <c r="COW66"/>
      <c r="COX66"/>
      <c r="COY66"/>
      <c r="COZ66"/>
      <c r="CPA66"/>
      <c r="CPB66"/>
      <c r="CPC66"/>
      <c r="CPD66"/>
      <c r="CPE66"/>
      <c r="CPF66"/>
      <c r="CPG66"/>
      <c r="CPH66"/>
      <c r="CPI66"/>
      <c r="CPJ66"/>
      <c r="CPK66"/>
      <c r="CPL66"/>
      <c r="CPM66"/>
      <c r="CPN66"/>
      <c r="CPO66"/>
      <c r="CPP66"/>
      <c r="CPQ66"/>
      <c r="CPR66"/>
      <c r="CPS66"/>
      <c r="CPT66"/>
      <c r="CPU66"/>
      <c r="CPV66"/>
      <c r="CPW66"/>
      <c r="CPX66"/>
      <c r="CPY66"/>
      <c r="CPZ66"/>
      <c r="CQA66"/>
      <c r="CQB66"/>
      <c r="CQC66"/>
      <c r="CQD66"/>
      <c r="CQE66"/>
      <c r="CQF66"/>
      <c r="CQG66"/>
      <c r="CQH66"/>
      <c r="CQI66"/>
      <c r="CQJ66"/>
      <c r="CQK66"/>
      <c r="CQL66"/>
      <c r="CQM66"/>
      <c r="CQN66"/>
      <c r="CQO66"/>
      <c r="CQP66"/>
      <c r="CQQ66"/>
      <c r="CQR66"/>
      <c r="CQS66"/>
      <c r="CQT66"/>
      <c r="CQU66"/>
      <c r="CQV66"/>
      <c r="CQW66"/>
      <c r="CQX66"/>
      <c r="CQY66"/>
      <c r="CQZ66"/>
      <c r="CRA66"/>
      <c r="CRB66"/>
      <c r="CRC66"/>
      <c r="CRD66"/>
      <c r="CRE66"/>
      <c r="CRF66"/>
      <c r="CRG66"/>
      <c r="CRH66"/>
      <c r="CRI66"/>
      <c r="CRJ66"/>
      <c r="CRK66"/>
      <c r="CRL66"/>
      <c r="CRM66"/>
      <c r="CRN66"/>
      <c r="CRO66"/>
      <c r="CRP66"/>
      <c r="CRQ66"/>
      <c r="CRR66"/>
      <c r="CRS66"/>
      <c r="CRT66"/>
      <c r="CRU66"/>
      <c r="CRV66"/>
      <c r="CRW66"/>
      <c r="CRX66"/>
      <c r="CRY66"/>
      <c r="CRZ66"/>
      <c r="CSA66"/>
      <c r="CSB66"/>
      <c r="CSC66"/>
      <c r="CSD66"/>
      <c r="CSE66"/>
      <c r="CSF66"/>
      <c r="CSG66"/>
      <c r="CSH66"/>
      <c r="CSI66"/>
      <c r="CSJ66"/>
      <c r="CSK66"/>
      <c r="CSL66"/>
      <c r="CSM66"/>
      <c r="CSN66"/>
      <c r="CSO66"/>
      <c r="CSP66"/>
      <c r="CSQ66"/>
      <c r="CSR66"/>
      <c r="CSS66"/>
      <c r="CST66"/>
      <c r="CSU66"/>
      <c r="CSV66"/>
      <c r="CSW66"/>
      <c r="CSX66"/>
      <c r="CSY66"/>
      <c r="CSZ66"/>
      <c r="CTA66"/>
      <c r="CTB66"/>
      <c r="CTC66"/>
      <c r="CTD66"/>
      <c r="CTE66"/>
      <c r="CTF66"/>
      <c r="CTG66"/>
      <c r="CTH66"/>
      <c r="CTI66"/>
      <c r="CTJ66"/>
      <c r="CTK66"/>
      <c r="CTL66"/>
      <c r="CTM66"/>
      <c r="CTN66"/>
      <c r="CTO66"/>
      <c r="CTP66"/>
      <c r="CTQ66"/>
      <c r="CTR66"/>
      <c r="CTS66"/>
      <c r="CTT66"/>
      <c r="CTU66"/>
      <c r="CTV66"/>
      <c r="CTW66"/>
      <c r="CTX66"/>
      <c r="CTY66"/>
      <c r="CTZ66"/>
      <c r="CUA66"/>
      <c r="CUB66"/>
      <c r="CUC66"/>
      <c r="CUD66"/>
      <c r="CUE66"/>
      <c r="CUF66"/>
      <c r="CUG66"/>
      <c r="CUH66"/>
      <c r="CUI66"/>
      <c r="CUJ66"/>
      <c r="CUK66"/>
      <c r="CUL66"/>
      <c r="CUM66"/>
      <c r="CUN66"/>
      <c r="CUO66"/>
      <c r="CUP66"/>
      <c r="CUQ66"/>
      <c r="CUR66"/>
      <c r="CUS66"/>
      <c r="CUT66"/>
      <c r="CUU66"/>
      <c r="CUV66"/>
      <c r="CUW66"/>
      <c r="CUX66"/>
      <c r="CUY66"/>
      <c r="CUZ66"/>
      <c r="CVA66"/>
      <c r="CVB66"/>
      <c r="CVC66"/>
      <c r="CVD66"/>
      <c r="CVE66"/>
      <c r="CVF66"/>
      <c r="CVG66"/>
      <c r="CVH66"/>
      <c r="CVI66"/>
      <c r="CVJ66"/>
      <c r="CVK66"/>
      <c r="CVL66"/>
      <c r="CVM66"/>
      <c r="CVN66"/>
      <c r="CVO66"/>
      <c r="CVP66"/>
      <c r="CVQ66"/>
      <c r="CVR66"/>
      <c r="CVS66"/>
      <c r="CVT66"/>
      <c r="CVU66"/>
      <c r="CVV66"/>
      <c r="CVW66"/>
      <c r="CVX66"/>
      <c r="CVY66"/>
      <c r="CVZ66"/>
      <c r="CWA66"/>
      <c r="CWB66"/>
      <c r="CWC66"/>
      <c r="CWD66"/>
      <c r="CWE66"/>
      <c r="CWF66"/>
      <c r="CWG66"/>
      <c r="CWH66"/>
      <c r="CWI66"/>
      <c r="CWJ66"/>
      <c r="CWK66"/>
      <c r="CWL66"/>
      <c r="CWM66"/>
      <c r="CWN66"/>
      <c r="CWO66"/>
      <c r="CWP66"/>
      <c r="CWQ66"/>
      <c r="CWR66"/>
      <c r="CWS66"/>
      <c r="CWT66"/>
      <c r="CWU66"/>
      <c r="CWV66"/>
      <c r="CWW66"/>
      <c r="CWX66"/>
      <c r="CWY66"/>
      <c r="CWZ66"/>
      <c r="CXA66"/>
      <c r="CXB66"/>
      <c r="CXC66"/>
      <c r="CXD66"/>
      <c r="CXE66"/>
      <c r="CXF66"/>
      <c r="CXG66"/>
      <c r="CXH66"/>
      <c r="CXI66"/>
      <c r="CXJ66"/>
      <c r="CXK66"/>
      <c r="CXL66"/>
      <c r="CXM66"/>
      <c r="CXN66"/>
      <c r="CXO66"/>
      <c r="CXP66"/>
      <c r="CXQ66"/>
      <c r="CXR66"/>
      <c r="CXS66"/>
      <c r="CXT66"/>
      <c r="CXU66"/>
      <c r="CXV66"/>
      <c r="CXW66"/>
      <c r="CXX66"/>
      <c r="CXY66"/>
      <c r="CXZ66"/>
      <c r="CYA66"/>
      <c r="CYB66"/>
      <c r="CYC66"/>
      <c r="CYD66"/>
      <c r="CYE66"/>
      <c r="CYF66"/>
      <c r="CYG66"/>
      <c r="CYH66"/>
      <c r="CYI66"/>
      <c r="CYJ66"/>
      <c r="CYK66"/>
      <c r="CYL66"/>
      <c r="CYM66"/>
      <c r="CYN66"/>
      <c r="CYO66"/>
      <c r="CYP66"/>
      <c r="CYQ66"/>
      <c r="CYR66"/>
      <c r="CYS66"/>
      <c r="CYT66"/>
      <c r="CYU66"/>
      <c r="CYV66"/>
      <c r="CYW66"/>
      <c r="CYX66"/>
      <c r="CYY66"/>
      <c r="CYZ66"/>
      <c r="CZA66"/>
      <c r="CZB66"/>
      <c r="CZC66"/>
      <c r="CZD66"/>
      <c r="CZE66"/>
      <c r="CZF66"/>
      <c r="CZG66"/>
      <c r="CZH66"/>
      <c r="CZI66"/>
      <c r="CZJ66"/>
      <c r="CZK66"/>
      <c r="CZL66"/>
      <c r="CZM66"/>
      <c r="CZN66"/>
      <c r="CZO66"/>
      <c r="CZP66"/>
      <c r="CZQ66"/>
      <c r="CZR66"/>
      <c r="CZS66"/>
      <c r="CZT66"/>
      <c r="CZU66"/>
      <c r="CZV66"/>
      <c r="CZW66"/>
      <c r="CZX66"/>
      <c r="CZY66"/>
      <c r="CZZ66"/>
      <c r="DAA66"/>
      <c r="DAB66"/>
      <c r="DAC66"/>
      <c r="DAD66"/>
      <c r="DAE66"/>
      <c r="DAF66"/>
      <c r="DAG66"/>
      <c r="DAH66"/>
      <c r="DAI66"/>
      <c r="DAJ66"/>
      <c r="DAK66"/>
      <c r="DAL66"/>
      <c r="DAM66"/>
      <c r="DAN66"/>
      <c r="DAO66"/>
      <c r="DAP66"/>
      <c r="DAQ66"/>
      <c r="DAR66"/>
      <c r="DAS66"/>
      <c r="DAT66"/>
      <c r="DAU66"/>
      <c r="DAV66"/>
      <c r="DAW66"/>
      <c r="DAX66"/>
      <c r="DAY66"/>
      <c r="DAZ66"/>
      <c r="DBA66"/>
      <c r="DBB66"/>
      <c r="DBC66"/>
      <c r="DBD66"/>
      <c r="DBE66"/>
      <c r="DBF66"/>
      <c r="DBG66"/>
      <c r="DBH66"/>
      <c r="DBI66"/>
      <c r="DBJ66"/>
      <c r="DBK66"/>
      <c r="DBL66"/>
      <c r="DBM66"/>
      <c r="DBN66"/>
      <c r="DBO66"/>
      <c r="DBP66"/>
      <c r="DBQ66"/>
      <c r="DBR66"/>
      <c r="DBS66"/>
      <c r="DBT66"/>
      <c r="DBU66"/>
      <c r="DBV66"/>
      <c r="DBW66"/>
      <c r="DBX66"/>
      <c r="DBY66"/>
      <c r="DBZ66"/>
      <c r="DCA66"/>
      <c r="DCB66"/>
      <c r="DCC66"/>
      <c r="DCD66"/>
      <c r="DCE66"/>
      <c r="DCF66"/>
      <c r="DCG66"/>
      <c r="DCH66"/>
      <c r="DCI66"/>
      <c r="DCJ66"/>
      <c r="DCK66"/>
      <c r="DCL66"/>
      <c r="DCM66"/>
      <c r="DCN66"/>
      <c r="DCO66"/>
      <c r="DCP66"/>
      <c r="DCQ66"/>
      <c r="DCR66"/>
      <c r="DCS66"/>
      <c r="DCT66"/>
      <c r="DCU66"/>
      <c r="DCV66"/>
      <c r="DCW66"/>
      <c r="DCX66"/>
      <c r="DCY66"/>
      <c r="DCZ66"/>
      <c r="DDA66"/>
      <c r="DDB66"/>
      <c r="DDC66"/>
      <c r="DDD66"/>
      <c r="DDE66"/>
      <c r="DDF66"/>
      <c r="DDG66"/>
      <c r="DDH66"/>
      <c r="DDI66"/>
      <c r="DDJ66"/>
      <c r="DDK66"/>
      <c r="DDL66"/>
      <c r="DDM66"/>
      <c r="DDN66"/>
      <c r="DDO66"/>
      <c r="DDP66"/>
      <c r="DDQ66"/>
      <c r="DDR66"/>
      <c r="DDS66"/>
      <c r="DDT66"/>
      <c r="DDU66"/>
      <c r="DDV66"/>
      <c r="DDW66"/>
      <c r="DDX66"/>
      <c r="DDY66"/>
      <c r="DDZ66"/>
      <c r="DEA66"/>
      <c r="DEB66"/>
      <c r="DEC66"/>
      <c r="DED66"/>
      <c r="DEE66"/>
      <c r="DEF66"/>
      <c r="DEG66"/>
      <c r="DEH66"/>
      <c r="DEI66"/>
      <c r="DEJ66"/>
      <c r="DEK66"/>
      <c r="DEL66"/>
      <c r="DEM66"/>
      <c r="DEN66"/>
      <c r="DEO66"/>
      <c r="DEP66"/>
      <c r="DEQ66"/>
      <c r="DER66"/>
      <c r="DES66"/>
      <c r="DET66"/>
      <c r="DEU66"/>
      <c r="DEV66"/>
      <c r="DEW66"/>
      <c r="DEX66"/>
      <c r="DEY66"/>
      <c r="DEZ66"/>
      <c r="DFA66"/>
      <c r="DFB66"/>
      <c r="DFC66"/>
      <c r="DFD66"/>
      <c r="DFE66"/>
      <c r="DFF66"/>
      <c r="DFG66"/>
      <c r="DFH66"/>
      <c r="DFI66"/>
      <c r="DFJ66"/>
      <c r="DFK66"/>
      <c r="DFL66"/>
      <c r="DFM66"/>
      <c r="DFN66"/>
      <c r="DFO66"/>
      <c r="DFP66"/>
      <c r="DFQ66"/>
      <c r="DFR66"/>
      <c r="DFS66"/>
      <c r="DFT66"/>
      <c r="DFU66"/>
      <c r="DFV66"/>
      <c r="DFW66"/>
      <c r="DFX66"/>
      <c r="DFY66"/>
      <c r="DFZ66"/>
      <c r="DGA66"/>
      <c r="DGB66"/>
      <c r="DGC66"/>
      <c r="DGD66"/>
      <c r="DGE66"/>
      <c r="DGF66"/>
      <c r="DGG66"/>
      <c r="DGH66"/>
      <c r="DGI66"/>
      <c r="DGJ66"/>
      <c r="DGK66"/>
      <c r="DGL66"/>
      <c r="DGM66"/>
      <c r="DGN66"/>
      <c r="DGO66"/>
      <c r="DGP66"/>
      <c r="DGQ66"/>
      <c r="DGR66"/>
      <c r="DGS66"/>
      <c r="DGT66"/>
      <c r="DGU66"/>
      <c r="DGV66"/>
      <c r="DGW66"/>
      <c r="DGX66"/>
      <c r="DGY66"/>
      <c r="DGZ66"/>
      <c r="DHA66"/>
      <c r="DHB66"/>
      <c r="DHC66"/>
      <c r="DHD66"/>
      <c r="DHE66"/>
      <c r="DHF66"/>
      <c r="DHG66"/>
      <c r="DHH66"/>
      <c r="DHI66"/>
      <c r="DHJ66"/>
      <c r="DHK66"/>
      <c r="DHL66"/>
      <c r="DHM66"/>
      <c r="DHN66"/>
      <c r="DHO66"/>
      <c r="DHP66"/>
      <c r="DHQ66"/>
      <c r="DHR66"/>
      <c r="DHS66"/>
      <c r="DHT66"/>
      <c r="DHU66"/>
      <c r="DHV66"/>
      <c r="DHW66"/>
      <c r="DHX66"/>
      <c r="DHY66"/>
      <c r="DHZ66"/>
      <c r="DIA66"/>
      <c r="DIB66"/>
      <c r="DIC66"/>
      <c r="DID66"/>
      <c r="DIE66"/>
      <c r="DIF66"/>
      <c r="DIG66"/>
      <c r="DIH66"/>
      <c r="DII66"/>
      <c r="DIJ66"/>
      <c r="DIK66"/>
      <c r="DIL66"/>
      <c r="DIM66"/>
      <c r="DIN66"/>
      <c r="DIO66"/>
      <c r="DIP66"/>
      <c r="DIQ66"/>
      <c r="DIR66"/>
      <c r="DIS66"/>
      <c r="DIT66"/>
      <c r="DIU66"/>
      <c r="DIV66"/>
      <c r="DIW66"/>
      <c r="DIX66"/>
      <c r="DIY66"/>
      <c r="DIZ66"/>
      <c r="DJA66"/>
      <c r="DJB66"/>
      <c r="DJC66"/>
      <c r="DJD66"/>
      <c r="DJE66"/>
      <c r="DJF66"/>
      <c r="DJG66"/>
      <c r="DJH66"/>
      <c r="DJI66"/>
      <c r="DJJ66"/>
      <c r="DJK66"/>
      <c r="DJL66"/>
      <c r="DJM66"/>
      <c r="DJN66"/>
      <c r="DJO66"/>
      <c r="DJP66"/>
      <c r="DJQ66"/>
      <c r="DJR66"/>
      <c r="DJS66"/>
      <c r="DJT66"/>
      <c r="DJU66"/>
      <c r="DJV66"/>
      <c r="DJW66"/>
      <c r="DJX66"/>
      <c r="DJY66"/>
      <c r="DJZ66"/>
      <c r="DKA66"/>
      <c r="DKB66"/>
      <c r="DKC66"/>
      <c r="DKD66"/>
      <c r="DKE66"/>
      <c r="DKF66"/>
      <c r="DKG66"/>
      <c r="DKH66"/>
      <c r="DKI66"/>
      <c r="DKJ66"/>
      <c r="DKK66"/>
      <c r="DKL66"/>
      <c r="DKM66"/>
      <c r="DKN66"/>
      <c r="DKO66"/>
      <c r="DKP66"/>
      <c r="DKQ66"/>
      <c r="DKR66"/>
      <c r="DKS66"/>
      <c r="DKT66"/>
      <c r="DKU66"/>
      <c r="DKV66"/>
      <c r="DKW66"/>
      <c r="DKX66"/>
      <c r="DKY66"/>
      <c r="DKZ66"/>
      <c r="DLA66"/>
      <c r="DLB66"/>
      <c r="DLC66"/>
      <c r="DLD66"/>
      <c r="DLE66"/>
      <c r="DLF66"/>
      <c r="DLG66"/>
      <c r="DLH66"/>
      <c r="DLI66"/>
      <c r="DLJ66"/>
      <c r="DLK66"/>
      <c r="DLL66"/>
      <c r="DLM66"/>
      <c r="DLN66"/>
      <c r="DLO66"/>
      <c r="DLP66"/>
      <c r="DLQ66"/>
      <c r="DLR66"/>
      <c r="DLS66"/>
      <c r="DLT66"/>
      <c r="DLU66"/>
      <c r="DLV66"/>
      <c r="DLW66"/>
      <c r="DLX66"/>
      <c r="DLY66"/>
      <c r="DLZ66"/>
      <c r="DMA66"/>
      <c r="DMB66"/>
      <c r="DMC66"/>
      <c r="DMD66"/>
      <c r="DME66"/>
      <c r="DMF66"/>
      <c r="DMG66"/>
      <c r="DMH66"/>
      <c r="DMI66"/>
      <c r="DMJ66"/>
      <c r="DMK66"/>
      <c r="DML66"/>
      <c r="DMM66"/>
      <c r="DMN66"/>
      <c r="DMO66"/>
      <c r="DMP66"/>
      <c r="DMQ66"/>
      <c r="DMR66"/>
      <c r="DMS66"/>
      <c r="DMT66"/>
      <c r="DMU66"/>
      <c r="DMV66"/>
      <c r="DMW66"/>
      <c r="DMX66"/>
      <c r="DMY66"/>
      <c r="DMZ66"/>
      <c r="DNA66"/>
      <c r="DNB66"/>
      <c r="DNC66"/>
      <c r="DND66"/>
      <c r="DNE66"/>
      <c r="DNF66"/>
      <c r="DNG66"/>
      <c r="DNH66"/>
      <c r="DNI66"/>
      <c r="DNJ66"/>
      <c r="DNK66"/>
      <c r="DNL66"/>
      <c r="DNM66"/>
      <c r="DNN66"/>
      <c r="DNO66"/>
      <c r="DNP66"/>
      <c r="DNQ66"/>
      <c r="DNR66"/>
      <c r="DNS66"/>
      <c r="DNT66"/>
      <c r="DNU66"/>
      <c r="DNV66"/>
      <c r="DNW66"/>
      <c r="DNX66"/>
      <c r="DNY66"/>
      <c r="DNZ66"/>
      <c r="DOA66"/>
      <c r="DOB66"/>
      <c r="DOC66"/>
      <c r="DOD66"/>
      <c r="DOE66"/>
      <c r="DOF66"/>
      <c r="DOG66"/>
      <c r="DOH66"/>
      <c r="DOI66"/>
      <c r="DOJ66"/>
      <c r="DOK66"/>
      <c r="DOL66"/>
      <c r="DOM66"/>
      <c r="DON66"/>
      <c r="DOO66"/>
      <c r="DOP66"/>
      <c r="DOQ66"/>
      <c r="DOR66"/>
      <c r="DOS66"/>
      <c r="DOT66"/>
      <c r="DOU66"/>
      <c r="DOV66"/>
      <c r="DOW66"/>
      <c r="DOX66"/>
      <c r="DOY66"/>
      <c r="DOZ66"/>
      <c r="DPA66"/>
      <c r="DPB66"/>
      <c r="DPC66"/>
      <c r="DPD66"/>
      <c r="DPE66"/>
      <c r="DPF66"/>
      <c r="DPG66"/>
      <c r="DPH66"/>
      <c r="DPI66"/>
      <c r="DPJ66"/>
      <c r="DPK66"/>
      <c r="DPL66"/>
      <c r="DPM66"/>
      <c r="DPN66"/>
      <c r="DPO66"/>
      <c r="DPP66"/>
      <c r="DPQ66"/>
      <c r="DPR66"/>
      <c r="DPS66"/>
      <c r="DPT66"/>
      <c r="DPU66"/>
      <c r="DPV66"/>
      <c r="DPW66"/>
      <c r="DPX66"/>
      <c r="DPY66"/>
      <c r="DPZ66"/>
      <c r="DQA66"/>
      <c r="DQB66"/>
      <c r="DQC66"/>
      <c r="DQD66"/>
      <c r="DQE66"/>
      <c r="DQF66"/>
      <c r="DQG66"/>
      <c r="DQH66"/>
      <c r="DQI66"/>
      <c r="DQJ66"/>
      <c r="DQK66"/>
      <c r="DQL66"/>
      <c r="DQM66"/>
      <c r="DQN66"/>
      <c r="DQO66"/>
      <c r="DQP66"/>
      <c r="DQQ66"/>
      <c r="DQR66"/>
      <c r="DQS66"/>
      <c r="DQT66"/>
      <c r="DQU66"/>
      <c r="DQV66"/>
      <c r="DQW66"/>
      <c r="DQX66"/>
      <c r="DQY66"/>
      <c r="DQZ66"/>
      <c r="DRA66"/>
      <c r="DRB66"/>
      <c r="DRC66"/>
      <c r="DRD66"/>
      <c r="DRE66"/>
      <c r="DRF66"/>
      <c r="DRG66"/>
      <c r="DRH66"/>
      <c r="DRI66"/>
      <c r="DRJ66"/>
      <c r="DRK66"/>
      <c r="DRL66"/>
      <c r="DRM66"/>
      <c r="DRN66"/>
      <c r="DRO66"/>
      <c r="DRP66"/>
      <c r="DRQ66"/>
      <c r="DRR66"/>
      <c r="DRS66"/>
      <c r="DRT66"/>
      <c r="DRU66"/>
      <c r="DRV66"/>
      <c r="DRW66"/>
      <c r="DRX66"/>
      <c r="DRY66"/>
      <c r="DRZ66"/>
      <c r="DSA66"/>
      <c r="DSB66"/>
      <c r="DSC66"/>
      <c r="DSD66"/>
      <c r="DSE66"/>
      <c r="DSF66"/>
      <c r="DSG66"/>
      <c r="DSH66"/>
      <c r="DSI66"/>
      <c r="DSJ66"/>
      <c r="DSK66"/>
      <c r="DSL66"/>
      <c r="DSM66"/>
      <c r="DSN66"/>
      <c r="DSO66"/>
      <c r="DSP66"/>
      <c r="DSQ66"/>
      <c r="DSR66"/>
      <c r="DSS66"/>
      <c r="DST66"/>
      <c r="DSU66"/>
      <c r="DSV66"/>
      <c r="DSW66"/>
      <c r="DSX66"/>
      <c r="DSY66"/>
      <c r="DSZ66"/>
      <c r="DTA66"/>
      <c r="DTB66"/>
      <c r="DTC66"/>
      <c r="DTD66"/>
      <c r="DTE66"/>
      <c r="DTF66"/>
      <c r="DTG66"/>
      <c r="DTH66"/>
      <c r="DTI66"/>
      <c r="DTJ66"/>
      <c r="DTK66"/>
      <c r="DTL66"/>
      <c r="DTM66"/>
      <c r="DTN66"/>
      <c r="DTO66"/>
      <c r="DTP66"/>
      <c r="DTQ66"/>
      <c r="DTR66"/>
      <c r="DTS66"/>
      <c r="DTT66"/>
      <c r="DTU66"/>
      <c r="DTV66"/>
      <c r="DTW66"/>
      <c r="DTX66"/>
      <c r="DTY66"/>
      <c r="DTZ66"/>
      <c r="DUA66"/>
      <c r="DUB66"/>
      <c r="DUC66"/>
      <c r="DUD66"/>
      <c r="DUE66"/>
      <c r="DUF66"/>
      <c r="DUG66"/>
      <c r="DUH66"/>
      <c r="DUI66"/>
      <c r="DUJ66"/>
      <c r="DUK66"/>
      <c r="DUL66"/>
      <c r="DUM66"/>
      <c r="DUN66"/>
      <c r="DUO66"/>
      <c r="DUP66"/>
      <c r="DUQ66"/>
      <c r="DUR66"/>
      <c r="DUS66"/>
      <c r="DUT66"/>
      <c r="DUU66"/>
      <c r="DUV66"/>
      <c r="DUW66"/>
      <c r="DUX66"/>
      <c r="DUY66"/>
      <c r="DUZ66"/>
      <c r="DVA66"/>
      <c r="DVB66"/>
      <c r="DVC66"/>
      <c r="DVD66"/>
      <c r="DVE66"/>
      <c r="DVF66"/>
      <c r="DVG66"/>
      <c r="DVH66"/>
      <c r="DVI66"/>
      <c r="DVJ66"/>
      <c r="DVK66"/>
      <c r="DVL66"/>
      <c r="DVM66"/>
      <c r="DVN66"/>
      <c r="DVO66"/>
      <c r="DVP66"/>
      <c r="DVQ66"/>
      <c r="DVR66"/>
      <c r="DVS66"/>
      <c r="DVT66"/>
      <c r="DVU66"/>
      <c r="DVV66"/>
      <c r="DVW66"/>
      <c r="DVX66"/>
      <c r="DVY66"/>
      <c r="DVZ66"/>
      <c r="DWA66"/>
      <c r="DWB66"/>
      <c r="DWC66"/>
      <c r="DWD66"/>
      <c r="DWE66"/>
      <c r="DWF66"/>
      <c r="DWG66"/>
      <c r="DWH66"/>
      <c r="DWI66"/>
      <c r="DWJ66"/>
      <c r="DWK66"/>
      <c r="DWL66"/>
      <c r="DWM66"/>
      <c r="DWN66"/>
      <c r="DWO66"/>
      <c r="DWP66"/>
      <c r="DWQ66"/>
      <c r="DWR66"/>
      <c r="DWS66"/>
      <c r="DWT66"/>
      <c r="DWU66"/>
      <c r="DWV66"/>
      <c r="DWW66"/>
      <c r="DWX66"/>
      <c r="DWY66"/>
      <c r="DWZ66"/>
      <c r="DXA66"/>
      <c r="DXB66"/>
      <c r="DXC66"/>
      <c r="DXD66"/>
      <c r="DXE66"/>
      <c r="DXF66"/>
      <c r="DXG66"/>
      <c r="DXH66"/>
      <c r="DXI66"/>
      <c r="DXJ66"/>
      <c r="DXK66"/>
      <c r="DXL66"/>
      <c r="DXM66"/>
      <c r="DXN66"/>
      <c r="DXO66"/>
      <c r="DXP66"/>
      <c r="DXQ66"/>
      <c r="DXR66"/>
      <c r="DXS66"/>
      <c r="DXT66"/>
      <c r="DXU66"/>
      <c r="DXV66"/>
      <c r="DXW66"/>
      <c r="DXX66"/>
      <c r="DXY66"/>
      <c r="DXZ66"/>
      <c r="DYA66"/>
      <c r="DYB66"/>
      <c r="DYC66"/>
      <c r="DYD66"/>
      <c r="DYE66"/>
      <c r="DYF66"/>
      <c r="DYG66"/>
      <c r="DYH66"/>
      <c r="DYI66"/>
      <c r="DYJ66"/>
      <c r="DYK66"/>
      <c r="DYL66"/>
      <c r="DYM66"/>
      <c r="DYN66"/>
      <c r="DYO66"/>
      <c r="DYP66"/>
      <c r="DYQ66"/>
      <c r="DYR66"/>
      <c r="DYS66"/>
      <c r="DYT66"/>
      <c r="DYU66"/>
      <c r="DYV66"/>
      <c r="DYW66"/>
      <c r="DYX66"/>
      <c r="DYY66"/>
      <c r="DYZ66"/>
      <c r="DZA66"/>
      <c r="DZB66"/>
      <c r="DZC66"/>
      <c r="DZD66"/>
      <c r="DZE66"/>
      <c r="DZF66"/>
      <c r="DZG66"/>
      <c r="DZH66"/>
      <c r="DZI66"/>
      <c r="DZJ66"/>
      <c r="DZK66"/>
      <c r="DZL66"/>
      <c r="DZM66"/>
      <c r="DZN66"/>
      <c r="DZO66"/>
      <c r="DZP66"/>
      <c r="DZQ66"/>
      <c r="DZR66"/>
      <c r="DZS66"/>
      <c r="DZT66"/>
      <c r="DZU66"/>
      <c r="DZV66"/>
      <c r="DZW66"/>
      <c r="DZX66"/>
      <c r="DZY66"/>
      <c r="DZZ66"/>
      <c r="EAA66"/>
      <c r="EAB66"/>
      <c r="EAC66"/>
      <c r="EAD66"/>
      <c r="EAE66"/>
      <c r="EAF66"/>
      <c r="EAG66"/>
      <c r="EAH66"/>
      <c r="EAI66"/>
      <c r="EAJ66"/>
      <c r="EAK66"/>
      <c r="EAL66"/>
      <c r="EAM66"/>
      <c r="EAN66"/>
      <c r="EAO66"/>
      <c r="EAP66"/>
      <c r="EAQ66"/>
      <c r="EAR66"/>
      <c r="EAS66"/>
      <c r="EAT66"/>
      <c r="EAU66"/>
      <c r="EAV66"/>
      <c r="EAW66"/>
      <c r="EAX66"/>
      <c r="EAY66"/>
      <c r="EAZ66"/>
      <c r="EBA66"/>
      <c r="EBB66"/>
      <c r="EBC66"/>
      <c r="EBD66"/>
      <c r="EBE66"/>
      <c r="EBF66"/>
      <c r="EBG66"/>
      <c r="EBH66"/>
      <c r="EBI66"/>
      <c r="EBJ66"/>
      <c r="EBK66"/>
      <c r="EBL66"/>
      <c r="EBM66"/>
      <c r="EBN66"/>
      <c r="EBO66"/>
      <c r="EBP66"/>
      <c r="EBQ66"/>
      <c r="EBR66"/>
      <c r="EBS66"/>
      <c r="EBT66"/>
      <c r="EBU66"/>
      <c r="EBV66"/>
      <c r="EBW66"/>
      <c r="EBX66"/>
      <c r="EBY66"/>
      <c r="EBZ66"/>
      <c r="ECA66"/>
      <c r="ECB66"/>
      <c r="ECC66"/>
      <c r="ECD66"/>
      <c r="ECE66"/>
      <c r="ECF66"/>
      <c r="ECG66"/>
      <c r="ECH66"/>
      <c r="ECI66"/>
      <c r="ECJ66"/>
      <c r="ECK66"/>
      <c r="ECL66"/>
      <c r="ECM66"/>
      <c r="ECN66"/>
      <c r="ECO66"/>
      <c r="ECP66"/>
      <c r="ECQ66"/>
      <c r="ECR66"/>
      <c r="ECS66"/>
      <c r="ECT66"/>
      <c r="ECU66"/>
      <c r="ECV66"/>
      <c r="ECW66"/>
      <c r="ECX66"/>
      <c r="ECY66"/>
      <c r="ECZ66"/>
      <c r="EDA66"/>
      <c r="EDB66"/>
      <c r="EDC66"/>
      <c r="EDD66"/>
      <c r="EDE66"/>
      <c r="EDF66"/>
      <c r="EDG66"/>
      <c r="EDH66"/>
      <c r="EDI66"/>
      <c r="EDJ66"/>
      <c r="EDK66"/>
      <c r="EDL66"/>
      <c r="EDM66"/>
      <c r="EDN66"/>
      <c r="EDO66"/>
      <c r="EDP66"/>
      <c r="EDQ66"/>
      <c r="EDR66"/>
      <c r="EDS66"/>
      <c r="EDT66"/>
      <c r="EDU66"/>
      <c r="EDV66"/>
      <c r="EDW66"/>
      <c r="EDX66"/>
      <c r="EDY66"/>
      <c r="EDZ66"/>
      <c r="EEA66"/>
      <c r="EEB66"/>
      <c r="EEC66"/>
      <c r="EED66"/>
      <c r="EEE66"/>
      <c r="EEF66"/>
      <c r="EEG66"/>
      <c r="EEH66"/>
      <c r="EEI66"/>
      <c r="EEJ66"/>
      <c r="EEK66"/>
      <c r="EEL66"/>
      <c r="EEM66"/>
      <c r="EEN66"/>
      <c r="EEO66"/>
      <c r="EEP66"/>
      <c r="EEQ66"/>
      <c r="EER66"/>
      <c r="EES66"/>
      <c r="EET66"/>
      <c r="EEU66"/>
      <c r="EEV66"/>
      <c r="EEW66"/>
      <c r="EEX66"/>
      <c r="EEY66"/>
      <c r="EEZ66"/>
      <c r="EFA66"/>
      <c r="EFB66"/>
      <c r="EFC66"/>
      <c r="EFD66"/>
      <c r="EFE66"/>
      <c r="EFF66"/>
      <c r="EFG66"/>
      <c r="EFH66"/>
      <c r="EFI66"/>
      <c r="EFJ66"/>
      <c r="EFK66"/>
      <c r="EFL66"/>
      <c r="EFM66"/>
      <c r="EFN66"/>
      <c r="EFO66"/>
      <c r="EFP66"/>
      <c r="EFQ66"/>
      <c r="EFR66"/>
      <c r="EFS66"/>
      <c r="EFT66"/>
      <c r="EFU66"/>
      <c r="EFV66"/>
      <c r="EFW66"/>
      <c r="EFX66"/>
      <c r="EFY66"/>
      <c r="EFZ66"/>
      <c r="EGA66"/>
      <c r="EGB66"/>
      <c r="EGC66"/>
      <c r="EGD66"/>
      <c r="EGE66"/>
      <c r="EGF66"/>
      <c r="EGG66"/>
      <c r="EGH66"/>
      <c r="EGI66"/>
      <c r="EGJ66"/>
      <c r="EGK66"/>
      <c r="EGL66"/>
      <c r="EGM66"/>
      <c r="EGN66"/>
      <c r="EGO66"/>
      <c r="EGP66"/>
      <c r="EGQ66"/>
      <c r="EGR66"/>
      <c r="EGS66"/>
      <c r="EGT66"/>
      <c r="EGU66"/>
      <c r="EGV66"/>
      <c r="EGW66"/>
      <c r="EGX66"/>
      <c r="EGY66"/>
      <c r="EGZ66"/>
      <c r="EHA66"/>
      <c r="EHB66"/>
      <c r="EHC66"/>
      <c r="EHD66"/>
      <c r="EHE66"/>
      <c r="EHF66"/>
      <c r="EHG66"/>
      <c r="EHH66"/>
      <c r="EHI66"/>
      <c r="EHJ66"/>
      <c r="EHK66"/>
      <c r="EHL66"/>
      <c r="EHM66"/>
      <c r="EHN66"/>
      <c r="EHO66"/>
      <c r="EHP66"/>
      <c r="EHQ66"/>
      <c r="EHR66"/>
      <c r="EHS66"/>
      <c r="EHT66"/>
      <c r="EHU66"/>
      <c r="EHV66"/>
      <c r="EHW66"/>
      <c r="EHX66"/>
      <c r="EHY66"/>
      <c r="EHZ66"/>
      <c r="EIA66"/>
      <c r="EIB66"/>
      <c r="EIC66"/>
      <c r="EID66"/>
      <c r="EIE66"/>
      <c r="EIF66"/>
      <c r="EIG66"/>
      <c r="EIH66"/>
      <c r="EII66"/>
      <c r="EIJ66"/>
      <c r="EIK66"/>
      <c r="EIL66"/>
      <c r="EIM66"/>
      <c r="EIN66"/>
      <c r="EIO66"/>
      <c r="EIP66"/>
      <c r="EIQ66"/>
      <c r="EIR66"/>
      <c r="EIS66"/>
      <c r="EIT66"/>
      <c r="EIU66"/>
      <c r="EIV66"/>
      <c r="EIW66"/>
      <c r="EIX66"/>
      <c r="EIY66"/>
      <c r="EIZ66"/>
      <c r="EJA66"/>
      <c r="EJB66"/>
      <c r="EJC66"/>
      <c r="EJD66"/>
      <c r="EJE66"/>
      <c r="EJF66"/>
      <c r="EJG66"/>
      <c r="EJH66"/>
      <c r="EJI66"/>
      <c r="EJJ66"/>
      <c r="EJK66"/>
      <c r="EJL66"/>
      <c r="EJM66"/>
      <c r="EJN66"/>
      <c r="EJO66"/>
      <c r="EJP66"/>
      <c r="EJQ66"/>
      <c r="EJR66"/>
      <c r="EJS66"/>
      <c r="EJT66"/>
      <c r="EJU66"/>
      <c r="EJV66"/>
      <c r="EJW66"/>
      <c r="EJX66"/>
      <c r="EJY66"/>
      <c r="EJZ66"/>
      <c r="EKA66"/>
      <c r="EKB66"/>
      <c r="EKC66"/>
      <c r="EKD66"/>
      <c r="EKE66"/>
      <c r="EKF66"/>
      <c r="EKG66"/>
      <c r="EKH66"/>
      <c r="EKI66"/>
      <c r="EKJ66"/>
      <c r="EKK66"/>
      <c r="EKL66"/>
      <c r="EKM66"/>
      <c r="EKN66"/>
      <c r="EKO66"/>
      <c r="EKP66"/>
      <c r="EKQ66"/>
      <c r="EKR66"/>
      <c r="EKS66"/>
      <c r="EKT66"/>
      <c r="EKU66"/>
      <c r="EKV66"/>
      <c r="EKW66"/>
      <c r="EKX66"/>
      <c r="EKY66"/>
      <c r="EKZ66"/>
      <c r="ELA66"/>
      <c r="ELB66"/>
      <c r="ELC66"/>
      <c r="ELD66"/>
      <c r="ELE66"/>
      <c r="ELF66"/>
      <c r="ELG66"/>
      <c r="ELH66"/>
      <c r="ELI66"/>
      <c r="ELJ66"/>
      <c r="ELK66"/>
      <c r="ELL66"/>
      <c r="ELM66"/>
      <c r="ELN66"/>
      <c r="ELO66"/>
      <c r="ELP66"/>
      <c r="ELQ66"/>
      <c r="ELR66"/>
      <c r="ELS66"/>
      <c r="ELT66"/>
      <c r="ELU66"/>
      <c r="ELV66"/>
      <c r="ELW66"/>
      <c r="ELX66"/>
      <c r="ELY66"/>
      <c r="ELZ66"/>
      <c r="EMA66"/>
      <c r="EMB66"/>
      <c r="EMC66"/>
      <c r="EMD66"/>
      <c r="EME66"/>
      <c r="EMF66"/>
      <c r="EMG66"/>
      <c r="EMH66"/>
      <c r="EMI66"/>
      <c r="EMJ66"/>
      <c r="EMK66"/>
      <c r="EML66"/>
      <c r="EMM66"/>
      <c r="EMN66"/>
      <c r="EMO66"/>
      <c r="EMP66"/>
      <c r="EMQ66"/>
      <c r="EMR66"/>
      <c r="EMS66"/>
      <c r="EMT66"/>
      <c r="EMU66"/>
      <c r="EMV66"/>
      <c r="EMW66"/>
      <c r="EMX66"/>
      <c r="EMY66"/>
      <c r="EMZ66"/>
      <c r="ENA66"/>
      <c r="ENB66"/>
      <c r="ENC66"/>
      <c r="END66"/>
      <c r="ENE66"/>
      <c r="ENF66"/>
      <c r="ENG66"/>
      <c r="ENH66"/>
      <c r="ENI66"/>
      <c r="ENJ66"/>
      <c r="ENK66"/>
      <c r="ENL66"/>
      <c r="ENM66"/>
      <c r="ENN66"/>
      <c r="ENO66"/>
      <c r="ENP66"/>
      <c r="ENQ66"/>
      <c r="ENR66"/>
      <c r="ENS66"/>
      <c r="ENT66"/>
      <c r="ENU66"/>
      <c r="ENV66"/>
      <c r="ENW66"/>
      <c r="ENX66"/>
      <c r="ENY66"/>
      <c r="ENZ66"/>
      <c r="EOA66"/>
      <c r="EOB66"/>
      <c r="EOC66"/>
      <c r="EOD66"/>
      <c r="EOE66"/>
      <c r="EOF66"/>
      <c r="EOG66"/>
      <c r="EOH66"/>
      <c r="EOI66"/>
      <c r="EOJ66"/>
      <c r="EOK66"/>
      <c r="EOL66"/>
      <c r="EOM66"/>
      <c r="EON66"/>
      <c r="EOO66"/>
      <c r="EOP66"/>
      <c r="EOQ66"/>
      <c r="EOR66"/>
      <c r="EOS66"/>
      <c r="EOT66"/>
      <c r="EOU66"/>
      <c r="EOV66"/>
      <c r="EOW66"/>
      <c r="EOX66"/>
      <c r="EOY66"/>
      <c r="EOZ66"/>
      <c r="EPA66"/>
      <c r="EPB66"/>
      <c r="EPC66"/>
      <c r="EPD66"/>
      <c r="EPE66"/>
      <c r="EPF66"/>
      <c r="EPG66"/>
      <c r="EPH66"/>
      <c r="EPI66"/>
      <c r="EPJ66"/>
      <c r="EPK66"/>
      <c r="EPL66"/>
      <c r="EPM66"/>
      <c r="EPN66"/>
      <c r="EPO66"/>
      <c r="EPP66"/>
      <c r="EPQ66"/>
      <c r="EPR66"/>
      <c r="EPS66"/>
      <c r="EPT66"/>
      <c r="EPU66"/>
      <c r="EPV66"/>
      <c r="EPW66"/>
      <c r="EPX66"/>
      <c r="EPY66"/>
      <c r="EPZ66"/>
      <c r="EQA66"/>
      <c r="EQB66"/>
      <c r="EQC66"/>
      <c r="EQD66"/>
      <c r="EQE66"/>
      <c r="EQF66"/>
      <c r="EQG66"/>
      <c r="EQH66"/>
      <c r="EQI66"/>
      <c r="EQJ66"/>
      <c r="EQK66"/>
      <c r="EQL66"/>
      <c r="EQM66"/>
      <c r="EQN66"/>
      <c r="EQO66"/>
      <c r="EQP66"/>
      <c r="EQQ66"/>
      <c r="EQR66"/>
      <c r="EQS66"/>
      <c r="EQT66"/>
      <c r="EQU66"/>
      <c r="EQV66"/>
      <c r="EQW66"/>
      <c r="EQX66"/>
      <c r="EQY66"/>
      <c r="EQZ66"/>
      <c r="ERA66"/>
      <c r="ERB66"/>
      <c r="ERC66"/>
      <c r="ERD66"/>
      <c r="ERE66"/>
      <c r="ERF66"/>
      <c r="ERG66"/>
      <c r="ERH66"/>
      <c r="ERI66"/>
      <c r="ERJ66"/>
      <c r="ERK66"/>
      <c r="ERL66"/>
      <c r="ERM66"/>
      <c r="ERN66"/>
      <c r="ERO66"/>
      <c r="ERP66"/>
      <c r="ERQ66"/>
      <c r="ERR66"/>
      <c r="ERS66"/>
      <c r="ERT66"/>
      <c r="ERU66"/>
      <c r="ERV66"/>
      <c r="ERW66"/>
      <c r="ERX66"/>
      <c r="ERY66"/>
      <c r="ERZ66"/>
      <c r="ESA66"/>
      <c r="ESB66"/>
      <c r="ESC66"/>
      <c r="ESD66"/>
      <c r="ESE66"/>
      <c r="ESF66"/>
      <c r="ESG66"/>
      <c r="ESH66"/>
      <c r="ESI66"/>
      <c r="ESJ66"/>
      <c r="ESK66"/>
      <c r="ESL66"/>
      <c r="ESM66"/>
      <c r="ESN66"/>
      <c r="ESO66"/>
      <c r="ESP66"/>
      <c r="ESQ66"/>
      <c r="ESR66"/>
      <c r="ESS66"/>
      <c r="EST66"/>
      <c r="ESU66"/>
      <c r="ESV66"/>
      <c r="ESW66"/>
      <c r="ESX66"/>
      <c r="ESY66"/>
      <c r="ESZ66"/>
      <c r="ETA66"/>
      <c r="ETB66"/>
      <c r="ETC66"/>
      <c r="ETD66"/>
      <c r="ETE66"/>
      <c r="ETF66"/>
      <c r="ETG66"/>
      <c r="ETH66"/>
      <c r="ETI66"/>
      <c r="ETJ66"/>
      <c r="ETK66"/>
      <c r="ETL66"/>
      <c r="ETM66"/>
      <c r="ETN66"/>
      <c r="ETO66"/>
      <c r="ETP66"/>
      <c r="ETQ66"/>
      <c r="ETR66"/>
      <c r="ETS66"/>
      <c r="ETT66"/>
      <c r="ETU66"/>
      <c r="ETV66"/>
      <c r="ETW66"/>
      <c r="ETX66"/>
      <c r="ETY66"/>
      <c r="ETZ66"/>
      <c r="EUA66"/>
      <c r="EUB66"/>
      <c r="EUC66"/>
      <c r="EUD66"/>
      <c r="EUE66"/>
      <c r="EUF66"/>
      <c r="EUG66"/>
      <c r="EUH66"/>
      <c r="EUI66"/>
      <c r="EUJ66"/>
      <c r="EUK66"/>
      <c r="EUL66"/>
      <c r="EUM66"/>
      <c r="EUN66"/>
      <c r="EUO66"/>
      <c r="EUP66"/>
      <c r="EUQ66"/>
      <c r="EUR66"/>
      <c r="EUS66"/>
      <c r="EUT66"/>
      <c r="EUU66"/>
      <c r="EUV66"/>
      <c r="EUW66"/>
      <c r="EUX66"/>
      <c r="EUY66"/>
      <c r="EUZ66"/>
      <c r="EVA66"/>
      <c r="EVB66"/>
      <c r="EVC66"/>
      <c r="EVD66"/>
      <c r="EVE66"/>
      <c r="EVF66"/>
      <c r="EVG66"/>
      <c r="EVH66"/>
      <c r="EVI66"/>
      <c r="EVJ66"/>
      <c r="EVK66"/>
      <c r="EVL66"/>
      <c r="EVM66"/>
      <c r="EVN66"/>
      <c r="EVO66"/>
      <c r="EVP66"/>
      <c r="EVQ66"/>
      <c r="EVR66"/>
      <c r="EVS66"/>
      <c r="EVT66"/>
      <c r="EVU66"/>
      <c r="EVV66"/>
      <c r="EVW66"/>
      <c r="EVX66"/>
      <c r="EVY66"/>
      <c r="EVZ66"/>
      <c r="EWA66"/>
      <c r="EWB66"/>
      <c r="EWC66"/>
      <c r="EWD66"/>
      <c r="EWE66"/>
      <c r="EWF66"/>
      <c r="EWG66"/>
      <c r="EWH66"/>
      <c r="EWI66"/>
      <c r="EWJ66"/>
      <c r="EWK66"/>
      <c r="EWL66"/>
      <c r="EWM66"/>
      <c r="EWN66"/>
      <c r="EWO66"/>
      <c r="EWP66"/>
      <c r="EWQ66"/>
      <c r="EWR66"/>
      <c r="EWS66"/>
      <c r="EWT66"/>
      <c r="EWU66"/>
      <c r="EWV66"/>
      <c r="EWW66"/>
      <c r="EWX66"/>
      <c r="EWY66"/>
      <c r="EWZ66"/>
      <c r="EXA66"/>
      <c r="EXB66"/>
      <c r="EXC66"/>
      <c r="EXD66"/>
      <c r="EXE66"/>
      <c r="EXF66"/>
      <c r="EXG66"/>
      <c r="EXH66"/>
      <c r="EXI66"/>
      <c r="EXJ66"/>
      <c r="EXK66"/>
      <c r="EXL66"/>
      <c r="EXM66"/>
      <c r="EXN66"/>
      <c r="EXO66"/>
      <c r="EXP66"/>
      <c r="EXQ66"/>
      <c r="EXR66"/>
      <c r="EXS66"/>
      <c r="EXT66"/>
      <c r="EXU66"/>
      <c r="EXV66"/>
      <c r="EXW66"/>
      <c r="EXX66"/>
      <c r="EXY66"/>
      <c r="EXZ66"/>
      <c r="EYA66"/>
      <c r="EYB66"/>
      <c r="EYC66"/>
      <c r="EYD66"/>
      <c r="EYE66"/>
      <c r="EYF66"/>
      <c r="EYG66"/>
      <c r="EYH66"/>
      <c r="EYI66"/>
      <c r="EYJ66"/>
      <c r="EYK66"/>
      <c r="EYL66"/>
      <c r="EYM66"/>
      <c r="EYN66"/>
      <c r="EYO66"/>
      <c r="EYP66"/>
      <c r="EYQ66"/>
      <c r="EYR66"/>
      <c r="EYS66"/>
      <c r="EYT66"/>
      <c r="EYU66"/>
      <c r="EYV66"/>
      <c r="EYW66"/>
      <c r="EYX66"/>
      <c r="EYY66"/>
      <c r="EYZ66"/>
      <c r="EZA66"/>
      <c r="EZB66"/>
      <c r="EZC66"/>
      <c r="EZD66"/>
      <c r="EZE66"/>
      <c r="EZF66"/>
      <c r="EZG66"/>
      <c r="EZH66"/>
      <c r="EZI66"/>
      <c r="EZJ66"/>
      <c r="EZK66"/>
      <c r="EZL66"/>
      <c r="EZM66"/>
      <c r="EZN66"/>
      <c r="EZO66"/>
      <c r="EZP66"/>
      <c r="EZQ66"/>
      <c r="EZR66"/>
      <c r="EZS66"/>
      <c r="EZT66"/>
      <c r="EZU66"/>
      <c r="EZV66"/>
      <c r="EZW66"/>
      <c r="EZX66"/>
      <c r="EZY66"/>
      <c r="EZZ66"/>
      <c r="FAA66"/>
      <c r="FAB66"/>
      <c r="FAC66"/>
      <c r="FAD66"/>
      <c r="FAE66"/>
      <c r="FAF66"/>
      <c r="FAG66"/>
      <c r="FAH66"/>
      <c r="FAI66"/>
      <c r="FAJ66"/>
      <c r="FAK66"/>
      <c r="FAL66"/>
      <c r="FAM66"/>
      <c r="FAN66"/>
      <c r="FAO66"/>
      <c r="FAP66"/>
      <c r="FAQ66"/>
      <c r="FAR66"/>
      <c r="FAS66"/>
      <c r="FAT66"/>
      <c r="FAU66"/>
      <c r="FAV66"/>
      <c r="FAW66"/>
      <c r="FAX66"/>
      <c r="FAY66"/>
      <c r="FAZ66"/>
      <c r="FBA66"/>
      <c r="FBB66"/>
      <c r="FBC66"/>
      <c r="FBD66"/>
      <c r="FBE66"/>
      <c r="FBF66"/>
      <c r="FBG66"/>
      <c r="FBH66"/>
      <c r="FBI66"/>
      <c r="FBJ66"/>
      <c r="FBK66"/>
      <c r="FBL66"/>
      <c r="FBM66"/>
      <c r="FBN66"/>
      <c r="FBO66"/>
      <c r="FBP66"/>
      <c r="FBQ66"/>
      <c r="FBR66"/>
      <c r="FBS66"/>
      <c r="FBT66"/>
      <c r="FBU66"/>
      <c r="FBV66"/>
      <c r="FBW66"/>
      <c r="FBX66"/>
      <c r="FBY66"/>
      <c r="FBZ66"/>
      <c r="FCA66"/>
      <c r="FCB66"/>
      <c r="FCC66"/>
      <c r="FCD66"/>
      <c r="FCE66"/>
      <c r="FCF66"/>
      <c r="FCG66"/>
      <c r="FCH66"/>
      <c r="FCI66"/>
      <c r="FCJ66"/>
      <c r="FCK66"/>
      <c r="FCL66"/>
      <c r="FCM66"/>
      <c r="FCN66"/>
      <c r="FCO66"/>
      <c r="FCP66"/>
      <c r="FCQ66"/>
      <c r="FCR66"/>
      <c r="FCS66"/>
      <c r="FCT66"/>
      <c r="FCU66"/>
      <c r="FCV66"/>
      <c r="FCW66"/>
      <c r="FCX66"/>
      <c r="FCY66"/>
      <c r="FCZ66"/>
      <c r="FDA66"/>
      <c r="FDB66"/>
      <c r="FDC66"/>
      <c r="FDD66"/>
      <c r="FDE66"/>
      <c r="FDF66"/>
      <c r="FDG66"/>
      <c r="FDH66"/>
      <c r="FDI66"/>
      <c r="FDJ66"/>
      <c r="FDK66"/>
      <c r="FDL66"/>
      <c r="FDM66"/>
      <c r="FDN66"/>
      <c r="FDO66"/>
      <c r="FDP66"/>
      <c r="FDQ66"/>
      <c r="FDR66"/>
      <c r="FDS66"/>
      <c r="FDT66"/>
      <c r="FDU66"/>
      <c r="FDV66"/>
      <c r="FDW66"/>
      <c r="FDX66"/>
      <c r="FDY66"/>
      <c r="FDZ66"/>
      <c r="FEA66"/>
      <c r="FEB66"/>
      <c r="FEC66"/>
      <c r="FED66"/>
      <c r="FEE66"/>
      <c r="FEF66"/>
      <c r="FEG66"/>
      <c r="FEH66"/>
      <c r="FEI66"/>
      <c r="FEJ66"/>
      <c r="FEK66"/>
      <c r="FEL66"/>
      <c r="FEM66"/>
      <c r="FEN66"/>
      <c r="FEO66"/>
      <c r="FEP66"/>
      <c r="FEQ66"/>
      <c r="FER66"/>
      <c r="FES66"/>
      <c r="FET66"/>
      <c r="FEU66"/>
      <c r="FEV66"/>
      <c r="FEW66"/>
      <c r="FEX66"/>
      <c r="FEY66"/>
      <c r="FEZ66"/>
      <c r="FFA66"/>
      <c r="FFB66"/>
      <c r="FFC66"/>
      <c r="FFD66"/>
      <c r="FFE66"/>
      <c r="FFF66"/>
      <c r="FFG66"/>
      <c r="FFH66"/>
      <c r="FFI66"/>
      <c r="FFJ66"/>
      <c r="FFK66"/>
      <c r="FFL66"/>
      <c r="FFM66"/>
      <c r="FFN66"/>
      <c r="FFO66"/>
      <c r="FFP66"/>
      <c r="FFQ66"/>
      <c r="FFR66"/>
      <c r="FFS66"/>
      <c r="FFT66"/>
      <c r="FFU66"/>
      <c r="FFV66"/>
      <c r="FFW66"/>
      <c r="FFX66"/>
      <c r="FFY66"/>
      <c r="FFZ66"/>
      <c r="FGA66"/>
      <c r="FGB66"/>
      <c r="FGC66"/>
      <c r="FGD66"/>
      <c r="FGE66"/>
      <c r="FGF66"/>
      <c r="FGG66"/>
      <c r="FGH66"/>
      <c r="FGI66"/>
      <c r="FGJ66"/>
      <c r="FGK66"/>
      <c r="FGL66"/>
      <c r="FGM66"/>
      <c r="FGN66"/>
      <c r="FGO66"/>
      <c r="FGP66"/>
      <c r="FGQ66"/>
      <c r="FGR66"/>
      <c r="FGS66"/>
      <c r="FGT66"/>
      <c r="FGU66"/>
      <c r="FGV66"/>
      <c r="FGW66"/>
      <c r="FGX66"/>
      <c r="FGY66"/>
      <c r="FGZ66"/>
      <c r="FHA66"/>
      <c r="FHB66"/>
      <c r="FHC66"/>
      <c r="FHD66"/>
      <c r="FHE66"/>
      <c r="FHF66"/>
      <c r="FHG66"/>
      <c r="FHH66"/>
      <c r="FHI66"/>
      <c r="FHJ66"/>
      <c r="FHK66"/>
      <c r="FHL66"/>
      <c r="FHM66"/>
      <c r="FHN66"/>
      <c r="FHO66"/>
      <c r="FHP66"/>
      <c r="FHQ66"/>
      <c r="FHR66"/>
      <c r="FHS66"/>
      <c r="FHT66"/>
      <c r="FHU66"/>
      <c r="FHV66"/>
      <c r="FHW66"/>
      <c r="FHX66"/>
      <c r="FHY66"/>
      <c r="FHZ66"/>
      <c r="FIA66"/>
      <c r="FIB66"/>
      <c r="FIC66"/>
      <c r="FID66"/>
      <c r="FIE66"/>
      <c r="FIF66"/>
      <c r="FIG66"/>
      <c r="FIH66"/>
      <c r="FII66"/>
      <c r="FIJ66"/>
      <c r="FIK66"/>
      <c r="FIL66"/>
      <c r="FIM66"/>
      <c r="FIN66"/>
      <c r="FIO66"/>
      <c r="FIP66"/>
      <c r="FIQ66"/>
      <c r="FIR66"/>
      <c r="FIS66"/>
      <c r="FIT66"/>
      <c r="FIU66"/>
      <c r="FIV66"/>
      <c r="FIW66"/>
      <c r="FIX66"/>
      <c r="FIY66"/>
      <c r="FIZ66"/>
      <c r="FJA66"/>
      <c r="FJB66"/>
      <c r="FJC66"/>
      <c r="FJD66"/>
      <c r="FJE66"/>
      <c r="FJF66"/>
      <c r="FJG66"/>
      <c r="FJH66"/>
      <c r="FJI66"/>
      <c r="FJJ66"/>
      <c r="FJK66"/>
      <c r="FJL66"/>
      <c r="FJM66"/>
      <c r="FJN66"/>
      <c r="FJO66"/>
      <c r="FJP66"/>
      <c r="FJQ66"/>
      <c r="FJR66"/>
      <c r="FJS66"/>
      <c r="FJT66"/>
      <c r="FJU66"/>
      <c r="FJV66"/>
      <c r="FJW66"/>
      <c r="FJX66"/>
      <c r="FJY66"/>
      <c r="FJZ66"/>
      <c r="FKA66"/>
      <c r="FKB66"/>
      <c r="FKC66"/>
      <c r="FKD66"/>
      <c r="FKE66"/>
      <c r="FKF66"/>
      <c r="FKG66"/>
      <c r="FKH66"/>
      <c r="FKI66"/>
      <c r="FKJ66"/>
      <c r="FKK66"/>
      <c r="FKL66"/>
      <c r="FKM66"/>
      <c r="FKN66"/>
      <c r="FKO66"/>
      <c r="FKP66"/>
      <c r="FKQ66"/>
      <c r="FKR66"/>
      <c r="FKS66"/>
      <c r="FKT66"/>
      <c r="FKU66"/>
      <c r="FKV66"/>
      <c r="FKW66"/>
      <c r="FKX66"/>
      <c r="FKY66"/>
      <c r="FKZ66"/>
      <c r="FLA66"/>
      <c r="FLB66"/>
      <c r="FLC66"/>
      <c r="FLD66"/>
      <c r="FLE66"/>
      <c r="FLF66"/>
      <c r="FLG66"/>
      <c r="FLH66"/>
      <c r="FLI66"/>
      <c r="FLJ66"/>
      <c r="FLK66"/>
      <c r="FLL66"/>
      <c r="FLM66"/>
      <c r="FLN66"/>
      <c r="FLO66"/>
      <c r="FLP66"/>
      <c r="FLQ66"/>
      <c r="FLR66"/>
      <c r="FLS66"/>
      <c r="FLT66"/>
      <c r="FLU66"/>
      <c r="FLV66"/>
      <c r="FLW66"/>
      <c r="FLX66"/>
      <c r="FLY66"/>
      <c r="FLZ66"/>
      <c r="FMA66"/>
      <c r="FMB66"/>
      <c r="FMC66"/>
      <c r="FMD66"/>
      <c r="FME66"/>
      <c r="FMF66"/>
      <c r="FMG66"/>
      <c r="FMH66"/>
      <c r="FMI66"/>
      <c r="FMJ66"/>
      <c r="FMK66"/>
      <c r="FML66"/>
      <c r="FMM66"/>
      <c r="FMN66"/>
      <c r="FMO66"/>
      <c r="FMP66"/>
      <c r="FMQ66"/>
      <c r="FMR66"/>
      <c r="FMS66"/>
      <c r="FMT66"/>
      <c r="FMU66"/>
      <c r="FMV66"/>
      <c r="FMW66"/>
      <c r="FMX66"/>
      <c r="FMY66"/>
      <c r="FMZ66"/>
      <c r="FNA66"/>
      <c r="FNB66"/>
      <c r="FNC66"/>
      <c r="FND66"/>
      <c r="FNE66"/>
      <c r="FNF66"/>
      <c r="FNG66"/>
      <c r="FNH66"/>
      <c r="FNI66"/>
      <c r="FNJ66"/>
      <c r="FNK66"/>
      <c r="FNL66"/>
      <c r="FNM66"/>
      <c r="FNN66"/>
      <c r="FNO66"/>
      <c r="FNP66"/>
      <c r="FNQ66"/>
      <c r="FNR66"/>
      <c r="FNS66"/>
      <c r="FNT66"/>
      <c r="FNU66"/>
      <c r="FNV66"/>
      <c r="FNW66"/>
      <c r="FNX66"/>
      <c r="FNY66"/>
      <c r="FNZ66"/>
      <c r="FOA66"/>
      <c r="FOB66"/>
      <c r="FOC66"/>
      <c r="FOD66"/>
      <c r="FOE66"/>
      <c r="FOF66"/>
      <c r="FOG66"/>
      <c r="FOH66"/>
      <c r="FOI66"/>
      <c r="FOJ66"/>
      <c r="FOK66"/>
      <c r="FOL66"/>
      <c r="FOM66"/>
      <c r="FON66"/>
      <c r="FOO66"/>
      <c r="FOP66"/>
      <c r="FOQ66"/>
      <c r="FOR66"/>
      <c r="FOS66"/>
      <c r="FOT66"/>
      <c r="FOU66"/>
      <c r="FOV66"/>
      <c r="FOW66"/>
      <c r="FOX66"/>
      <c r="FOY66"/>
      <c r="FOZ66"/>
      <c r="FPA66"/>
      <c r="FPB66"/>
      <c r="FPC66"/>
      <c r="FPD66"/>
      <c r="FPE66"/>
      <c r="FPF66"/>
      <c r="FPG66"/>
      <c r="FPH66"/>
      <c r="FPI66"/>
      <c r="FPJ66"/>
      <c r="FPK66"/>
      <c r="FPL66"/>
      <c r="FPM66"/>
      <c r="FPN66"/>
      <c r="FPO66"/>
      <c r="FPP66"/>
      <c r="FPQ66"/>
      <c r="FPR66"/>
      <c r="FPS66"/>
      <c r="FPT66"/>
      <c r="FPU66"/>
      <c r="FPV66"/>
      <c r="FPW66"/>
      <c r="FPX66"/>
      <c r="FPY66"/>
      <c r="FPZ66"/>
      <c r="FQA66"/>
      <c r="FQB66"/>
      <c r="FQC66"/>
      <c r="FQD66"/>
      <c r="FQE66"/>
      <c r="FQF66"/>
      <c r="FQG66"/>
      <c r="FQH66"/>
      <c r="FQI66"/>
      <c r="FQJ66"/>
      <c r="FQK66"/>
      <c r="FQL66"/>
      <c r="FQM66"/>
      <c r="FQN66"/>
      <c r="FQO66"/>
      <c r="FQP66"/>
      <c r="FQQ66"/>
      <c r="FQR66"/>
      <c r="FQS66"/>
      <c r="FQT66"/>
      <c r="FQU66"/>
      <c r="FQV66"/>
      <c r="FQW66"/>
      <c r="FQX66"/>
      <c r="FQY66"/>
      <c r="FQZ66"/>
      <c r="FRA66"/>
      <c r="FRB66"/>
      <c r="FRC66"/>
      <c r="FRD66"/>
      <c r="FRE66"/>
      <c r="FRF66"/>
      <c r="FRG66"/>
      <c r="FRH66"/>
      <c r="FRI66"/>
      <c r="FRJ66"/>
      <c r="FRK66"/>
      <c r="FRL66"/>
      <c r="FRM66"/>
      <c r="FRN66"/>
      <c r="FRO66"/>
      <c r="FRP66"/>
      <c r="FRQ66"/>
      <c r="FRR66"/>
      <c r="FRS66"/>
      <c r="FRT66"/>
      <c r="FRU66"/>
      <c r="FRV66"/>
      <c r="FRW66"/>
      <c r="FRX66"/>
      <c r="FRY66"/>
      <c r="FRZ66"/>
      <c r="FSA66"/>
      <c r="FSB66"/>
      <c r="FSC66"/>
      <c r="FSD66"/>
      <c r="FSE66"/>
      <c r="FSF66"/>
      <c r="FSG66"/>
      <c r="FSH66"/>
      <c r="FSI66"/>
      <c r="FSJ66"/>
      <c r="FSK66"/>
      <c r="FSL66"/>
      <c r="FSM66"/>
      <c r="FSN66"/>
      <c r="FSO66"/>
      <c r="FSP66"/>
      <c r="FSQ66"/>
      <c r="FSR66"/>
      <c r="FSS66"/>
      <c r="FST66"/>
      <c r="FSU66"/>
      <c r="FSV66"/>
      <c r="FSW66"/>
      <c r="FSX66"/>
      <c r="FSY66"/>
      <c r="FSZ66"/>
      <c r="FTA66"/>
      <c r="FTB66"/>
      <c r="FTC66"/>
      <c r="FTD66"/>
      <c r="FTE66"/>
      <c r="FTF66"/>
      <c r="FTG66"/>
      <c r="FTH66"/>
      <c r="FTI66"/>
      <c r="FTJ66"/>
      <c r="FTK66"/>
      <c r="FTL66"/>
      <c r="FTM66"/>
      <c r="FTN66"/>
      <c r="FTO66"/>
      <c r="FTP66"/>
      <c r="FTQ66"/>
      <c r="FTR66"/>
      <c r="FTS66"/>
      <c r="FTT66"/>
      <c r="FTU66"/>
      <c r="FTV66"/>
      <c r="FTW66"/>
      <c r="FTX66"/>
      <c r="FTY66"/>
      <c r="FTZ66"/>
      <c r="FUA66"/>
      <c r="FUB66"/>
      <c r="FUC66"/>
      <c r="FUD66"/>
      <c r="FUE66"/>
      <c r="FUF66"/>
      <c r="FUG66"/>
      <c r="FUH66"/>
      <c r="FUI66"/>
      <c r="FUJ66"/>
      <c r="FUK66"/>
      <c r="FUL66"/>
      <c r="FUM66"/>
      <c r="FUN66"/>
      <c r="FUO66"/>
      <c r="FUP66"/>
      <c r="FUQ66"/>
      <c r="FUR66"/>
      <c r="FUS66"/>
      <c r="FUT66"/>
      <c r="FUU66"/>
      <c r="FUV66"/>
      <c r="FUW66"/>
      <c r="FUX66"/>
      <c r="FUY66"/>
      <c r="FUZ66"/>
      <c r="FVA66"/>
      <c r="FVB66"/>
      <c r="FVC66"/>
      <c r="FVD66"/>
      <c r="FVE66"/>
      <c r="FVF66"/>
      <c r="FVG66"/>
      <c r="FVH66"/>
      <c r="FVI66"/>
      <c r="FVJ66"/>
      <c r="FVK66"/>
      <c r="FVL66"/>
      <c r="FVM66"/>
      <c r="FVN66"/>
      <c r="FVO66"/>
      <c r="FVP66"/>
      <c r="FVQ66"/>
      <c r="FVR66"/>
      <c r="FVS66"/>
      <c r="FVT66"/>
      <c r="FVU66"/>
      <c r="FVV66"/>
      <c r="FVW66"/>
      <c r="FVX66"/>
      <c r="FVY66"/>
      <c r="FVZ66"/>
      <c r="FWA66"/>
      <c r="FWB66"/>
      <c r="FWC66"/>
      <c r="FWD66"/>
      <c r="FWE66"/>
      <c r="FWF66"/>
      <c r="FWG66"/>
      <c r="FWH66"/>
      <c r="FWI66"/>
      <c r="FWJ66"/>
      <c r="FWK66"/>
      <c r="FWL66"/>
      <c r="FWM66"/>
      <c r="FWN66"/>
      <c r="FWO66"/>
      <c r="FWP66"/>
      <c r="FWQ66"/>
      <c r="FWR66"/>
      <c r="FWS66"/>
      <c r="FWT66"/>
      <c r="FWU66"/>
      <c r="FWV66"/>
      <c r="FWW66"/>
      <c r="FWX66"/>
      <c r="FWY66"/>
      <c r="FWZ66"/>
      <c r="FXA66"/>
      <c r="FXB66"/>
      <c r="FXC66"/>
      <c r="FXD66"/>
      <c r="FXE66"/>
      <c r="FXF66"/>
      <c r="FXG66"/>
      <c r="FXH66"/>
      <c r="FXI66"/>
      <c r="FXJ66"/>
      <c r="FXK66"/>
      <c r="FXL66"/>
      <c r="FXM66"/>
      <c r="FXN66"/>
      <c r="FXO66"/>
      <c r="FXP66"/>
      <c r="FXQ66"/>
      <c r="FXR66"/>
      <c r="FXS66"/>
      <c r="FXT66"/>
      <c r="FXU66"/>
      <c r="FXV66"/>
      <c r="FXW66"/>
      <c r="FXX66"/>
      <c r="FXY66"/>
      <c r="FXZ66"/>
      <c r="FYA66"/>
      <c r="FYB66"/>
      <c r="FYC66"/>
      <c r="FYD66"/>
      <c r="FYE66"/>
      <c r="FYF66"/>
      <c r="FYG66"/>
      <c r="FYH66"/>
      <c r="FYI66"/>
      <c r="FYJ66"/>
      <c r="FYK66"/>
      <c r="FYL66"/>
      <c r="FYM66"/>
      <c r="FYN66"/>
      <c r="FYO66"/>
      <c r="FYP66"/>
      <c r="FYQ66"/>
      <c r="FYR66"/>
      <c r="FYS66"/>
      <c r="FYT66"/>
      <c r="FYU66"/>
      <c r="FYV66"/>
      <c r="FYW66"/>
      <c r="FYX66"/>
      <c r="FYY66"/>
      <c r="FYZ66"/>
      <c r="FZA66"/>
      <c r="FZB66"/>
      <c r="FZC66"/>
      <c r="FZD66"/>
      <c r="FZE66"/>
      <c r="FZF66"/>
      <c r="FZG66"/>
      <c r="FZH66"/>
      <c r="FZI66"/>
      <c r="FZJ66"/>
      <c r="FZK66"/>
      <c r="FZL66"/>
      <c r="FZM66"/>
      <c r="FZN66"/>
      <c r="FZO66"/>
      <c r="FZP66"/>
      <c r="FZQ66"/>
      <c r="FZR66"/>
      <c r="FZS66"/>
      <c r="FZT66"/>
      <c r="FZU66"/>
      <c r="FZV66"/>
      <c r="FZW66"/>
      <c r="FZX66"/>
      <c r="FZY66"/>
      <c r="FZZ66"/>
      <c r="GAA66"/>
      <c r="GAB66"/>
      <c r="GAC66"/>
      <c r="GAD66"/>
      <c r="GAE66"/>
      <c r="GAF66"/>
      <c r="GAG66"/>
      <c r="GAH66"/>
      <c r="GAI66"/>
      <c r="GAJ66"/>
      <c r="GAK66"/>
      <c r="GAL66"/>
      <c r="GAM66"/>
      <c r="GAN66"/>
      <c r="GAO66"/>
      <c r="GAP66"/>
      <c r="GAQ66"/>
      <c r="GAR66"/>
      <c r="GAS66"/>
      <c r="GAT66"/>
      <c r="GAU66"/>
      <c r="GAV66"/>
      <c r="GAW66"/>
      <c r="GAX66"/>
      <c r="GAY66"/>
      <c r="GAZ66"/>
      <c r="GBA66"/>
      <c r="GBB66"/>
      <c r="GBC66"/>
      <c r="GBD66"/>
      <c r="GBE66"/>
      <c r="GBF66"/>
      <c r="GBG66"/>
      <c r="GBH66"/>
      <c r="GBI66"/>
      <c r="GBJ66"/>
      <c r="GBK66"/>
      <c r="GBL66"/>
      <c r="GBM66"/>
      <c r="GBN66"/>
      <c r="GBO66"/>
      <c r="GBP66"/>
      <c r="GBQ66"/>
      <c r="GBR66"/>
      <c r="GBS66"/>
      <c r="GBT66"/>
      <c r="GBU66"/>
      <c r="GBV66"/>
      <c r="GBW66"/>
      <c r="GBX66"/>
      <c r="GBY66"/>
      <c r="GBZ66"/>
      <c r="GCA66"/>
      <c r="GCB66"/>
      <c r="GCC66"/>
      <c r="GCD66"/>
      <c r="GCE66"/>
      <c r="GCF66"/>
      <c r="GCG66"/>
      <c r="GCH66"/>
      <c r="GCI66"/>
      <c r="GCJ66"/>
      <c r="GCK66"/>
      <c r="GCL66"/>
      <c r="GCM66"/>
      <c r="GCN66"/>
      <c r="GCO66"/>
      <c r="GCP66"/>
      <c r="GCQ66"/>
      <c r="GCR66"/>
      <c r="GCS66"/>
      <c r="GCT66"/>
      <c r="GCU66"/>
      <c r="GCV66"/>
      <c r="GCW66"/>
      <c r="GCX66"/>
      <c r="GCY66"/>
      <c r="GCZ66"/>
      <c r="GDA66"/>
      <c r="GDB66"/>
      <c r="GDC66"/>
      <c r="GDD66"/>
      <c r="GDE66"/>
      <c r="GDF66"/>
      <c r="GDG66"/>
      <c r="GDH66"/>
      <c r="GDI66"/>
      <c r="GDJ66"/>
      <c r="GDK66"/>
      <c r="GDL66"/>
      <c r="GDM66"/>
      <c r="GDN66"/>
      <c r="GDO66"/>
      <c r="GDP66"/>
      <c r="GDQ66"/>
      <c r="GDR66"/>
      <c r="GDS66"/>
      <c r="GDT66"/>
      <c r="GDU66"/>
      <c r="GDV66"/>
      <c r="GDW66"/>
      <c r="GDX66"/>
      <c r="GDY66"/>
      <c r="GDZ66"/>
      <c r="GEA66"/>
      <c r="GEB66"/>
      <c r="GEC66"/>
      <c r="GED66"/>
      <c r="GEE66"/>
      <c r="GEF66"/>
      <c r="GEG66"/>
      <c r="GEH66"/>
      <c r="GEI66"/>
      <c r="GEJ66"/>
      <c r="GEK66"/>
      <c r="GEL66"/>
      <c r="GEM66"/>
      <c r="GEN66"/>
      <c r="GEO66"/>
      <c r="GEP66"/>
      <c r="GEQ66"/>
      <c r="GER66"/>
      <c r="GES66"/>
      <c r="GET66"/>
      <c r="GEU66"/>
      <c r="GEV66"/>
      <c r="GEW66"/>
      <c r="GEX66"/>
      <c r="GEY66"/>
      <c r="GEZ66"/>
      <c r="GFA66"/>
      <c r="GFB66"/>
      <c r="GFC66"/>
      <c r="GFD66"/>
      <c r="GFE66"/>
      <c r="GFF66"/>
      <c r="GFG66"/>
      <c r="GFH66"/>
      <c r="GFI66"/>
      <c r="GFJ66"/>
      <c r="GFK66"/>
      <c r="GFL66"/>
      <c r="GFM66"/>
      <c r="GFN66"/>
      <c r="GFO66"/>
      <c r="GFP66"/>
      <c r="GFQ66"/>
      <c r="GFR66"/>
      <c r="GFS66"/>
      <c r="GFT66"/>
      <c r="GFU66"/>
      <c r="GFV66"/>
      <c r="GFW66"/>
      <c r="GFX66"/>
      <c r="GFY66"/>
      <c r="GFZ66"/>
      <c r="GGA66"/>
      <c r="GGB66"/>
      <c r="GGC66"/>
      <c r="GGD66"/>
      <c r="GGE66"/>
      <c r="GGF66"/>
      <c r="GGG66"/>
      <c r="GGH66"/>
      <c r="GGI66"/>
      <c r="GGJ66"/>
      <c r="GGK66"/>
      <c r="GGL66"/>
      <c r="GGM66"/>
      <c r="GGN66"/>
      <c r="GGO66"/>
      <c r="GGP66"/>
      <c r="GGQ66"/>
      <c r="GGR66"/>
      <c r="GGS66"/>
      <c r="GGT66"/>
      <c r="GGU66"/>
      <c r="GGV66"/>
      <c r="GGW66"/>
      <c r="GGX66"/>
      <c r="GGY66"/>
      <c r="GGZ66"/>
      <c r="GHA66"/>
      <c r="GHB66"/>
      <c r="GHC66"/>
      <c r="GHD66"/>
      <c r="GHE66"/>
      <c r="GHF66"/>
      <c r="GHG66"/>
      <c r="GHH66"/>
      <c r="GHI66"/>
      <c r="GHJ66"/>
      <c r="GHK66"/>
      <c r="GHL66"/>
      <c r="GHM66"/>
      <c r="GHN66"/>
      <c r="GHO66"/>
      <c r="GHP66"/>
      <c r="GHQ66"/>
      <c r="GHR66"/>
      <c r="GHS66"/>
      <c r="GHT66"/>
      <c r="GHU66"/>
      <c r="GHV66"/>
      <c r="GHW66"/>
      <c r="GHX66"/>
      <c r="GHY66"/>
      <c r="GHZ66"/>
      <c r="GIA66"/>
      <c r="GIB66"/>
      <c r="GIC66"/>
      <c r="GID66"/>
      <c r="GIE66"/>
      <c r="GIF66"/>
      <c r="GIG66"/>
      <c r="GIH66"/>
      <c r="GII66"/>
      <c r="GIJ66"/>
      <c r="GIK66"/>
      <c r="GIL66"/>
      <c r="GIM66"/>
      <c r="GIN66"/>
      <c r="GIO66"/>
      <c r="GIP66"/>
      <c r="GIQ66"/>
      <c r="GIR66"/>
      <c r="GIS66"/>
      <c r="GIT66"/>
      <c r="GIU66"/>
      <c r="GIV66"/>
      <c r="GIW66"/>
      <c r="GIX66"/>
      <c r="GIY66"/>
      <c r="GIZ66"/>
      <c r="GJA66"/>
      <c r="GJB66"/>
      <c r="GJC66"/>
      <c r="GJD66"/>
      <c r="GJE66"/>
      <c r="GJF66"/>
      <c r="GJG66"/>
      <c r="GJH66"/>
      <c r="GJI66"/>
      <c r="GJJ66"/>
      <c r="GJK66"/>
      <c r="GJL66"/>
      <c r="GJM66"/>
      <c r="GJN66"/>
      <c r="GJO66"/>
      <c r="GJP66"/>
      <c r="GJQ66"/>
      <c r="GJR66"/>
      <c r="GJS66"/>
      <c r="GJT66"/>
      <c r="GJU66"/>
      <c r="GJV66"/>
      <c r="GJW66"/>
      <c r="GJX66"/>
      <c r="GJY66"/>
      <c r="GJZ66"/>
      <c r="GKA66"/>
      <c r="GKB66"/>
      <c r="GKC66"/>
      <c r="GKD66"/>
      <c r="GKE66"/>
      <c r="GKF66"/>
      <c r="GKG66"/>
      <c r="GKH66"/>
      <c r="GKI66"/>
      <c r="GKJ66"/>
      <c r="GKK66"/>
      <c r="GKL66"/>
      <c r="GKM66"/>
      <c r="GKN66"/>
      <c r="GKO66"/>
      <c r="GKP66"/>
      <c r="GKQ66"/>
      <c r="GKR66"/>
      <c r="GKS66"/>
      <c r="GKT66"/>
      <c r="GKU66"/>
      <c r="GKV66"/>
      <c r="GKW66"/>
      <c r="GKX66"/>
      <c r="GKY66"/>
      <c r="GKZ66"/>
      <c r="GLA66"/>
      <c r="GLB66"/>
      <c r="GLC66"/>
      <c r="GLD66"/>
      <c r="GLE66"/>
      <c r="GLF66"/>
      <c r="GLG66"/>
      <c r="GLH66"/>
      <c r="GLI66"/>
      <c r="GLJ66"/>
      <c r="GLK66"/>
      <c r="GLL66"/>
      <c r="GLM66"/>
      <c r="GLN66"/>
      <c r="GLO66"/>
      <c r="GLP66"/>
      <c r="GLQ66"/>
      <c r="GLR66"/>
      <c r="GLS66"/>
      <c r="GLT66"/>
      <c r="GLU66"/>
      <c r="GLV66"/>
      <c r="GLW66"/>
      <c r="GLX66"/>
      <c r="GLY66"/>
      <c r="GLZ66"/>
      <c r="GMA66"/>
      <c r="GMB66"/>
      <c r="GMC66"/>
      <c r="GMD66"/>
      <c r="GME66"/>
      <c r="GMF66"/>
      <c r="GMG66"/>
      <c r="GMH66"/>
      <c r="GMI66"/>
      <c r="GMJ66"/>
      <c r="GMK66"/>
      <c r="GML66"/>
      <c r="GMM66"/>
      <c r="GMN66"/>
      <c r="GMO66"/>
      <c r="GMP66"/>
      <c r="GMQ66"/>
      <c r="GMR66"/>
      <c r="GMS66"/>
      <c r="GMT66"/>
      <c r="GMU66"/>
      <c r="GMV66"/>
      <c r="GMW66"/>
      <c r="GMX66"/>
      <c r="GMY66"/>
      <c r="GMZ66"/>
      <c r="GNA66"/>
      <c r="GNB66"/>
      <c r="GNC66"/>
      <c r="GND66"/>
      <c r="GNE66"/>
      <c r="GNF66"/>
      <c r="GNG66"/>
      <c r="GNH66"/>
      <c r="GNI66"/>
      <c r="GNJ66"/>
      <c r="GNK66"/>
      <c r="GNL66"/>
      <c r="GNM66"/>
      <c r="GNN66"/>
      <c r="GNO66"/>
      <c r="GNP66"/>
      <c r="GNQ66"/>
      <c r="GNR66"/>
      <c r="GNS66"/>
      <c r="GNT66"/>
      <c r="GNU66"/>
      <c r="GNV66"/>
      <c r="GNW66"/>
      <c r="GNX66"/>
      <c r="GNY66"/>
      <c r="GNZ66"/>
      <c r="GOA66"/>
      <c r="GOB66"/>
      <c r="GOC66"/>
      <c r="GOD66"/>
      <c r="GOE66"/>
      <c r="GOF66"/>
      <c r="GOG66"/>
      <c r="GOH66"/>
      <c r="GOI66"/>
      <c r="GOJ66"/>
      <c r="GOK66"/>
      <c r="GOL66"/>
      <c r="GOM66"/>
      <c r="GON66"/>
      <c r="GOO66"/>
      <c r="GOP66"/>
      <c r="GOQ66"/>
      <c r="GOR66"/>
      <c r="GOS66"/>
      <c r="GOT66"/>
      <c r="GOU66"/>
      <c r="GOV66"/>
      <c r="GOW66"/>
      <c r="GOX66"/>
      <c r="GOY66"/>
      <c r="GOZ66"/>
      <c r="GPA66"/>
      <c r="GPB66"/>
      <c r="GPC66"/>
      <c r="GPD66"/>
      <c r="GPE66"/>
      <c r="GPF66"/>
      <c r="GPG66"/>
      <c r="GPH66"/>
      <c r="GPI66"/>
      <c r="GPJ66"/>
      <c r="GPK66"/>
      <c r="GPL66"/>
      <c r="GPM66"/>
      <c r="GPN66"/>
      <c r="GPO66"/>
      <c r="GPP66"/>
      <c r="GPQ66"/>
      <c r="GPR66"/>
      <c r="GPS66"/>
      <c r="GPT66"/>
      <c r="GPU66"/>
      <c r="GPV66"/>
      <c r="GPW66"/>
      <c r="GPX66"/>
      <c r="GPY66"/>
      <c r="GPZ66"/>
      <c r="GQA66"/>
      <c r="GQB66"/>
      <c r="GQC66"/>
      <c r="GQD66"/>
      <c r="GQE66"/>
      <c r="GQF66"/>
      <c r="GQG66"/>
      <c r="GQH66"/>
      <c r="GQI66"/>
      <c r="GQJ66"/>
      <c r="GQK66"/>
      <c r="GQL66"/>
      <c r="GQM66"/>
      <c r="GQN66"/>
      <c r="GQO66"/>
      <c r="GQP66"/>
      <c r="GQQ66"/>
      <c r="GQR66"/>
      <c r="GQS66"/>
      <c r="GQT66"/>
      <c r="GQU66"/>
      <c r="GQV66"/>
      <c r="GQW66"/>
      <c r="GQX66"/>
      <c r="GQY66"/>
      <c r="GQZ66"/>
      <c r="GRA66"/>
      <c r="GRB66"/>
      <c r="GRC66"/>
      <c r="GRD66"/>
      <c r="GRE66"/>
      <c r="GRF66"/>
      <c r="GRG66"/>
      <c r="GRH66"/>
      <c r="GRI66"/>
      <c r="GRJ66"/>
      <c r="GRK66"/>
      <c r="GRL66"/>
      <c r="GRM66"/>
      <c r="GRN66"/>
      <c r="GRO66"/>
      <c r="GRP66"/>
      <c r="GRQ66"/>
      <c r="GRR66"/>
      <c r="GRS66"/>
      <c r="GRT66"/>
      <c r="GRU66"/>
      <c r="GRV66"/>
      <c r="GRW66"/>
      <c r="GRX66"/>
      <c r="GRY66"/>
      <c r="GRZ66"/>
      <c r="GSA66"/>
      <c r="GSB66"/>
      <c r="GSC66"/>
      <c r="GSD66"/>
      <c r="GSE66"/>
      <c r="GSF66"/>
      <c r="GSG66"/>
      <c r="GSH66"/>
      <c r="GSI66"/>
      <c r="GSJ66"/>
      <c r="GSK66"/>
      <c r="GSL66"/>
      <c r="GSM66"/>
      <c r="GSN66"/>
      <c r="GSO66"/>
      <c r="GSP66"/>
      <c r="GSQ66"/>
      <c r="GSR66"/>
      <c r="GSS66"/>
      <c r="GST66"/>
      <c r="GSU66"/>
      <c r="GSV66"/>
      <c r="GSW66"/>
      <c r="GSX66"/>
      <c r="GSY66"/>
      <c r="GSZ66"/>
      <c r="GTA66"/>
      <c r="GTB66"/>
      <c r="GTC66"/>
      <c r="GTD66"/>
      <c r="GTE66"/>
      <c r="GTF66"/>
      <c r="GTG66"/>
      <c r="GTH66"/>
      <c r="GTI66"/>
      <c r="GTJ66"/>
      <c r="GTK66"/>
      <c r="GTL66"/>
      <c r="GTM66"/>
      <c r="GTN66"/>
      <c r="GTO66"/>
      <c r="GTP66"/>
      <c r="GTQ66"/>
      <c r="GTR66"/>
      <c r="GTS66"/>
      <c r="GTT66"/>
      <c r="GTU66"/>
      <c r="GTV66"/>
      <c r="GTW66"/>
      <c r="GTX66"/>
      <c r="GTY66"/>
      <c r="GTZ66"/>
      <c r="GUA66"/>
      <c r="GUB66"/>
      <c r="GUC66"/>
      <c r="GUD66"/>
      <c r="GUE66"/>
      <c r="GUF66"/>
      <c r="GUG66"/>
      <c r="GUH66"/>
      <c r="GUI66"/>
      <c r="GUJ66"/>
      <c r="GUK66"/>
      <c r="GUL66"/>
      <c r="GUM66"/>
      <c r="GUN66"/>
      <c r="GUO66"/>
      <c r="GUP66"/>
      <c r="GUQ66"/>
      <c r="GUR66"/>
      <c r="GUS66"/>
      <c r="GUT66"/>
      <c r="GUU66"/>
      <c r="GUV66"/>
      <c r="GUW66"/>
      <c r="GUX66"/>
      <c r="GUY66"/>
      <c r="GUZ66"/>
      <c r="GVA66"/>
      <c r="GVB66"/>
      <c r="GVC66"/>
      <c r="GVD66"/>
      <c r="GVE66"/>
      <c r="GVF66"/>
      <c r="GVG66"/>
      <c r="GVH66"/>
      <c r="GVI66"/>
      <c r="GVJ66"/>
      <c r="GVK66"/>
      <c r="GVL66"/>
      <c r="GVM66"/>
      <c r="GVN66"/>
      <c r="GVO66"/>
      <c r="GVP66"/>
      <c r="GVQ66"/>
      <c r="GVR66"/>
      <c r="GVS66"/>
      <c r="GVT66"/>
      <c r="GVU66"/>
      <c r="GVV66"/>
      <c r="GVW66"/>
      <c r="GVX66"/>
      <c r="GVY66"/>
      <c r="GVZ66"/>
      <c r="GWA66"/>
      <c r="GWB66"/>
      <c r="GWC66"/>
      <c r="GWD66"/>
      <c r="GWE66"/>
      <c r="GWF66"/>
      <c r="GWG66"/>
      <c r="GWH66"/>
      <c r="GWI66"/>
      <c r="GWJ66"/>
      <c r="GWK66"/>
      <c r="GWL66"/>
      <c r="GWM66"/>
      <c r="GWN66"/>
      <c r="GWO66"/>
      <c r="GWP66"/>
      <c r="GWQ66"/>
      <c r="GWR66"/>
      <c r="GWS66"/>
      <c r="GWT66"/>
      <c r="GWU66"/>
      <c r="GWV66"/>
      <c r="GWW66"/>
      <c r="GWX66"/>
      <c r="GWY66"/>
      <c r="GWZ66"/>
      <c r="GXA66"/>
      <c r="GXB66"/>
      <c r="GXC66"/>
      <c r="GXD66"/>
      <c r="GXE66"/>
      <c r="GXF66"/>
      <c r="GXG66"/>
      <c r="GXH66"/>
      <c r="GXI66"/>
      <c r="GXJ66"/>
      <c r="GXK66"/>
      <c r="GXL66"/>
      <c r="GXM66"/>
      <c r="GXN66"/>
      <c r="GXO66"/>
      <c r="GXP66"/>
      <c r="GXQ66"/>
      <c r="GXR66"/>
      <c r="GXS66"/>
      <c r="GXT66"/>
      <c r="GXU66"/>
      <c r="GXV66"/>
      <c r="GXW66"/>
      <c r="GXX66"/>
      <c r="GXY66"/>
      <c r="GXZ66"/>
      <c r="GYA66"/>
      <c r="GYB66"/>
      <c r="GYC66"/>
      <c r="GYD66"/>
      <c r="GYE66"/>
      <c r="GYF66"/>
      <c r="GYG66"/>
      <c r="GYH66"/>
      <c r="GYI66"/>
      <c r="GYJ66"/>
      <c r="GYK66"/>
      <c r="GYL66"/>
      <c r="GYM66"/>
      <c r="GYN66"/>
      <c r="GYO66"/>
      <c r="GYP66"/>
      <c r="GYQ66"/>
      <c r="GYR66"/>
      <c r="GYS66"/>
      <c r="GYT66"/>
      <c r="GYU66"/>
      <c r="GYV66"/>
      <c r="GYW66"/>
      <c r="GYX66"/>
      <c r="GYY66"/>
      <c r="GYZ66"/>
      <c r="GZA66"/>
      <c r="GZB66"/>
      <c r="GZC66"/>
      <c r="GZD66"/>
      <c r="GZE66"/>
      <c r="GZF66"/>
      <c r="GZG66"/>
      <c r="GZH66"/>
      <c r="GZI66"/>
      <c r="GZJ66"/>
      <c r="GZK66"/>
      <c r="GZL66"/>
      <c r="GZM66"/>
      <c r="GZN66"/>
      <c r="GZO66"/>
      <c r="GZP66"/>
      <c r="GZQ66"/>
      <c r="GZR66"/>
      <c r="GZS66"/>
      <c r="GZT66"/>
      <c r="GZU66"/>
      <c r="GZV66"/>
      <c r="GZW66"/>
      <c r="GZX66"/>
      <c r="GZY66"/>
      <c r="GZZ66"/>
      <c r="HAA66"/>
      <c r="HAB66"/>
      <c r="HAC66"/>
      <c r="HAD66"/>
      <c r="HAE66"/>
      <c r="HAF66"/>
      <c r="HAG66"/>
      <c r="HAH66"/>
      <c r="HAI66"/>
      <c r="HAJ66"/>
      <c r="HAK66"/>
      <c r="HAL66"/>
      <c r="HAM66"/>
      <c r="HAN66"/>
      <c r="HAO66"/>
      <c r="HAP66"/>
      <c r="HAQ66"/>
      <c r="HAR66"/>
      <c r="HAS66"/>
      <c r="HAT66"/>
      <c r="HAU66"/>
      <c r="HAV66"/>
      <c r="HAW66"/>
      <c r="HAX66"/>
      <c r="HAY66"/>
      <c r="HAZ66"/>
      <c r="HBA66"/>
      <c r="HBB66"/>
      <c r="HBC66"/>
      <c r="HBD66"/>
      <c r="HBE66"/>
      <c r="HBF66"/>
      <c r="HBG66"/>
      <c r="HBH66"/>
      <c r="HBI66"/>
      <c r="HBJ66"/>
      <c r="HBK66"/>
      <c r="HBL66"/>
      <c r="HBM66"/>
      <c r="HBN66"/>
      <c r="HBO66"/>
      <c r="HBP66"/>
      <c r="HBQ66"/>
      <c r="HBR66"/>
      <c r="HBS66"/>
      <c r="HBT66"/>
      <c r="HBU66"/>
      <c r="HBV66"/>
      <c r="HBW66"/>
      <c r="HBX66"/>
      <c r="HBY66"/>
      <c r="HBZ66"/>
      <c r="HCA66"/>
      <c r="HCB66"/>
      <c r="HCC66"/>
      <c r="HCD66"/>
      <c r="HCE66"/>
      <c r="HCF66"/>
      <c r="HCG66"/>
      <c r="HCH66"/>
      <c r="HCI66"/>
      <c r="HCJ66"/>
      <c r="HCK66"/>
      <c r="HCL66"/>
      <c r="HCM66"/>
      <c r="HCN66"/>
      <c r="HCO66"/>
      <c r="HCP66"/>
      <c r="HCQ66"/>
      <c r="HCR66"/>
      <c r="HCS66"/>
      <c r="HCT66"/>
      <c r="HCU66"/>
      <c r="HCV66"/>
      <c r="HCW66"/>
      <c r="HCX66"/>
      <c r="HCY66"/>
      <c r="HCZ66"/>
      <c r="HDA66"/>
      <c r="HDB66"/>
      <c r="HDC66"/>
      <c r="HDD66"/>
      <c r="HDE66"/>
      <c r="HDF66"/>
      <c r="HDG66"/>
      <c r="HDH66"/>
      <c r="HDI66"/>
      <c r="HDJ66"/>
      <c r="HDK66"/>
      <c r="HDL66"/>
      <c r="HDM66"/>
      <c r="HDN66"/>
      <c r="HDO66"/>
      <c r="HDP66"/>
      <c r="HDQ66"/>
      <c r="HDR66"/>
      <c r="HDS66"/>
      <c r="HDT66"/>
      <c r="HDU66"/>
      <c r="HDV66"/>
      <c r="HDW66"/>
      <c r="HDX66"/>
      <c r="HDY66"/>
      <c r="HDZ66"/>
      <c r="HEA66"/>
      <c r="HEB66"/>
      <c r="HEC66"/>
      <c r="HED66"/>
      <c r="HEE66"/>
      <c r="HEF66"/>
      <c r="HEG66"/>
      <c r="HEH66"/>
      <c r="HEI66"/>
      <c r="HEJ66"/>
      <c r="HEK66"/>
      <c r="HEL66"/>
      <c r="HEM66"/>
      <c r="HEN66"/>
      <c r="HEO66"/>
      <c r="HEP66"/>
      <c r="HEQ66"/>
      <c r="HER66"/>
      <c r="HES66"/>
      <c r="HET66"/>
      <c r="HEU66"/>
      <c r="HEV66"/>
      <c r="HEW66"/>
      <c r="HEX66"/>
      <c r="HEY66"/>
      <c r="HEZ66"/>
      <c r="HFA66"/>
      <c r="HFB66"/>
      <c r="HFC66"/>
      <c r="HFD66"/>
      <c r="HFE66"/>
      <c r="HFF66"/>
      <c r="HFG66"/>
      <c r="HFH66"/>
      <c r="HFI66"/>
      <c r="HFJ66"/>
      <c r="HFK66"/>
      <c r="HFL66"/>
      <c r="HFM66"/>
      <c r="HFN66"/>
      <c r="HFO66"/>
      <c r="HFP66"/>
      <c r="HFQ66"/>
      <c r="HFR66"/>
      <c r="HFS66"/>
      <c r="HFT66"/>
      <c r="HFU66"/>
      <c r="HFV66"/>
      <c r="HFW66"/>
      <c r="HFX66"/>
      <c r="HFY66"/>
      <c r="HFZ66"/>
      <c r="HGA66"/>
      <c r="HGB66"/>
      <c r="HGC66"/>
      <c r="HGD66"/>
      <c r="HGE66"/>
      <c r="HGF66"/>
      <c r="HGG66"/>
      <c r="HGH66"/>
      <c r="HGI66"/>
      <c r="HGJ66"/>
      <c r="HGK66"/>
      <c r="HGL66"/>
      <c r="HGM66"/>
      <c r="HGN66"/>
      <c r="HGO66"/>
      <c r="HGP66"/>
      <c r="HGQ66"/>
      <c r="HGR66"/>
      <c r="HGS66"/>
      <c r="HGT66"/>
      <c r="HGU66"/>
      <c r="HGV66"/>
      <c r="HGW66"/>
      <c r="HGX66"/>
      <c r="HGY66"/>
      <c r="HGZ66"/>
      <c r="HHA66"/>
      <c r="HHB66"/>
      <c r="HHC66"/>
      <c r="HHD66"/>
      <c r="HHE66"/>
      <c r="HHF66"/>
      <c r="HHG66"/>
      <c r="HHH66"/>
      <c r="HHI66"/>
      <c r="HHJ66"/>
      <c r="HHK66"/>
      <c r="HHL66"/>
      <c r="HHM66"/>
      <c r="HHN66"/>
      <c r="HHO66"/>
      <c r="HHP66"/>
      <c r="HHQ66"/>
      <c r="HHR66"/>
      <c r="HHS66"/>
      <c r="HHT66"/>
      <c r="HHU66"/>
      <c r="HHV66"/>
      <c r="HHW66"/>
      <c r="HHX66"/>
      <c r="HHY66"/>
      <c r="HHZ66"/>
      <c r="HIA66"/>
      <c r="HIB66"/>
      <c r="HIC66"/>
      <c r="HID66"/>
      <c r="HIE66"/>
      <c r="HIF66"/>
      <c r="HIG66"/>
      <c r="HIH66"/>
      <c r="HII66"/>
      <c r="HIJ66"/>
      <c r="HIK66"/>
      <c r="HIL66"/>
      <c r="HIM66"/>
      <c r="HIN66"/>
      <c r="HIO66"/>
      <c r="HIP66"/>
      <c r="HIQ66"/>
      <c r="HIR66"/>
      <c r="HIS66"/>
      <c r="HIT66"/>
      <c r="HIU66"/>
      <c r="HIV66"/>
      <c r="HIW66"/>
      <c r="HIX66"/>
      <c r="HIY66"/>
      <c r="HIZ66"/>
      <c r="HJA66"/>
      <c r="HJB66"/>
      <c r="HJC66"/>
      <c r="HJD66"/>
      <c r="HJE66"/>
      <c r="HJF66"/>
      <c r="HJG66"/>
      <c r="HJH66"/>
      <c r="HJI66"/>
      <c r="HJJ66"/>
      <c r="HJK66"/>
      <c r="HJL66"/>
      <c r="HJM66"/>
      <c r="HJN66"/>
      <c r="HJO66"/>
      <c r="HJP66"/>
      <c r="HJQ66"/>
      <c r="HJR66"/>
      <c r="HJS66"/>
      <c r="HJT66"/>
      <c r="HJU66"/>
      <c r="HJV66"/>
      <c r="HJW66"/>
      <c r="HJX66"/>
      <c r="HJY66"/>
      <c r="HJZ66"/>
      <c r="HKA66"/>
      <c r="HKB66"/>
      <c r="HKC66"/>
      <c r="HKD66"/>
      <c r="HKE66"/>
      <c r="HKF66"/>
      <c r="HKG66"/>
      <c r="HKH66"/>
      <c r="HKI66"/>
      <c r="HKJ66"/>
      <c r="HKK66"/>
      <c r="HKL66"/>
      <c r="HKM66"/>
      <c r="HKN66"/>
      <c r="HKO66"/>
      <c r="HKP66"/>
      <c r="HKQ66"/>
      <c r="HKR66"/>
      <c r="HKS66"/>
      <c r="HKT66"/>
      <c r="HKU66"/>
      <c r="HKV66"/>
      <c r="HKW66"/>
      <c r="HKX66"/>
      <c r="HKY66"/>
      <c r="HKZ66"/>
      <c r="HLA66"/>
      <c r="HLB66"/>
      <c r="HLC66"/>
      <c r="HLD66"/>
      <c r="HLE66"/>
      <c r="HLF66"/>
      <c r="HLG66"/>
      <c r="HLH66"/>
      <c r="HLI66"/>
      <c r="HLJ66"/>
      <c r="HLK66"/>
      <c r="HLL66"/>
      <c r="HLM66"/>
      <c r="HLN66"/>
      <c r="HLO66"/>
      <c r="HLP66"/>
      <c r="HLQ66"/>
      <c r="HLR66"/>
      <c r="HLS66"/>
      <c r="HLT66"/>
      <c r="HLU66"/>
      <c r="HLV66"/>
      <c r="HLW66"/>
      <c r="HLX66"/>
      <c r="HLY66"/>
      <c r="HLZ66"/>
      <c r="HMA66"/>
      <c r="HMB66"/>
      <c r="HMC66"/>
      <c r="HMD66"/>
      <c r="HME66"/>
      <c r="HMF66"/>
      <c r="HMG66"/>
      <c r="HMH66"/>
      <c r="HMI66"/>
      <c r="HMJ66"/>
      <c r="HMK66"/>
      <c r="HML66"/>
      <c r="HMM66"/>
      <c r="HMN66"/>
      <c r="HMO66"/>
      <c r="HMP66"/>
      <c r="HMQ66"/>
      <c r="HMR66"/>
      <c r="HMS66"/>
      <c r="HMT66"/>
      <c r="HMU66"/>
      <c r="HMV66"/>
      <c r="HMW66"/>
      <c r="HMX66"/>
      <c r="HMY66"/>
      <c r="HMZ66"/>
      <c r="HNA66"/>
      <c r="HNB66"/>
      <c r="HNC66"/>
      <c r="HND66"/>
      <c r="HNE66"/>
      <c r="HNF66"/>
      <c r="HNG66"/>
      <c r="HNH66"/>
      <c r="HNI66"/>
      <c r="HNJ66"/>
      <c r="HNK66"/>
      <c r="HNL66"/>
      <c r="HNM66"/>
      <c r="HNN66"/>
      <c r="HNO66"/>
      <c r="HNP66"/>
      <c r="HNQ66"/>
      <c r="HNR66"/>
      <c r="HNS66"/>
      <c r="HNT66"/>
      <c r="HNU66"/>
      <c r="HNV66"/>
      <c r="HNW66"/>
      <c r="HNX66"/>
      <c r="HNY66"/>
      <c r="HNZ66"/>
      <c r="HOA66"/>
      <c r="HOB66"/>
      <c r="HOC66"/>
      <c r="HOD66"/>
      <c r="HOE66"/>
      <c r="HOF66"/>
      <c r="HOG66"/>
      <c r="HOH66"/>
      <c r="HOI66"/>
      <c r="HOJ66"/>
      <c r="HOK66"/>
      <c r="HOL66"/>
      <c r="HOM66"/>
      <c r="HON66"/>
      <c r="HOO66"/>
      <c r="HOP66"/>
      <c r="HOQ66"/>
      <c r="HOR66"/>
      <c r="HOS66"/>
      <c r="HOT66"/>
      <c r="HOU66"/>
      <c r="HOV66"/>
      <c r="HOW66"/>
      <c r="HOX66"/>
      <c r="HOY66"/>
      <c r="HOZ66"/>
      <c r="HPA66"/>
      <c r="HPB66"/>
      <c r="HPC66"/>
      <c r="HPD66"/>
      <c r="HPE66"/>
      <c r="HPF66"/>
      <c r="HPG66"/>
      <c r="HPH66"/>
      <c r="HPI66"/>
      <c r="HPJ66"/>
      <c r="HPK66"/>
      <c r="HPL66"/>
      <c r="HPM66"/>
      <c r="HPN66"/>
      <c r="HPO66"/>
      <c r="HPP66"/>
      <c r="HPQ66"/>
      <c r="HPR66"/>
      <c r="HPS66"/>
      <c r="HPT66"/>
      <c r="HPU66"/>
      <c r="HPV66"/>
      <c r="HPW66"/>
      <c r="HPX66"/>
      <c r="HPY66"/>
      <c r="HPZ66"/>
      <c r="HQA66"/>
      <c r="HQB66"/>
      <c r="HQC66"/>
      <c r="HQD66"/>
      <c r="HQE66"/>
      <c r="HQF66"/>
      <c r="HQG66"/>
      <c r="HQH66"/>
      <c r="HQI66"/>
      <c r="HQJ66"/>
      <c r="HQK66"/>
      <c r="HQL66"/>
      <c r="HQM66"/>
      <c r="HQN66"/>
      <c r="HQO66"/>
      <c r="HQP66"/>
      <c r="HQQ66"/>
      <c r="HQR66"/>
      <c r="HQS66"/>
      <c r="HQT66"/>
      <c r="HQU66"/>
      <c r="HQV66"/>
      <c r="HQW66"/>
      <c r="HQX66"/>
      <c r="HQY66"/>
      <c r="HQZ66"/>
      <c r="HRA66"/>
      <c r="HRB66"/>
      <c r="HRC66"/>
      <c r="HRD66"/>
      <c r="HRE66"/>
      <c r="HRF66"/>
      <c r="HRG66"/>
      <c r="HRH66"/>
      <c r="HRI66"/>
      <c r="HRJ66"/>
      <c r="HRK66"/>
      <c r="HRL66"/>
      <c r="HRM66"/>
      <c r="HRN66"/>
      <c r="HRO66"/>
      <c r="HRP66"/>
      <c r="HRQ66"/>
      <c r="HRR66"/>
      <c r="HRS66"/>
      <c r="HRT66"/>
      <c r="HRU66"/>
      <c r="HRV66"/>
      <c r="HRW66"/>
      <c r="HRX66"/>
      <c r="HRY66"/>
      <c r="HRZ66"/>
      <c r="HSA66"/>
      <c r="HSB66"/>
      <c r="HSC66"/>
      <c r="HSD66"/>
      <c r="HSE66"/>
      <c r="HSF66"/>
      <c r="HSG66"/>
      <c r="HSH66"/>
      <c r="HSI66"/>
      <c r="HSJ66"/>
      <c r="HSK66"/>
      <c r="HSL66"/>
      <c r="HSM66"/>
      <c r="HSN66"/>
      <c r="HSO66"/>
      <c r="HSP66"/>
      <c r="HSQ66"/>
      <c r="HSR66"/>
      <c r="HSS66"/>
      <c r="HST66"/>
      <c r="HSU66"/>
      <c r="HSV66"/>
      <c r="HSW66"/>
      <c r="HSX66"/>
      <c r="HSY66"/>
      <c r="HSZ66"/>
      <c r="HTA66"/>
      <c r="HTB66"/>
      <c r="HTC66"/>
      <c r="HTD66"/>
      <c r="HTE66"/>
      <c r="HTF66"/>
      <c r="HTG66"/>
      <c r="HTH66"/>
      <c r="HTI66"/>
      <c r="HTJ66"/>
      <c r="HTK66"/>
      <c r="HTL66"/>
      <c r="HTM66"/>
      <c r="HTN66"/>
      <c r="HTO66"/>
      <c r="HTP66"/>
      <c r="HTQ66"/>
      <c r="HTR66"/>
      <c r="HTS66"/>
      <c r="HTT66"/>
      <c r="HTU66"/>
      <c r="HTV66"/>
      <c r="HTW66"/>
      <c r="HTX66"/>
      <c r="HTY66"/>
      <c r="HTZ66"/>
      <c r="HUA66"/>
      <c r="HUB66"/>
      <c r="HUC66"/>
      <c r="HUD66"/>
      <c r="HUE66"/>
      <c r="HUF66"/>
      <c r="HUG66"/>
      <c r="HUH66"/>
      <c r="HUI66"/>
      <c r="HUJ66"/>
      <c r="HUK66"/>
      <c r="HUL66"/>
      <c r="HUM66"/>
      <c r="HUN66"/>
      <c r="HUO66"/>
      <c r="HUP66"/>
      <c r="HUQ66"/>
      <c r="HUR66"/>
      <c r="HUS66"/>
      <c r="HUT66"/>
      <c r="HUU66"/>
      <c r="HUV66"/>
      <c r="HUW66"/>
      <c r="HUX66"/>
      <c r="HUY66"/>
      <c r="HUZ66"/>
      <c r="HVA66"/>
      <c r="HVB66"/>
      <c r="HVC66"/>
      <c r="HVD66"/>
      <c r="HVE66"/>
      <c r="HVF66"/>
      <c r="HVG66"/>
      <c r="HVH66"/>
      <c r="HVI66"/>
      <c r="HVJ66"/>
      <c r="HVK66"/>
      <c r="HVL66"/>
      <c r="HVM66"/>
      <c r="HVN66"/>
      <c r="HVO66"/>
      <c r="HVP66"/>
      <c r="HVQ66"/>
      <c r="HVR66"/>
      <c r="HVS66"/>
      <c r="HVT66"/>
      <c r="HVU66"/>
      <c r="HVV66"/>
      <c r="HVW66"/>
      <c r="HVX66"/>
      <c r="HVY66"/>
      <c r="HVZ66"/>
      <c r="HWA66"/>
      <c r="HWB66"/>
      <c r="HWC66"/>
      <c r="HWD66"/>
      <c r="HWE66"/>
      <c r="HWF66"/>
      <c r="HWG66"/>
      <c r="HWH66"/>
      <c r="HWI66"/>
      <c r="HWJ66"/>
      <c r="HWK66"/>
      <c r="HWL66"/>
      <c r="HWM66"/>
      <c r="HWN66"/>
      <c r="HWO66"/>
      <c r="HWP66"/>
      <c r="HWQ66"/>
      <c r="HWR66"/>
      <c r="HWS66"/>
      <c r="HWT66"/>
      <c r="HWU66"/>
      <c r="HWV66"/>
      <c r="HWW66"/>
      <c r="HWX66"/>
      <c r="HWY66"/>
      <c r="HWZ66"/>
      <c r="HXA66"/>
      <c r="HXB66"/>
      <c r="HXC66"/>
      <c r="HXD66"/>
      <c r="HXE66"/>
      <c r="HXF66"/>
      <c r="HXG66"/>
      <c r="HXH66"/>
      <c r="HXI66"/>
      <c r="HXJ66"/>
      <c r="HXK66"/>
      <c r="HXL66"/>
      <c r="HXM66"/>
      <c r="HXN66"/>
      <c r="HXO66"/>
      <c r="HXP66"/>
      <c r="HXQ66"/>
      <c r="HXR66"/>
      <c r="HXS66"/>
      <c r="HXT66"/>
      <c r="HXU66"/>
      <c r="HXV66"/>
      <c r="HXW66"/>
      <c r="HXX66"/>
      <c r="HXY66"/>
      <c r="HXZ66"/>
      <c r="HYA66"/>
      <c r="HYB66"/>
      <c r="HYC66"/>
      <c r="HYD66"/>
      <c r="HYE66"/>
      <c r="HYF66"/>
      <c r="HYG66"/>
      <c r="HYH66"/>
      <c r="HYI66"/>
      <c r="HYJ66"/>
      <c r="HYK66"/>
      <c r="HYL66"/>
      <c r="HYM66"/>
      <c r="HYN66"/>
      <c r="HYO66"/>
      <c r="HYP66"/>
      <c r="HYQ66"/>
      <c r="HYR66"/>
      <c r="HYS66"/>
      <c r="HYT66"/>
      <c r="HYU66"/>
      <c r="HYV66"/>
      <c r="HYW66"/>
      <c r="HYX66"/>
      <c r="HYY66"/>
      <c r="HYZ66"/>
      <c r="HZA66"/>
      <c r="HZB66"/>
      <c r="HZC66"/>
      <c r="HZD66"/>
      <c r="HZE66"/>
      <c r="HZF66"/>
      <c r="HZG66"/>
      <c r="HZH66"/>
      <c r="HZI66"/>
      <c r="HZJ66"/>
      <c r="HZK66"/>
      <c r="HZL66"/>
      <c r="HZM66"/>
      <c r="HZN66"/>
      <c r="HZO66"/>
      <c r="HZP66"/>
      <c r="HZQ66"/>
      <c r="HZR66"/>
      <c r="HZS66"/>
      <c r="HZT66"/>
      <c r="HZU66"/>
      <c r="HZV66"/>
      <c r="HZW66"/>
      <c r="HZX66"/>
      <c r="HZY66"/>
      <c r="HZZ66"/>
      <c r="IAA66"/>
      <c r="IAB66"/>
      <c r="IAC66"/>
      <c r="IAD66"/>
      <c r="IAE66"/>
      <c r="IAF66"/>
      <c r="IAG66"/>
      <c r="IAH66"/>
      <c r="IAI66"/>
      <c r="IAJ66"/>
      <c r="IAK66"/>
      <c r="IAL66"/>
      <c r="IAM66"/>
      <c r="IAN66"/>
      <c r="IAO66"/>
      <c r="IAP66"/>
      <c r="IAQ66"/>
      <c r="IAR66"/>
      <c r="IAS66"/>
      <c r="IAT66"/>
      <c r="IAU66"/>
      <c r="IAV66"/>
      <c r="IAW66"/>
      <c r="IAX66"/>
      <c r="IAY66"/>
      <c r="IAZ66"/>
      <c r="IBA66"/>
      <c r="IBB66"/>
      <c r="IBC66"/>
      <c r="IBD66"/>
      <c r="IBE66"/>
      <c r="IBF66"/>
      <c r="IBG66"/>
      <c r="IBH66"/>
      <c r="IBI66"/>
      <c r="IBJ66"/>
      <c r="IBK66"/>
      <c r="IBL66"/>
      <c r="IBM66"/>
      <c r="IBN66"/>
      <c r="IBO66"/>
      <c r="IBP66"/>
      <c r="IBQ66"/>
      <c r="IBR66"/>
      <c r="IBS66"/>
      <c r="IBT66"/>
      <c r="IBU66"/>
      <c r="IBV66"/>
      <c r="IBW66"/>
      <c r="IBX66"/>
      <c r="IBY66"/>
      <c r="IBZ66"/>
      <c r="ICA66"/>
      <c r="ICB66"/>
      <c r="ICC66"/>
      <c r="ICD66"/>
      <c r="ICE66"/>
      <c r="ICF66"/>
      <c r="ICG66"/>
      <c r="ICH66"/>
      <c r="ICI66"/>
      <c r="ICJ66"/>
      <c r="ICK66"/>
      <c r="ICL66"/>
      <c r="ICM66"/>
      <c r="ICN66"/>
      <c r="ICO66"/>
      <c r="ICP66"/>
      <c r="ICQ66"/>
      <c r="ICR66"/>
      <c r="ICS66"/>
      <c r="ICT66"/>
      <c r="ICU66"/>
      <c r="ICV66"/>
      <c r="ICW66"/>
      <c r="ICX66"/>
      <c r="ICY66"/>
      <c r="ICZ66"/>
      <c r="IDA66"/>
      <c r="IDB66"/>
      <c r="IDC66"/>
      <c r="IDD66"/>
      <c r="IDE66"/>
      <c r="IDF66"/>
      <c r="IDG66"/>
      <c r="IDH66"/>
      <c r="IDI66"/>
      <c r="IDJ66"/>
      <c r="IDK66"/>
      <c r="IDL66"/>
      <c r="IDM66"/>
      <c r="IDN66"/>
      <c r="IDO66"/>
      <c r="IDP66"/>
      <c r="IDQ66"/>
      <c r="IDR66"/>
      <c r="IDS66"/>
      <c r="IDT66"/>
      <c r="IDU66"/>
      <c r="IDV66"/>
      <c r="IDW66"/>
      <c r="IDX66"/>
      <c r="IDY66"/>
      <c r="IDZ66"/>
      <c r="IEA66"/>
      <c r="IEB66"/>
      <c r="IEC66"/>
      <c r="IED66"/>
      <c r="IEE66"/>
      <c r="IEF66"/>
      <c r="IEG66"/>
      <c r="IEH66"/>
      <c r="IEI66"/>
      <c r="IEJ66"/>
      <c r="IEK66"/>
      <c r="IEL66"/>
      <c r="IEM66"/>
      <c r="IEN66"/>
      <c r="IEO66"/>
      <c r="IEP66"/>
      <c r="IEQ66"/>
      <c r="IER66"/>
      <c r="IES66"/>
      <c r="IET66"/>
      <c r="IEU66"/>
      <c r="IEV66"/>
      <c r="IEW66"/>
      <c r="IEX66"/>
      <c r="IEY66"/>
      <c r="IEZ66"/>
      <c r="IFA66"/>
      <c r="IFB66"/>
      <c r="IFC66"/>
      <c r="IFD66"/>
      <c r="IFE66"/>
      <c r="IFF66"/>
      <c r="IFG66"/>
      <c r="IFH66"/>
      <c r="IFI66"/>
      <c r="IFJ66"/>
      <c r="IFK66"/>
      <c r="IFL66"/>
      <c r="IFM66"/>
      <c r="IFN66"/>
      <c r="IFO66"/>
      <c r="IFP66"/>
      <c r="IFQ66"/>
      <c r="IFR66"/>
      <c r="IFS66"/>
      <c r="IFT66"/>
      <c r="IFU66"/>
      <c r="IFV66"/>
      <c r="IFW66"/>
      <c r="IFX66"/>
      <c r="IFY66"/>
      <c r="IFZ66"/>
      <c r="IGA66"/>
      <c r="IGB66"/>
      <c r="IGC66"/>
      <c r="IGD66"/>
      <c r="IGE66"/>
      <c r="IGF66"/>
      <c r="IGG66"/>
      <c r="IGH66"/>
      <c r="IGI66"/>
      <c r="IGJ66"/>
      <c r="IGK66"/>
      <c r="IGL66"/>
      <c r="IGM66"/>
      <c r="IGN66"/>
      <c r="IGO66"/>
      <c r="IGP66"/>
      <c r="IGQ66"/>
      <c r="IGR66"/>
      <c r="IGS66"/>
      <c r="IGT66"/>
      <c r="IGU66"/>
      <c r="IGV66"/>
      <c r="IGW66"/>
      <c r="IGX66"/>
      <c r="IGY66"/>
      <c r="IGZ66"/>
      <c r="IHA66"/>
      <c r="IHB66"/>
      <c r="IHC66"/>
      <c r="IHD66"/>
      <c r="IHE66"/>
      <c r="IHF66"/>
      <c r="IHG66"/>
      <c r="IHH66"/>
      <c r="IHI66"/>
      <c r="IHJ66"/>
      <c r="IHK66"/>
      <c r="IHL66"/>
      <c r="IHM66"/>
      <c r="IHN66"/>
      <c r="IHO66"/>
      <c r="IHP66"/>
      <c r="IHQ66"/>
      <c r="IHR66"/>
      <c r="IHS66"/>
      <c r="IHT66"/>
      <c r="IHU66"/>
      <c r="IHV66"/>
      <c r="IHW66"/>
      <c r="IHX66"/>
      <c r="IHY66"/>
      <c r="IHZ66"/>
      <c r="IIA66"/>
      <c r="IIB66"/>
      <c r="IIC66"/>
      <c r="IID66"/>
      <c r="IIE66"/>
      <c r="IIF66"/>
      <c r="IIG66"/>
      <c r="IIH66"/>
      <c r="III66"/>
      <c r="IIJ66"/>
      <c r="IIK66"/>
      <c r="IIL66"/>
      <c r="IIM66"/>
      <c r="IIN66"/>
      <c r="IIO66"/>
      <c r="IIP66"/>
      <c r="IIQ66"/>
      <c r="IIR66"/>
      <c r="IIS66"/>
      <c r="IIT66"/>
      <c r="IIU66"/>
      <c r="IIV66"/>
      <c r="IIW66"/>
      <c r="IIX66"/>
      <c r="IIY66"/>
      <c r="IIZ66"/>
      <c r="IJA66"/>
      <c r="IJB66"/>
      <c r="IJC66"/>
      <c r="IJD66"/>
      <c r="IJE66"/>
      <c r="IJF66"/>
      <c r="IJG66"/>
      <c r="IJH66"/>
      <c r="IJI66"/>
      <c r="IJJ66"/>
      <c r="IJK66"/>
      <c r="IJL66"/>
      <c r="IJM66"/>
      <c r="IJN66"/>
      <c r="IJO66"/>
      <c r="IJP66"/>
      <c r="IJQ66"/>
      <c r="IJR66"/>
      <c r="IJS66"/>
      <c r="IJT66"/>
      <c r="IJU66"/>
      <c r="IJV66"/>
      <c r="IJW66"/>
      <c r="IJX66"/>
      <c r="IJY66"/>
      <c r="IJZ66"/>
      <c r="IKA66"/>
      <c r="IKB66"/>
      <c r="IKC66"/>
      <c r="IKD66"/>
      <c r="IKE66"/>
      <c r="IKF66"/>
      <c r="IKG66"/>
      <c r="IKH66"/>
      <c r="IKI66"/>
      <c r="IKJ66"/>
      <c r="IKK66"/>
      <c r="IKL66"/>
      <c r="IKM66"/>
      <c r="IKN66"/>
      <c r="IKO66"/>
      <c r="IKP66"/>
      <c r="IKQ66"/>
      <c r="IKR66"/>
      <c r="IKS66"/>
      <c r="IKT66"/>
      <c r="IKU66"/>
      <c r="IKV66"/>
      <c r="IKW66"/>
      <c r="IKX66"/>
      <c r="IKY66"/>
      <c r="IKZ66"/>
      <c r="ILA66"/>
      <c r="ILB66"/>
      <c r="ILC66"/>
      <c r="ILD66"/>
      <c r="ILE66"/>
      <c r="ILF66"/>
      <c r="ILG66"/>
      <c r="ILH66"/>
      <c r="ILI66"/>
      <c r="ILJ66"/>
      <c r="ILK66"/>
      <c r="ILL66"/>
      <c r="ILM66"/>
      <c r="ILN66"/>
      <c r="ILO66"/>
      <c r="ILP66"/>
      <c r="ILQ66"/>
      <c r="ILR66"/>
      <c r="ILS66"/>
      <c r="ILT66"/>
      <c r="ILU66"/>
      <c r="ILV66"/>
      <c r="ILW66"/>
      <c r="ILX66"/>
      <c r="ILY66"/>
      <c r="ILZ66"/>
      <c r="IMA66"/>
      <c r="IMB66"/>
      <c r="IMC66"/>
      <c r="IMD66"/>
      <c r="IME66"/>
      <c r="IMF66"/>
      <c r="IMG66"/>
      <c r="IMH66"/>
      <c r="IMI66"/>
      <c r="IMJ66"/>
      <c r="IMK66"/>
      <c r="IML66"/>
      <c r="IMM66"/>
      <c r="IMN66"/>
      <c r="IMO66"/>
      <c r="IMP66"/>
      <c r="IMQ66"/>
      <c r="IMR66"/>
      <c r="IMS66"/>
      <c r="IMT66"/>
      <c r="IMU66"/>
      <c r="IMV66"/>
      <c r="IMW66"/>
      <c r="IMX66"/>
      <c r="IMY66"/>
      <c r="IMZ66"/>
      <c r="INA66"/>
      <c r="INB66"/>
      <c r="INC66"/>
      <c r="IND66"/>
      <c r="INE66"/>
      <c r="INF66"/>
      <c r="ING66"/>
      <c r="INH66"/>
      <c r="INI66"/>
      <c r="INJ66"/>
      <c r="INK66"/>
      <c r="INL66"/>
      <c r="INM66"/>
      <c r="INN66"/>
      <c r="INO66"/>
      <c r="INP66"/>
      <c r="INQ66"/>
      <c r="INR66"/>
      <c r="INS66"/>
      <c r="INT66"/>
      <c r="INU66"/>
      <c r="INV66"/>
      <c r="INW66"/>
      <c r="INX66"/>
      <c r="INY66"/>
      <c r="INZ66"/>
      <c r="IOA66"/>
      <c r="IOB66"/>
      <c r="IOC66"/>
      <c r="IOD66"/>
      <c r="IOE66"/>
      <c r="IOF66"/>
      <c r="IOG66"/>
      <c r="IOH66"/>
      <c r="IOI66"/>
      <c r="IOJ66"/>
      <c r="IOK66"/>
      <c r="IOL66"/>
      <c r="IOM66"/>
      <c r="ION66"/>
      <c r="IOO66"/>
      <c r="IOP66"/>
      <c r="IOQ66"/>
      <c r="IOR66"/>
      <c r="IOS66"/>
      <c r="IOT66"/>
      <c r="IOU66"/>
      <c r="IOV66"/>
      <c r="IOW66"/>
      <c r="IOX66"/>
      <c r="IOY66"/>
      <c r="IOZ66"/>
      <c r="IPA66"/>
      <c r="IPB66"/>
      <c r="IPC66"/>
      <c r="IPD66"/>
      <c r="IPE66"/>
      <c r="IPF66"/>
      <c r="IPG66"/>
      <c r="IPH66"/>
      <c r="IPI66"/>
      <c r="IPJ66"/>
      <c r="IPK66"/>
      <c r="IPL66"/>
      <c r="IPM66"/>
      <c r="IPN66"/>
      <c r="IPO66"/>
      <c r="IPP66"/>
      <c r="IPQ66"/>
      <c r="IPR66"/>
      <c r="IPS66"/>
      <c r="IPT66"/>
      <c r="IPU66"/>
      <c r="IPV66"/>
      <c r="IPW66"/>
      <c r="IPX66"/>
      <c r="IPY66"/>
      <c r="IPZ66"/>
      <c r="IQA66"/>
      <c r="IQB66"/>
      <c r="IQC66"/>
      <c r="IQD66"/>
      <c r="IQE66"/>
      <c r="IQF66"/>
      <c r="IQG66"/>
      <c r="IQH66"/>
      <c r="IQI66"/>
      <c r="IQJ66"/>
      <c r="IQK66"/>
      <c r="IQL66"/>
      <c r="IQM66"/>
      <c r="IQN66"/>
      <c r="IQO66"/>
      <c r="IQP66"/>
      <c r="IQQ66"/>
      <c r="IQR66"/>
      <c r="IQS66"/>
      <c r="IQT66"/>
      <c r="IQU66"/>
      <c r="IQV66"/>
      <c r="IQW66"/>
      <c r="IQX66"/>
      <c r="IQY66"/>
      <c r="IQZ66"/>
      <c r="IRA66"/>
      <c r="IRB66"/>
      <c r="IRC66"/>
      <c r="IRD66"/>
      <c r="IRE66"/>
      <c r="IRF66"/>
      <c r="IRG66"/>
      <c r="IRH66"/>
      <c r="IRI66"/>
      <c r="IRJ66"/>
      <c r="IRK66"/>
      <c r="IRL66"/>
      <c r="IRM66"/>
      <c r="IRN66"/>
      <c r="IRO66"/>
      <c r="IRP66"/>
      <c r="IRQ66"/>
      <c r="IRR66"/>
      <c r="IRS66"/>
      <c r="IRT66"/>
      <c r="IRU66"/>
      <c r="IRV66"/>
      <c r="IRW66"/>
      <c r="IRX66"/>
      <c r="IRY66"/>
      <c r="IRZ66"/>
      <c r="ISA66"/>
      <c r="ISB66"/>
      <c r="ISC66"/>
      <c r="ISD66"/>
      <c r="ISE66"/>
      <c r="ISF66"/>
      <c r="ISG66"/>
      <c r="ISH66"/>
      <c r="ISI66"/>
      <c r="ISJ66"/>
      <c r="ISK66"/>
      <c r="ISL66"/>
      <c r="ISM66"/>
      <c r="ISN66"/>
      <c r="ISO66"/>
      <c r="ISP66"/>
      <c r="ISQ66"/>
      <c r="ISR66"/>
      <c r="ISS66"/>
      <c r="IST66"/>
      <c r="ISU66"/>
      <c r="ISV66"/>
      <c r="ISW66"/>
      <c r="ISX66"/>
      <c r="ISY66"/>
      <c r="ISZ66"/>
      <c r="ITA66"/>
      <c r="ITB66"/>
      <c r="ITC66"/>
      <c r="ITD66"/>
      <c r="ITE66"/>
      <c r="ITF66"/>
      <c r="ITG66"/>
      <c r="ITH66"/>
      <c r="ITI66"/>
      <c r="ITJ66"/>
      <c r="ITK66"/>
      <c r="ITL66"/>
      <c r="ITM66"/>
      <c r="ITN66"/>
      <c r="ITO66"/>
      <c r="ITP66"/>
      <c r="ITQ66"/>
      <c r="ITR66"/>
      <c r="ITS66"/>
      <c r="ITT66"/>
      <c r="ITU66"/>
      <c r="ITV66"/>
      <c r="ITW66"/>
      <c r="ITX66"/>
      <c r="ITY66"/>
      <c r="ITZ66"/>
      <c r="IUA66"/>
      <c r="IUB66"/>
      <c r="IUC66"/>
      <c r="IUD66"/>
      <c r="IUE66"/>
      <c r="IUF66"/>
      <c r="IUG66"/>
      <c r="IUH66"/>
      <c r="IUI66"/>
      <c r="IUJ66"/>
      <c r="IUK66"/>
      <c r="IUL66"/>
      <c r="IUM66"/>
      <c r="IUN66"/>
      <c r="IUO66"/>
      <c r="IUP66"/>
      <c r="IUQ66"/>
      <c r="IUR66"/>
      <c r="IUS66"/>
      <c r="IUT66"/>
      <c r="IUU66"/>
      <c r="IUV66"/>
      <c r="IUW66"/>
      <c r="IUX66"/>
      <c r="IUY66"/>
      <c r="IUZ66"/>
      <c r="IVA66"/>
      <c r="IVB66"/>
      <c r="IVC66"/>
      <c r="IVD66"/>
      <c r="IVE66"/>
      <c r="IVF66"/>
      <c r="IVG66"/>
      <c r="IVH66"/>
      <c r="IVI66"/>
      <c r="IVJ66"/>
      <c r="IVK66"/>
      <c r="IVL66"/>
      <c r="IVM66"/>
      <c r="IVN66"/>
      <c r="IVO66"/>
      <c r="IVP66"/>
      <c r="IVQ66"/>
      <c r="IVR66"/>
      <c r="IVS66"/>
      <c r="IVT66"/>
      <c r="IVU66"/>
      <c r="IVV66"/>
      <c r="IVW66"/>
      <c r="IVX66"/>
      <c r="IVY66"/>
      <c r="IVZ66"/>
      <c r="IWA66"/>
      <c r="IWB66"/>
      <c r="IWC66"/>
      <c r="IWD66"/>
      <c r="IWE66"/>
      <c r="IWF66"/>
      <c r="IWG66"/>
      <c r="IWH66"/>
      <c r="IWI66"/>
      <c r="IWJ66"/>
      <c r="IWK66"/>
      <c r="IWL66"/>
      <c r="IWM66"/>
      <c r="IWN66"/>
      <c r="IWO66"/>
      <c r="IWP66"/>
      <c r="IWQ66"/>
      <c r="IWR66"/>
      <c r="IWS66"/>
      <c r="IWT66"/>
      <c r="IWU66"/>
      <c r="IWV66"/>
      <c r="IWW66"/>
      <c r="IWX66"/>
      <c r="IWY66"/>
      <c r="IWZ66"/>
      <c r="IXA66"/>
      <c r="IXB66"/>
      <c r="IXC66"/>
      <c r="IXD66"/>
      <c r="IXE66"/>
      <c r="IXF66"/>
      <c r="IXG66"/>
      <c r="IXH66"/>
      <c r="IXI66"/>
      <c r="IXJ66"/>
      <c r="IXK66"/>
      <c r="IXL66"/>
      <c r="IXM66"/>
      <c r="IXN66"/>
      <c r="IXO66"/>
      <c r="IXP66"/>
      <c r="IXQ66"/>
      <c r="IXR66"/>
      <c r="IXS66"/>
      <c r="IXT66"/>
      <c r="IXU66"/>
      <c r="IXV66"/>
      <c r="IXW66"/>
      <c r="IXX66"/>
      <c r="IXY66"/>
      <c r="IXZ66"/>
      <c r="IYA66"/>
      <c r="IYB66"/>
      <c r="IYC66"/>
      <c r="IYD66"/>
      <c r="IYE66"/>
      <c r="IYF66"/>
      <c r="IYG66"/>
      <c r="IYH66"/>
      <c r="IYI66"/>
      <c r="IYJ66"/>
      <c r="IYK66"/>
      <c r="IYL66"/>
      <c r="IYM66"/>
      <c r="IYN66"/>
      <c r="IYO66"/>
      <c r="IYP66"/>
      <c r="IYQ66"/>
      <c r="IYR66"/>
      <c r="IYS66"/>
      <c r="IYT66"/>
      <c r="IYU66"/>
      <c r="IYV66"/>
      <c r="IYW66"/>
      <c r="IYX66"/>
      <c r="IYY66"/>
      <c r="IYZ66"/>
      <c r="IZA66"/>
      <c r="IZB66"/>
      <c r="IZC66"/>
      <c r="IZD66"/>
      <c r="IZE66"/>
      <c r="IZF66"/>
      <c r="IZG66"/>
      <c r="IZH66"/>
      <c r="IZI66"/>
      <c r="IZJ66"/>
      <c r="IZK66"/>
      <c r="IZL66"/>
      <c r="IZM66"/>
      <c r="IZN66"/>
      <c r="IZO66"/>
      <c r="IZP66"/>
      <c r="IZQ66"/>
      <c r="IZR66"/>
      <c r="IZS66"/>
      <c r="IZT66"/>
      <c r="IZU66"/>
      <c r="IZV66"/>
      <c r="IZW66"/>
      <c r="IZX66"/>
      <c r="IZY66"/>
      <c r="IZZ66"/>
      <c r="JAA66"/>
      <c r="JAB66"/>
      <c r="JAC66"/>
      <c r="JAD66"/>
      <c r="JAE66"/>
      <c r="JAF66"/>
      <c r="JAG66"/>
      <c r="JAH66"/>
      <c r="JAI66"/>
      <c r="JAJ66"/>
      <c r="JAK66"/>
      <c r="JAL66"/>
      <c r="JAM66"/>
      <c r="JAN66"/>
      <c r="JAO66"/>
      <c r="JAP66"/>
      <c r="JAQ66"/>
      <c r="JAR66"/>
      <c r="JAS66"/>
      <c r="JAT66"/>
      <c r="JAU66"/>
      <c r="JAV66"/>
      <c r="JAW66"/>
      <c r="JAX66"/>
      <c r="JAY66"/>
      <c r="JAZ66"/>
      <c r="JBA66"/>
      <c r="JBB66"/>
      <c r="JBC66"/>
      <c r="JBD66"/>
      <c r="JBE66"/>
      <c r="JBF66"/>
      <c r="JBG66"/>
      <c r="JBH66"/>
      <c r="JBI66"/>
      <c r="JBJ66"/>
      <c r="JBK66"/>
      <c r="JBL66"/>
      <c r="JBM66"/>
      <c r="JBN66"/>
      <c r="JBO66"/>
      <c r="JBP66"/>
      <c r="JBQ66"/>
      <c r="JBR66"/>
      <c r="JBS66"/>
      <c r="JBT66"/>
      <c r="JBU66"/>
      <c r="JBV66"/>
      <c r="JBW66"/>
      <c r="JBX66"/>
      <c r="JBY66"/>
      <c r="JBZ66"/>
      <c r="JCA66"/>
      <c r="JCB66"/>
      <c r="JCC66"/>
      <c r="JCD66"/>
      <c r="JCE66"/>
      <c r="JCF66"/>
      <c r="JCG66"/>
      <c r="JCH66"/>
      <c r="JCI66"/>
      <c r="JCJ66"/>
      <c r="JCK66"/>
      <c r="JCL66"/>
      <c r="JCM66"/>
      <c r="JCN66"/>
      <c r="JCO66"/>
      <c r="JCP66"/>
      <c r="JCQ66"/>
      <c r="JCR66"/>
      <c r="JCS66"/>
      <c r="JCT66"/>
      <c r="JCU66"/>
      <c r="JCV66"/>
      <c r="JCW66"/>
      <c r="JCX66"/>
      <c r="JCY66"/>
      <c r="JCZ66"/>
      <c r="JDA66"/>
      <c r="JDB66"/>
      <c r="JDC66"/>
      <c r="JDD66"/>
      <c r="JDE66"/>
      <c r="JDF66"/>
      <c r="JDG66"/>
      <c r="JDH66"/>
      <c r="JDI66"/>
      <c r="JDJ66"/>
      <c r="JDK66"/>
      <c r="JDL66"/>
      <c r="JDM66"/>
      <c r="JDN66"/>
      <c r="JDO66"/>
      <c r="JDP66"/>
      <c r="JDQ66"/>
      <c r="JDR66"/>
      <c r="JDS66"/>
      <c r="JDT66"/>
      <c r="JDU66"/>
      <c r="JDV66"/>
      <c r="JDW66"/>
      <c r="JDX66"/>
      <c r="JDY66"/>
      <c r="JDZ66"/>
      <c r="JEA66"/>
      <c r="JEB66"/>
      <c r="JEC66"/>
      <c r="JED66"/>
      <c r="JEE66"/>
      <c r="JEF66"/>
      <c r="JEG66"/>
      <c r="JEH66"/>
      <c r="JEI66"/>
      <c r="JEJ66"/>
      <c r="JEK66"/>
      <c r="JEL66"/>
      <c r="JEM66"/>
      <c r="JEN66"/>
      <c r="JEO66"/>
      <c r="JEP66"/>
      <c r="JEQ66"/>
      <c r="JER66"/>
      <c r="JES66"/>
      <c r="JET66"/>
      <c r="JEU66"/>
      <c r="JEV66"/>
      <c r="JEW66"/>
      <c r="JEX66"/>
      <c r="JEY66"/>
      <c r="JEZ66"/>
      <c r="JFA66"/>
      <c r="JFB66"/>
      <c r="JFC66"/>
      <c r="JFD66"/>
      <c r="JFE66"/>
      <c r="JFF66"/>
      <c r="JFG66"/>
      <c r="JFH66"/>
      <c r="JFI66"/>
      <c r="JFJ66"/>
      <c r="JFK66"/>
      <c r="JFL66"/>
      <c r="JFM66"/>
      <c r="JFN66"/>
      <c r="JFO66"/>
      <c r="JFP66"/>
      <c r="JFQ66"/>
      <c r="JFR66"/>
      <c r="JFS66"/>
      <c r="JFT66"/>
      <c r="JFU66"/>
      <c r="JFV66"/>
      <c r="JFW66"/>
      <c r="JFX66"/>
      <c r="JFY66"/>
      <c r="JFZ66"/>
      <c r="JGA66"/>
      <c r="JGB66"/>
      <c r="JGC66"/>
      <c r="JGD66"/>
      <c r="JGE66"/>
      <c r="JGF66"/>
      <c r="JGG66"/>
      <c r="JGH66"/>
      <c r="JGI66"/>
      <c r="JGJ66"/>
      <c r="JGK66"/>
      <c r="JGL66"/>
      <c r="JGM66"/>
      <c r="JGN66"/>
      <c r="JGO66"/>
      <c r="JGP66"/>
      <c r="JGQ66"/>
      <c r="JGR66"/>
      <c r="JGS66"/>
      <c r="JGT66"/>
      <c r="JGU66"/>
      <c r="JGV66"/>
      <c r="JGW66"/>
      <c r="JGX66"/>
      <c r="JGY66"/>
      <c r="JGZ66"/>
      <c r="JHA66"/>
      <c r="JHB66"/>
      <c r="JHC66"/>
      <c r="JHD66"/>
      <c r="JHE66"/>
      <c r="JHF66"/>
      <c r="JHG66"/>
      <c r="JHH66"/>
      <c r="JHI66"/>
      <c r="JHJ66"/>
      <c r="JHK66"/>
      <c r="JHL66"/>
      <c r="JHM66"/>
      <c r="JHN66"/>
      <c r="JHO66"/>
      <c r="JHP66"/>
      <c r="JHQ66"/>
      <c r="JHR66"/>
      <c r="JHS66"/>
      <c r="JHT66"/>
      <c r="JHU66"/>
      <c r="JHV66"/>
      <c r="JHW66"/>
      <c r="JHX66"/>
      <c r="JHY66"/>
      <c r="JHZ66"/>
      <c r="JIA66"/>
      <c r="JIB66"/>
      <c r="JIC66"/>
      <c r="JID66"/>
      <c r="JIE66"/>
      <c r="JIF66"/>
      <c r="JIG66"/>
      <c r="JIH66"/>
      <c r="JII66"/>
      <c r="JIJ66"/>
      <c r="JIK66"/>
      <c r="JIL66"/>
      <c r="JIM66"/>
      <c r="JIN66"/>
      <c r="JIO66"/>
      <c r="JIP66"/>
      <c r="JIQ66"/>
      <c r="JIR66"/>
      <c r="JIS66"/>
      <c r="JIT66"/>
      <c r="JIU66"/>
      <c r="JIV66"/>
      <c r="JIW66"/>
      <c r="JIX66"/>
      <c r="JIY66"/>
      <c r="JIZ66"/>
      <c r="JJA66"/>
      <c r="JJB66"/>
      <c r="JJC66"/>
      <c r="JJD66"/>
      <c r="JJE66"/>
      <c r="JJF66"/>
      <c r="JJG66"/>
      <c r="JJH66"/>
      <c r="JJI66"/>
      <c r="JJJ66"/>
      <c r="JJK66"/>
      <c r="JJL66"/>
      <c r="JJM66"/>
      <c r="JJN66"/>
      <c r="JJO66"/>
      <c r="JJP66"/>
      <c r="JJQ66"/>
      <c r="JJR66"/>
      <c r="JJS66"/>
      <c r="JJT66"/>
      <c r="JJU66"/>
      <c r="JJV66"/>
      <c r="JJW66"/>
      <c r="JJX66"/>
      <c r="JJY66"/>
      <c r="JJZ66"/>
      <c r="JKA66"/>
      <c r="JKB66"/>
      <c r="JKC66"/>
      <c r="JKD66"/>
      <c r="JKE66"/>
      <c r="JKF66"/>
      <c r="JKG66"/>
      <c r="JKH66"/>
      <c r="JKI66"/>
      <c r="JKJ66"/>
      <c r="JKK66"/>
      <c r="JKL66"/>
      <c r="JKM66"/>
      <c r="JKN66"/>
      <c r="JKO66"/>
      <c r="JKP66"/>
      <c r="JKQ66"/>
      <c r="JKR66"/>
      <c r="JKS66"/>
      <c r="JKT66"/>
      <c r="JKU66"/>
      <c r="JKV66"/>
      <c r="JKW66"/>
      <c r="JKX66"/>
      <c r="JKY66"/>
      <c r="JKZ66"/>
      <c r="JLA66"/>
      <c r="JLB66"/>
      <c r="JLC66"/>
      <c r="JLD66"/>
      <c r="JLE66"/>
      <c r="JLF66"/>
      <c r="JLG66"/>
      <c r="JLH66"/>
      <c r="JLI66"/>
      <c r="JLJ66"/>
      <c r="JLK66"/>
      <c r="JLL66"/>
      <c r="JLM66"/>
      <c r="JLN66"/>
      <c r="JLO66"/>
      <c r="JLP66"/>
      <c r="JLQ66"/>
      <c r="JLR66"/>
      <c r="JLS66"/>
      <c r="JLT66"/>
      <c r="JLU66"/>
      <c r="JLV66"/>
      <c r="JLW66"/>
      <c r="JLX66"/>
      <c r="JLY66"/>
      <c r="JLZ66"/>
      <c r="JMA66"/>
      <c r="JMB66"/>
      <c r="JMC66"/>
      <c r="JMD66"/>
      <c r="JME66"/>
      <c r="JMF66"/>
      <c r="JMG66"/>
      <c r="JMH66"/>
      <c r="JMI66"/>
      <c r="JMJ66"/>
      <c r="JMK66"/>
      <c r="JML66"/>
      <c r="JMM66"/>
      <c r="JMN66"/>
      <c r="JMO66"/>
      <c r="JMP66"/>
      <c r="JMQ66"/>
      <c r="JMR66"/>
      <c r="JMS66"/>
      <c r="JMT66"/>
      <c r="JMU66"/>
      <c r="JMV66"/>
      <c r="JMW66"/>
      <c r="JMX66"/>
      <c r="JMY66"/>
      <c r="JMZ66"/>
      <c r="JNA66"/>
      <c r="JNB66"/>
      <c r="JNC66"/>
      <c r="JND66"/>
      <c r="JNE66"/>
      <c r="JNF66"/>
      <c r="JNG66"/>
      <c r="JNH66"/>
      <c r="JNI66"/>
      <c r="JNJ66"/>
      <c r="JNK66"/>
      <c r="JNL66"/>
      <c r="JNM66"/>
      <c r="JNN66"/>
      <c r="JNO66"/>
      <c r="JNP66"/>
      <c r="JNQ66"/>
      <c r="JNR66"/>
      <c r="JNS66"/>
      <c r="JNT66"/>
      <c r="JNU66"/>
      <c r="JNV66"/>
      <c r="JNW66"/>
      <c r="JNX66"/>
      <c r="JNY66"/>
      <c r="JNZ66"/>
      <c r="JOA66"/>
      <c r="JOB66"/>
      <c r="JOC66"/>
      <c r="JOD66"/>
      <c r="JOE66"/>
      <c r="JOF66"/>
      <c r="JOG66"/>
      <c r="JOH66"/>
      <c r="JOI66"/>
      <c r="JOJ66"/>
      <c r="JOK66"/>
      <c r="JOL66"/>
      <c r="JOM66"/>
      <c r="JON66"/>
      <c r="JOO66"/>
      <c r="JOP66"/>
      <c r="JOQ66"/>
      <c r="JOR66"/>
      <c r="JOS66"/>
      <c r="JOT66"/>
      <c r="JOU66"/>
      <c r="JOV66"/>
      <c r="JOW66"/>
      <c r="JOX66"/>
      <c r="JOY66"/>
      <c r="JOZ66"/>
      <c r="JPA66"/>
      <c r="JPB66"/>
      <c r="JPC66"/>
      <c r="JPD66"/>
      <c r="JPE66"/>
      <c r="JPF66"/>
      <c r="JPG66"/>
      <c r="JPH66"/>
      <c r="JPI66"/>
      <c r="JPJ66"/>
      <c r="JPK66"/>
      <c r="JPL66"/>
      <c r="JPM66"/>
      <c r="JPN66"/>
      <c r="JPO66"/>
      <c r="JPP66"/>
      <c r="JPQ66"/>
      <c r="JPR66"/>
      <c r="JPS66"/>
      <c r="JPT66"/>
      <c r="JPU66"/>
      <c r="JPV66"/>
      <c r="JPW66"/>
      <c r="JPX66"/>
      <c r="JPY66"/>
      <c r="JPZ66"/>
      <c r="JQA66"/>
      <c r="JQB66"/>
      <c r="JQC66"/>
      <c r="JQD66"/>
      <c r="JQE66"/>
      <c r="JQF66"/>
      <c r="JQG66"/>
      <c r="JQH66"/>
      <c r="JQI66"/>
      <c r="JQJ66"/>
      <c r="JQK66"/>
      <c r="JQL66"/>
      <c r="JQM66"/>
      <c r="JQN66"/>
      <c r="JQO66"/>
      <c r="JQP66"/>
      <c r="JQQ66"/>
      <c r="JQR66"/>
      <c r="JQS66"/>
      <c r="JQT66"/>
      <c r="JQU66"/>
      <c r="JQV66"/>
      <c r="JQW66"/>
      <c r="JQX66"/>
      <c r="JQY66"/>
      <c r="JQZ66"/>
      <c r="JRA66"/>
      <c r="JRB66"/>
      <c r="JRC66"/>
      <c r="JRD66"/>
      <c r="JRE66"/>
      <c r="JRF66"/>
      <c r="JRG66"/>
      <c r="JRH66"/>
      <c r="JRI66"/>
      <c r="JRJ66"/>
      <c r="JRK66"/>
      <c r="JRL66"/>
      <c r="JRM66"/>
      <c r="JRN66"/>
      <c r="JRO66"/>
      <c r="JRP66"/>
      <c r="JRQ66"/>
      <c r="JRR66"/>
      <c r="JRS66"/>
      <c r="JRT66"/>
      <c r="JRU66"/>
      <c r="JRV66"/>
      <c r="JRW66"/>
      <c r="JRX66"/>
      <c r="JRY66"/>
      <c r="JRZ66"/>
      <c r="JSA66"/>
      <c r="JSB66"/>
      <c r="JSC66"/>
      <c r="JSD66"/>
      <c r="JSE66"/>
      <c r="JSF66"/>
      <c r="JSG66"/>
      <c r="JSH66"/>
      <c r="JSI66"/>
      <c r="JSJ66"/>
      <c r="JSK66"/>
      <c r="JSL66"/>
      <c r="JSM66"/>
      <c r="JSN66"/>
      <c r="JSO66"/>
      <c r="JSP66"/>
      <c r="JSQ66"/>
      <c r="JSR66"/>
      <c r="JSS66"/>
      <c r="JST66"/>
      <c r="JSU66"/>
      <c r="JSV66"/>
      <c r="JSW66"/>
      <c r="JSX66"/>
      <c r="JSY66"/>
      <c r="JSZ66"/>
      <c r="JTA66"/>
      <c r="JTB66"/>
      <c r="JTC66"/>
      <c r="JTD66"/>
      <c r="JTE66"/>
      <c r="JTF66"/>
      <c r="JTG66"/>
      <c r="JTH66"/>
      <c r="JTI66"/>
      <c r="JTJ66"/>
      <c r="JTK66"/>
      <c r="JTL66"/>
      <c r="JTM66"/>
      <c r="JTN66"/>
      <c r="JTO66"/>
      <c r="JTP66"/>
      <c r="JTQ66"/>
      <c r="JTR66"/>
      <c r="JTS66"/>
      <c r="JTT66"/>
      <c r="JTU66"/>
      <c r="JTV66"/>
      <c r="JTW66"/>
      <c r="JTX66"/>
      <c r="JTY66"/>
      <c r="JTZ66"/>
      <c r="JUA66"/>
      <c r="JUB66"/>
      <c r="JUC66"/>
      <c r="JUD66"/>
      <c r="JUE66"/>
      <c r="JUF66"/>
      <c r="JUG66"/>
      <c r="JUH66"/>
      <c r="JUI66"/>
      <c r="JUJ66"/>
      <c r="JUK66"/>
      <c r="JUL66"/>
      <c r="JUM66"/>
      <c r="JUN66"/>
      <c r="JUO66"/>
      <c r="JUP66"/>
      <c r="JUQ66"/>
      <c r="JUR66"/>
      <c r="JUS66"/>
      <c r="JUT66"/>
      <c r="JUU66"/>
      <c r="JUV66"/>
      <c r="JUW66"/>
      <c r="JUX66"/>
      <c r="JUY66"/>
      <c r="JUZ66"/>
      <c r="JVA66"/>
      <c r="JVB66"/>
      <c r="JVC66"/>
      <c r="JVD66"/>
      <c r="JVE66"/>
      <c r="JVF66"/>
      <c r="JVG66"/>
      <c r="JVH66"/>
      <c r="JVI66"/>
      <c r="JVJ66"/>
      <c r="JVK66"/>
      <c r="JVL66"/>
      <c r="JVM66"/>
      <c r="JVN66"/>
      <c r="JVO66"/>
      <c r="JVP66"/>
      <c r="JVQ66"/>
      <c r="JVR66"/>
      <c r="JVS66"/>
      <c r="JVT66"/>
      <c r="JVU66"/>
      <c r="JVV66"/>
      <c r="JVW66"/>
      <c r="JVX66"/>
      <c r="JVY66"/>
      <c r="JVZ66"/>
      <c r="JWA66"/>
      <c r="JWB66"/>
      <c r="JWC66"/>
      <c r="JWD66"/>
      <c r="JWE66"/>
      <c r="JWF66"/>
      <c r="JWG66"/>
      <c r="JWH66"/>
      <c r="JWI66"/>
      <c r="JWJ66"/>
      <c r="JWK66"/>
      <c r="JWL66"/>
      <c r="JWM66"/>
      <c r="JWN66"/>
      <c r="JWO66"/>
      <c r="JWP66"/>
      <c r="JWQ66"/>
      <c r="JWR66"/>
      <c r="JWS66"/>
      <c r="JWT66"/>
      <c r="JWU66"/>
      <c r="JWV66"/>
      <c r="JWW66"/>
      <c r="JWX66"/>
      <c r="JWY66"/>
      <c r="JWZ66"/>
      <c r="JXA66"/>
      <c r="JXB66"/>
      <c r="JXC66"/>
      <c r="JXD66"/>
      <c r="JXE66"/>
      <c r="JXF66"/>
      <c r="JXG66"/>
      <c r="JXH66"/>
      <c r="JXI66"/>
      <c r="JXJ66"/>
      <c r="JXK66"/>
      <c r="JXL66"/>
      <c r="JXM66"/>
      <c r="JXN66"/>
      <c r="JXO66"/>
      <c r="JXP66"/>
      <c r="JXQ66"/>
      <c r="JXR66"/>
      <c r="JXS66"/>
      <c r="JXT66"/>
      <c r="JXU66"/>
      <c r="JXV66"/>
      <c r="JXW66"/>
      <c r="JXX66"/>
      <c r="JXY66"/>
      <c r="JXZ66"/>
      <c r="JYA66"/>
      <c r="JYB66"/>
      <c r="JYC66"/>
      <c r="JYD66"/>
      <c r="JYE66"/>
      <c r="JYF66"/>
      <c r="JYG66"/>
      <c r="JYH66"/>
      <c r="JYI66"/>
      <c r="JYJ66"/>
      <c r="JYK66"/>
      <c r="JYL66"/>
      <c r="JYM66"/>
      <c r="JYN66"/>
      <c r="JYO66"/>
      <c r="JYP66"/>
      <c r="JYQ66"/>
      <c r="JYR66"/>
      <c r="JYS66"/>
      <c r="JYT66"/>
      <c r="JYU66"/>
      <c r="JYV66"/>
      <c r="JYW66"/>
      <c r="JYX66"/>
      <c r="JYY66"/>
      <c r="JYZ66"/>
      <c r="JZA66"/>
      <c r="JZB66"/>
      <c r="JZC66"/>
      <c r="JZD66"/>
      <c r="JZE66"/>
      <c r="JZF66"/>
      <c r="JZG66"/>
      <c r="JZH66"/>
      <c r="JZI66"/>
      <c r="JZJ66"/>
      <c r="JZK66"/>
      <c r="JZL66"/>
      <c r="JZM66"/>
      <c r="JZN66"/>
      <c r="JZO66"/>
      <c r="JZP66"/>
      <c r="JZQ66"/>
      <c r="JZR66"/>
      <c r="JZS66"/>
      <c r="JZT66"/>
      <c r="JZU66"/>
      <c r="JZV66"/>
      <c r="JZW66"/>
      <c r="JZX66"/>
      <c r="JZY66"/>
      <c r="JZZ66"/>
      <c r="KAA66"/>
      <c r="KAB66"/>
      <c r="KAC66"/>
      <c r="KAD66"/>
      <c r="KAE66"/>
      <c r="KAF66"/>
      <c r="KAG66"/>
      <c r="KAH66"/>
      <c r="KAI66"/>
      <c r="KAJ66"/>
      <c r="KAK66"/>
      <c r="KAL66"/>
      <c r="KAM66"/>
      <c r="KAN66"/>
      <c r="KAO66"/>
      <c r="KAP66"/>
      <c r="KAQ66"/>
      <c r="KAR66"/>
      <c r="KAS66"/>
      <c r="KAT66"/>
      <c r="KAU66"/>
      <c r="KAV66"/>
      <c r="KAW66"/>
      <c r="KAX66"/>
      <c r="KAY66"/>
      <c r="KAZ66"/>
      <c r="KBA66"/>
      <c r="KBB66"/>
      <c r="KBC66"/>
      <c r="KBD66"/>
      <c r="KBE66"/>
      <c r="KBF66"/>
      <c r="KBG66"/>
      <c r="KBH66"/>
      <c r="KBI66"/>
      <c r="KBJ66"/>
      <c r="KBK66"/>
      <c r="KBL66"/>
      <c r="KBM66"/>
      <c r="KBN66"/>
      <c r="KBO66"/>
      <c r="KBP66"/>
      <c r="KBQ66"/>
      <c r="KBR66"/>
      <c r="KBS66"/>
      <c r="KBT66"/>
      <c r="KBU66"/>
      <c r="KBV66"/>
      <c r="KBW66"/>
      <c r="KBX66"/>
      <c r="KBY66"/>
      <c r="KBZ66"/>
      <c r="KCA66"/>
      <c r="KCB66"/>
      <c r="KCC66"/>
      <c r="KCD66"/>
      <c r="KCE66"/>
      <c r="KCF66"/>
      <c r="KCG66"/>
      <c r="KCH66"/>
      <c r="KCI66"/>
      <c r="KCJ66"/>
      <c r="KCK66"/>
      <c r="KCL66"/>
      <c r="KCM66"/>
      <c r="KCN66"/>
      <c r="KCO66"/>
      <c r="KCP66"/>
      <c r="KCQ66"/>
      <c r="KCR66"/>
      <c r="KCS66"/>
      <c r="KCT66"/>
      <c r="KCU66"/>
      <c r="KCV66"/>
      <c r="KCW66"/>
      <c r="KCX66"/>
      <c r="KCY66"/>
      <c r="KCZ66"/>
      <c r="KDA66"/>
      <c r="KDB66"/>
      <c r="KDC66"/>
      <c r="KDD66"/>
      <c r="KDE66"/>
      <c r="KDF66"/>
      <c r="KDG66"/>
      <c r="KDH66"/>
      <c r="KDI66"/>
      <c r="KDJ66"/>
      <c r="KDK66"/>
      <c r="KDL66"/>
      <c r="KDM66"/>
      <c r="KDN66"/>
      <c r="KDO66"/>
      <c r="KDP66"/>
      <c r="KDQ66"/>
      <c r="KDR66"/>
      <c r="KDS66"/>
      <c r="KDT66"/>
      <c r="KDU66"/>
      <c r="KDV66"/>
      <c r="KDW66"/>
      <c r="KDX66"/>
      <c r="KDY66"/>
      <c r="KDZ66"/>
      <c r="KEA66"/>
      <c r="KEB66"/>
      <c r="KEC66"/>
      <c r="KED66"/>
      <c r="KEE66"/>
      <c r="KEF66"/>
      <c r="KEG66"/>
      <c r="KEH66"/>
      <c r="KEI66"/>
      <c r="KEJ66"/>
      <c r="KEK66"/>
      <c r="KEL66"/>
      <c r="KEM66"/>
      <c r="KEN66"/>
      <c r="KEO66"/>
      <c r="KEP66"/>
      <c r="KEQ66"/>
      <c r="KER66"/>
      <c r="KES66"/>
      <c r="KET66"/>
      <c r="KEU66"/>
      <c r="KEV66"/>
      <c r="KEW66"/>
      <c r="KEX66"/>
      <c r="KEY66"/>
      <c r="KEZ66"/>
      <c r="KFA66"/>
      <c r="KFB66"/>
      <c r="KFC66"/>
      <c r="KFD66"/>
      <c r="KFE66"/>
      <c r="KFF66"/>
      <c r="KFG66"/>
      <c r="KFH66"/>
      <c r="KFI66"/>
      <c r="KFJ66"/>
      <c r="KFK66"/>
      <c r="KFL66"/>
      <c r="KFM66"/>
      <c r="KFN66"/>
      <c r="KFO66"/>
      <c r="KFP66"/>
      <c r="KFQ66"/>
      <c r="KFR66"/>
      <c r="KFS66"/>
      <c r="KFT66"/>
      <c r="KFU66"/>
      <c r="KFV66"/>
      <c r="KFW66"/>
      <c r="KFX66"/>
      <c r="KFY66"/>
      <c r="KFZ66"/>
      <c r="KGA66"/>
      <c r="KGB66"/>
      <c r="KGC66"/>
      <c r="KGD66"/>
      <c r="KGE66"/>
      <c r="KGF66"/>
      <c r="KGG66"/>
      <c r="KGH66"/>
      <c r="KGI66"/>
      <c r="KGJ66"/>
      <c r="KGK66"/>
      <c r="KGL66"/>
      <c r="KGM66"/>
      <c r="KGN66"/>
      <c r="KGO66"/>
      <c r="KGP66"/>
      <c r="KGQ66"/>
      <c r="KGR66"/>
      <c r="KGS66"/>
      <c r="KGT66"/>
      <c r="KGU66"/>
      <c r="KGV66"/>
      <c r="KGW66"/>
      <c r="KGX66"/>
      <c r="KGY66"/>
      <c r="KGZ66"/>
      <c r="KHA66"/>
      <c r="KHB66"/>
      <c r="KHC66"/>
      <c r="KHD66"/>
      <c r="KHE66"/>
      <c r="KHF66"/>
      <c r="KHG66"/>
      <c r="KHH66"/>
      <c r="KHI66"/>
      <c r="KHJ66"/>
      <c r="KHK66"/>
      <c r="KHL66"/>
      <c r="KHM66"/>
      <c r="KHN66"/>
      <c r="KHO66"/>
      <c r="KHP66"/>
      <c r="KHQ66"/>
      <c r="KHR66"/>
      <c r="KHS66"/>
      <c r="KHT66"/>
      <c r="KHU66"/>
      <c r="KHV66"/>
      <c r="KHW66"/>
      <c r="KHX66"/>
      <c r="KHY66"/>
      <c r="KHZ66"/>
      <c r="KIA66"/>
      <c r="KIB66"/>
      <c r="KIC66"/>
      <c r="KID66"/>
      <c r="KIE66"/>
      <c r="KIF66"/>
      <c r="KIG66"/>
      <c r="KIH66"/>
      <c r="KII66"/>
      <c r="KIJ66"/>
      <c r="KIK66"/>
      <c r="KIL66"/>
      <c r="KIM66"/>
      <c r="KIN66"/>
      <c r="KIO66"/>
      <c r="KIP66"/>
      <c r="KIQ66"/>
      <c r="KIR66"/>
      <c r="KIS66"/>
      <c r="KIT66"/>
      <c r="KIU66"/>
      <c r="KIV66"/>
      <c r="KIW66"/>
      <c r="KIX66"/>
      <c r="KIY66"/>
      <c r="KIZ66"/>
      <c r="KJA66"/>
      <c r="KJB66"/>
      <c r="KJC66"/>
      <c r="KJD66"/>
      <c r="KJE66"/>
      <c r="KJF66"/>
      <c r="KJG66"/>
      <c r="KJH66"/>
      <c r="KJI66"/>
      <c r="KJJ66"/>
      <c r="KJK66"/>
      <c r="KJL66"/>
      <c r="KJM66"/>
      <c r="KJN66"/>
      <c r="KJO66"/>
      <c r="KJP66"/>
      <c r="KJQ66"/>
      <c r="KJR66"/>
      <c r="KJS66"/>
      <c r="KJT66"/>
      <c r="KJU66"/>
      <c r="KJV66"/>
      <c r="KJW66"/>
      <c r="KJX66"/>
      <c r="KJY66"/>
      <c r="KJZ66"/>
      <c r="KKA66"/>
      <c r="KKB66"/>
      <c r="KKC66"/>
      <c r="KKD66"/>
      <c r="KKE66"/>
      <c r="KKF66"/>
      <c r="KKG66"/>
      <c r="KKH66"/>
      <c r="KKI66"/>
      <c r="KKJ66"/>
      <c r="KKK66"/>
      <c r="KKL66"/>
      <c r="KKM66"/>
      <c r="KKN66"/>
      <c r="KKO66"/>
      <c r="KKP66"/>
      <c r="KKQ66"/>
      <c r="KKR66"/>
      <c r="KKS66"/>
      <c r="KKT66"/>
      <c r="KKU66"/>
      <c r="KKV66"/>
      <c r="KKW66"/>
      <c r="KKX66"/>
      <c r="KKY66"/>
      <c r="KKZ66"/>
      <c r="KLA66"/>
      <c r="KLB66"/>
      <c r="KLC66"/>
      <c r="KLD66"/>
      <c r="KLE66"/>
      <c r="KLF66"/>
      <c r="KLG66"/>
      <c r="KLH66"/>
      <c r="KLI66"/>
      <c r="KLJ66"/>
      <c r="KLK66"/>
      <c r="KLL66"/>
      <c r="KLM66"/>
      <c r="KLN66"/>
      <c r="KLO66"/>
      <c r="KLP66"/>
      <c r="KLQ66"/>
      <c r="KLR66"/>
      <c r="KLS66"/>
      <c r="KLT66"/>
      <c r="KLU66"/>
      <c r="KLV66"/>
      <c r="KLW66"/>
      <c r="KLX66"/>
      <c r="KLY66"/>
      <c r="KLZ66"/>
      <c r="KMA66"/>
      <c r="KMB66"/>
      <c r="KMC66"/>
      <c r="KMD66"/>
      <c r="KME66"/>
      <c r="KMF66"/>
      <c r="KMG66"/>
      <c r="KMH66"/>
      <c r="KMI66"/>
      <c r="KMJ66"/>
      <c r="KMK66"/>
      <c r="KML66"/>
      <c r="KMM66"/>
      <c r="KMN66"/>
      <c r="KMO66"/>
      <c r="KMP66"/>
      <c r="KMQ66"/>
      <c r="KMR66"/>
      <c r="KMS66"/>
      <c r="KMT66"/>
      <c r="KMU66"/>
      <c r="KMV66"/>
      <c r="KMW66"/>
      <c r="KMX66"/>
      <c r="KMY66"/>
      <c r="KMZ66"/>
      <c r="KNA66"/>
      <c r="KNB66"/>
      <c r="KNC66"/>
      <c r="KND66"/>
      <c r="KNE66"/>
      <c r="KNF66"/>
      <c r="KNG66"/>
      <c r="KNH66"/>
      <c r="KNI66"/>
      <c r="KNJ66"/>
      <c r="KNK66"/>
      <c r="KNL66"/>
      <c r="KNM66"/>
      <c r="KNN66"/>
      <c r="KNO66"/>
      <c r="KNP66"/>
      <c r="KNQ66"/>
      <c r="KNR66"/>
      <c r="KNS66"/>
      <c r="KNT66"/>
      <c r="KNU66"/>
      <c r="KNV66"/>
      <c r="KNW66"/>
      <c r="KNX66"/>
      <c r="KNY66"/>
      <c r="KNZ66"/>
      <c r="KOA66"/>
      <c r="KOB66"/>
      <c r="KOC66"/>
      <c r="KOD66"/>
      <c r="KOE66"/>
      <c r="KOF66"/>
      <c r="KOG66"/>
      <c r="KOH66"/>
      <c r="KOI66"/>
      <c r="KOJ66"/>
      <c r="KOK66"/>
      <c r="KOL66"/>
      <c r="KOM66"/>
      <c r="KON66"/>
      <c r="KOO66"/>
      <c r="KOP66"/>
      <c r="KOQ66"/>
      <c r="KOR66"/>
      <c r="KOS66"/>
      <c r="KOT66"/>
      <c r="KOU66"/>
      <c r="KOV66"/>
      <c r="KOW66"/>
      <c r="KOX66"/>
      <c r="KOY66"/>
      <c r="KOZ66"/>
      <c r="KPA66"/>
      <c r="KPB66"/>
      <c r="KPC66"/>
      <c r="KPD66"/>
      <c r="KPE66"/>
      <c r="KPF66"/>
      <c r="KPG66"/>
      <c r="KPH66"/>
      <c r="KPI66"/>
      <c r="KPJ66"/>
      <c r="KPK66"/>
      <c r="KPL66"/>
      <c r="KPM66"/>
      <c r="KPN66"/>
      <c r="KPO66"/>
      <c r="KPP66"/>
      <c r="KPQ66"/>
      <c r="KPR66"/>
      <c r="KPS66"/>
      <c r="KPT66"/>
      <c r="KPU66"/>
      <c r="KPV66"/>
      <c r="KPW66"/>
      <c r="KPX66"/>
      <c r="KPY66"/>
      <c r="KPZ66"/>
      <c r="KQA66"/>
      <c r="KQB66"/>
      <c r="KQC66"/>
      <c r="KQD66"/>
      <c r="KQE66"/>
      <c r="KQF66"/>
      <c r="KQG66"/>
      <c r="KQH66"/>
      <c r="KQI66"/>
      <c r="KQJ66"/>
      <c r="KQK66"/>
      <c r="KQL66"/>
      <c r="KQM66"/>
      <c r="KQN66"/>
      <c r="KQO66"/>
      <c r="KQP66"/>
      <c r="KQQ66"/>
      <c r="KQR66"/>
      <c r="KQS66"/>
      <c r="KQT66"/>
      <c r="KQU66"/>
      <c r="KQV66"/>
      <c r="KQW66"/>
      <c r="KQX66"/>
      <c r="KQY66"/>
      <c r="KQZ66"/>
      <c r="KRA66"/>
      <c r="KRB66"/>
      <c r="KRC66"/>
      <c r="KRD66"/>
      <c r="KRE66"/>
      <c r="KRF66"/>
      <c r="KRG66"/>
      <c r="KRH66"/>
      <c r="KRI66"/>
      <c r="KRJ66"/>
      <c r="KRK66"/>
      <c r="KRL66"/>
      <c r="KRM66"/>
      <c r="KRN66"/>
      <c r="KRO66"/>
      <c r="KRP66"/>
      <c r="KRQ66"/>
      <c r="KRR66"/>
      <c r="KRS66"/>
      <c r="KRT66"/>
      <c r="KRU66"/>
      <c r="KRV66"/>
      <c r="KRW66"/>
      <c r="KRX66"/>
      <c r="KRY66"/>
      <c r="KRZ66"/>
      <c r="KSA66"/>
      <c r="KSB66"/>
      <c r="KSC66"/>
      <c r="KSD66"/>
      <c r="KSE66"/>
      <c r="KSF66"/>
      <c r="KSG66"/>
      <c r="KSH66"/>
      <c r="KSI66"/>
      <c r="KSJ66"/>
      <c r="KSK66"/>
      <c r="KSL66"/>
      <c r="KSM66"/>
      <c r="KSN66"/>
      <c r="KSO66"/>
      <c r="KSP66"/>
      <c r="KSQ66"/>
      <c r="KSR66"/>
      <c r="KSS66"/>
      <c r="KST66"/>
      <c r="KSU66"/>
      <c r="KSV66"/>
      <c r="KSW66"/>
      <c r="KSX66"/>
      <c r="KSY66"/>
      <c r="KSZ66"/>
      <c r="KTA66"/>
      <c r="KTB66"/>
      <c r="KTC66"/>
      <c r="KTD66"/>
      <c r="KTE66"/>
      <c r="KTF66"/>
      <c r="KTG66"/>
      <c r="KTH66"/>
      <c r="KTI66"/>
      <c r="KTJ66"/>
      <c r="KTK66"/>
      <c r="KTL66"/>
      <c r="KTM66"/>
      <c r="KTN66"/>
      <c r="KTO66"/>
      <c r="KTP66"/>
      <c r="KTQ66"/>
      <c r="KTR66"/>
      <c r="KTS66"/>
      <c r="KTT66"/>
      <c r="KTU66"/>
      <c r="KTV66"/>
      <c r="KTW66"/>
      <c r="KTX66"/>
      <c r="KTY66"/>
      <c r="KTZ66"/>
      <c r="KUA66"/>
      <c r="KUB66"/>
      <c r="KUC66"/>
      <c r="KUD66"/>
      <c r="KUE66"/>
      <c r="KUF66"/>
      <c r="KUG66"/>
      <c r="KUH66"/>
      <c r="KUI66"/>
      <c r="KUJ66"/>
      <c r="KUK66"/>
      <c r="KUL66"/>
      <c r="KUM66"/>
      <c r="KUN66"/>
      <c r="KUO66"/>
      <c r="KUP66"/>
      <c r="KUQ66"/>
      <c r="KUR66"/>
      <c r="KUS66"/>
      <c r="KUT66"/>
      <c r="KUU66"/>
      <c r="KUV66"/>
      <c r="KUW66"/>
      <c r="KUX66"/>
      <c r="KUY66"/>
      <c r="KUZ66"/>
      <c r="KVA66"/>
      <c r="KVB66"/>
      <c r="KVC66"/>
      <c r="KVD66"/>
      <c r="KVE66"/>
      <c r="KVF66"/>
      <c r="KVG66"/>
      <c r="KVH66"/>
      <c r="KVI66"/>
      <c r="KVJ66"/>
      <c r="KVK66"/>
      <c r="KVL66"/>
      <c r="KVM66"/>
      <c r="KVN66"/>
      <c r="KVO66"/>
      <c r="KVP66"/>
      <c r="KVQ66"/>
      <c r="KVR66"/>
      <c r="KVS66"/>
      <c r="KVT66"/>
      <c r="KVU66"/>
      <c r="KVV66"/>
      <c r="KVW66"/>
      <c r="KVX66"/>
      <c r="KVY66"/>
      <c r="KVZ66"/>
      <c r="KWA66"/>
      <c r="KWB66"/>
      <c r="KWC66"/>
      <c r="KWD66"/>
      <c r="KWE66"/>
      <c r="KWF66"/>
      <c r="KWG66"/>
      <c r="KWH66"/>
      <c r="KWI66"/>
      <c r="KWJ66"/>
      <c r="KWK66"/>
      <c r="KWL66"/>
      <c r="KWM66"/>
      <c r="KWN66"/>
      <c r="KWO66"/>
      <c r="KWP66"/>
      <c r="KWQ66"/>
      <c r="KWR66"/>
      <c r="KWS66"/>
      <c r="KWT66"/>
      <c r="KWU66"/>
      <c r="KWV66"/>
      <c r="KWW66"/>
      <c r="KWX66"/>
      <c r="KWY66"/>
      <c r="KWZ66"/>
      <c r="KXA66"/>
      <c r="KXB66"/>
      <c r="KXC66"/>
      <c r="KXD66"/>
      <c r="KXE66"/>
      <c r="KXF66"/>
      <c r="KXG66"/>
      <c r="KXH66"/>
      <c r="KXI66"/>
      <c r="KXJ66"/>
      <c r="KXK66"/>
      <c r="KXL66"/>
      <c r="KXM66"/>
      <c r="KXN66"/>
      <c r="KXO66"/>
      <c r="KXP66"/>
      <c r="KXQ66"/>
      <c r="KXR66"/>
      <c r="KXS66"/>
      <c r="KXT66"/>
      <c r="KXU66"/>
      <c r="KXV66"/>
      <c r="KXW66"/>
      <c r="KXX66"/>
      <c r="KXY66"/>
      <c r="KXZ66"/>
      <c r="KYA66"/>
      <c r="KYB66"/>
      <c r="KYC66"/>
      <c r="KYD66"/>
      <c r="KYE66"/>
      <c r="KYF66"/>
      <c r="KYG66"/>
      <c r="KYH66"/>
      <c r="KYI66"/>
      <c r="KYJ66"/>
      <c r="KYK66"/>
      <c r="KYL66"/>
      <c r="KYM66"/>
      <c r="KYN66"/>
      <c r="KYO66"/>
      <c r="KYP66"/>
      <c r="KYQ66"/>
      <c r="KYR66"/>
      <c r="KYS66"/>
      <c r="KYT66"/>
      <c r="KYU66"/>
      <c r="KYV66"/>
      <c r="KYW66"/>
      <c r="KYX66"/>
      <c r="KYY66"/>
      <c r="KYZ66"/>
      <c r="KZA66"/>
      <c r="KZB66"/>
      <c r="KZC66"/>
      <c r="KZD66"/>
      <c r="KZE66"/>
      <c r="KZF66"/>
      <c r="KZG66"/>
      <c r="KZH66"/>
      <c r="KZI66"/>
      <c r="KZJ66"/>
      <c r="KZK66"/>
      <c r="KZL66"/>
      <c r="KZM66"/>
      <c r="KZN66"/>
      <c r="KZO66"/>
      <c r="KZP66"/>
      <c r="KZQ66"/>
      <c r="KZR66"/>
      <c r="KZS66"/>
      <c r="KZT66"/>
      <c r="KZU66"/>
      <c r="KZV66"/>
      <c r="KZW66"/>
      <c r="KZX66"/>
      <c r="KZY66"/>
      <c r="KZZ66"/>
      <c r="LAA66"/>
      <c r="LAB66"/>
      <c r="LAC66"/>
      <c r="LAD66"/>
      <c r="LAE66"/>
      <c r="LAF66"/>
      <c r="LAG66"/>
      <c r="LAH66"/>
      <c r="LAI66"/>
      <c r="LAJ66"/>
      <c r="LAK66"/>
      <c r="LAL66"/>
      <c r="LAM66"/>
      <c r="LAN66"/>
      <c r="LAO66"/>
      <c r="LAP66"/>
      <c r="LAQ66"/>
      <c r="LAR66"/>
      <c r="LAS66"/>
      <c r="LAT66"/>
      <c r="LAU66"/>
      <c r="LAV66"/>
      <c r="LAW66"/>
      <c r="LAX66"/>
      <c r="LAY66"/>
      <c r="LAZ66"/>
      <c r="LBA66"/>
      <c r="LBB66"/>
      <c r="LBC66"/>
      <c r="LBD66"/>
      <c r="LBE66"/>
      <c r="LBF66"/>
      <c r="LBG66"/>
      <c r="LBH66"/>
      <c r="LBI66"/>
      <c r="LBJ66"/>
      <c r="LBK66"/>
      <c r="LBL66"/>
      <c r="LBM66"/>
      <c r="LBN66"/>
      <c r="LBO66"/>
      <c r="LBP66"/>
      <c r="LBQ66"/>
      <c r="LBR66"/>
      <c r="LBS66"/>
      <c r="LBT66"/>
      <c r="LBU66"/>
      <c r="LBV66"/>
      <c r="LBW66"/>
      <c r="LBX66"/>
      <c r="LBY66"/>
      <c r="LBZ66"/>
      <c r="LCA66"/>
      <c r="LCB66"/>
      <c r="LCC66"/>
      <c r="LCD66"/>
      <c r="LCE66"/>
      <c r="LCF66"/>
      <c r="LCG66"/>
      <c r="LCH66"/>
      <c r="LCI66"/>
      <c r="LCJ66"/>
      <c r="LCK66"/>
      <c r="LCL66"/>
      <c r="LCM66"/>
      <c r="LCN66"/>
      <c r="LCO66"/>
      <c r="LCP66"/>
      <c r="LCQ66"/>
      <c r="LCR66"/>
      <c r="LCS66"/>
      <c r="LCT66"/>
      <c r="LCU66"/>
      <c r="LCV66"/>
      <c r="LCW66"/>
      <c r="LCX66"/>
      <c r="LCY66"/>
      <c r="LCZ66"/>
      <c r="LDA66"/>
      <c r="LDB66"/>
      <c r="LDC66"/>
      <c r="LDD66"/>
      <c r="LDE66"/>
      <c r="LDF66"/>
      <c r="LDG66"/>
      <c r="LDH66"/>
      <c r="LDI66"/>
      <c r="LDJ66"/>
      <c r="LDK66"/>
      <c r="LDL66"/>
      <c r="LDM66"/>
      <c r="LDN66"/>
      <c r="LDO66"/>
      <c r="LDP66"/>
      <c r="LDQ66"/>
      <c r="LDR66"/>
      <c r="LDS66"/>
      <c r="LDT66"/>
      <c r="LDU66"/>
      <c r="LDV66"/>
      <c r="LDW66"/>
      <c r="LDX66"/>
      <c r="LDY66"/>
      <c r="LDZ66"/>
      <c r="LEA66"/>
      <c r="LEB66"/>
      <c r="LEC66"/>
      <c r="LED66"/>
      <c r="LEE66"/>
      <c r="LEF66"/>
      <c r="LEG66"/>
      <c r="LEH66"/>
      <c r="LEI66"/>
      <c r="LEJ66"/>
      <c r="LEK66"/>
      <c r="LEL66"/>
      <c r="LEM66"/>
      <c r="LEN66"/>
      <c r="LEO66"/>
      <c r="LEP66"/>
      <c r="LEQ66"/>
      <c r="LER66"/>
      <c r="LES66"/>
      <c r="LET66"/>
      <c r="LEU66"/>
      <c r="LEV66"/>
      <c r="LEW66"/>
      <c r="LEX66"/>
      <c r="LEY66"/>
      <c r="LEZ66"/>
      <c r="LFA66"/>
      <c r="LFB66"/>
      <c r="LFC66"/>
      <c r="LFD66"/>
      <c r="LFE66"/>
      <c r="LFF66"/>
      <c r="LFG66"/>
      <c r="LFH66"/>
      <c r="LFI66"/>
      <c r="LFJ66"/>
      <c r="LFK66"/>
      <c r="LFL66"/>
      <c r="LFM66"/>
      <c r="LFN66"/>
      <c r="LFO66"/>
      <c r="LFP66"/>
      <c r="LFQ66"/>
      <c r="LFR66"/>
      <c r="LFS66"/>
      <c r="LFT66"/>
      <c r="LFU66"/>
      <c r="LFV66"/>
      <c r="LFW66"/>
      <c r="LFX66"/>
      <c r="LFY66"/>
      <c r="LFZ66"/>
      <c r="LGA66"/>
      <c r="LGB66"/>
      <c r="LGC66"/>
      <c r="LGD66"/>
      <c r="LGE66"/>
      <c r="LGF66"/>
      <c r="LGG66"/>
      <c r="LGH66"/>
      <c r="LGI66"/>
      <c r="LGJ66"/>
      <c r="LGK66"/>
      <c r="LGL66"/>
      <c r="LGM66"/>
      <c r="LGN66"/>
      <c r="LGO66"/>
      <c r="LGP66"/>
      <c r="LGQ66"/>
      <c r="LGR66"/>
      <c r="LGS66"/>
      <c r="LGT66"/>
      <c r="LGU66"/>
      <c r="LGV66"/>
      <c r="LGW66"/>
      <c r="LGX66"/>
      <c r="LGY66"/>
      <c r="LGZ66"/>
      <c r="LHA66"/>
      <c r="LHB66"/>
      <c r="LHC66"/>
      <c r="LHD66"/>
      <c r="LHE66"/>
      <c r="LHF66"/>
      <c r="LHG66"/>
      <c r="LHH66"/>
      <c r="LHI66"/>
      <c r="LHJ66"/>
      <c r="LHK66"/>
      <c r="LHL66"/>
      <c r="LHM66"/>
      <c r="LHN66"/>
      <c r="LHO66"/>
      <c r="LHP66"/>
      <c r="LHQ66"/>
      <c r="LHR66"/>
      <c r="LHS66"/>
      <c r="LHT66"/>
      <c r="LHU66"/>
      <c r="LHV66"/>
      <c r="LHW66"/>
      <c r="LHX66"/>
      <c r="LHY66"/>
      <c r="LHZ66"/>
      <c r="LIA66"/>
      <c r="LIB66"/>
      <c r="LIC66"/>
      <c r="LID66"/>
      <c r="LIE66"/>
      <c r="LIF66"/>
      <c r="LIG66"/>
      <c r="LIH66"/>
      <c r="LII66"/>
      <c r="LIJ66"/>
      <c r="LIK66"/>
      <c r="LIL66"/>
      <c r="LIM66"/>
      <c r="LIN66"/>
      <c r="LIO66"/>
      <c r="LIP66"/>
      <c r="LIQ66"/>
      <c r="LIR66"/>
      <c r="LIS66"/>
      <c r="LIT66"/>
      <c r="LIU66"/>
      <c r="LIV66"/>
      <c r="LIW66"/>
      <c r="LIX66"/>
      <c r="LIY66"/>
      <c r="LIZ66"/>
      <c r="LJA66"/>
      <c r="LJB66"/>
      <c r="LJC66"/>
      <c r="LJD66"/>
      <c r="LJE66"/>
      <c r="LJF66"/>
      <c r="LJG66"/>
      <c r="LJH66"/>
      <c r="LJI66"/>
      <c r="LJJ66"/>
      <c r="LJK66"/>
      <c r="LJL66"/>
      <c r="LJM66"/>
      <c r="LJN66"/>
      <c r="LJO66"/>
      <c r="LJP66"/>
      <c r="LJQ66"/>
      <c r="LJR66"/>
      <c r="LJS66"/>
      <c r="LJT66"/>
      <c r="LJU66"/>
      <c r="LJV66"/>
      <c r="LJW66"/>
      <c r="LJX66"/>
      <c r="LJY66"/>
      <c r="LJZ66"/>
      <c r="LKA66"/>
      <c r="LKB66"/>
      <c r="LKC66"/>
      <c r="LKD66"/>
      <c r="LKE66"/>
      <c r="LKF66"/>
      <c r="LKG66"/>
      <c r="LKH66"/>
      <c r="LKI66"/>
      <c r="LKJ66"/>
      <c r="LKK66"/>
      <c r="LKL66"/>
      <c r="LKM66"/>
      <c r="LKN66"/>
      <c r="LKO66"/>
      <c r="LKP66"/>
      <c r="LKQ66"/>
      <c r="LKR66"/>
      <c r="LKS66"/>
      <c r="LKT66"/>
      <c r="LKU66"/>
      <c r="LKV66"/>
      <c r="LKW66"/>
      <c r="LKX66"/>
      <c r="LKY66"/>
      <c r="LKZ66"/>
      <c r="LLA66"/>
      <c r="LLB66"/>
      <c r="LLC66"/>
      <c r="LLD66"/>
      <c r="LLE66"/>
      <c r="LLF66"/>
      <c r="LLG66"/>
      <c r="LLH66"/>
      <c r="LLI66"/>
      <c r="LLJ66"/>
      <c r="LLK66"/>
      <c r="LLL66"/>
      <c r="LLM66"/>
      <c r="LLN66"/>
      <c r="LLO66"/>
      <c r="LLP66"/>
      <c r="LLQ66"/>
      <c r="LLR66"/>
      <c r="LLS66"/>
      <c r="LLT66"/>
      <c r="LLU66"/>
      <c r="LLV66"/>
      <c r="LLW66"/>
      <c r="LLX66"/>
      <c r="LLY66"/>
      <c r="LLZ66"/>
      <c r="LMA66"/>
      <c r="LMB66"/>
      <c r="LMC66"/>
      <c r="LMD66"/>
      <c r="LME66"/>
      <c r="LMF66"/>
      <c r="LMG66"/>
      <c r="LMH66"/>
      <c r="LMI66"/>
      <c r="LMJ66"/>
      <c r="LMK66"/>
      <c r="LML66"/>
      <c r="LMM66"/>
      <c r="LMN66"/>
      <c r="LMO66"/>
      <c r="LMP66"/>
      <c r="LMQ66"/>
      <c r="LMR66"/>
      <c r="LMS66"/>
      <c r="LMT66"/>
      <c r="LMU66"/>
      <c r="LMV66"/>
      <c r="LMW66"/>
      <c r="LMX66"/>
      <c r="LMY66"/>
      <c r="LMZ66"/>
      <c r="LNA66"/>
      <c r="LNB66"/>
      <c r="LNC66"/>
      <c r="LND66"/>
      <c r="LNE66"/>
      <c r="LNF66"/>
      <c r="LNG66"/>
      <c r="LNH66"/>
      <c r="LNI66"/>
      <c r="LNJ66"/>
      <c r="LNK66"/>
      <c r="LNL66"/>
      <c r="LNM66"/>
      <c r="LNN66"/>
      <c r="LNO66"/>
      <c r="LNP66"/>
      <c r="LNQ66"/>
      <c r="LNR66"/>
      <c r="LNS66"/>
      <c r="LNT66"/>
      <c r="LNU66"/>
      <c r="LNV66"/>
      <c r="LNW66"/>
      <c r="LNX66"/>
      <c r="LNY66"/>
      <c r="LNZ66"/>
      <c r="LOA66"/>
      <c r="LOB66"/>
      <c r="LOC66"/>
      <c r="LOD66"/>
      <c r="LOE66"/>
      <c r="LOF66"/>
      <c r="LOG66"/>
      <c r="LOH66"/>
      <c r="LOI66"/>
      <c r="LOJ66"/>
      <c r="LOK66"/>
      <c r="LOL66"/>
      <c r="LOM66"/>
      <c r="LON66"/>
      <c r="LOO66"/>
      <c r="LOP66"/>
      <c r="LOQ66"/>
      <c r="LOR66"/>
      <c r="LOS66"/>
      <c r="LOT66"/>
      <c r="LOU66"/>
      <c r="LOV66"/>
      <c r="LOW66"/>
      <c r="LOX66"/>
      <c r="LOY66"/>
      <c r="LOZ66"/>
      <c r="LPA66"/>
      <c r="LPB66"/>
      <c r="LPC66"/>
      <c r="LPD66"/>
      <c r="LPE66"/>
      <c r="LPF66"/>
      <c r="LPG66"/>
      <c r="LPH66"/>
      <c r="LPI66"/>
      <c r="LPJ66"/>
      <c r="LPK66"/>
      <c r="LPL66"/>
      <c r="LPM66"/>
      <c r="LPN66"/>
      <c r="LPO66"/>
      <c r="LPP66"/>
      <c r="LPQ66"/>
      <c r="LPR66"/>
      <c r="LPS66"/>
      <c r="LPT66"/>
      <c r="LPU66"/>
      <c r="LPV66"/>
      <c r="LPW66"/>
      <c r="LPX66"/>
      <c r="LPY66"/>
      <c r="LPZ66"/>
      <c r="LQA66"/>
      <c r="LQB66"/>
      <c r="LQC66"/>
      <c r="LQD66"/>
      <c r="LQE66"/>
      <c r="LQF66"/>
      <c r="LQG66"/>
      <c r="LQH66"/>
      <c r="LQI66"/>
      <c r="LQJ66"/>
      <c r="LQK66"/>
      <c r="LQL66"/>
      <c r="LQM66"/>
      <c r="LQN66"/>
      <c r="LQO66"/>
      <c r="LQP66"/>
      <c r="LQQ66"/>
      <c r="LQR66"/>
      <c r="LQS66"/>
      <c r="LQT66"/>
      <c r="LQU66"/>
      <c r="LQV66"/>
      <c r="LQW66"/>
      <c r="LQX66"/>
      <c r="LQY66"/>
      <c r="LQZ66"/>
      <c r="LRA66"/>
      <c r="LRB66"/>
      <c r="LRC66"/>
      <c r="LRD66"/>
      <c r="LRE66"/>
      <c r="LRF66"/>
      <c r="LRG66"/>
      <c r="LRH66"/>
      <c r="LRI66"/>
      <c r="LRJ66"/>
      <c r="LRK66"/>
      <c r="LRL66"/>
      <c r="LRM66"/>
      <c r="LRN66"/>
      <c r="LRO66"/>
      <c r="LRP66"/>
      <c r="LRQ66"/>
      <c r="LRR66"/>
      <c r="LRS66"/>
      <c r="LRT66"/>
      <c r="LRU66"/>
      <c r="LRV66"/>
      <c r="LRW66"/>
      <c r="LRX66"/>
      <c r="LRY66"/>
      <c r="LRZ66"/>
      <c r="LSA66"/>
      <c r="LSB66"/>
      <c r="LSC66"/>
      <c r="LSD66"/>
      <c r="LSE66"/>
      <c r="LSF66"/>
      <c r="LSG66"/>
      <c r="LSH66"/>
      <c r="LSI66"/>
      <c r="LSJ66"/>
      <c r="LSK66"/>
      <c r="LSL66"/>
      <c r="LSM66"/>
      <c r="LSN66"/>
      <c r="LSO66"/>
      <c r="LSP66"/>
      <c r="LSQ66"/>
      <c r="LSR66"/>
      <c r="LSS66"/>
      <c r="LST66"/>
      <c r="LSU66"/>
      <c r="LSV66"/>
      <c r="LSW66"/>
      <c r="LSX66"/>
      <c r="LSY66"/>
      <c r="LSZ66"/>
      <c r="LTA66"/>
      <c r="LTB66"/>
      <c r="LTC66"/>
      <c r="LTD66"/>
      <c r="LTE66"/>
      <c r="LTF66"/>
      <c r="LTG66"/>
      <c r="LTH66"/>
      <c r="LTI66"/>
      <c r="LTJ66"/>
      <c r="LTK66"/>
      <c r="LTL66"/>
      <c r="LTM66"/>
      <c r="LTN66"/>
      <c r="LTO66"/>
      <c r="LTP66"/>
      <c r="LTQ66"/>
      <c r="LTR66"/>
      <c r="LTS66"/>
      <c r="LTT66"/>
      <c r="LTU66"/>
      <c r="LTV66"/>
      <c r="LTW66"/>
      <c r="LTX66"/>
      <c r="LTY66"/>
      <c r="LTZ66"/>
      <c r="LUA66"/>
      <c r="LUB66"/>
      <c r="LUC66"/>
      <c r="LUD66"/>
      <c r="LUE66"/>
      <c r="LUF66"/>
      <c r="LUG66"/>
      <c r="LUH66"/>
      <c r="LUI66"/>
      <c r="LUJ66"/>
      <c r="LUK66"/>
      <c r="LUL66"/>
      <c r="LUM66"/>
      <c r="LUN66"/>
      <c r="LUO66"/>
      <c r="LUP66"/>
      <c r="LUQ66"/>
      <c r="LUR66"/>
      <c r="LUS66"/>
      <c r="LUT66"/>
      <c r="LUU66"/>
      <c r="LUV66"/>
      <c r="LUW66"/>
      <c r="LUX66"/>
      <c r="LUY66"/>
      <c r="LUZ66"/>
      <c r="LVA66"/>
      <c r="LVB66"/>
      <c r="LVC66"/>
      <c r="LVD66"/>
      <c r="LVE66"/>
      <c r="LVF66"/>
      <c r="LVG66"/>
      <c r="LVH66"/>
      <c r="LVI66"/>
      <c r="LVJ66"/>
      <c r="LVK66"/>
      <c r="LVL66"/>
      <c r="LVM66"/>
      <c r="LVN66"/>
      <c r="LVO66"/>
      <c r="LVP66"/>
      <c r="LVQ66"/>
      <c r="LVR66"/>
      <c r="LVS66"/>
      <c r="LVT66"/>
      <c r="LVU66"/>
      <c r="LVV66"/>
      <c r="LVW66"/>
      <c r="LVX66"/>
      <c r="LVY66"/>
      <c r="LVZ66"/>
      <c r="LWA66"/>
      <c r="LWB66"/>
      <c r="LWC66"/>
      <c r="LWD66"/>
      <c r="LWE66"/>
      <c r="LWF66"/>
      <c r="LWG66"/>
      <c r="LWH66"/>
      <c r="LWI66"/>
      <c r="LWJ66"/>
      <c r="LWK66"/>
      <c r="LWL66"/>
      <c r="LWM66"/>
      <c r="LWN66"/>
      <c r="LWO66"/>
      <c r="LWP66"/>
      <c r="LWQ66"/>
      <c r="LWR66"/>
      <c r="LWS66"/>
      <c r="LWT66"/>
      <c r="LWU66"/>
      <c r="LWV66"/>
      <c r="LWW66"/>
      <c r="LWX66"/>
      <c r="LWY66"/>
      <c r="LWZ66"/>
      <c r="LXA66"/>
      <c r="LXB66"/>
      <c r="LXC66"/>
      <c r="LXD66"/>
      <c r="LXE66"/>
      <c r="LXF66"/>
      <c r="LXG66"/>
      <c r="LXH66"/>
      <c r="LXI66"/>
      <c r="LXJ66"/>
      <c r="LXK66"/>
      <c r="LXL66"/>
      <c r="LXM66"/>
      <c r="LXN66"/>
      <c r="LXO66"/>
      <c r="LXP66"/>
      <c r="LXQ66"/>
      <c r="LXR66"/>
      <c r="LXS66"/>
      <c r="LXT66"/>
      <c r="LXU66"/>
      <c r="LXV66"/>
      <c r="LXW66"/>
      <c r="LXX66"/>
      <c r="LXY66"/>
      <c r="LXZ66"/>
      <c r="LYA66"/>
      <c r="LYB66"/>
      <c r="LYC66"/>
      <c r="LYD66"/>
      <c r="LYE66"/>
      <c r="LYF66"/>
      <c r="LYG66"/>
      <c r="LYH66"/>
      <c r="LYI66"/>
      <c r="LYJ66"/>
      <c r="LYK66"/>
      <c r="LYL66"/>
      <c r="LYM66"/>
      <c r="LYN66"/>
      <c r="LYO66"/>
      <c r="LYP66"/>
      <c r="LYQ66"/>
      <c r="LYR66"/>
      <c r="LYS66"/>
      <c r="LYT66"/>
      <c r="LYU66"/>
      <c r="LYV66"/>
      <c r="LYW66"/>
      <c r="LYX66"/>
      <c r="LYY66"/>
      <c r="LYZ66"/>
      <c r="LZA66"/>
      <c r="LZB66"/>
      <c r="LZC66"/>
      <c r="LZD66"/>
      <c r="LZE66"/>
      <c r="LZF66"/>
      <c r="LZG66"/>
      <c r="LZH66"/>
      <c r="LZI66"/>
      <c r="LZJ66"/>
      <c r="LZK66"/>
      <c r="LZL66"/>
      <c r="LZM66"/>
      <c r="LZN66"/>
      <c r="LZO66"/>
      <c r="LZP66"/>
      <c r="LZQ66"/>
      <c r="LZR66"/>
      <c r="LZS66"/>
      <c r="LZT66"/>
      <c r="LZU66"/>
      <c r="LZV66"/>
      <c r="LZW66"/>
      <c r="LZX66"/>
      <c r="LZY66"/>
      <c r="LZZ66"/>
      <c r="MAA66"/>
      <c r="MAB66"/>
      <c r="MAC66"/>
      <c r="MAD66"/>
      <c r="MAE66"/>
      <c r="MAF66"/>
      <c r="MAG66"/>
      <c r="MAH66"/>
      <c r="MAI66"/>
      <c r="MAJ66"/>
      <c r="MAK66"/>
      <c r="MAL66"/>
      <c r="MAM66"/>
      <c r="MAN66"/>
      <c r="MAO66"/>
      <c r="MAP66"/>
      <c r="MAQ66"/>
      <c r="MAR66"/>
      <c r="MAS66"/>
      <c r="MAT66"/>
      <c r="MAU66"/>
      <c r="MAV66"/>
      <c r="MAW66"/>
      <c r="MAX66"/>
      <c r="MAY66"/>
      <c r="MAZ66"/>
      <c r="MBA66"/>
      <c r="MBB66"/>
      <c r="MBC66"/>
      <c r="MBD66"/>
      <c r="MBE66"/>
      <c r="MBF66"/>
      <c r="MBG66"/>
      <c r="MBH66"/>
      <c r="MBI66"/>
      <c r="MBJ66"/>
      <c r="MBK66"/>
      <c r="MBL66"/>
      <c r="MBM66"/>
      <c r="MBN66"/>
      <c r="MBO66"/>
      <c r="MBP66"/>
      <c r="MBQ66"/>
      <c r="MBR66"/>
      <c r="MBS66"/>
      <c r="MBT66"/>
      <c r="MBU66"/>
      <c r="MBV66"/>
      <c r="MBW66"/>
      <c r="MBX66"/>
      <c r="MBY66"/>
      <c r="MBZ66"/>
      <c r="MCA66"/>
      <c r="MCB66"/>
      <c r="MCC66"/>
      <c r="MCD66"/>
      <c r="MCE66"/>
      <c r="MCF66"/>
      <c r="MCG66"/>
      <c r="MCH66"/>
      <c r="MCI66"/>
      <c r="MCJ66"/>
      <c r="MCK66"/>
      <c r="MCL66"/>
      <c r="MCM66"/>
      <c r="MCN66"/>
      <c r="MCO66"/>
      <c r="MCP66"/>
      <c r="MCQ66"/>
      <c r="MCR66"/>
      <c r="MCS66"/>
      <c r="MCT66"/>
      <c r="MCU66"/>
      <c r="MCV66"/>
      <c r="MCW66"/>
      <c r="MCX66"/>
      <c r="MCY66"/>
      <c r="MCZ66"/>
      <c r="MDA66"/>
      <c r="MDB66"/>
      <c r="MDC66"/>
      <c r="MDD66"/>
      <c r="MDE66"/>
      <c r="MDF66"/>
      <c r="MDG66"/>
      <c r="MDH66"/>
      <c r="MDI66"/>
      <c r="MDJ66"/>
      <c r="MDK66"/>
      <c r="MDL66"/>
      <c r="MDM66"/>
      <c r="MDN66"/>
      <c r="MDO66"/>
      <c r="MDP66"/>
      <c r="MDQ66"/>
      <c r="MDR66"/>
      <c r="MDS66"/>
      <c r="MDT66"/>
      <c r="MDU66"/>
      <c r="MDV66"/>
      <c r="MDW66"/>
      <c r="MDX66"/>
      <c r="MDY66"/>
      <c r="MDZ66"/>
      <c r="MEA66"/>
      <c r="MEB66"/>
      <c r="MEC66"/>
      <c r="MED66"/>
      <c r="MEE66"/>
      <c r="MEF66"/>
      <c r="MEG66"/>
      <c r="MEH66"/>
      <c r="MEI66"/>
      <c r="MEJ66"/>
      <c r="MEK66"/>
      <c r="MEL66"/>
      <c r="MEM66"/>
      <c r="MEN66"/>
      <c r="MEO66"/>
      <c r="MEP66"/>
      <c r="MEQ66"/>
      <c r="MER66"/>
      <c r="MES66"/>
      <c r="MET66"/>
      <c r="MEU66"/>
      <c r="MEV66"/>
      <c r="MEW66"/>
      <c r="MEX66"/>
      <c r="MEY66"/>
      <c r="MEZ66"/>
      <c r="MFA66"/>
      <c r="MFB66"/>
      <c r="MFC66"/>
      <c r="MFD66"/>
      <c r="MFE66"/>
      <c r="MFF66"/>
      <c r="MFG66"/>
      <c r="MFH66"/>
      <c r="MFI66"/>
      <c r="MFJ66"/>
      <c r="MFK66"/>
      <c r="MFL66"/>
      <c r="MFM66"/>
      <c r="MFN66"/>
      <c r="MFO66"/>
      <c r="MFP66"/>
      <c r="MFQ66"/>
      <c r="MFR66"/>
      <c r="MFS66"/>
      <c r="MFT66"/>
      <c r="MFU66"/>
      <c r="MFV66"/>
      <c r="MFW66"/>
      <c r="MFX66"/>
      <c r="MFY66"/>
      <c r="MFZ66"/>
      <c r="MGA66"/>
      <c r="MGB66"/>
      <c r="MGC66"/>
      <c r="MGD66"/>
      <c r="MGE66"/>
      <c r="MGF66"/>
      <c r="MGG66"/>
      <c r="MGH66"/>
      <c r="MGI66"/>
      <c r="MGJ66"/>
      <c r="MGK66"/>
      <c r="MGL66"/>
      <c r="MGM66"/>
      <c r="MGN66"/>
      <c r="MGO66"/>
      <c r="MGP66"/>
      <c r="MGQ66"/>
      <c r="MGR66"/>
      <c r="MGS66"/>
      <c r="MGT66"/>
      <c r="MGU66"/>
      <c r="MGV66"/>
      <c r="MGW66"/>
      <c r="MGX66"/>
      <c r="MGY66"/>
      <c r="MGZ66"/>
      <c r="MHA66"/>
      <c r="MHB66"/>
      <c r="MHC66"/>
      <c r="MHD66"/>
      <c r="MHE66"/>
      <c r="MHF66"/>
      <c r="MHG66"/>
      <c r="MHH66"/>
      <c r="MHI66"/>
      <c r="MHJ66"/>
      <c r="MHK66"/>
      <c r="MHL66"/>
      <c r="MHM66"/>
      <c r="MHN66"/>
      <c r="MHO66"/>
      <c r="MHP66"/>
      <c r="MHQ66"/>
      <c r="MHR66"/>
      <c r="MHS66"/>
      <c r="MHT66"/>
      <c r="MHU66"/>
      <c r="MHV66"/>
      <c r="MHW66"/>
      <c r="MHX66"/>
      <c r="MHY66"/>
      <c r="MHZ66"/>
      <c r="MIA66"/>
      <c r="MIB66"/>
      <c r="MIC66"/>
      <c r="MID66"/>
      <c r="MIE66"/>
      <c r="MIF66"/>
      <c r="MIG66"/>
      <c r="MIH66"/>
      <c r="MII66"/>
      <c r="MIJ66"/>
      <c r="MIK66"/>
      <c r="MIL66"/>
      <c r="MIM66"/>
      <c r="MIN66"/>
      <c r="MIO66"/>
      <c r="MIP66"/>
      <c r="MIQ66"/>
      <c r="MIR66"/>
      <c r="MIS66"/>
      <c r="MIT66"/>
      <c r="MIU66"/>
      <c r="MIV66"/>
      <c r="MIW66"/>
      <c r="MIX66"/>
      <c r="MIY66"/>
      <c r="MIZ66"/>
      <c r="MJA66"/>
      <c r="MJB66"/>
      <c r="MJC66"/>
      <c r="MJD66"/>
      <c r="MJE66"/>
      <c r="MJF66"/>
      <c r="MJG66"/>
      <c r="MJH66"/>
      <c r="MJI66"/>
      <c r="MJJ66"/>
      <c r="MJK66"/>
      <c r="MJL66"/>
      <c r="MJM66"/>
      <c r="MJN66"/>
      <c r="MJO66"/>
      <c r="MJP66"/>
      <c r="MJQ66"/>
      <c r="MJR66"/>
      <c r="MJS66"/>
      <c r="MJT66"/>
      <c r="MJU66"/>
      <c r="MJV66"/>
      <c r="MJW66"/>
      <c r="MJX66"/>
      <c r="MJY66"/>
      <c r="MJZ66"/>
      <c r="MKA66"/>
      <c r="MKB66"/>
      <c r="MKC66"/>
      <c r="MKD66"/>
      <c r="MKE66"/>
      <c r="MKF66"/>
      <c r="MKG66"/>
      <c r="MKH66"/>
      <c r="MKI66"/>
      <c r="MKJ66"/>
      <c r="MKK66"/>
      <c r="MKL66"/>
      <c r="MKM66"/>
      <c r="MKN66"/>
      <c r="MKO66"/>
      <c r="MKP66"/>
      <c r="MKQ66"/>
      <c r="MKR66"/>
      <c r="MKS66"/>
      <c r="MKT66"/>
      <c r="MKU66"/>
      <c r="MKV66"/>
      <c r="MKW66"/>
      <c r="MKX66"/>
      <c r="MKY66"/>
      <c r="MKZ66"/>
      <c r="MLA66"/>
      <c r="MLB66"/>
      <c r="MLC66"/>
      <c r="MLD66"/>
      <c r="MLE66"/>
      <c r="MLF66"/>
      <c r="MLG66"/>
      <c r="MLH66"/>
      <c r="MLI66"/>
      <c r="MLJ66"/>
      <c r="MLK66"/>
      <c r="MLL66"/>
      <c r="MLM66"/>
      <c r="MLN66"/>
      <c r="MLO66"/>
      <c r="MLP66"/>
      <c r="MLQ66"/>
      <c r="MLR66"/>
      <c r="MLS66"/>
      <c r="MLT66"/>
      <c r="MLU66"/>
      <c r="MLV66"/>
      <c r="MLW66"/>
      <c r="MLX66"/>
      <c r="MLY66"/>
      <c r="MLZ66"/>
      <c r="MMA66"/>
      <c r="MMB66"/>
      <c r="MMC66"/>
      <c r="MMD66"/>
      <c r="MME66"/>
      <c r="MMF66"/>
      <c r="MMG66"/>
      <c r="MMH66"/>
      <c r="MMI66"/>
      <c r="MMJ66"/>
      <c r="MMK66"/>
      <c r="MML66"/>
      <c r="MMM66"/>
      <c r="MMN66"/>
      <c r="MMO66"/>
      <c r="MMP66"/>
      <c r="MMQ66"/>
      <c r="MMR66"/>
      <c r="MMS66"/>
      <c r="MMT66"/>
      <c r="MMU66"/>
      <c r="MMV66"/>
      <c r="MMW66"/>
      <c r="MMX66"/>
      <c r="MMY66"/>
      <c r="MMZ66"/>
      <c r="MNA66"/>
      <c r="MNB66"/>
      <c r="MNC66"/>
      <c r="MND66"/>
      <c r="MNE66"/>
      <c r="MNF66"/>
      <c r="MNG66"/>
      <c r="MNH66"/>
      <c r="MNI66"/>
      <c r="MNJ66"/>
      <c r="MNK66"/>
      <c r="MNL66"/>
      <c r="MNM66"/>
      <c r="MNN66"/>
      <c r="MNO66"/>
      <c r="MNP66"/>
      <c r="MNQ66"/>
      <c r="MNR66"/>
      <c r="MNS66"/>
      <c r="MNT66"/>
      <c r="MNU66"/>
      <c r="MNV66"/>
      <c r="MNW66"/>
      <c r="MNX66"/>
      <c r="MNY66"/>
      <c r="MNZ66"/>
      <c r="MOA66"/>
      <c r="MOB66"/>
      <c r="MOC66"/>
      <c r="MOD66"/>
      <c r="MOE66"/>
      <c r="MOF66"/>
      <c r="MOG66"/>
      <c r="MOH66"/>
      <c r="MOI66"/>
      <c r="MOJ66"/>
      <c r="MOK66"/>
      <c r="MOL66"/>
      <c r="MOM66"/>
      <c r="MON66"/>
      <c r="MOO66"/>
      <c r="MOP66"/>
      <c r="MOQ66"/>
      <c r="MOR66"/>
      <c r="MOS66"/>
      <c r="MOT66"/>
      <c r="MOU66"/>
      <c r="MOV66"/>
      <c r="MOW66"/>
      <c r="MOX66"/>
      <c r="MOY66"/>
      <c r="MOZ66"/>
      <c r="MPA66"/>
      <c r="MPB66"/>
      <c r="MPC66"/>
      <c r="MPD66"/>
      <c r="MPE66"/>
      <c r="MPF66"/>
      <c r="MPG66"/>
      <c r="MPH66"/>
      <c r="MPI66"/>
      <c r="MPJ66"/>
      <c r="MPK66"/>
      <c r="MPL66"/>
      <c r="MPM66"/>
      <c r="MPN66"/>
      <c r="MPO66"/>
      <c r="MPP66"/>
      <c r="MPQ66"/>
      <c r="MPR66"/>
      <c r="MPS66"/>
      <c r="MPT66"/>
      <c r="MPU66"/>
      <c r="MPV66"/>
      <c r="MPW66"/>
      <c r="MPX66"/>
      <c r="MPY66"/>
      <c r="MPZ66"/>
      <c r="MQA66"/>
      <c r="MQB66"/>
      <c r="MQC66"/>
      <c r="MQD66"/>
      <c r="MQE66"/>
      <c r="MQF66"/>
      <c r="MQG66"/>
      <c r="MQH66"/>
      <c r="MQI66"/>
      <c r="MQJ66"/>
      <c r="MQK66"/>
      <c r="MQL66"/>
      <c r="MQM66"/>
      <c r="MQN66"/>
      <c r="MQO66"/>
      <c r="MQP66"/>
      <c r="MQQ66"/>
      <c r="MQR66"/>
      <c r="MQS66"/>
      <c r="MQT66"/>
      <c r="MQU66"/>
      <c r="MQV66"/>
      <c r="MQW66"/>
      <c r="MQX66"/>
      <c r="MQY66"/>
      <c r="MQZ66"/>
      <c r="MRA66"/>
      <c r="MRB66"/>
      <c r="MRC66"/>
      <c r="MRD66"/>
      <c r="MRE66"/>
      <c r="MRF66"/>
      <c r="MRG66"/>
      <c r="MRH66"/>
      <c r="MRI66"/>
      <c r="MRJ66"/>
      <c r="MRK66"/>
      <c r="MRL66"/>
      <c r="MRM66"/>
      <c r="MRN66"/>
      <c r="MRO66"/>
      <c r="MRP66"/>
      <c r="MRQ66"/>
      <c r="MRR66"/>
      <c r="MRS66"/>
      <c r="MRT66"/>
      <c r="MRU66"/>
      <c r="MRV66"/>
      <c r="MRW66"/>
      <c r="MRX66"/>
      <c r="MRY66"/>
      <c r="MRZ66"/>
      <c r="MSA66"/>
      <c r="MSB66"/>
      <c r="MSC66"/>
      <c r="MSD66"/>
      <c r="MSE66"/>
      <c r="MSF66"/>
      <c r="MSG66"/>
      <c r="MSH66"/>
      <c r="MSI66"/>
      <c r="MSJ66"/>
      <c r="MSK66"/>
      <c r="MSL66"/>
      <c r="MSM66"/>
      <c r="MSN66"/>
      <c r="MSO66"/>
      <c r="MSP66"/>
      <c r="MSQ66"/>
      <c r="MSR66"/>
      <c r="MSS66"/>
      <c r="MST66"/>
      <c r="MSU66"/>
      <c r="MSV66"/>
      <c r="MSW66"/>
      <c r="MSX66"/>
      <c r="MSY66"/>
      <c r="MSZ66"/>
      <c r="MTA66"/>
      <c r="MTB66"/>
      <c r="MTC66"/>
      <c r="MTD66"/>
      <c r="MTE66"/>
      <c r="MTF66"/>
      <c r="MTG66"/>
      <c r="MTH66"/>
      <c r="MTI66"/>
      <c r="MTJ66"/>
      <c r="MTK66"/>
      <c r="MTL66"/>
      <c r="MTM66"/>
      <c r="MTN66"/>
      <c r="MTO66"/>
      <c r="MTP66"/>
      <c r="MTQ66"/>
      <c r="MTR66"/>
      <c r="MTS66"/>
      <c r="MTT66"/>
      <c r="MTU66"/>
      <c r="MTV66"/>
      <c r="MTW66"/>
      <c r="MTX66"/>
      <c r="MTY66"/>
      <c r="MTZ66"/>
      <c r="MUA66"/>
      <c r="MUB66"/>
      <c r="MUC66"/>
      <c r="MUD66"/>
      <c r="MUE66"/>
      <c r="MUF66"/>
      <c r="MUG66"/>
      <c r="MUH66"/>
      <c r="MUI66"/>
      <c r="MUJ66"/>
      <c r="MUK66"/>
      <c r="MUL66"/>
      <c r="MUM66"/>
      <c r="MUN66"/>
      <c r="MUO66"/>
      <c r="MUP66"/>
      <c r="MUQ66"/>
      <c r="MUR66"/>
      <c r="MUS66"/>
      <c r="MUT66"/>
      <c r="MUU66"/>
      <c r="MUV66"/>
      <c r="MUW66"/>
      <c r="MUX66"/>
      <c r="MUY66"/>
      <c r="MUZ66"/>
      <c r="MVA66"/>
      <c r="MVB66"/>
      <c r="MVC66"/>
      <c r="MVD66"/>
      <c r="MVE66"/>
      <c r="MVF66"/>
      <c r="MVG66"/>
      <c r="MVH66"/>
      <c r="MVI66"/>
      <c r="MVJ66"/>
      <c r="MVK66"/>
      <c r="MVL66"/>
      <c r="MVM66"/>
      <c r="MVN66"/>
      <c r="MVO66"/>
      <c r="MVP66"/>
      <c r="MVQ66"/>
      <c r="MVR66"/>
      <c r="MVS66"/>
      <c r="MVT66"/>
      <c r="MVU66"/>
      <c r="MVV66"/>
      <c r="MVW66"/>
      <c r="MVX66"/>
      <c r="MVY66"/>
      <c r="MVZ66"/>
      <c r="MWA66"/>
      <c r="MWB66"/>
      <c r="MWC66"/>
      <c r="MWD66"/>
      <c r="MWE66"/>
      <c r="MWF66"/>
      <c r="MWG66"/>
      <c r="MWH66"/>
      <c r="MWI66"/>
      <c r="MWJ66"/>
      <c r="MWK66"/>
      <c r="MWL66"/>
      <c r="MWM66"/>
      <c r="MWN66"/>
      <c r="MWO66"/>
      <c r="MWP66"/>
      <c r="MWQ66"/>
      <c r="MWR66"/>
      <c r="MWS66"/>
      <c r="MWT66"/>
      <c r="MWU66"/>
      <c r="MWV66"/>
      <c r="MWW66"/>
      <c r="MWX66"/>
      <c r="MWY66"/>
      <c r="MWZ66"/>
      <c r="MXA66"/>
      <c r="MXB66"/>
      <c r="MXC66"/>
      <c r="MXD66"/>
      <c r="MXE66"/>
      <c r="MXF66"/>
      <c r="MXG66"/>
      <c r="MXH66"/>
      <c r="MXI66"/>
      <c r="MXJ66"/>
      <c r="MXK66"/>
      <c r="MXL66"/>
      <c r="MXM66"/>
      <c r="MXN66"/>
      <c r="MXO66"/>
      <c r="MXP66"/>
      <c r="MXQ66"/>
      <c r="MXR66"/>
      <c r="MXS66"/>
      <c r="MXT66"/>
      <c r="MXU66"/>
      <c r="MXV66"/>
      <c r="MXW66"/>
      <c r="MXX66"/>
      <c r="MXY66"/>
      <c r="MXZ66"/>
      <c r="MYA66"/>
      <c r="MYB66"/>
      <c r="MYC66"/>
      <c r="MYD66"/>
      <c r="MYE66"/>
      <c r="MYF66"/>
      <c r="MYG66"/>
      <c r="MYH66"/>
      <c r="MYI66"/>
      <c r="MYJ66"/>
      <c r="MYK66"/>
      <c r="MYL66"/>
      <c r="MYM66"/>
      <c r="MYN66"/>
      <c r="MYO66"/>
      <c r="MYP66"/>
      <c r="MYQ66"/>
      <c r="MYR66"/>
      <c r="MYS66"/>
      <c r="MYT66"/>
      <c r="MYU66"/>
      <c r="MYV66"/>
      <c r="MYW66"/>
      <c r="MYX66"/>
      <c r="MYY66"/>
      <c r="MYZ66"/>
      <c r="MZA66"/>
      <c r="MZB66"/>
      <c r="MZC66"/>
      <c r="MZD66"/>
      <c r="MZE66"/>
      <c r="MZF66"/>
      <c r="MZG66"/>
      <c r="MZH66"/>
      <c r="MZI66"/>
      <c r="MZJ66"/>
      <c r="MZK66"/>
      <c r="MZL66"/>
      <c r="MZM66"/>
      <c r="MZN66"/>
      <c r="MZO66"/>
      <c r="MZP66"/>
      <c r="MZQ66"/>
      <c r="MZR66"/>
      <c r="MZS66"/>
      <c r="MZT66"/>
      <c r="MZU66"/>
      <c r="MZV66"/>
      <c r="MZW66"/>
      <c r="MZX66"/>
      <c r="MZY66"/>
      <c r="MZZ66"/>
      <c r="NAA66"/>
      <c r="NAB66"/>
      <c r="NAC66"/>
      <c r="NAD66"/>
      <c r="NAE66"/>
      <c r="NAF66"/>
      <c r="NAG66"/>
      <c r="NAH66"/>
      <c r="NAI66"/>
      <c r="NAJ66"/>
      <c r="NAK66"/>
      <c r="NAL66"/>
      <c r="NAM66"/>
      <c r="NAN66"/>
      <c r="NAO66"/>
      <c r="NAP66"/>
      <c r="NAQ66"/>
      <c r="NAR66"/>
      <c r="NAS66"/>
      <c r="NAT66"/>
      <c r="NAU66"/>
      <c r="NAV66"/>
      <c r="NAW66"/>
      <c r="NAX66"/>
      <c r="NAY66"/>
      <c r="NAZ66"/>
      <c r="NBA66"/>
      <c r="NBB66"/>
      <c r="NBC66"/>
      <c r="NBD66"/>
      <c r="NBE66"/>
      <c r="NBF66"/>
      <c r="NBG66"/>
      <c r="NBH66"/>
      <c r="NBI66"/>
      <c r="NBJ66"/>
      <c r="NBK66"/>
      <c r="NBL66"/>
      <c r="NBM66"/>
      <c r="NBN66"/>
      <c r="NBO66"/>
      <c r="NBP66"/>
      <c r="NBQ66"/>
      <c r="NBR66"/>
      <c r="NBS66"/>
      <c r="NBT66"/>
      <c r="NBU66"/>
      <c r="NBV66"/>
      <c r="NBW66"/>
      <c r="NBX66"/>
      <c r="NBY66"/>
      <c r="NBZ66"/>
      <c r="NCA66"/>
      <c r="NCB66"/>
      <c r="NCC66"/>
      <c r="NCD66"/>
      <c r="NCE66"/>
      <c r="NCF66"/>
      <c r="NCG66"/>
      <c r="NCH66"/>
      <c r="NCI66"/>
      <c r="NCJ66"/>
      <c r="NCK66"/>
      <c r="NCL66"/>
      <c r="NCM66"/>
      <c r="NCN66"/>
      <c r="NCO66"/>
      <c r="NCP66"/>
      <c r="NCQ66"/>
      <c r="NCR66"/>
      <c r="NCS66"/>
      <c r="NCT66"/>
      <c r="NCU66"/>
      <c r="NCV66"/>
      <c r="NCW66"/>
      <c r="NCX66"/>
      <c r="NCY66"/>
      <c r="NCZ66"/>
      <c r="NDA66"/>
      <c r="NDB66"/>
      <c r="NDC66"/>
      <c r="NDD66"/>
      <c r="NDE66"/>
      <c r="NDF66"/>
      <c r="NDG66"/>
      <c r="NDH66"/>
      <c r="NDI66"/>
      <c r="NDJ66"/>
      <c r="NDK66"/>
      <c r="NDL66"/>
      <c r="NDM66"/>
      <c r="NDN66"/>
      <c r="NDO66"/>
      <c r="NDP66"/>
      <c r="NDQ66"/>
      <c r="NDR66"/>
      <c r="NDS66"/>
      <c r="NDT66"/>
      <c r="NDU66"/>
      <c r="NDV66"/>
      <c r="NDW66"/>
      <c r="NDX66"/>
      <c r="NDY66"/>
      <c r="NDZ66"/>
      <c r="NEA66"/>
      <c r="NEB66"/>
      <c r="NEC66"/>
      <c r="NED66"/>
      <c r="NEE66"/>
      <c r="NEF66"/>
      <c r="NEG66"/>
      <c r="NEH66"/>
      <c r="NEI66"/>
      <c r="NEJ66"/>
      <c r="NEK66"/>
      <c r="NEL66"/>
      <c r="NEM66"/>
      <c r="NEN66"/>
      <c r="NEO66"/>
      <c r="NEP66"/>
      <c r="NEQ66"/>
      <c r="NER66"/>
      <c r="NES66"/>
      <c r="NET66"/>
      <c r="NEU66"/>
      <c r="NEV66"/>
      <c r="NEW66"/>
      <c r="NEX66"/>
      <c r="NEY66"/>
      <c r="NEZ66"/>
      <c r="NFA66"/>
      <c r="NFB66"/>
      <c r="NFC66"/>
      <c r="NFD66"/>
      <c r="NFE66"/>
      <c r="NFF66"/>
      <c r="NFG66"/>
      <c r="NFH66"/>
      <c r="NFI66"/>
      <c r="NFJ66"/>
      <c r="NFK66"/>
      <c r="NFL66"/>
      <c r="NFM66"/>
      <c r="NFN66"/>
      <c r="NFO66"/>
      <c r="NFP66"/>
      <c r="NFQ66"/>
      <c r="NFR66"/>
      <c r="NFS66"/>
      <c r="NFT66"/>
      <c r="NFU66"/>
      <c r="NFV66"/>
      <c r="NFW66"/>
      <c r="NFX66"/>
      <c r="NFY66"/>
      <c r="NFZ66"/>
      <c r="NGA66"/>
      <c r="NGB66"/>
      <c r="NGC66"/>
      <c r="NGD66"/>
      <c r="NGE66"/>
      <c r="NGF66"/>
      <c r="NGG66"/>
      <c r="NGH66"/>
      <c r="NGI66"/>
      <c r="NGJ66"/>
      <c r="NGK66"/>
      <c r="NGL66"/>
      <c r="NGM66"/>
      <c r="NGN66"/>
      <c r="NGO66"/>
      <c r="NGP66"/>
      <c r="NGQ66"/>
      <c r="NGR66"/>
      <c r="NGS66"/>
      <c r="NGT66"/>
      <c r="NGU66"/>
      <c r="NGV66"/>
      <c r="NGW66"/>
      <c r="NGX66"/>
      <c r="NGY66"/>
      <c r="NGZ66"/>
      <c r="NHA66"/>
      <c r="NHB66"/>
      <c r="NHC66"/>
      <c r="NHD66"/>
      <c r="NHE66"/>
      <c r="NHF66"/>
      <c r="NHG66"/>
      <c r="NHH66"/>
      <c r="NHI66"/>
      <c r="NHJ66"/>
      <c r="NHK66"/>
      <c r="NHL66"/>
      <c r="NHM66"/>
      <c r="NHN66"/>
      <c r="NHO66"/>
      <c r="NHP66"/>
      <c r="NHQ66"/>
      <c r="NHR66"/>
      <c r="NHS66"/>
      <c r="NHT66"/>
      <c r="NHU66"/>
      <c r="NHV66"/>
      <c r="NHW66"/>
      <c r="NHX66"/>
      <c r="NHY66"/>
      <c r="NHZ66"/>
      <c r="NIA66"/>
      <c r="NIB66"/>
      <c r="NIC66"/>
      <c r="NID66"/>
      <c r="NIE66"/>
      <c r="NIF66"/>
      <c r="NIG66"/>
      <c r="NIH66"/>
      <c r="NII66"/>
      <c r="NIJ66"/>
      <c r="NIK66"/>
      <c r="NIL66"/>
      <c r="NIM66"/>
      <c r="NIN66"/>
      <c r="NIO66"/>
      <c r="NIP66"/>
      <c r="NIQ66"/>
      <c r="NIR66"/>
      <c r="NIS66"/>
      <c r="NIT66"/>
      <c r="NIU66"/>
      <c r="NIV66"/>
      <c r="NIW66"/>
      <c r="NIX66"/>
      <c r="NIY66"/>
      <c r="NIZ66"/>
      <c r="NJA66"/>
      <c r="NJB66"/>
      <c r="NJC66"/>
      <c r="NJD66"/>
      <c r="NJE66"/>
      <c r="NJF66"/>
      <c r="NJG66"/>
      <c r="NJH66"/>
      <c r="NJI66"/>
      <c r="NJJ66"/>
      <c r="NJK66"/>
      <c r="NJL66"/>
      <c r="NJM66"/>
      <c r="NJN66"/>
      <c r="NJO66"/>
      <c r="NJP66"/>
      <c r="NJQ66"/>
      <c r="NJR66"/>
      <c r="NJS66"/>
      <c r="NJT66"/>
      <c r="NJU66"/>
      <c r="NJV66"/>
      <c r="NJW66"/>
      <c r="NJX66"/>
      <c r="NJY66"/>
      <c r="NJZ66"/>
      <c r="NKA66"/>
      <c r="NKB66"/>
      <c r="NKC66"/>
      <c r="NKD66"/>
      <c r="NKE66"/>
      <c r="NKF66"/>
      <c r="NKG66"/>
      <c r="NKH66"/>
      <c r="NKI66"/>
      <c r="NKJ66"/>
      <c r="NKK66"/>
      <c r="NKL66"/>
      <c r="NKM66"/>
      <c r="NKN66"/>
      <c r="NKO66"/>
      <c r="NKP66"/>
      <c r="NKQ66"/>
      <c r="NKR66"/>
      <c r="NKS66"/>
      <c r="NKT66"/>
      <c r="NKU66"/>
      <c r="NKV66"/>
      <c r="NKW66"/>
      <c r="NKX66"/>
      <c r="NKY66"/>
      <c r="NKZ66"/>
      <c r="NLA66"/>
      <c r="NLB66"/>
      <c r="NLC66"/>
      <c r="NLD66"/>
      <c r="NLE66"/>
      <c r="NLF66"/>
      <c r="NLG66"/>
      <c r="NLH66"/>
      <c r="NLI66"/>
      <c r="NLJ66"/>
      <c r="NLK66"/>
      <c r="NLL66"/>
      <c r="NLM66"/>
      <c r="NLN66"/>
      <c r="NLO66"/>
      <c r="NLP66"/>
      <c r="NLQ66"/>
      <c r="NLR66"/>
      <c r="NLS66"/>
      <c r="NLT66"/>
      <c r="NLU66"/>
      <c r="NLV66"/>
      <c r="NLW66"/>
      <c r="NLX66"/>
      <c r="NLY66"/>
      <c r="NLZ66"/>
      <c r="NMA66"/>
      <c r="NMB66"/>
      <c r="NMC66"/>
      <c r="NMD66"/>
      <c r="NME66"/>
      <c r="NMF66"/>
      <c r="NMG66"/>
      <c r="NMH66"/>
      <c r="NMI66"/>
      <c r="NMJ66"/>
      <c r="NMK66"/>
      <c r="NML66"/>
      <c r="NMM66"/>
      <c r="NMN66"/>
      <c r="NMO66"/>
      <c r="NMP66"/>
      <c r="NMQ66"/>
      <c r="NMR66"/>
      <c r="NMS66"/>
      <c r="NMT66"/>
      <c r="NMU66"/>
      <c r="NMV66"/>
      <c r="NMW66"/>
      <c r="NMX66"/>
      <c r="NMY66"/>
      <c r="NMZ66"/>
      <c r="NNA66"/>
      <c r="NNB66"/>
      <c r="NNC66"/>
      <c r="NND66"/>
      <c r="NNE66"/>
      <c r="NNF66"/>
      <c r="NNG66"/>
      <c r="NNH66"/>
      <c r="NNI66"/>
      <c r="NNJ66"/>
      <c r="NNK66"/>
      <c r="NNL66"/>
      <c r="NNM66"/>
      <c r="NNN66"/>
      <c r="NNO66"/>
      <c r="NNP66"/>
      <c r="NNQ66"/>
      <c r="NNR66"/>
      <c r="NNS66"/>
      <c r="NNT66"/>
      <c r="NNU66"/>
      <c r="NNV66"/>
      <c r="NNW66"/>
      <c r="NNX66"/>
      <c r="NNY66"/>
      <c r="NNZ66"/>
      <c r="NOA66"/>
      <c r="NOB66"/>
      <c r="NOC66"/>
      <c r="NOD66"/>
      <c r="NOE66"/>
      <c r="NOF66"/>
      <c r="NOG66"/>
      <c r="NOH66"/>
      <c r="NOI66"/>
      <c r="NOJ66"/>
      <c r="NOK66"/>
      <c r="NOL66"/>
      <c r="NOM66"/>
      <c r="NON66"/>
      <c r="NOO66"/>
      <c r="NOP66"/>
      <c r="NOQ66"/>
      <c r="NOR66"/>
      <c r="NOS66"/>
      <c r="NOT66"/>
      <c r="NOU66"/>
      <c r="NOV66"/>
      <c r="NOW66"/>
      <c r="NOX66"/>
      <c r="NOY66"/>
      <c r="NOZ66"/>
      <c r="NPA66"/>
      <c r="NPB66"/>
      <c r="NPC66"/>
      <c r="NPD66"/>
      <c r="NPE66"/>
      <c r="NPF66"/>
      <c r="NPG66"/>
      <c r="NPH66"/>
      <c r="NPI66"/>
      <c r="NPJ66"/>
      <c r="NPK66"/>
      <c r="NPL66"/>
      <c r="NPM66"/>
      <c r="NPN66"/>
      <c r="NPO66"/>
      <c r="NPP66"/>
      <c r="NPQ66"/>
      <c r="NPR66"/>
      <c r="NPS66"/>
      <c r="NPT66"/>
      <c r="NPU66"/>
      <c r="NPV66"/>
      <c r="NPW66"/>
      <c r="NPX66"/>
      <c r="NPY66"/>
      <c r="NPZ66"/>
      <c r="NQA66"/>
      <c r="NQB66"/>
      <c r="NQC66"/>
      <c r="NQD66"/>
      <c r="NQE66"/>
      <c r="NQF66"/>
      <c r="NQG66"/>
      <c r="NQH66"/>
      <c r="NQI66"/>
      <c r="NQJ66"/>
      <c r="NQK66"/>
      <c r="NQL66"/>
      <c r="NQM66"/>
      <c r="NQN66"/>
      <c r="NQO66"/>
      <c r="NQP66"/>
      <c r="NQQ66"/>
      <c r="NQR66"/>
      <c r="NQS66"/>
      <c r="NQT66"/>
      <c r="NQU66"/>
      <c r="NQV66"/>
      <c r="NQW66"/>
      <c r="NQX66"/>
      <c r="NQY66"/>
      <c r="NQZ66"/>
      <c r="NRA66"/>
      <c r="NRB66"/>
      <c r="NRC66"/>
      <c r="NRD66"/>
      <c r="NRE66"/>
      <c r="NRF66"/>
      <c r="NRG66"/>
      <c r="NRH66"/>
      <c r="NRI66"/>
      <c r="NRJ66"/>
      <c r="NRK66"/>
      <c r="NRL66"/>
      <c r="NRM66"/>
      <c r="NRN66"/>
      <c r="NRO66"/>
      <c r="NRP66"/>
      <c r="NRQ66"/>
      <c r="NRR66"/>
      <c r="NRS66"/>
      <c r="NRT66"/>
      <c r="NRU66"/>
      <c r="NRV66"/>
      <c r="NRW66"/>
      <c r="NRX66"/>
      <c r="NRY66"/>
      <c r="NRZ66"/>
      <c r="NSA66"/>
      <c r="NSB66"/>
      <c r="NSC66"/>
      <c r="NSD66"/>
      <c r="NSE66"/>
      <c r="NSF66"/>
      <c r="NSG66"/>
      <c r="NSH66"/>
      <c r="NSI66"/>
      <c r="NSJ66"/>
      <c r="NSK66"/>
      <c r="NSL66"/>
      <c r="NSM66"/>
      <c r="NSN66"/>
      <c r="NSO66"/>
      <c r="NSP66"/>
      <c r="NSQ66"/>
      <c r="NSR66"/>
      <c r="NSS66"/>
      <c r="NST66"/>
      <c r="NSU66"/>
      <c r="NSV66"/>
      <c r="NSW66"/>
      <c r="NSX66"/>
      <c r="NSY66"/>
      <c r="NSZ66"/>
      <c r="NTA66"/>
      <c r="NTB66"/>
      <c r="NTC66"/>
      <c r="NTD66"/>
      <c r="NTE66"/>
      <c r="NTF66"/>
      <c r="NTG66"/>
      <c r="NTH66"/>
      <c r="NTI66"/>
      <c r="NTJ66"/>
      <c r="NTK66"/>
      <c r="NTL66"/>
      <c r="NTM66"/>
      <c r="NTN66"/>
      <c r="NTO66"/>
      <c r="NTP66"/>
      <c r="NTQ66"/>
      <c r="NTR66"/>
      <c r="NTS66"/>
      <c r="NTT66"/>
      <c r="NTU66"/>
      <c r="NTV66"/>
      <c r="NTW66"/>
      <c r="NTX66"/>
      <c r="NTY66"/>
      <c r="NTZ66"/>
      <c r="NUA66"/>
      <c r="NUB66"/>
      <c r="NUC66"/>
      <c r="NUD66"/>
      <c r="NUE66"/>
      <c r="NUF66"/>
      <c r="NUG66"/>
      <c r="NUH66"/>
      <c r="NUI66"/>
      <c r="NUJ66"/>
      <c r="NUK66"/>
      <c r="NUL66"/>
      <c r="NUM66"/>
      <c r="NUN66"/>
      <c r="NUO66"/>
      <c r="NUP66"/>
      <c r="NUQ66"/>
      <c r="NUR66"/>
      <c r="NUS66"/>
      <c r="NUT66"/>
      <c r="NUU66"/>
      <c r="NUV66"/>
      <c r="NUW66"/>
      <c r="NUX66"/>
      <c r="NUY66"/>
      <c r="NUZ66"/>
      <c r="NVA66"/>
      <c r="NVB66"/>
      <c r="NVC66"/>
      <c r="NVD66"/>
      <c r="NVE66"/>
      <c r="NVF66"/>
      <c r="NVG66"/>
      <c r="NVH66"/>
      <c r="NVI66"/>
      <c r="NVJ66"/>
      <c r="NVK66"/>
      <c r="NVL66"/>
      <c r="NVM66"/>
      <c r="NVN66"/>
      <c r="NVO66"/>
      <c r="NVP66"/>
      <c r="NVQ66"/>
      <c r="NVR66"/>
      <c r="NVS66"/>
      <c r="NVT66"/>
      <c r="NVU66"/>
      <c r="NVV66"/>
      <c r="NVW66"/>
      <c r="NVX66"/>
      <c r="NVY66"/>
      <c r="NVZ66"/>
      <c r="NWA66"/>
      <c r="NWB66"/>
      <c r="NWC66"/>
      <c r="NWD66"/>
      <c r="NWE66"/>
      <c r="NWF66"/>
      <c r="NWG66"/>
      <c r="NWH66"/>
      <c r="NWI66"/>
      <c r="NWJ66"/>
      <c r="NWK66"/>
      <c r="NWL66"/>
      <c r="NWM66"/>
      <c r="NWN66"/>
      <c r="NWO66"/>
      <c r="NWP66"/>
      <c r="NWQ66"/>
      <c r="NWR66"/>
      <c r="NWS66"/>
      <c r="NWT66"/>
      <c r="NWU66"/>
      <c r="NWV66"/>
      <c r="NWW66"/>
      <c r="NWX66"/>
      <c r="NWY66"/>
      <c r="NWZ66"/>
      <c r="NXA66"/>
      <c r="NXB66"/>
      <c r="NXC66"/>
      <c r="NXD66"/>
      <c r="NXE66"/>
      <c r="NXF66"/>
      <c r="NXG66"/>
      <c r="NXH66"/>
      <c r="NXI66"/>
      <c r="NXJ66"/>
      <c r="NXK66"/>
      <c r="NXL66"/>
      <c r="NXM66"/>
      <c r="NXN66"/>
      <c r="NXO66"/>
      <c r="NXP66"/>
      <c r="NXQ66"/>
      <c r="NXR66"/>
      <c r="NXS66"/>
      <c r="NXT66"/>
      <c r="NXU66"/>
      <c r="NXV66"/>
      <c r="NXW66"/>
      <c r="NXX66"/>
      <c r="NXY66"/>
      <c r="NXZ66"/>
      <c r="NYA66"/>
      <c r="NYB66"/>
      <c r="NYC66"/>
      <c r="NYD66"/>
      <c r="NYE66"/>
      <c r="NYF66"/>
      <c r="NYG66"/>
      <c r="NYH66"/>
      <c r="NYI66"/>
      <c r="NYJ66"/>
      <c r="NYK66"/>
      <c r="NYL66"/>
      <c r="NYM66"/>
      <c r="NYN66"/>
      <c r="NYO66"/>
      <c r="NYP66"/>
      <c r="NYQ66"/>
      <c r="NYR66"/>
      <c r="NYS66"/>
      <c r="NYT66"/>
      <c r="NYU66"/>
      <c r="NYV66"/>
      <c r="NYW66"/>
      <c r="NYX66"/>
      <c r="NYY66"/>
      <c r="NYZ66"/>
      <c r="NZA66"/>
      <c r="NZB66"/>
      <c r="NZC66"/>
      <c r="NZD66"/>
      <c r="NZE66"/>
      <c r="NZF66"/>
      <c r="NZG66"/>
      <c r="NZH66"/>
      <c r="NZI66"/>
      <c r="NZJ66"/>
      <c r="NZK66"/>
      <c r="NZL66"/>
      <c r="NZM66"/>
      <c r="NZN66"/>
      <c r="NZO66"/>
      <c r="NZP66"/>
      <c r="NZQ66"/>
      <c r="NZR66"/>
      <c r="NZS66"/>
      <c r="NZT66"/>
      <c r="NZU66"/>
      <c r="NZV66"/>
      <c r="NZW66"/>
      <c r="NZX66"/>
      <c r="NZY66"/>
      <c r="NZZ66"/>
      <c r="OAA66"/>
      <c r="OAB66"/>
      <c r="OAC66"/>
      <c r="OAD66"/>
      <c r="OAE66"/>
      <c r="OAF66"/>
      <c r="OAG66"/>
      <c r="OAH66"/>
      <c r="OAI66"/>
      <c r="OAJ66"/>
      <c r="OAK66"/>
      <c r="OAL66"/>
      <c r="OAM66"/>
      <c r="OAN66"/>
      <c r="OAO66"/>
      <c r="OAP66"/>
      <c r="OAQ66"/>
      <c r="OAR66"/>
      <c r="OAS66"/>
      <c r="OAT66"/>
      <c r="OAU66"/>
      <c r="OAV66"/>
      <c r="OAW66"/>
      <c r="OAX66"/>
      <c r="OAY66"/>
      <c r="OAZ66"/>
      <c r="OBA66"/>
      <c r="OBB66"/>
      <c r="OBC66"/>
      <c r="OBD66"/>
      <c r="OBE66"/>
      <c r="OBF66"/>
      <c r="OBG66"/>
      <c r="OBH66"/>
      <c r="OBI66"/>
      <c r="OBJ66"/>
      <c r="OBK66"/>
      <c r="OBL66"/>
      <c r="OBM66"/>
      <c r="OBN66"/>
      <c r="OBO66"/>
      <c r="OBP66"/>
      <c r="OBQ66"/>
      <c r="OBR66"/>
      <c r="OBS66"/>
      <c r="OBT66"/>
      <c r="OBU66"/>
      <c r="OBV66"/>
      <c r="OBW66"/>
      <c r="OBX66"/>
      <c r="OBY66"/>
      <c r="OBZ66"/>
      <c r="OCA66"/>
      <c r="OCB66"/>
      <c r="OCC66"/>
      <c r="OCD66"/>
      <c r="OCE66"/>
      <c r="OCF66"/>
      <c r="OCG66"/>
      <c r="OCH66"/>
      <c r="OCI66"/>
      <c r="OCJ66"/>
      <c r="OCK66"/>
      <c r="OCL66"/>
      <c r="OCM66"/>
      <c r="OCN66"/>
      <c r="OCO66"/>
      <c r="OCP66"/>
      <c r="OCQ66"/>
      <c r="OCR66"/>
      <c r="OCS66"/>
      <c r="OCT66"/>
      <c r="OCU66"/>
      <c r="OCV66"/>
      <c r="OCW66"/>
      <c r="OCX66"/>
      <c r="OCY66"/>
      <c r="OCZ66"/>
      <c r="ODA66"/>
      <c r="ODB66"/>
      <c r="ODC66"/>
      <c r="ODD66"/>
      <c r="ODE66"/>
      <c r="ODF66"/>
      <c r="ODG66"/>
      <c r="ODH66"/>
      <c r="ODI66"/>
      <c r="ODJ66"/>
      <c r="ODK66"/>
      <c r="ODL66"/>
      <c r="ODM66"/>
      <c r="ODN66"/>
      <c r="ODO66"/>
      <c r="ODP66"/>
      <c r="ODQ66"/>
      <c r="ODR66"/>
      <c r="ODS66"/>
      <c r="ODT66"/>
      <c r="ODU66"/>
      <c r="ODV66"/>
      <c r="ODW66"/>
      <c r="ODX66"/>
      <c r="ODY66"/>
      <c r="ODZ66"/>
      <c r="OEA66"/>
      <c r="OEB66"/>
      <c r="OEC66"/>
      <c r="OED66"/>
      <c r="OEE66"/>
      <c r="OEF66"/>
      <c r="OEG66"/>
      <c r="OEH66"/>
      <c r="OEI66"/>
      <c r="OEJ66"/>
      <c r="OEK66"/>
      <c r="OEL66"/>
      <c r="OEM66"/>
      <c r="OEN66"/>
      <c r="OEO66"/>
      <c r="OEP66"/>
      <c r="OEQ66"/>
      <c r="OER66"/>
      <c r="OES66"/>
      <c r="OET66"/>
      <c r="OEU66"/>
      <c r="OEV66"/>
      <c r="OEW66"/>
      <c r="OEX66"/>
      <c r="OEY66"/>
      <c r="OEZ66"/>
      <c r="OFA66"/>
      <c r="OFB66"/>
      <c r="OFC66"/>
      <c r="OFD66"/>
      <c r="OFE66"/>
      <c r="OFF66"/>
      <c r="OFG66"/>
      <c r="OFH66"/>
      <c r="OFI66"/>
      <c r="OFJ66"/>
      <c r="OFK66"/>
      <c r="OFL66"/>
      <c r="OFM66"/>
      <c r="OFN66"/>
      <c r="OFO66"/>
      <c r="OFP66"/>
      <c r="OFQ66"/>
      <c r="OFR66"/>
      <c r="OFS66"/>
      <c r="OFT66"/>
      <c r="OFU66"/>
      <c r="OFV66"/>
      <c r="OFW66"/>
      <c r="OFX66"/>
      <c r="OFY66"/>
      <c r="OFZ66"/>
      <c r="OGA66"/>
      <c r="OGB66"/>
      <c r="OGC66"/>
      <c r="OGD66"/>
      <c r="OGE66"/>
      <c r="OGF66"/>
      <c r="OGG66"/>
      <c r="OGH66"/>
      <c r="OGI66"/>
      <c r="OGJ66"/>
      <c r="OGK66"/>
      <c r="OGL66"/>
      <c r="OGM66"/>
      <c r="OGN66"/>
      <c r="OGO66"/>
      <c r="OGP66"/>
      <c r="OGQ66"/>
      <c r="OGR66"/>
      <c r="OGS66"/>
      <c r="OGT66"/>
      <c r="OGU66"/>
      <c r="OGV66"/>
      <c r="OGW66"/>
      <c r="OGX66"/>
      <c r="OGY66"/>
      <c r="OGZ66"/>
      <c r="OHA66"/>
      <c r="OHB66"/>
      <c r="OHC66"/>
      <c r="OHD66"/>
      <c r="OHE66"/>
      <c r="OHF66"/>
      <c r="OHG66"/>
      <c r="OHH66"/>
      <c r="OHI66"/>
      <c r="OHJ66"/>
      <c r="OHK66"/>
      <c r="OHL66"/>
      <c r="OHM66"/>
      <c r="OHN66"/>
      <c r="OHO66"/>
      <c r="OHP66"/>
      <c r="OHQ66"/>
      <c r="OHR66"/>
      <c r="OHS66"/>
      <c r="OHT66"/>
      <c r="OHU66"/>
      <c r="OHV66"/>
      <c r="OHW66"/>
      <c r="OHX66"/>
      <c r="OHY66"/>
      <c r="OHZ66"/>
      <c r="OIA66"/>
      <c r="OIB66"/>
      <c r="OIC66"/>
      <c r="OID66"/>
      <c r="OIE66"/>
      <c r="OIF66"/>
      <c r="OIG66"/>
      <c r="OIH66"/>
      <c r="OII66"/>
      <c r="OIJ66"/>
      <c r="OIK66"/>
      <c r="OIL66"/>
      <c r="OIM66"/>
      <c r="OIN66"/>
      <c r="OIO66"/>
      <c r="OIP66"/>
      <c r="OIQ66"/>
      <c r="OIR66"/>
      <c r="OIS66"/>
      <c r="OIT66"/>
      <c r="OIU66"/>
      <c r="OIV66"/>
      <c r="OIW66"/>
      <c r="OIX66"/>
      <c r="OIY66"/>
      <c r="OIZ66"/>
      <c r="OJA66"/>
      <c r="OJB66"/>
      <c r="OJC66"/>
      <c r="OJD66"/>
      <c r="OJE66"/>
      <c r="OJF66"/>
      <c r="OJG66"/>
      <c r="OJH66"/>
      <c r="OJI66"/>
      <c r="OJJ66"/>
      <c r="OJK66"/>
      <c r="OJL66"/>
      <c r="OJM66"/>
      <c r="OJN66"/>
      <c r="OJO66"/>
      <c r="OJP66"/>
      <c r="OJQ66"/>
      <c r="OJR66"/>
      <c r="OJS66"/>
      <c r="OJT66"/>
      <c r="OJU66"/>
      <c r="OJV66"/>
      <c r="OJW66"/>
      <c r="OJX66"/>
      <c r="OJY66"/>
      <c r="OJZ66"/>
      <c r="OKA66"/>
      <c r="OKB66"/>
      <c r="OKC66"/>
      <c r="OKD66"/>
      <c r="OKE66"/>
      <c r="OKF66"/>
      <c r="OKG66"/>
      <c r="OKH66"/>
      <c r="OKI66"/>
      <c r="OKJ66"/>
      <c r="OKK66"/>
      <c r="OKL66"/>
      <c r="OKM66"/>
      <c r="OKN66"/>
      <c r="OKO66"/>
      <c r="OKP66"/>
      <c r="OKQ66"/>
      <c r="OKR66"/>
      <c r="OKS66"/>
      <c r="OKT66"/>
      <c r="OKU66"/>
      <c r="OKV66"/>
      <c r="OKW66"/>
      <c r="OKX66"/>
      <c r="OKY66"/>
      <c r="OKZ66"/>
      <c r="OLA66"/>
      <c r="OLB66"/>
      <c r="OLC66"/>
      <c r="OLD66"/>
      <c r="OLE66"/>
      <c r="OLF66"/>
      <c r="OLG66"/>
      <c r="OLH66"/>
      <c r="OLI66"/>
      <c r="OLJ66"/>
      <c r="OLK66"/>
      <c r="OLL66"/>
      <c r="OLM66"/>
      <c r="OLN66"/>
      <c r="OLO66"/>
      <c r="OLP66"/>
      <c r="OLQ66"/>
      <c r="OLR66"/>
      <c r="OLS66"/>
      <c r="OLT66"/>
      <c r="OLU66"/>
      <c r="OLV66"/>
      <c r="OLW66"/>
      <c r="OLX66"/>
      <c r="OLY66"/>
      <c r="OLZ66"/>
      <c r="OMA66"/>
      <c r="OMB66"/>
      <c r="OMC66"/>
      <c r="OMD66"/>
      <c r="OME66"/>
      <c r="OMF66"/>
      <c r="OMG66"/>
      <c r="OMH66"/>
      <c r="OMI66"/>
      <c r="OMJ66"/>
      <c r="OMK66"/>
      <c r="OML66"/>
      <c r="OMM66"/>
      <c r="OMN66"/>
      <c r="OMO66"/>
      <c r="OMP66"/>
      <c r="OMQ66"/>
      <c r="OMR66"/>
      <c r="OMS66"/>
      <c r="OMT66"/>
      <c r="OMU66"/>
      <c r="OMV66"/>
      <c r="OMW66"/>
      <c r="OMX66"/>
      <c r="OMY66"/>
      <c r="OMZ66"/>
      <c r="ONA66"/>
      <c r="ONB66"/>
      <c r="ONC66"/>
      <c r="OND66"/>
      <c r="ONE66"/>
      <c r="ONF66"/>
      <c r="ONG66"/>
      <c r="ONH66"/>
      <c r="ONI66"/>
      <c r="ONJ66"/>
      <c r="ONK66"/>
      <c r="ONL66"/>
      <c r="ONM66"/>
      <c r="ONN66"/>
      <c r="ONO66"/>
      <c r="ONP66"/>
      <c r="ONQ66"/>
      <c r="ONR66"/>
      <c r="ONS66"/>
      <c r="ONT66"/>
      <c r="ONU66"/>
      <c r="ONV66"/>
      <c r="ONW66"/>
      <c r="ONX66"/>
      <c r="ONY66"/>
      <c r="ONZ66"/>
      <c r="OOA66"/>
      <c r="OOB66"/>
      <c r="OOC66"/>
      <c r="OOD66"/>
      <c r="OOE66"/>
      <c r="OOF66"/>
      <c r="OOG66"/>
      <c r="OOH66"/>
      <c r="OOI66"/>
      <c r="OOJ66"/>
      <c r="OOK66"/>
      <c r="OOL66"/>
      <c r="OOM66"/>
      <c r="OON66"/>
      <c r="OOO66"/>
      <c r="OOP66"/>
      <c r="OOQ66"/>
      <c r="OOR66"/>
      <c r="OOS66"/>
      <c r="OOT66"/>
      <c r="OOU66"/>
      <c r="OOV66"/>
      <c r="OOW66"/>
      <c r="OOX66"/>
      <c r="OOY66"/>
      <c r="OOZ66"/>
      <c r="OPA66"/>
      <c r="OPB66"/>
      <c r="OPC66"/>
      <c r="OPD66"/>
      <c r="OPE66"/>
      <c r="OPF66"/>
      <c r="OPG66"/>
      <c r="OPH66"/>
      <c r="OPI66"/>
      <c r="OPJ66"/>
      <c r="OPK66"/>
      <c r="OPL66"/>
      <c r="OPM66"/>
      <c r="OPN66"/>
      <c r="OPO66"/>
      <c r="OPP66"/>
      <c r="OPQ66"/>
      <c r="OPR66"/>
      <c r="OPS66"/>
      <c r="OPT66"/>
      <c r="OPU66"/>
      <c r="OPV66"/>
      <c r="OPW66"/>
      <c r="OPX66"/>
      <c r="OPY66"/>
      <c r="OPZ66"/>
      <c r="OQA66"/>
      <c r="OQB66"/>
      <c r="OQC66"/>
      <c r="OQD66"/>
      <c r="OQE66"/>
      <c r="OQF66"/>
      <c r="OQG66"/>
      <c r="OQH66"/>
      <c r="OQI66"/>
      <c r="OQJ66"/>
      <c r="OQK66"/>
      <c r="OQL66"/>
      <c r="OQM66"/>
      <c r="OQN66"/>
      <c r="OQO66"/>
      <c r="OQP66"/>
      <c r="OQQ66"/>
      <c r="OQR66"/>
      <c r="OQS66"/>
      <c r="OQT66"/>
      <c r="OQU66"/>
      <c r="OQV66"/>
      <c r="OQW66"/>
      <c r="OQX66"/>
      <c r="OQY66"/>
      <c r="OQZ66"/>
      <c r="ORA66"/>
      <c r="ORB66"/>
      <c r="ORC66"/>
      <c r="ORD66"/>
      <c r="ORE66"/>
      <c r="ORF66"/>
      <c r="ORG66"/>
      <c r="ORH66"/>
      <c r="ORI66"/>
      <c r="ORJ66"/>
      <c r="ORK66"/>
      <c r="ORL66"/>
      <c r="ORM66"/>
      <c r="ORN66"/>
      <c r="ORO66"/>
      <c r="ORP66"/>
      <c r="ORQ66"/>
      <c r="ORR66"/>
      <c r="ORS66"/>
      <c r="ORT66"/>
      <c r="ORU66"/>
      <c r="ORV66"/>
      <c r="ORW66"/>
      <c r="ORX66"/>
      <c r="ORY66"/>
      <c r="ORZ66"/>
      <c r="OSA66"/>
      <c r="OSB66"/>
      <c r="OSC66"/>
      <c r="OSD66"/>
      <c r="OSE66"/>
      <c r="OSF66"/>
      <c r="OSG66"/>
      <c r="OSH66"/>
      <c r="OSI66"/>
      <c r="OSJ66"/>
      <c r="OSK66"/>
      <c r="OSL66"/>
      <c r="OSM66"/>
      <c r="OSN66"/>
      <c r="OSO66"/>
      <c r="OSP66"/>
      <c r="OSQ66"/>
      <c r="OSR66"/>
      <c r="OSS66"/>
      <c r="OST66"/>
      <c r="OSU66"/>
      <c r="OSV66"/>
      <c r="OSW66"/>
      <c r="OSX66"/>
      <c r="OSY66"/>
      <c r="OSZ66"/>
      <c r="OTA66"/>
      <c r="OTB66"/>
      <c r="OTC66"/>
      <c r="OTD66"/>
      <c r="OTE66"/>
      <c r="OTF66"/>
      <c r="OTG66"/>
      <c r="OTH66"/>
      <c r="OTI66"/>
      <c r="OTJ66"/>
      <c r="OTK66"/>
      <c r="OTL66"/>
      <c r="OTM66"/>
      <c r="OTN66"/>
      <c r="OTO66"/>
      <c r="OTP66"/>
      <c r="OTQ66"/>
      <c r="OTR66"/>
      <c r="OTS66"/>
      <c r="OTT66"/>
      <c r="OTU66"/>
      <c r="OTV66"/>
      <c r="OTW66"/>
      <c r="OTX66"/>
      <c r="OTY66"/>
      <c r="OTZ66"/>
      <c r="OUA66"/>
      <c r="OUB66"/>
      <c r="OUC66"/>
      <c r="OUD66"/>
      <c r="OUE66"/>
      <c r="OUF66"/>
      <c r="OUG66"/>
      <c r="OUH66"/>
      <c r="OUI66"/>
      <c r="OUJ66"/>
      <c r="OUK66"/>
      <c r="OUL66"/>
      <c r="OUM66"/>
      <c r="OUN66"/>
      <c r="OUO66"/>
      <c r="OUP66"/>
      <c r="OUQ66"/>
      <c r="OUR66"/>
      <c r="OUS66"/>
      <c r="OUT66"/>
      <c r="OUU66"/>
      <c r="OUV66"/>
      <c r="OUW66"/>
      <c r="OUX66"/>
      <c r="OUY66"/>
      <c r="OUZ66"/>
      <c r="OVA66"/>
      <c r="OVB66"/>
      <c r="OVC66"/>
      <c r="OVD66"/>
      <c r="OVE66"/>
      <c r="OVF66"/>
      <c r="OVG66"/>
      <c r="OVH66"/>
      <c r="OVI66"/>
      <c r="OVJ66"/>
      <c r="OVK66"/>
      <c r="OVL66"/>
      <c r="OVM66"/>
      <c r="OVN66"/>
      <c r="OVO66"/>
      <c r="OVP66"/>
      <c r="OVQ66"/>
      <c r="OVR66"/>
      <c r="OVS66"/>
      <c r="OVT66"/>
      <c r="OVU66"/>
      <c r="OVV66"/>
      <c r="OVW66"/>
      <c r="OVX66"/>
      <c r="OVY66"/>
      <c r="OVZ66"/>
      <c r="OWA66"/>
      <c r="OWB66"/>
      <c r="OWC66"/>
      <c r="OWD66"/>
      <c r="OWE66"/>
      <c r="OWF66"/>
      <c r="OWG66"/>
      <c r="OWH66"/>
      <c r="OWI66"/>
      <c r="OWJ66"/>
      <c r="OWK66"/>
      <c r="OWL66"/>
      <c r="OWM66"/>
      <c r="OWN66"/>
      <c r="OWO66"/>
      <c r="OWP66"/>
      <c r="OWQ66"/>
      <c r="OWR66"/>
      <c r="OWS66"/>
      <c r="OWT66"/>
      <c r="OWU66"/>
      <c r="OWV66"/>
      <c r="OWW66"/>
      <c r="OWX66"/>
      <c r="OWY66"/>
      <c r="OWZ66"/>
      <c r="OXA66"/>
      <c r="OXB66"/>
      <c r="OXC66"/>
      <c r="OXD66"/>
      <c r="OXE66"/>
      <c r="OXF66"/>
      <c r="OXG66"/>
      <c r="OXH66"/>
      <c r="OXI66"/>
      <c r="OXJ66"/>
      <c r="OXK66"/>
      <c r="OXL66"/>
      <c r="OXM66"/>
      <c r="OXN66"/>
      <c r="OXO66"/>
      <c r="OXP66"/>
      <c r="OXQ66"/>
      <c r="OXR66"/>
      <c r="OXS66"/>
      <c r="OXT66"/>
      <c r="OXU66"/>
      <c r="OXV66"/>
      <c r="OXW66"/>
      <c r="OXX66"/>
      <c r="OXY66"/>
      <c r="OXZ66"/>
      <c r="OYA66"/>
      <c r="OYB66"/>
      <c r="OYC66"/>
      <c r="OYD66"/>
      <c r="OYE66"/>
      <c r="OYF66"/>
      <c r="OYG66"/>
      <c r="OYH66"/>
      <c r="OYI66"/>
      <c r="OYJ66"/>
      <c r="OYK66"/>
      <c r="OYL66"/>
      <c r="OYM66"/>
      <c r="OYN66"/>
      <c r="OYO66"/>
      <c r="OYP66"/>
      <c r="OYQ66"/>
      <c r="OYR66"/>
      <c r="OYS66"/>
      <c r="OYT66"/>
      <c r="OYU66"/>
      <c r="OYV66"/>
      <c r="OYW66"/>
      <c r="OYX66"/>
      <c r="OYY66"/>
      <c r="OYZ66"/>
      <c r="OZA66"/>
      <c r="OZB66"/>
      <c r="OZC66"/>
      <c r="OZD66"/>
      <c r="OZE66"/>
      <c r="OZF66"/>
      <c r="OZG66"/>
      <c r="OZH66"/>
      <c r="OZI66"/>
      <c r="OZJ66"/>
      <c r="OZK66"/>
      <c r="OZL66"/>
      <c r="OZM66"/>
      <c r="OZN66"/>
      <c r="OZO66"/>
      <c r="OZP66"/>
      <c r="OZQ66"/>
      <c r="OZR66"/>
      <c r="OZS66"/>
      <c r="OZT66"/>
      <c r="OZU66"/>
      <c r="OZV66"/>
      <c r="OZW66"/>
      <c r="OZX66"/>
      <c r="OZY66"/>
      <c r="OZZ66"/>
      <c r="PAA66"/>
      <c r="PAB66"/>
      <c r="PAC66"/>
      <c r="PAD66"/>
      <c r="PAE66"/>
      <c r="PAF66"/>
      <c r="PAG66"/>
      <c r="PAH66"/>
      <c r="PAI66"/>
      <c r="PAJ66"/>
      <c r="PAK66"/>
      <c r="PAL66"/>
      <c r="PAM66"/>
      <c r="PAN66"/>
      <c r="PAO66"/>
      <c r="PAP66"/>
      <c r="PAQ66"/>
      <c r="PAR66"/>
      <c r="PAS66"/>
      <c r="PAT66"/>
      <c r="PAU66"/>
      <c r="PAV66"/>
      <c r="PAW66"/>
      <c r="PAX66"/>
      <c r="PAY66"/>
      <c r="PAZ66"/>
      <c r="PBA66"/>
      <c r="PBB66"/>
      <c r="PBC66"/>
      <c r="PBD66"/>
      <c r="PBE66"/>
      <c r="PBF66"/>
      <c r="PBG66"/>
      <c r="PBH66"/>
      <c r="PBI66"/>
      <c r="PBJ66"/>
      <c r="PBK66"/>
      <c r="PBL66"/>
      <c r="PBM66"/>
      <c r="PBN66"/>
      <c r="PBO66"/>
      <c r="PBP66"/>
      <c r="PBQ66"/>
      <c r="PBR66"/>
      <c r="PBS66"/>
      <c r="PBT66"/>
      <c r="PBU66"/>
      <c r="PBV66"/>
      <c r="PBW66"/>
      <c r="PBX66"/>
      <c r="PBY66"/>
      <c r="PBZ66"/>
      <c r="PCA66"/>
      <c r="PCB66"/>
      <c r="PCC66"/>
      <c r="PCD66"/>
      <c r="PCE66"/>
      <c r="PCF66"/>
      <c r="PCG66"/>
      <c r="PCH66"/>
      <c r="PCI66"/>
      <c r="PCJ66"/>
      <c r="PCK66"/>
      <c r="PCL66"/>
      <c r="PCM66"/>
      <c r="PCN66"/>
      <c r="PCO66"/>
      <c r="PCP66"/>
      <c r="PCQ66"/>
      <c r="PCR66"/>
      <c r="PCS66"/>
      <c r="PCT66"/>
      <c r="PCU66"/>
      <c r="PCV66"/>
      <c r="PCW66"/>
      <c r="PCX66"/>
      <c r="PCY66"/>
      <c r="PCZ66"/>
      <c r="PDA66"/>
      <c r="PDB66"/>
      <c r="PDC66"/>
      <c r="PDD66"/>
      <c r="PDE66"/>
      <c r="PDF66"/>
      <c r="PDG66"/>
      <c r="PDH66"/>
      <c r="PDI66"/>
      <c r="PDJ66"/>
      <c r="PDK66"/>
      <c r="PDL66"/>
      <c r="PDM66"/>
      <c r="PDN66"/>
      <c r="PDO66"/>
      <c r="PDP66"/>
      <c r="PDQ66"/>
      <c r="PDR66"/>
      <c r="PDS66"/>
      <c r="PDT66"/>
      <c r="PDU66"/>
      <c r="PDV66"/>
      <c r="PDW66"/>
      <c r="PDX66"/>
      <c r="PDY66"/>
      <c r="PDZ66"/>
      <c r="PEA66"/>
      <c r="PEB66"/>
      <c r="PEC66"/>
      <c r="PED66"/>
      <c r="PEE66"/>
      <c r="PEF66"/>
      <c r="PEG66"/>
      <c r="PEH66"/>
      <c r="PEI66"/>
      <c r="PEJ66"/>
      <c r="PEK66"/>
      <c r="PEL66"/>
      <c r="PEM66"/>
      <c r="PEN66"/>
      <c r="PEO66"/>
      <c r="PEP66"/>
      <c r="PEQ66"/>
      <c r="PER66"/>
      <c r="PES66"/>
      <c r="PET66"/>
      <c r="PEU66"/>
      <c r="PEV66"/>
      <c r="PEW66"/>
      <c r="PEX66"/>
      <c r="PEY66"/>
      <c r="PEZ66"/>
      <c r="PFA66"/>
      <c r="PFB66"/>
      <c r="PFC66"/>
      <c r="PFD66"/>
      <c r="PFE66"/>
      <c r="PFF66"/>
      <c r="PFG66"/>
      <c r="PFH66"/>
      <c r="PFI66"/>
      <c r="PFJ66"/>
      <c r="PFK66"/>
      <c r="PFL66"/>
      <c r="PFM66"/>
      <c r="PFN66"/>
      <c r="PFO66"/>
      <c r="PFP66"/>
      <c r="PFQ66"/>
      <c r="PFR66"/>
      <c r="PFS66"/>
      <c r="PFT66"/>
      <c r="PFU66"/>
      <c r="PFV66"/>
      <c r="PFW66"/>
      <c r="PFX66"/>
      <c r="PFY66"/>
      <c r="PFZ66"/>
      <c r="PGA66"/>
      <c r="PGB66"/>
      <c r="PGC66"/>
      <c r="PGD66"/>
      <c r="PGE66"/>
      <c r="PGF66"/>
      <c r="PGG66"/>
      <c r="PGH66"/>
      <c r="PGI66"/>
      <c r="PGJ66"/>
      <c r="PGK66"/>
      <c r="PGL66"/>
      <c r="PGM66"/>
      <c r="PGN66"/>
      <c r="PGO66"/>
      <c r="PGP66"/>
      <c r="PGQ66"/>
      <c r="PGR66"/>
      <c r="PGS66"/>
      <c r="PGT66"/>
      <c r="PGU66"/>
      <c r="PGV66"/>
      <c r="PGW66"/>
      <c r="PGX66"/>
      <c r="PGY66"/>
      <c r="PGZ66"/>
      <c r="PHA66"/>
      <c r="PHB66"/>
      <c r="PHC66"/>
      <c r="PHD66"/>
      <c r="PHE66"/>
      <c r="PHF66"/>
      <c r="PHG66"/>
      <c r="PHH66"/>
      <c r="PHI66"/>
      <c r="PHJ66"/>
      <c r="PHK66"/>
      <c r="PHL66"/>
      <c r="PHM66"/>
      <c r="PHN66"/>
      <c r="PHO66"/>
      <c r="PHP66"/>
      <c r="PHQ66"/>
      <c r="PHR66"/>
      <c r="PHS66"/>
      <c r="PHT66"/>
      <c r="PHU66"/>
      <c r="PHV66"/>
      <c r="PHW66"/>
      <c r="PHX66"/>
      <c r="PHY66"/>
      <c r="PHZ66"/>
      <c r="PIA66"/>
      <c r="PIB66"/>
      <c r="PIC66"/>
      <c r="PID66"/>
      <c r="PIE66"/>
      <c r="PIF66"/>
      <c r="PIG66"/>
      <c r="PIH66"/>
      <c r="PII66"/>
      <c r="PIJ66"/>
      <c r="PIK66"/>
      <c r="PIL66"/>
      <c r="PIM66"/>
      <c r="PIN66"/>
      <c r="PIO66"/>
      <c r="PIP66"/>
      <c r="PIQ66"/>
      <c r="PIR66"/>
      <c r="PIS66"/>
      <c r="PIT66"/>
      <c r="PIU66"/>
      <c r="PIV66"/>
      <c r="PIW66"/>
      <c r="PIX66"/>
      <c r="PIY66"/>
      <c r="PIZ66"/>
      <c r="PJA66"/>
      <c r="PJB66"/>
      <c r="PJC66"/>
      <c r="PJD66"/>
      <c r="PJE66"/>
      <c r="PJF66"/>
      <c r="PJG66"/>
      <c r="PJH66"/>
      <c r="PJI66"/>
      <c r="PJJ66"/>
      <c r="PJK66"/>
      <c r="PJL66"/>
      <c r="PJM66"/>
      <c r="PJN66"/>
      <c r="PJO66"/>
      <c r="PJP66"/>
      <c r="PJQ66"/>
      <c r="PJR66"/>
      <c r="PJS66"/>
      <c r="PJT66"/>
      <c r="PJU66"/>
      <c r="PJV66"/>
      <c r="PJW66"/>
      <c r="PJX66"/>
      <c r="PJY66"/>
      <c r="PJZ66"/>
      <c r="PKA66"/>
      <c r="PKB66"/>
      <c r="PKC66"/>
      <c r="PKD66"/>
      <c r="PKE66"/>
      <c r="PKF66"/>
      <c r="PKG66"/>
      <c r="PKH66"/>
      <c r="PKI66"/>
      <c r="PKJ66"/>
      <c r="PKK66"/>
      <c r="PKL66"/>
      <c r="PKM66"/>
      <c r="PKN66"/>
      <c r="PKO66"/>
      <c r="PKP66"/>
      <c r="PKQ66"/>
      <c r="PKR66"/>
      <c r="PKS66"/>
      <c r="PKT66"/>
      <c r="PKU66"/>
      <c r="PKV66"/>
      <c r="PKW66"/>
      <c r="PKX66"/>
      <c r="PKY66"/>
      <c r="PKZ66"/>
      <c r="PLA66"/>
      <c r="PLB66"/>
      <c r="PLC66"/>
      <c r="PLD66"/>
      <c r="PLE66"/>
      <c r="PLF66"/>
      <c r="PLG66"/>
      <c r="PLH66"/>
      <c r="PLI66"/>
      <c r="PLJ66"/>
      <c r="PLK66"/>
      <c r="PLL66"/>
      <c r="PLM66"/>
      <c r="PLN66"/>
      <c r="PLO66"/>
      <c r="PLP66"/>
      <c r="PLQ66"/>
      <c r="PLR66"/>
      <c r="PLS66"/>
      <c r="PLT66"/>
      <c r="PLU66"/>
      <c r="PLV66"/>
      <c r="PLW66"/>
      <c r="PLX66"/>
      <c r="PLY66"/>
      <c r="PLZ66"/>
      <c r="PMA66"/>
      <c r="PMB66"/>
      <c r="PMC66"/>
      <c r="PMD66"/>
      <c r="PME66"/>
      <c r="PMF66"/>
      <c r="PMG66"/>
      <c r="PMH66"/>
      <c r="PMI66"/>
      <c r="PMJ66"/>
      <c r="PMK66"/>
      <c r="PML66"/>
      <c r="PMM66"/>
      <c r="PMN66"/>
      <c r="PMO66"/>
      <c r="PMP66"/>
      <c r="PMQ66"/>
      <c r="PMR66"/>
      <c r="PMS66"/>
      <c r="PMT66"/>
      <c r="PMU66"/>
      <c r="PMV66"/>
      <c r="PMW66"/>
      <c r="PMX66"/>
      <c r="PMY66"/>
      <c r="PMZ66"/>
      <c r="PNA66"/>
      <c r="PNB66"/>
      <c r="PNC66"/>
      <c r="PND66"/>
      <c r="PNE66"/>
      <c r="PNF66"/>
      <c r="PNG66"/>
      <c r="PNH66"/>
      <c r="PNI66"/>
      <c r="PNJ66"/>
      <c r="PNK66"/>
      <c r="PNL66"/>
      <c r="PNM66"/>
      <c r="PNN66"/>
      <c r="PNO66"/>
      <c r="PNP66"/>
      <c r="PNQ66"/>
      <c r="PNR66"/>
      <c r="PNS66"/>
      <c r="PNT66"/>
      <c r="PNU66"/>
      <c r="PNV66"/>
      <c r="PNW66"/>
      <c r="PNX66"/>
      <c r="PNY66"/>
      <c r="PNZ66"/>
      <c r="POA66"/>
      <c r="POB66"/>
      <c r="POC66"/>
      <c r="POD66"/>
      <c r="POE66"/>
      <c r="POF66"/>
      <c r="POG66"/>
      <c r="POH66"/>
      <c r="POI66"/>
      <c r="POJ66"/>
      <c r="POK66"/>
      <c r="POL66"/>
      <c r="POM66"/>
      <c r="PON66"/>
      <c r="POO66"/>
      <c r="POP66"/>
      <c r="POQ66"/>
      <c r="POR66"/>
      <c r="POS66"/>
      <c r="POT66"/>
      <c r="POU66"/>
      <c r="POV66"/>
      <c r="POW66"/>
      <c r="POX66"/>
      <c r="POY66"/>
      <c r="POZ66"/>
      <c r="PPA66"/>
      <c r="PPB66"/>
      <c r="PPC66"/>
      <c r="PPD66"/>
      <c r="PPE66"/>
      <c r="PPF66"/>
      <c r="PPG66"/>
      <c r="PPH66"/>
      <c r="PPI66"/>
      <c r="PPJ66"/>
      <c r="PPK66"/>
      <c r="PPL66"/>
      <c r="PPM66"/>
      <c r="PPN66"/>
      <c r="PPO66"/>
      <c r="PPP66"/>
      <c r="PPQ66"/>
      <c r="PPR66"/>
      <c r="PPS66"/>
      <c r="PPT66"/>
      <c r="PPU66"/>
      <c r="PPV66"/>
      <c r="PPW66"/>
      <c r="PPX66"/>
      <c r="PPY66"/>
      <c r="PPZ66"/>
      <c r="PQA66"/>
      <c r="PQB66"/>
      <c r="PQC66"/>
      <c r="PQD66"/>
      <c r="PQE66"/>
      <c r="PQF66"/>
      <c r="PQG66"/>
      <c r="PQH66"/>
      <c r="PQI66"/>
      <c r="PQJ66"/>
      <c r="PQK66"/>
      <c r="PQL66"/>
      <c r="PQM66"/>
      <c r="PQN66"/>
      <c r="PQO66"/>
      <c r="PQP66"/>
      <c r="PQQ66"/>
      <c r="PQR66"/>
      <c r="PQS66"/>
      <c r="PQT66"/>
      <c r="PQU66"/>
      <c r="PQV66"/>
      <c r="PQW66"/>
      <c r="PQX66"/>
      <c r="PQY66"/>
      <c r="PQZ66"/>
      <c r="PRA66"/>
      <c r="PRB66"/>
      <c r="PRC66"/>
      <c r="PRD66"/>
      <c r="PRE66"/>
      <c r="PRF66"/>
      <c r="PRG66"/>
      <c r="PRH66"/>
      <c r="PRI66"/>
      <c r="PRJ66"/>
      <c r="PRK66"/>
      <c r="PRL66"/>
      <c r="PRM66"/>
      <c r="PRN66"/>
      <c r="PRO66"/>
      <c r="PRP66"/>
      <c r="PRQ66"/>
      <c r="PRR66"/>
      <c r="PRS66"/>
      <c r="PRT66"/>
      <c r="PRU66"/>
      <c r="PRV66"/>
      <c r="PRW66"/>
      <c r="PRX66"/>
      <c r="PRY66"/>
      <c r="PRZ66"/>
      <c r="PSA66"/>
      <c r="PSB66"/>
      <c r="PSC66"/>
      <c r="PSD66"/>
      <c r="PSE66"/>
      <c r="PSF66"/>
      <c r="PSG66"/>
      <c r="PSH66"/>
      <c r="PSI66"/>
      <c r="PSJ66"/>
      <c r="PSK66"/>
      <c r="PSL66"/>
      <c r="PSM66"/>
      <c r="PSN66"/>
      <c r="PSO66"/>
      <c r="PSP66"/>
      <c r="PSQ66"/>
      <c r="PSR66"/>
      <c r="PSS66"/>
      <c r="PST66"/>
      <c r="PSU66"/>
      <c r="PSV66"/>
      <c r="PSW66"/>
      <c r="PSX66"/>
      <c r="PSY66"/>
      <c r="PSZ66"/>
      <c r="PTA66"/>
      <c r="PTB66"/>
      <c r="PTC66"/>
      <c r="PTD66"/>
      <c r="PTE66"/>
      <c r="PTF66"/>
      <c r="PTG66"/>
      <c r="PTH66"/>
      <c r="PTI66"/>
      <c r="PTJ66"/>
      <c r="PTK66"/>
      <c r="PTL66"/>
      <c r="PTM66"/>
      <c r="PTN66"/>
      <c r="PTO66"/>
      <c r="PTP66"/>
      <c r="PTQ66"/>
      <c r="PTR66"/>
      <c r="PTS66"/>
      <c r="PTT66"/>
      <c r="PTU66"/>
      <c r="PTV66"/>
      <c r="PTW66"/>
      <c r="PTX66"/>
      <c r="PTY66"/>
      <c r="PTZ66"/>
      <c r="PUA66"/>
      <c r="PUB66"/>
      <c r="PUC66"/>
      <c r="PUD66"/>
      <c r="PUE66"/>
      <c r="PUF66"/>
      <c r="PUG66"/>
      <c r="PUH66"/>
      <c r="PUI66"/>
      <c r="PUJ66"/>
      <c r="PUK66"/>
      <c r="PUL66"/>
      <c r="PUM66"/>
      <c r="PUN66"/>
      <c r="PUO66"/>
      <c r="PUP66"/>
      <c r="PUQ66"/>
      <c r="PUR66"/>
      <c r="PUS66"/>
      <c r="PUT66"/>
      <c r="PUU66"/>
      <c r="PUV66"/>
      <c r="PUW66"/>
      <c r="PUX66"/>
      <c r="PUY66"/>
      <c r="PUZ66"/>
      <c r="PVA66"/>
      <c r="PVB66"/>
      <c r="PVC66"/>
      <c r="PVD66"/>
      <c r="PVE66"/>
      <c r="PVF66"/>
      <c r="PVG66"/>
      <c r="PVH66"/>
      <c r="PVI66"/>
      <c r="PVJ66"/>
      <c r="PVK66"/>
      <c r="PVL66"/>
      <c r="PVM66"/>
      <c r="PVN66"/>
      <c r="PVO66"/>
      <c r="PVP66"/>
      <c r="PVQ66"/>
      <c r="PVR66"/>
      <c r="PVS66"/>
      <c r="PVT66"/>
      <c r="PVU66"/>
      <c r="PVV66"/>
      <c r="PVW66"/>
      <c r="PVX66"/>
      <c r="PVY66"/>
      <c r="PVZ66"/>
      <c r="PWA66"/>
      <c r="PWB66"/>
      <c r="PWC66"/>
      <c r="PWD66"/>
      <c r="PWE66"/>
      <c r="PWF66"/>
      <c r="PWG66"/>
      <c r="PWH66"/>
      <c r="PWI66"/>
      <c r="PWJ66"/>
      <c r="PWK66"/>
      <c r="PWL66"/>
      <c r="PWM66"/>
      <c r="PWN66"/>
      <c r="PWO66"/>
      <c r="PWP66"/>
      <c r="PWQ66"/>
      <c r="PWR66"/>
      <c r="PWS66"/>
      <c r="PWT66"/>
      <c r="PWU66"/>
      <c r="PWV66"/>
      <c r="PWW66"/>
      <c r="PWX66"/>
      <c r="PWY66"/>
      <c r="PWZ66"/>
      <c r="PXA66"/>
      <c r="PXB66"/>
      <c r="PXC66"/>
      <c r="PXD66"/>
      <c r="PXE66"/>
      <c r="PXF66"/>
      <c r="PXG66"/>
      <c r="PXH66"/>
      <c r="PXI66"/>
      <c r="PXJ66"/>
      <c r="PXK66"/>
      <c r="PXL66"/>
      <c r="PXM66"/>
      <c r="PXN66"/>
      <c r="PXO66"/>
      <c r="PXP66"/>
      <c r="PXQ66"/>
      <c r="PXR66"/>
      <c r="PXS66"/>
      <c r="PXT66"/>
      <c r="PXU66"/>
      <c r="PXV66"/>
      <c r="PXW66"/>
      <c r="PXX66"/>
      <c r="PXY66"/>
      <c r="PXZ66"/>
      <c r="PYA66"/>
      <c r="PYB66"/>
      <c r="PYC66"/>
      <c r="PYD66"/>
      <c r="PYE66"/>
      <c r="PYF66"/>
      <c r="PYG66"/>
      <c r="PYH66"/>
      <c r="PYI66"/>
      <c r="PYJ66"/>
      <c r="PYK66"/>
      <c r="PYL66"/>
      <c r="PYM66"/>
      <c r="PYN66"/>
      <c r="PYO66"/>
      <c r="PYP66"/>
      <c r="PYQ66"/>
      <c r="PYR66"/>
      <c r="PYS66"/>
      <c r="PYT66"/>
      <c r="PYU66"/>
      <c r="PYV66"/>
      <c r="PYW66"/>
      <c r="PYX66"/>
      <c r="PYY66"/>
      <c r="PYZ66"/>
      <c r="PZA66"/>
      <c r="PZB66"/>
      <c r="PZC66"/>
      <c r="PZD66"/>
      <c r="PZE66"/>
      <c r="PZF66"/>
      <c r="PZG66"/>
      <c r="PZH66"/>
      <c r="PZI66"/>
      <c r="PZJ66"/>
      <c r="PZK66"/>
      <c r="PZL66"/>
      <c r="PZM66"/>
      <c r="PZN66"/>
      <c r="PZO66"/>
      <c r="PZP66"/>
      <c r="PZQ66"/>
      <c r="PZR66"/>
      <c r="PZS66"/>
      <c r="PZT66"/>
      <c r="PZU66"/>
      <c r="PZV66"/>
      <c r="PZW66"/>
      <c r="PZX66"/>
      <c r="PZY66"/>
      <c r="PZZ66"/>
      <c r="QAA66"/>
      <c r="QAB66"/>
      <c r="QAC66"/>
      <c r="QAD66"/>
      <c r="QAE66"/>
      <c r="QAF66"/>
      <c r="QAG66"/>
      <c r="QAH66"/>
      <c r="QAI66"/>
      <c r="QAJ66"/>
      <c r="QAK66"/>
      <c r="QAL66"/>
      <c r="QAM66"/>
      <c r="QAN66"/>
      <c r="QAO66"/>
      <c r="QAP66"/>
      <c r="QAQ66"/>
      <c r="QAR66"/>
      <c r="QAS66"/>
      <c r="QAT66"/>
      <c r="QAU66"/>
      <c r="QAV66"/>
      <c r="QAW66"/>
      <c r="QAX66"/>
      <c r="QAY66"/>
      <c r="QAZ66"/>
      <c r="QBA66"/>
      <c r="QBB66"/>
      <c r="QBC66"/>
      <c r="QBD66"/>
      <c r="QBE66"/>
      <c r="QBF66"/>
      <c r="QBG66"/>
      <c r="QBH66"/>
      <c r="QBI66"/>
      <c r="QBJ66"/>
      <c r="QBK66"/>
      <c r="QBL66"/>
      <c r="QBM66"/>
      <c r="QBN66"/>
      <c r="QBO66"/>
      <c r="QBP66"/>
      <c r="QBQ66"/>
      <c r="QBR66"/>
      <c r="QBS66"/>
      <c r="QBT66"/>
      <c r="QBU66"/>
      <c r="QBV66"/>
      <c r="QBW66"/>
      <c r="QBX66"/>
      <c r="QBY66"/>
      <c r="QBZ66"/>
      <c r="QCA66"/>
      <c r="QCB66"/>
      <c r="QCC66"/>
      <c r="QCD66"/>
      <c r="QCE66"/>
      <c r="QCF66"/>
      <c r="QCG66"/>
      <c r="QCH66"/>
      <c r="QCI66"/>
      <c r="QCJ66"/>
      <c r="QCK66"/>
      <c r="QCL66"/>
      <c r="QCM66"/>
      <c r="QCN66"/>
      <c r="QCO66"/>
      <c r="QCP66"/>
      <c r="QCQ66"/>
      <c r="QCR66"/>
      <c r="QCS66"/>
      <c r="QCT66"/>
      <c r="QCU66"/>
      <c r="QCV66"/>
      <c r="QCW66"/>
      <c r="QCX66"/>
      <c r="QCY66"/>
      <c r="QCZ66"/>
      <c r="QDA66"/>
      <c r="QDB66"/>
      <c r="QDC66"/>
      <c r="QDD66"/>
      <c r="QDE66"/>
      <c r="QDF66"/>
      <c r="QDG66"/>
      <c r="QDH66"/>
      <c r="QDI66"/>
      <c r="QDJ66"/>
      <c r="QDK66"/>
      <c r="QDL66"/>
      <c r="QDM66"/>
      <c r="QDN66"/>
      <c r="QDO66"/>
      <c r="QDP66"/>
      <c r="QDQ66"/>
      <c r="QDR66"/>
      <c r="QDS66"/>
      <c r="QDT66"/>
      <c r="QDU66"/>
      <c r="QDV66"/>
      <c r="QDW66"/>
      <c r="QDX66"/>
      <c r="QDY66"/>
      <c r="QDZ66"/>
      <c r="QEA66"/>
      <c r="QEB66"/>
      <c r="QEC66"/>
      <c r="QED66"/>
      <c r="QEE66"/>
      <c r="QEF66"/>
      <c r="QEG66"/>
      <c r="QEH66"/>
      <c r="QEI66"/>
      <c r="QEJ66"/>
      <c r="QEK66"/>
      <c r="QEL66"/>
      <c r="QEM66"/>
      <c r="QEN66"/>
      <c r="QEO66"/>
      <c r="QEP66"/>
      <c r="QEQ66"/>
      <c r="QER66"/>
      <c r="QES66"/>
      <c r="QET66"/>
      <c r="QEU66"/>
      <c r="QEV66"/>
      <c r="QEW66"/>
      <c r="QEX66"/>
      <c r="QEY66"/>
      <c r="QEZ66"/>
      <c r="QFA66"/>
      <c r="QFB66"/>
      <c r="QFC66"/>
      <c r="QFD66"/>
      <c r="QFE66"/>
      <c r="QFF66"/>
      <c r="QFG66"/>
      <c r="QFH66"/>
      <c r="QFI66"/>
      <c r="QFJ66"/>
      <c r="QFK66"/>
      <c r="QFL66"/>
      <c r="QFM66"/>
      <c r="QFN66"/>
      <c r="QFO66"/>
      <c r="QFP66"/>
      <c r="QFQ66"/>
      <c r="QFR66"/>
      <c r="QFS66"/>
      <c r="QFT66"/>
      <c r="QFU66"/>
      <c r="QFV66"/>
      <c r="QFW66"/>
      <c r="QFX66"/>
      <c r="QFY66"/>
      <c r="QFZ66"/>
      <c r="QGA66"/>
      <c r="QGB66"/>
      <c r="QGC66"/>
      <c r="QGD66"/>
      <c r="QGE66"/>
      <c r="QGF66"/>
      <c r="QGG66"/>
      <c r="QGH66"/>
      <c r="QGI66"/>
      <c r="QGJ66"/>
      <c r="QGK66"/>
      <c r="QGL66"/>
      <c r="QGM66"/>
      <c r="QGN66"/>
      <c r="QGO66"/>
      <c r="QGP66"/>
      <c r="QGQ66"/>
      <c r="QGR66"/>
      <c r="QGS66"/>
      <c r="QGT66"/>
      <c r="QGU66"/>
      <c r="QGV66"/>
      <c r="QGW66"/>
      <c r="QGX66"/>
      <c r="QGY66"/>
      <c r="QGZ66"/>
      <c r="QHA66"/>
      <c r="QHB66"/>
      <c r="QHC66"/>
      <c r="QHD66"/>
      <c r="QHE66"/>
      <c r="QHF66"/>
      <c r="QHG66"/>
      <c r="QHH66"/>
      <c r="QHI66"/>
      <c r="QHJ66"/>
      <c r="QHK66"/>
      <c r="QHL66"/>
      <c r="QHM66"/>
      <c r="QHN66"/>
      <c r="QHO66"/>
      <c r="QHP66"/>
      <c r="QHQ66"/>
      <c r="QHR66"/>
      <c r="QHS66"/>
      <c r="QHT66"/>
      <c r="QHU66"/>
      <c r="QHV66"/>
      <c r="QHW66"/>
      <c r="QHX66"/>
      <c r="QHY66"/>
      <c r="QHZ66"/>
      <c r="QIA66"/>
      <c r="QIB66"/>
      <c r="QIC66"/>
      <c r="QID66"/>
      <c r="QIE66"/>
      <c r="QIF66"/>
      <c r="QIG66"/>
      <c r="QIH66"/>
      <c r="QII66"/>
      <c r="QIJ66"/>
      <c r="QIK66"/>
      <c r="QIL66"/>
      <c r="QIM66"/>
      <c r="QIN66"/>
      <c r="QIO66"/>
      <c r="QIP66"/>
      <c r="QIQ66"/>
      <c r="QIR66"/>
      <c r="QIS66"/>
      <c r="QIT66"/>
      <c r="QIU66"/>
      <c r="QIV66"/>
      <c r="QIW66"/>
      <c r="QIX66"/>
      <c r="QIY66"/>
      <c r="QIZ66"/>
      <c r="QJA66"/>
      <c r="QJB66"/>
      <c r="QJC66"/>
      <c r="QJD66"/>
      <c r="QJE66"/>
      <c r="QJF66"/>
      <c r="QJG66"/>
      <c r="QJH66"/>
      <c r="QJI66"/>
      <c r="QJJ66"/>
      <c r="QJK66"/>
      <c r="QJL66"/>
      <c r="QJM66"/>
      <c r="QJN66"/>
      <c r="QJO66"/>
      <c r="QJP66"/>
      <c r="QJQ66"/>
      <c r="QJR66"/>
      <c r="QJS66"/>
      <c r="QJT66"/>
      <c r="QJU66"/>
      <c r="QJV66"/>
      <c r="QJW66"/>
      <c r="QJX66"/>
      <c r="QJY66"/>
      <c r="QJZ66"/>
      <c r="QKA66"/>
      <c r="QKB66"/>
      <c r="QKC66"/>
      <c r="QKD66"/>
      <c r="QKE66"/>
      <c r="QKF66"/>
      <c r="QKG66"/>
      <c r="QKH66"/>
      <c r="QKI66"/>
      <c r="QKJ66"/>
      <c r="QKK66"/>
      <c r="QKL66"/>
      <c r="QKM66"/>
      <c r="QKN66"/>
      <c r="QKO66"/>
      <c r="QKP66"/>
      <c r="QKQ66"/>
      <c r="QKR66"/>
      <c r="QKS66"/>
      <c r="QKT66"/>
      <c r="QKU66"/>
      <c r="QKV66"/>
      <c r="QKW66"/>
      <c r="QKX66"/>
      <c r="QKY66"/>
      <c r="QKZ66"/>
      <c r="QLA66"/>
      <c r="QLB66"/>
      <c r="QLC66"/>
      <c r="QLD66"/>
      <c r="QLE66"/>
      <c r="QLF66"/>
      <c r="QLG66"/>
      <c r="QLH66"/>
      <c r="QLI66"/>
      <c r="QLJ66"/>
      <c r="QLK66"/>
      <c r="QLL66"/>
      <c r="QLM66"/>
      <c r="QLN66"/>
      <c r="QLO66"/>
      <c r="QLP66"/>
      <c r="QLQ66"/>
      <c r="QLR66"/>
      <c r="QLS66"/>
      <c r="QLT66"/>
      <c r="QLU66"/>
      <c r="QLV66"/>
      <c r="QLW66"/>
      <c r="QLX66"/>
      <c r="QLY66"/>
      <c r="QLZ66"/>
      <c r="QMA66"/>
      <c r="QMB66"/>
      <c r="QMC66"/>
      <c r="QMD66"/>
      <c r="QME66"/>
      <c r="QMF66"/>
      <c r="QMG66"/>
      <c r="QMH66"/>
      <c r="QMI66"/>
      <c r="QMJ66"/>
      <c r="QMK66"/>
      <c r="QML66"/>
      <c r="QMM66"/>
      <c r="QMN66"/>
      <c r="QMO66"/>
      <c r="QMP66"/>
      <c r="QMQ66"/>
      <c r="QMR66"/>
      <c r="QMS66"/>
      <c r="QMT66"/>
      <c r="QMU66"/>
      <c r="QMV66"/>
      <c r="QMW66"/>
      <c r="QMX66"/>
      <c r="QMY66"/>
      <c r="QMZ66"/>
      <c r="QNA66"/>
      <c r="QNB66"/>
      <c r="QNC66"/>
      <c r="QND66"/>
      <c r="QNE66"/>
      <c r="QNF66"/>
      <c r="QNG66"/>
      <c r="QNH66"/>
      <c r="QNI66"/>
      <c r="QNJ66"/>
      <c r="QNK66"/>
      <c r="QNL66"/>
      <c r="QNM66"/>
      <c r="QNN66"/>
      <c r="QNO66"/>
      <c r="QNP66"/>
      <c r="QNQ66"/>
      <c r="QNR66"/>
      <c r="QNS66"/>
      <c r="QNT66"/>
      <c r="QNU66"/>
      <c r="QNV66"/>
      <c r="QNW66"/>
      <c r="QNX66"/>
      <c r="QNY66"/>
      <c r="QNZ66"/>
      <c r="QOA66"/>
      <c r="QOB66"/>
      <c r="QOC66"/>
      <c r="QOD66"/>
      <c r="QOE66"/>
      <c r="QOF66"/>
      <c r="QOG66"/>
      <c r="QOH66"/>
      <c r="QOI66"/>
      <c r="QOJ66"/>
      <c r="QOK66"/>
      <c r="QOL66"/>
      <c r="QOM66"/>
      <c r="QON66"/>
      <c r="QOO66"/>
      <c r="QOP66"/>
      <c r="QOQ66"/>
      <c r="QOR66"/>
      <c r="QOS66"/>
      <c r="QOT66"/>
      <c r="QOU66"/>
      <c r="QOV66"/>
      <c r="QOW66"/>
      <c r="QOX66"/>
      <c r="QOY66"/>
      <c r="QOZ66"/>
      <c r="QPA66"/>
      <c r="QPB66"/>
      <c r="QPC66"/>
      <c r="QPD66"/>
      <c r="QPE66"/>
      <c r="QPF66"/>
      <c r="QPG66"/>
      <c r="QPH66"/>
      <c r="QPI66"/>
      <c r="QPJ66"/>
      <c r="QPK66"/>
      <c r="QPL66"/>
      <c r="QPM66"/>
      <c r="QPN66"/>
      <c r="QPO66"/>
      <c r="QPP66"/>
      <c r="QPQ66"/>
      <c r="QPR66"/>
      <c r="QPS66"/>
      <c r="QPT66"/>
      <c r="QPU66"/>
      <c r="QPV66"/>
      <c r="QPW66"/>
      <c r="QPX66"/>
      <c r="QPY66"/>
      <c r="QPZ66"/>
      <c r="QQA66"/>
      <c r="QQB66"/>
      <c r="QQC66"/>
      <c r="QQD66"/>
      <c r="QQE66"/>
      <c r="QQF66"/>
      <c r="QQG66"/>
      <c r="QQH66"/>
      <c r="QQI66"/>
      <c r="QQJ66"/>
      <c r="QQK66"/>
      <c r="QQL66"/>
      <c r="QQM66"/>
      <c r="QQN66"/>
      <c r="QQO66"/>
      <c r="QQP66"/>
      <c r="QQQ66"/>
      <c r="QQR66"/>
      <c r="QQS66"/>
      <c r="QQT66"/>
      <c r="QQU66"/>
      <c r="QQV66"/>
      <c r="QQW66"/>
      <c r="QQX66"/>
      <c r="QQY66"/>
      <c r="QQZ66"/>
      <c r="QRA66"/>
      <c r="QRB66"/>
      <c r="QRC66"/>
      <c r="QRD66"/>
      <c r="QRE66"/>
      <c r="QRF66"/>
      <c r="QRG66"/>
      <c r="QRH66"/>
      <c r="QRI66"/>
      <c r="QRJ66"/>
      <c r="QRK66"/>
      <c r="QRL66"/>
      <c r="QRM66"/>
      <c r="QRN66"/>
      <c r="QRO66"/>
      <c r="QRP66"/>
      <c r="QRQ66"/>
      <c r="QRR66"/>
      <c r="QRS66"/>
      <c r="QRT66"/>
      <c r="QRU66"/>
      <c r="QRV66"/>
      <c r="QRW66"/>
      <c r="QRX66"/>
      <c r="QRY66"/>
      <c r="QRZ66"/>
      <c r="QSA66"/>
      <c r="QSB66"/>
      <c r="QSC66"/>
      <c r="QSD66"/>
      <c r="QSE66"/>
      <c r="QSF66"/>
      <c r="QSG66"/>
      <c r="QSH66"/>
      <c r="QSI66"/>
      <c r="QSJ66"/>
      <c r="QSK66"/>
      <c r="QSL66"/>
      <c r="QSM66"/>
      <c r="QSN66"/>
      <c r="QSO66"/>
      <c r="QSP66"/>
      <c r="QSQ66"/>
      <c r="QSR66"/>
      <c r="QSS66"/>
      <c r="QST66"/>
      <c r="QSU66"/>
      <c r="QSV66"/>
      <c r="QSW66"/>
      <c r="QSX66"/>
      <c r="QSY66"/>
      <c r="QSZ66"/>
      <c r="QTA66"/>
      <c r="QTB66"/>
      <c r="QTC66"/>
      <c r="QTD66"/>
      <c r="QTE66"/>
      <c r="QTF66"/>
      <c r="QTG66"/>
      <c r="QTH66"/>
      <c r="QTI66"/>
      <c r="QTJ66"/>
      <c r="QTK66"/>
      <c r="QTL66"/>
      <c r="QTM66"/>
      <c r="QTN66"/>
      <c r="QTO66"/>
      <c r="QTP66"/>
      <c r="QTQ66"/>
      <c r="QTR66"/>
      <c r="QTS66"/>
      <c r="QTT66"/>
      <c r="QTU66"/>
      <c r="QTV66"/>
      <c r="QTW66"/>
      <c r="QTX66"/>
      <c r="QTY66"/>
      <c r="QTZ66"/>
      <c r="QUA66"/>
      <c r="QUB66"/>
      <c r="QUC66"/>
      <c r="QUD66"/>
      <c r="QUE66"/>
      <c r="QUF66"/>
      <c r="QUG66"/>
      <c r="QUH66"/>
      <c r="QUI66"/>
      <c r="QUJ66"/>
      <c r="QUK66"/>
      <c r="QUL66"/>
      <c r="QUM66"/>
      <c r="QUN66"/>
      <c r="QUO66"/>
      <c r="QUP66"/>
      <c r="QUQ66"/>
      <c r="QUR66"/>
      <c r="QUS66"/>
      <c r="QUT66"/>
      <c r="QUU66"/>
      <c r="QUV66"/>
      <c r="QUW66"/>
      <c r="QUX66"/>
      <c r="QUY66"/>
      <c r="QUZ66"/>
      <c r="QVA66"/>
      <c r="QVB66"/>
      <c r="QVC66"/>
      <c r="QVD66"/>
      <c r="QVE66"/>
      <c r="QVF66"/>
      <c r="QVG66"/>
      <c r="QVH66"/>
      <c r="QVI66"/>
      <c r="QVJ66"/>
      <c r="QVK66"/>
      <c r="QVL66"/>
      <c r="QVM66"/>
      <c r="QVN66"/>
      <c r="QVO66"/>
      <c r="QVP66"/>
      <c r="QVQ66"/>
      <c r="QVR66"/>
      <c r="QVS66"/>
      <c r="QVT66"/>
      <c r="QVU66"/>
      <c r="QVV66"/>
      <c r="QVW66"/>
      <c r="QVX66"/>
      <c r="QVY66"/>
      <c r="QVZ66"/>
      <c r="QWA66"/>
      <c r="QWB66"/>
      <c r="QWC66"/>
      <c r="QWD66"/>
      <c r="QWE66"/>
      <c r="QWF66"/>
      <c r="QWG66"/>
      <c r="QWH66"/>
      <c r="QWI66"/>
      <c r="QWJ66"/>
      <c r="QWK66"/>
      <c r="QWL66"/>
      <c r="QWM66"/>
      <c r="QWN66"/>
      <c r="QWO66"/>
      <c r="QWP66"/>
      <c r="QWQ66"/>
      <c r="QWR66"/>
      <c r="QWS66"/>
      <c r="QWT66"/>
      <c r="QWU66"/>
      <c r="QWV66"/>
      <c r="QWW66"/>
      <c r="QWX66"/>
      <c r="QWY66"/>
      <c r="QWZ66"/>
      <c r="QXA66"/>
      <c r="QXB66"/>
      <c r="QXC66"/>
      <c r="QXD66"/>
      <c r="QXE66"/>
      <c r="QXF66"/>
      <c r="QXG66"/>
      <c r="QXH66"/>
      <c r="QXI66"/>
      <c r="QXJ66"/>
      <c r="QXK66"/>
      <c r="QXL66"/>
      <c r="QXM66"/>
      <c r="QXN66"/>
      <c r="QXO66"/>
      <c r="QXP66"/>
      <c r="QXQ66"/>
      <c r="QXR66"/>
      <c r="QXS66"/>
      <c r="QXT66"/>
      <c r="QXU66"/>
      <c r="QXV66"/>
      <c r="QXW66"/>
      <c r="QXX66"/>
      <c r="QXY66"/>
      <c r="QXZ66"/>
      <c r="QYA66"/>
      <c r="QYB66"/>
      <c r="QYC66"/>
      <c r="QYD66"/>
      <c r="QYE66"/>
      <c r="QYF66"/>
      <c r="QYG66"/>
      <c r="QYH66"/>
      <c r="QYI66"/>
      <c r="QYJ66"/>
      <c r="QYK66"/>
      <c r="QYL66"/>
      <c r="QYM66"/>
      <c r="QYN66"/>
      <c r="QYO66"/>
      <c r="QYP66"/>
      <c r="QYQ66"/>
      <c r="QYR66"/>
      <c r="QYS66"/>
      <c r="QYT66"/>
      <c r="QYU66"/>
      <c r="QYV66"/>
      <c r="QYW66"/>
      <c r="QYX66"/>
      <c r="QYY66"/>
      <c r="QYZ66"/>
      <c r="QZA66"/>
      <c r="QZB66"/>
      <c r="QZC66"/>
      <c r="QZD66"/>
      <c r="QZE66"/>
      <c r="QZF66"/>
      <c r="QZG66"/>
      <c r="QZH66"/>
      <c r="QZI66"/>
      <c r="QZJ66"/>
      <c r="QZK66"/>
      <c r="QZL66"/>
      <c r="QZM66"/>
      <c r="QZN66"/>
      <c r="QZO66"/>
      <c r="QZP66"/>
      <c r="QZQ66"/>
      <c r="QZR66"/>
      <c r="QZS66"/>
      <c r="QZT66"/>
      <c r="QZU66"/>
      <c r="QZV66"/>
      <c r="QZW66"/>
      <c r="QZX66"/>
      <c r="QZY66"/>
      <c r="QZZ66"/>
      <c r="RAA66"/>
      <c r="RAB66"/>
      <c r="RAC66"/>
      <c r="RAD66"/>
      <c r="RAE66"/>
      <c r="RAF66"/>
      <c r="RAG66"/>
      <c r="RAH66"/>
      <c r="RAI66"/>
      <c r="RAJ66"/>
      <c r="RAK66"/>
      <c r="RAL66"/>
      <c r="RAM66"/>
      <c r="RAN66"/>
      <c r="RAO66"/>
      <c r="RAP66"/>
      <c r="RAQ66"/>
      <c r="RAR66"/>
      <c r="RAS66"/>
      <c r="RAT66"/>
      <c r="RAU66"/>
      <c r="RAV66"/>
      <c r="RAW66"/>
      <c r="RAX66"/>
      <c r="RAY66"/>
      <c r="RAZ66"/>
      <c r="RBA66"/>
      <c r="RBB66"/>
      <c r="RBC66"/>
      <c r="RBD66"/>
      <c r="RBE66"/>
      <c r="RBF66"/>
      <c r="RBG66"/>
      <c r="RBH66"/>
      <c r="RBI66"/>
      <c r="RBJ66"/>
      <c r="RBK66"/>
      <c r="RBL66"/>
      <c r="RBM66"/>
      <c r="RBN66"/>
      <c r="RBO66"/>
      <c r="RBP66"/>
      <c r="RBQ66"/>
      <c r="RBR66"/>
      <c r="RBS66"/>
      <c r="RBT66"/>
      <c r="RBU66"/>
      <c r="RBV66"/>
      <c r="RBW66"/>
      <c r="RBX66"/>
      <c r="RBY66"/>
      <c r="RBZ66"/>
      <c r="RCA66"/>
      <c r="RCB66"/>
      <c r="RCC66"/>
      <c r="RCD66"/>
      <c r="RCE66"/>
      <c r="RCF66"/>
      <c r="RCG66"/>
      <c r="RCH66"/>
      <c r="RCI66"/>
      <c r="RCJ66"/>
      <c r="RCK66"/>
      <c r="RCL66"/>
      <c r="RCM66"/>
      <c r="RCN66"/>
      <c r="RCO66"/>
      <c r="RCP66"/>
      <c r="RCQ66"/>
      <c r="RCR66"/>
      <c r="RCS66"/>
      <c r="RCT66"/>
      <c r="RCU66"/>
      <c r="RCV66"/>
      <c r="RCW66"/>
      <c r="RCX66"/>
      <c r="RCY66"/>
      <c r="RCZ66"/>
      <c r="RDA66"/>
      <c r="RDB66"/>
      <c r="RDC66"/>
      <c r="RDD66"/>
      <c r="RDE66"/>
      <c r="RDF66"/>
      <c r="RDG66"/>
      <c r="RDH66"/>
      <c r="RDI66"/>
      <c r="RDJ66"/>
      <c r="RDK66"/>
      <c r="RDL66"/>
      <c r="RDM66"/>
      <c r="RDN66"/>
      <c r="RDO66"/>
      <c r="RDP66"/>
      <c r="RDQ66"/>
      <c r="RDR66"/>
      <c r="RDS66"/>
      <c r="RDT66"/>
      <c r="RDU66"/>
      <c r="RDV66"/>
      <c r="RDW66"/>
      <c r="RDX66"/>
      <c r="RDY66"/>
      <c r="RDZ66"/>
      <c r="REA66"/>
      <c r="REB66"/>
      <c r="REC66"/>
      <c r="RED66"/>
      <c r="REE66"/>
      <c r="REF66"/>
      <c r="REG66"/>
      <c r="REH66"/>
      <c r="REI66"/>
      <c r="REJ66"/>
      <c r="REK66"/>
      <c r="REL66"/>
      <c r="REM66"/>
      <c r="REN66"/>
      <c r="REO66"/>
      <c r="REP66"/>
      <c r="REQ66"/>
      <c r="RER66"/>
      <c r="RES66"/>
      <c r="RET66"/>
      <c r="REU66"/>
      <c r="REV66"/>
      <c r="REW66"/>
      <c r="REX66"/>
      <c r="REY66"/>
      <c r="REZ66"/>
      <c r="RFA66"/>
      <c r="RFB66"/>
      <c r="RFC66"/>
      <c r="RFD66"/>
      <c r="RFE66"/>
      <c r="RFF66"/>
      <c r="RFG66"/>
      <c r="RFH66"/>
      <c r="RFI66"/>
      <c r="RFJ66"/>
      <c r="RFK66"/>
      <c r="RFL66"/>
      <c r="RFM66"/>
      <c r="RFN66"/>
      <c r="RFO66"/>
      <c r="RFP66"/>
      <c r="RFQ66"/>
      <c r="RFR66"/>
      <c r="RFS66"/>
      <c r="RFT66"/>
      <c r="RFU66"/>
      <c r="RFV66"/>
      <c r="RFW66"/>
      <c r="RFX66"/>
      <c r="RFY66"/>
      <c r="RFZ66"/>
      <c r="RGA66"/>
      <c r="RGB66"/>
      <c r="RGC66"/>
      <c r="RGD66"/>
      <c r="RGE66"/>
      <c r="RGF66"/>
      <c r="RGG66"/>
      <c r="RGH66"/>
      <c r="RGI66"/>
      <c r="RGJ66"/>
      <c r="RGK66"/>
      <c r="RGL66"/>
      <c r="RGM66"/>
      <c r="RGN66"/>
      <c r="RGO66"/>
      <c r="RGP66"/>
      <c r="RGQ66"/>
      <c r="RGR66"/>
      <c r="RGS66"/>
      <c r="RGT66"/>
      <c r="RGU66"/>
      <c r="RGV66"/>
      <c r="RGW66"/>
      <c r="RGX66"/>
      <c r="RGY66"/>
      <c r="RGZ66"/>
      <c r="RHA66"/>
      <c r="RHB66"/>
      <c r="RHC66"/>
      <c r="RHD66"/>
      <c r="RHE66"/>
      <c r="RHF66"/>
      <c r="RHG66"/>
      <c r="RHH66"/>
      <c r="RHI66"/>
      <c r="RHJ66"/>
      <c r="RHK66"/>
      <c r="RHL66"/>
      <c r="RHM66"/>
      <c r="RHN66"/>
      <c r="RHO66"/>
      <c r="RHP66"/>
      <c r="RHQ66"/>
      <c r="RHR66"/>
      <c r="RHS66"/>
      <c r="RHT66"/>
      <c r="RHU66"/>
      <c r="RHV66"/>
      <c r="RHW66"/>
      <c r="RHX66"/>
      <c r="RHY66"/>
      <c r="RHZ66"/>
      <c r="RIA66"/>
      <c r="RIB66"/>
      <c r="RIC66"/>
      <c r="RID66"/>
      <c r="RIE66"/>
      <c r="RIF66"/>
      <c r="RIG66"/>
      <c r="RIH66"/>
      <c r="RII66"/>
      <c r="RIJ66"/>
      <c r="RIK66"/>
      <c r="RIL66"/>
      <c r="RIM66"/>
      <c r="RIN66"/>
      <c r="RIO66"/>
      <c r="RIP66"/>
      <c r="RIQ66"/>
      <c r="RIR66"/>
      <c r="RIS66"/>
      <c r="RIT66"/>
      <c r="RIU66"/>
      <c r="RIV66"/>
      <c r="RIW66"/>
      <c r="RIX66"/>
      <c r="RIY66"/>
      <c r="RIZ66"/>
      <c r="RJA66"/>
      <c r="RJB66"/>
      <c r="RJC66"/>
      <c r="RJD66"/>
      <c r="RJE66"/>
      <c r="RJF66"/>
      <c r="RJG66"/>
      <c r="RJH66"/>
      <c r="RJI66"/>
      <c r="RJJ66"/>
      <c r="RJK66"/>
      <c r="RJL66"/>
      <c r="RJM66"/>
      <c r="RJN66"/>
      <c r="RJO66"/>
      <c r="RJP66"/>
      <c r="RJQ66"/>
      <c r="RJR66"/>
      <c r="RJS66"/>
      <c r="RJT66"/>
      <c r="RJU66"/>
      <c r="RJV66"/>
      <c r="RJW66"/>
      <c r="RJX66"/>
      <c r="RJY66"/>
      <c r="RJZ66"/>
      <c r="RKA66"/>
      <c r="RKB66"/>
      <c r="RKC66"/>
      <c r="RKD66"/>
      <c r="RKE66"/>
      <c r="RKF66"/>
      <c r="RKG66"/>
      <c r="RKH66"/>
      <c r="RKI66"/>
      <c r="RKJ66"/>
      <c r="RKK66"/>
      <c r="RKL66"/>
      <c r="RKM66"/>
      <c r="RKN66"/>
      <c r="RKO66"/>
      <c r="RKP66"/>
      <c r="RKQ66"/>
      <c r="RKR66"/>
      <c r="RKS66"/>
      <c r="RKT66"/>
      <c r="RKU66"/>
      <c r="RKV66"/>
      <c r="RKW66"/>
      <c r="RKX66"/>
      <c r="RKY66"/>
      <c r="RKZ66"/>
      <c r="RLA66"/>
      <c r="RLB66"/>
      <c r="RLC66"/>
      <c r="RLD66"/>
      <c r="RLE66"/>
      <c r="RLF66"/>
      <c r="RLG66"/>
      <c r="RLH66"/>
      <c r="RLI66"/>
      <c r="RLJ66"/>
      <c r="RLK66"/>
      <c r="RLL66"/>
      <c r="RLM66"/>
      <c r="RLN66"/>
      <c r="RLO66"/>
      <c r="RLP66"/>
      <c r="RLQ66"/>
      <c r="RLR66"/>
      <c r="RLS66"/>
      <c r="RLT66"/>
      <c r="RLU66"/>
      <c r="RLV66"/>
      <c r="RLW66"/>
      <c r="RLX66"/>
      <c r="RLY66"/>
      <c r="RLZ66"/>
      <c r="RMA66"/>
      <c r="RMB66"/>
      <c r="RMC66"/>
      <c r="RMD66"/>
      <c r="RME66"/>
      <c r="RMF66"/>
      <c r="RMG66"/>
      <c r="RMH66"/>
      <c r="RMI66"/>
      <c r="RMJ66"/>
      <c r="RMK66"/>
      <c r="RML66"/>
      <c r="RMM66"/>
      <c r="RMN66"/>
      <c r="RMO66"/>
      <c r="RMP66"/>
      <c r="RMQ66"/>
      <c r="RMR66"/>
      <c r="RMS66"/>
      <c r="RMT66"/>
      <c r="RMU66"/>
      <c r="RMV66"/>
      <c r="RMW66"/>
      <c r="RMX66"/>
      <c r="RMY66"/>
      <c r="RMZ66"/>
      <c r="RNA66"/>
      <c r="RNB66"/>
      <c r="RNC66"/>
      <c r="RND66"/>
      <c r="RNE66"/>
      <c r="RNF66"/>
      <c r="RNG66"/>
      <c r="RNH66"/>
      <c r="RNI66"/>
      <c r="RNJ66"/>
      <c r="RNK66"/>
      <c r="RNL66"/>
      <c r="RNM66"/>
      <c r="RNN66"/>
      <c r="RNO66"/>
      <c r="RNP66"/>
      <c r="RNQ66"/>
      <c r="RNR66"/>
      <c r="RNS66"/>
      <c r="RNT66"/>
      <c r="RNU66"/>
      <c r="RNV66"/>
      <c r="RNW66"/>
      <c r="RNX66"/>
      <c r="RNY66"/>
      <c r="RNZ66"/>
      <c r="ROA66"/>
      <c r="ROB66"/>
      <c r="ROC66"/>
      <c r="ROD66"/>
      <c r="ROE66"/>
      <c r="ROF66"/>
      <c r="ROG66"/>
      <c r="ROH66"/>
      <c r="ROI66"/>
      <c r="ROJ66"/>
      <c r="ROK66"/>
      <c r="ROL66"/>
      <c r="ROM66"/>
      <c r="RON66"/>
      <c r="ROO66"/>
      <c r="ROP66"/>
      <c r="ROQ66"/>
      <c r="ROR66"/>
      <c r="ROS66"/>
      <c r="ROT66"/>
      <c r="ROU66"/>
      <c r="ROV66"/>
      <c r="ROW66"/>
      <c r="ROX66"/>
      <c r="ROY66"/>
      <c r="ROZ66"/>
      <c r="RPA66"/>
      <c r="RPB66"/>
      <c r="RPC66"/>
      <c r="RPD66"/>
      <c r="RPE66"/>
      <c r="RPF66"/>
      <c r="RPG66"/>
      <c r="RPH66"/>
      <c r="RPI66"/>
      <c r="RPJ66"/>
      <c r="RPK66"/>
      <c r="RPL66"/>
      <c r="RPM66"/>
      <c r="RPN66"/>
      <c r="RPO66"/>
      <c r="RPP66"/>
      <c r="RPQ66"/>
      <c r="RPR66"/>
      <c r="RPS66"/>
      <c r="RPT66"/>
      <c r="RPU66"/>
      <c r="RPV66"/>
      <c r="RPW66"/>
      <c r="RPX66"/>
      <c r="RPY66"/>
      <c r="RPZ66"/>
      <c r="RQA66"/>
      <c r="RQB66"/>
      <c r="RQC66"/>
      <c r="RQD66"/>
      <c r="RQE66"/>
      <c r="RQF66"/>
      <c r="RQG66"/>
      <c r="RQH66"/>
      <c r="RQI66"/>
      <c r="RQJ66"/>
      <c r="RQK66"/>
      <c r="RQL66"/>
      <c r="RQM66"/>
      <c r="RQN66"/>
      <c r="RQO66"/>
      <c r="RQP66"/>
      <c r="RQQ66"/>
      <c r="RQR66"/>
      <c r="RQS66"/>
      <c r="RQT66"/>
      <c r="RQU66"/>
      <c r="RQV66"/>
      <c r="RQW66"/>
      <c r="RQX66"/>
      <c r="RQY66"/>
      <c r="RQZ66"/>
      <c r="RRA66"/>
      <c r="RRB66"/>
      <c r="RRC66"/>
      <c r="RRD66"/>
      <c r="RRE66"/>
      <c r="RRF66"/>
      <c r="RRG66"/>
      <c r="RRH66"/>
      <c r="RRI66"/>
      <c r="RRJ66"/>
      <c r="RRK66"/>
      <c r="RRL66"/>
      <c r="RRM66"/>
      <c r="RRN66"/>
      <c r="RRO66"/>
      <c r="RRP66"/>
      <c r="RRQ66"/>
      <c r="RRR66"/>
      <c r="RRS66"/>
      <c r="RRT66"/>
      <c r="RRU66"/>
      <c r="RRV66"/>
      <c r="RRW66"/>
      <c r="RRX66"/>
      <c r="RRY66"/>
      <c r="RRZ66"/>
      <c r="RSA66"/>
      <c r="RSB66"/>
      <c r="RSC66"/>
      <c r="RSD66"/>
      <c r="RSE66"/>
      <c r="RSF66"/>
      <c r="RSG66"/>
      <c r="RSH66"/>
      <c r="RSI66"/>
      <c r="RSJ66"/>
      <c r="RSK66"/>
      <c r="RSL66"/>
      <c r="RSM66"/>
      <c r="RSN66"/>
      <c r="RSO66"/>
      <c r="RSP66"/>
      <c r="RSQ66"/>
      <c r="RSR66"/>
      <c r="RSS66"/>
      <c r="RST66"/>
      <c r="RSU66"/>
      <c r="RSV66"/>
      <c r="RSW66"/>
      <c r="RSX66"/>
      <c r="RSY66"/>
      <c r="RSZ66"/>
      <c r="RTA66"/>
      <c r="RTB66"/>
      <c r="RTC66"/>
      <c r="RTD66"/>
      <c r="RTE66"/>
      <c r="RTF66"/>
      <c r="RTG66"/>
      <c r="RTH66"/>
      <c r="RTI66"/>
      <c r="RTJ66"/>
      <c r="RTK66"/>
      <c r="RTL66"/>
      <c r="RTM66"/>
      <c r="RTN66"/>
      <c r="RTO66"/>
      <c r="RTP66"/>
      <c r="RTQ66"/>
      <c r="RTR66"/>
      <c r="RTS66"/>
      <c r="RTT66"/>
      <c r="RTU66"/>
      <c r="RTV66"/>
      <c r="RTW66"/>
      <c r="RTX66"/>
      <c r="RTY66"/>
      <c r="RTZ66"/>
      <c r="RUA66"/>
      <c r="RUB66"/>
      <c r="RUC66"/>
      <c r="RUD66"/>
      <c r="RUE66"/>
      <c r="RUF66"/>
      <c r="RUG66"/>
      <c r="RUH66"/>
      <c r="RUI66"/>
      <c r="RUJ66"/>
      <c r="RUK66"/>
      <c r="RUL66"/>
      <c r="RUM66"/>
      <c r="RUN66"/>
      <c r="RUO66"/>
      <c r="RUP66"/>
      <c r="RUQ66"/>
      <c r="RUR66"/>
      <c r="RUS66"/>
      <c r="RUT66"/>
      <c r="RUU66"/>
      <c r="RUV66"/>
      <c r="RUW66"/>
      <c r="RUX66"/>
      <c r="RUY66"/>
      <c r="RUZ66"/>
      <c r="RVA66"/>
      <c r="RVB66"/>
      <c r="RVC66"/>
      <c r="RVD66"/>
      <c r="RVE66"/>
      <c r="RVF66"/>
      <c r="RVG66"/>
      <c r="RVH66"/>
      <c r="RVI66"/>
      <c r="RVJ66"/>
      <c r="RVK66"/>
      <c r="RVL66"/>
      <c r="RVM66"/>
      <c r="RVN66"/>
      <c r="RVO66"/>
      <c r="RVP66"/>
      <c r="RVQ66"/>
      <c r="RVR66"/>
      <c r="RVS66"/>
      <c r="RVT66"/>
      <c r="RVU66"/>
      <c r="RVV66"/>
      <c r="RVW66"/>
      <c r="RVX66"/>
      <c r="RVY66"/>
      <c r="RVZ66"/>
      <c r="RWA66"/>
      <c r="RWB66"/>
      <c r="RWC66"/>
      <c r="RWD66"/>
      <c r="RWE66"/>
      <c r="RWF66"/>
      <c r="RWG66"/>
      <c r="RWH66"/>
      <c r="RWI66"/>
      <c r="RWJ66"/>
      <c r="RWK66"/>
      <c r="RWL66"/>
      <c r="RWM66"/>
      <c r="RWN66"/>
      <c r="RWO66"/>
      <c r="RWP66"/>
      <c r="RWQ66"/>
      <c r="RWR66"/>
      <c r="RWS66"/>
      <c r="RWT66"/>
      <c r="RWU66"/>
      <c r="RWV66"/>
      <c r="RWW66"/>
      <c r="RWX66"/>
      <c r="RWY66"/>
      <c r="RWZ66"/>
      <c r="RXA66"/>
      <c r="RXB66"/>
      <c r="RXC66"/>
      <c r="RXD66"/>
      <c r="RXE66"/>
      <c r="RXF66"/>
      <c r="RXG66"/>
      <c r="RXH66"/>
      <c r="RXI66"/>
      <c r="RXJ66"/>
      <c r="RXK66"/>
      <c r="RXL66"/>
      <c r="RXM66"/>
      <c r="RXN66"/>
      <c r="RXO66"/>
      <c r="RXP66"/>
      <c r="RXQ66"/>
      <c r="RXR66"/>
      <c r="RXS66"/>
      <c r="RXT66"/>
      <c r="RXU66"/>
      <c r="RXV66"/>
      <c r="RXW66"/>
      <c r="RXX66"/>
      <c r="RXY66"/>
      <c r="RXZ66"/>
      <c r="RYA66"/>
      <c r="RYB66"/>
      <c r="RYC66"/>
      <c r="RYD66"/>
      <c r="RYE66"/>
      <c r="RYF66"/>
      <c r="RYG66"/>
      <c r="RYH66"/>
      <c r="RYI66"/>
      <c r="RYJ66"/>
      <c r="RYK66"/>
      <c r="RYL66"/>
      <c r="RYM66"/>
      <c r="RYN66"/>
      <c r="RYO66"/>
      <c r="RYP66"/>
      <c r="RYQ66"/>
      <c r="RYR66"/>
      <c r="RYS66"/>
      <c r="RYT66"/>
      <c r="RYU66"/>
      <c r="RYV66"/>
      <c r="RYW66"/>
      <c r="RYX66"/>
      <c r="RYY66"/>
      <c r="RYZ66"/>
      <c r="RZA66"/>
      <c r="RZB66"/>
      <c r="RZC66"/>
      <c r="RZD66"/>
      <c r="RZE66"/>
      <c r="RZF66"/>
      <c r="RZG66"/>
      <c r="RZH66"/>
      <c r="RZI66"/>
      <c r="RZJ66"/>
      <c r="RZK66"/>
      <c r="RZL66"/>
      <c r="RZM66"/>
      <c r="RZN66"/>
      <c r="RZO66"/>
      <c r="RZP66"/>
      <c r="RZQ66"/>
      <c r="RZR66"/>
      <c r="RZS66"/>
      <c r="RZT66"/>
      <c r="RZU66"/>
      <c r="RZV66"/>
      <c r="RZW66"/>
      <c r="RZX66"/>
      <c r="RZY66"/>
      <c r="RZZ66"/>
      <c r="SAA66"/>
      <c r="SAB66"/>
      <c r="SAC66"/>
      <c r="SAD66"/>
      <c r="SAE66"/>
      <c r="SAF66"/>
      <c r="SAG66"/>
      <c r="SAH66"/>
      <c r="SAI66"/>
      <c r="SAJ66"/>
      <c r="SAK66"/>
      <c r="SAL66"/>
      <c r="SAM66"/>
      <c r="SAN66"/>
      <c r="SAO66"/>
      <c r="SAP66"/>
      <c r="SAQ66"/>
      <c r="SAR66"/>
      <c r="SAS66"/>
      <c r="SAT66"/>
      <c r="SAU66"/>
      <c r="SAV66"/>
      <c r="SAW66"/>
      <c r="SAX66"/>
      <c r="SAY66"/>
      <c r="SAZ66"/>
      <c r="SBA66"/>
      <c r="SBB66"/>
      <c r="SBC66"/>
      <c r="SBD66"/>
      <c r="SBE66"/>
      <c r="SBF66"/>
      <c r="SBG66"/>
      <c r="SBH66"/>
      <c r="SBI66"/>
      <c r="SBJ66"/>
      <c r="SBK66"/>
      <c r="SBL66"/>
      <c r="SBM66"/>
      <c r="SBN66"/>
      <c r="SBO66"/>
      <c r="SBP66"/>
      <c r="SBQ66"/>
      <c r="SBR66"/>
      <c r="SBS66"/>
      <c r="SBT66"/>
      <c r="SBU66"/>
      <c r="SBV66"/>
      <c r="SBW66"/>
      <c r="SBX66"/>
      <c r="SBY66"/>
      <c r="SBZ66"/>
      <c r="SCA66"/>
      <c r="SCB66"/>
      <c r="SCC66"/>
      <c r="SCD66"/>
      <c r="SCE66"/>
      <c r="SCF66"/>
      <c r="SCG66"/>
      <c r="SCH66"/>
      <c r="SCI66"/>
      <c r="SCJ66"/>
      <c r="SCK66"/>
      <c r="SCL66"/>
      <c r="SCM66"/>
      <c r="SCN66"/>
      <c r="SCO66"/>
      <c r="SCP66"/>
      <c r="SCQ66"/>
      <c r="SCR66"/>
      <c r="SCS66"/>
      <c r="SCT66"/>
      <c r="SCU66"/>
      <c r="SCV66"/>
      <c r="SCW66"/>
      <c r="SCX66"/>
      <c r="SCY66"/>
      <c r="SCZ66"/>
      <c r="SDA66"/>
      <c r="SDB66"/>
      <c r="SDC66"/>
      <c r="SDD66"/>
      <c r="SDE66"/>
      <c r="SDF66"/>
      <c r="SDG66"/>
      <c r="SDH66"/>
      <c r="SDI66"/>
      <c r="SDJ66"/>
      <c r="SDK66"/>
      <c r="SDL66"/>
      <c r="SDM66"/>
      <c r="SDN66"/>
      <c r="SDO66"/>
      <c r="SDP66"/>
      <c r="SDQ66"/>
      <c r="SDR66"/>
      <c r="SDS66"/>
      <c r="SDT66"/>
      <c r="SDU66"/>
      <c r="SDV66"/>
      <c r="SDW66"/>
      <c r="SDX66"/>
      <c r="SDY66"/>
      <c r="SDZ66"/>
      <c r="SEA66"/>
      <c r="SEB66"/>
      <c r="SEC66"/>
      <c r="SED66"/>
      <c r="SEE66"/>
      <c r="SEF66"/>
      <c r="SEG66"/>
      <c r="SEH66"/>
      <c r="SEI66"/>
      <c r="SEJ66"/>
      <c r="SEK66"/>
      <c r="SEL66"/>
      <c r="SEM66"/>
      <c r="SEN66"/>
      <c r="SEO66"/>
      <c r="SEP66"/>
      <c r="SEQ66"/>
      <c r="SER66"/>
      <c r="SES66"/>
      <c r="SET66"/>
      <c r="SEU66"/>
      <c r="SEV66"/>
      <c r="SEW66"/>
      <c r="SEX66"/>
      <c r="SEY66"/>
      <c r="SEZ66"/>
      <c r="SFA66"/>
      <c r="SFB66"/>
      <c r="SFC66"/>
      <c r="SFD66"/>
      <c r="SFE66"/>
      <c r="SFF66"/>
      <c r="SFG66"/>
      <c r="SFH66"/>
      <c r="SFI66"/>
      <c r="SFJ66"/>
      <c r="SFK66"/>
      <c r="SFL66"/>
      <c r="SFM66"/>
      <c r="SFN66"/>
      <c r="SFO66"/>
      <c r="SFP66"/>
      <c r="SFQ66"/>
      <c r="SFR66"/>
      <c r="SFS66"/>
      <c r="SFT66"/>
      <c r="SFU66"/>
      <c r="SFV66"/>
      <c r="SFW66"/>
      <c r="SFX66"/>
      <c r="SFY66"/>
      <c r="SFZ66"/>
      <c r="SGA66"/>
      <c r="SGB66"/>
      <c r="SGC66"/>
      <c r="SGD66"/>
      <c r="SGE66"/>
      <c r="SGF66"/>
      <c r="SGG66"/>
      <c r="SGH66"/>
      <c r="SGI66"/>
      <c r="SGJ66"/>
      <c r="SGK66"/>
      <c r="SGL66"/>
      <c r="SGM66"/>
      <c r="SGN66"/>
      <c r="SGO66"/>
      <c r="SGP66"/>
      <c r="SGQ66"/>
      <c r="SGR66"/>
      <c r="SGS66"/>
      <c r="SGT66"/>
      <c r="SGU66"/>
      <c r="SGV66"/>
      <c r="SGW66"/>
      <c r="SGX66"/>
      <c r="SGY66"/>
      <c r="SGZ66"/>
      <c r="SHA66"/>
      <c r="SHB66"/>
      <c r="SHC66"/>
      <c r="SHD66"/>
      <c r="SHE66"/>
      <c r="SHF66"/>
      <c r="SHG66"/>
      <c r="SHH66"/>
      <c r="SHI66"/>
      <c r="SHJ66"/>
      <c r="SHK66"/>
      <c r="SHL66"/>
      <c r="SHM66"/>
      <c r="SHN66"/>
      <c r="SHO66"/>
      <c r="SHP66"/>
      <c r="SHQ66"/>
      <c r="SHR66"/>
      <c r="SHS66"/>
      <c r="SHT66"/>
      <c r="SHU66"/>
      <c r="SHV66"/>
      <c r="SHW66"/>
      <c r="SHX66"/>
      <c r="SHY66"/>
      <c r="SHZ66"/>
      <c r="SIA66"/>
      <c r="SIB66"/>
      <c r="SIC66"/>
      <c r="SID66"/>
      <c r="SIE66"/>
      <c r="SIF66"/>
      <c r="SIG66"/>
      <c r="SIH66"/>
      <c r="SII66"/>
      <c r="SIJ66"/>
      <c r="SIK66"/>
      <c r="SIL66"/>
      <c r="SIM66"/>
      <c r="SIN66"/>
      <c r="SIO66"/>
      <c r="SIP66"/>
      <c r="SIQ66"/>
      <c r="SIR66"/>
      <c r="SIS66"/>
      <c r="SIT66"/>
      <c r="SIU66"/>
      <c r="SIV66"/>
      <c r="SIW66"/>
      <c r="SIX66"/>
      <c r="SIY66"/>
      <c r="SIZ66"/>
      <c r="SJA66"/>
      <c r="SJB66"/>
      <c r="SJC66"/>
      <c r="SJD66"/>
      <c r="SJE66"/>
      <c r="SJF66"/>
      <c r="SJG66"/>
      <c r="SJH66"/>
      <c r="SJI66"/>
      <c r="SJJ66"/>
      <c r="SJK66"/>
      <c r="SJL66"/>
      <c r="SJM66"/>
      <c r="SJN66"/>
      <c r="SJO66"/>
      <c r="SJP66"/>
      <c r="SJQ66"/>
      <c r="SJR66"/>
      <c r="SJS66"/>
      <c r="SJT66"/>
      <c r="SJU66"/>
      <c r="SJV66"/>
      <c r="SJW66"/>
      <c r="SJX66"/>
      <c r="SJY66"/>
      <c r="SJZ66"/>
      <c r="SKA66"/>
      <c r="SKB66"/>
      <c r="SKC66"/>
      <c r="SKD66"/>
      <c r="SKE66"/>
      <c r="SKF66"/>
      <c r="SKG66"/>
      <c r="SKH66"/>
      <c r="SKI66"/>
      <c r="SKJ66"/>
      <c r="SKK66"/>
      <c r="SKL66"/>
      <c r="SKM66"/>
      <c r="SKN66"/>
      <c r="SKO66"/>
      <c r="SKP66"/>
      <c r="SKQ66"/>
      <c r="SKR66"/>
      <c r="SKS66"/>
      <c r="SKT66"/>
      <c r="SKU66"/>
      <c r="SKV66"/>
      <c r="SKW66"/>
      <c r="SKX66"/>
      <c r="SKY66"/>
      <c r="SKZ66"/>
      <c r="SLA66"/>
      <c r="SLB66"/>
      <c r="SLC66"/>
      <c r="SLD66"/>
      <c r="SLE66"/>
      <c r="SLF66"/>
      <c r="SLG66"/>
      <c r="SLH66"/>
      <c r="SLI66"/>
      <c r="SLJ66"/>
      <c r="SLK66"/>
      <c r="SLL66"/>
      <c r="SLM66"/>
      <c r="SLN66"/>
      <c r="SLO66"/>
      <c r="SLP66"/>
      <c r="SLQ66"/>
      <c r="SLR66"/>
      <c r="SLS66"/>
      <c r="SLT66"/>
      <c r="SLU66"/>
      <c r="SLV66"/>
      <c r="SLW66"/>
      <c r="SLX66"/>
      <c r="SLY66"/>
      <c r="SLZ66"/>
      <c r="SMA66"/>
      <c r="SMB66"/>
      <c r="SMC66"/>
      <c r="SMD66"/>
      <c r="SME66"/>
      <c r="SMF66"/>
      <c r="SMG66"/>
      <c r="SMH66"/>
      <c r="SMI66"/>
      <c r="SMJ66"/>
      <c r="SMK66"/>
      <c r="SML66"/>
      <c r="SMM66"/>
      <c r="SMN66"/>
      <c r="SMO66"/>
      <c r="SMP66"/>
      <c r="SMQ66"/>
      <c r="SMR66"/>
      <c r="SMS66"/>
      <c r="SMT66"/>
      <c r="SMU66"/>
      <c r="SMV66"/>
      <c r="SMW66"/>
      <c r="SMX66"/>
      <c r="SMY66"/>
      <c r="SMZ66"/>
      <c r="SNA66"/>
      <c r="SNB66"/>
      <c r="SNC66"/>
      <c r="SND66"/>
      <c r="SNE66"/>
      <c r="SNF66"/>
      <c r="SNG66"/>
      <c r="SNH66"/>
      <c r="SNI66"/>
      <c r="SNJ66"/>
      <c r="SNK66"/>
      <c r="SNL66"/>
      <c r="SNM66"/>
      <c r="SNN66"/>
      <c r="SNO66"/>
      <c r="SNP66"/>
      <c r="SNQ66"/>
      <c r="SNR66"/>
      <c r="SNS66"/>
      <c r="SNT66"/>
      <c r="SNU66"/>
      <c r="SNV66"/>
      <c r="SNW66"/>
      <c r="SNX66"/>
      <c r="SNY66"/>
      <c r="SNZ66"/>
      <c r="SOA66"/>
      <c r="SOB66"/>
      <c r="SOC66"/>
      <c r="SOD66"/>
      <c r="SOE66"/>
      <c r="SOF66"/>
      <c r="SOG66"/>
      <c r="SOH66"/>
      <c r="SOI66"/>
      <c r="SOJ66"/>
      <c r="SOK66"/>
      <c r="SOL66"/>
      <c r="SOM66"/>
      <c r="SON66"/>
      <c r="SOO66"/>
      <c r="SOP66"/>
      <c r="SOQ66"/>
      <c r="SOR66"/>
      <c r="SOS66"/>
      <c r="SOT66"/>
      <c r="SOU66"/>
      <c r="SOV66"/>
      <c r="SOW66"/>
      <c r="SOX66"/>
      <c r="SOY66"/>
      <c r="SOZ66"/>
      <c r="SPA66"/>
      <c r="SPB66"/>
      <c r="SPC66"/>
      <c r="SPD66"/>
      <c r="SPE66"/>
      <c r="SPF66"/>
      <c r="SPG66"/>
      <c r="SPH66"/>
      <c r="SPI66"/>
      <c r="SPJ66"/>
      <c r="SPK66"/>
      <c r="SPL66"/>
      <c r="SPM66"/>
      <c r="SPN66"/>
      <c r="SPO66"/>
      <c r="SPP66"/>
      <c r="SPQ66"/>
      <c r="SPR66"/>
      <c r="SPS66"/>
      <c r="SPT66"/>
      <c r="SPU66"/>
      <c r="SPV66"/>
      <c r="SPW66"/>
      <c r="SPX66"/>
      <c r="SPY66"/>
      <c r="SPZ66"/>
      <c r="SQA66"/>
      <c r="SQB66"/>
      <c r="SQC66"/>
      <c r="SQD66"/>
      <c r="SQE66"/>
      <c r="SQF66"/>
      <c r="SQG66"/>
      <c r="SQH66"/>
      <c r="SQI66"/>
      <c r="SQJ66"/>
      <c r="SQK66"/>
      <c r="SQL66"/>
      <c r="SQM66"/>
      <c r="SQN66"/>
      <c r="SQO66"/>
      <c r="SQP66"/>
      <c r="SQQ66"/>
      <c r="SQR66"/>
      <c r="SQS66"/>
      <c r="SQT66"/>
      <c r="SQU66"/>
      <c r="SQV66"/>
      <c r="SQW66"/>
      <c r="SQX66"/>
      <c r="SQY66"/>
      <c r="SQZ66"/>
      <c r="SRA66"/>
      <c r="SRB66"/>
      <c r="SRC66"/>
      <c r="SRD66"/>
      <c r="SRE66"/>
      <c r="SRF66"/>
      <c r="SRG66"/>
      <c r="SRH66"/>
      <c r="SRI66"/>
      <c r="SRJ66"/>
      <c r="SRK66"/>
      <c r="SRL66"/>
      <c r="SRM66"/>
      <c r="SRN66"/>
      <c r="SRO66"/>
      <c r="SRP66"/>
      <c r="SRQ66"/>
      <c r="SRR66"/>
      <c r="SRS66"/>
      <c r="SRT66"/>
      <c r="SRU66"/>
      <c r="SRV66"/>
      <c r="SRW66"/>
      <c r="SRX66"/>
      <c r="SRY66"/>
      <c r="SRZ66"/>
      <c r="SSA66"/>
      <c r="SSB66"/>
      <c r="SSC66"/>
      <c r="SSD66"/>
      <c r="SSE66"/>
      <c r="SSF66"/>
      <c r="SSG66"/>
      <c r="SSH66"/>
      <c r="SSI66"/>
      <c r="SSJ66"/>
      <c r="SSK66"/>
      <c r="SSL66"/>
      <c r="SSM66"/>
      <c r="SSN66"/>
      <c r="SSO66"/>
      <c r="SSP66"/>
      <c r="SSQ66"/>
      <c r="SSR66"/>
      <c r="SSS66"/>
      <c r="SST66"/>
      <c r="SSU66"/>
      <c r="SSV66"/>
      <c r="SSW66"/>
      <c r="SSX66"/>
      <c r="SSY66"/>
      <c r="SSZ66"/>
      <c r="STA66"/>
      <c r="STB66"/>
      <c r="STC66"/>
      <c r="STD66"/>
      <c r="STE66"/>
      <c r="STF66"/>
      <c r="STG66"/>
      <c r="STH66"/>
      <c r="STI66"/>
      <c r="STJ66"/>
      <c r="STK66"/>
      <c r="STL66"/>
      <c r="STM66"/>
      <c r="STN66"/>
      <c r="STO66"/>
      <c r="STP66"/>
      <c r="STQ66"/>
      <c r="STR66"/>
      <c r="STS66"/>
      <c r="STT66"/>
      <c r="STU66"/>
      <c r="STV66"/>
      <c r="STW66"/>
      <c r="STX66"/>
      <c r="STY66"/>
      <c r="STZ66"/>
      <c r="SUA66"/>
      <c r="SUB66"/>
      <c r="SUC66"/>
      <c r="SUD66"/>
      <c r="SUE66"/>
      <c r="SUF66"/>
      <c r="SUG66"/>
      <c r="SUH66"/>
      <c r="SUI66"/>
      <c r="SUJ66"/>
      <c r="SUK66"/>
      <c r="SUL66"/>
      <c r="SUM66"/>
      <c r="SUN66"/>
      <c r="SUO66"/>
      <c r="SUP66"/>
      <c r="SUQ66"/>
      <c r="SUR66"/>
      <c r="SUS66"/>
      <c r="SUT66"/>
      <c r="SUU66"/>
      <c r="SUV66"/>
      <c r="SUW66"/>
      <c r="SUX66"/>
      <c r="SUY66"/>
      <c r="SUZ66"/>
      <c r="SVA66"/>
      <c r="SVB66"/>
      <c r="SVC66"/>
      <c r="SVD66"/>
      <c r="SVE66"/>
      <c r="SVF66"/>
      <c r="SVG66"/>
      <c r="SVH66"/>
      <c r="SVI66"/>
      <c r="SVJ66"/>
      <c r="SVK66"/>
      <c r="SVL66"/>
      <c r="SVM66"/>
      <c r="SVN66"/>
      <c r="SVO66"/>
      <c r="SVP66"/>
      <c r="SVQ66"/>
      <c r="SVR66"/>
      <c r="SVS66"/>
      <c r="SVT66"/>
      <c r="SVU66"/>
      <c r="SVV66"/>
      <c r="SVW66"/>
      <c r="SVX66"/>
      <c r="SVY66"/>
      <c r="SVZ66"/>
      <c r="SWA66"/>
      <c r="SWB66"/>
      <c r="SWC66"/>
      <c r="SWD66"/>
      <c r="SWE66"/>
      <c r="SWF66"/>
      <c r="SWG66"/>
      <c r="SWH66"/>
      <c r="SWI66"/>
      <c r="SWJ66"/>
      <c r="SWK66"/>
      <c r="SWL66"/>
      <c r="SWM66"/>
      <c r="SWN66"/>
      <c r="SWO66"/>
      <c r="SWP66"/>
      <c r="SWQ66"/>
      <c r="SWR66"/>
      <c r="SWS66"/>
      <c r="SWT66"/>
      <c r="SWU66"/>
      <c r="SWV66"/>
      <c r="SWW66"/>
      <c r="SWX66"/>
      <c r="SWY66"/>
      <c r="SWZ66"/>
      <c r="SXA66"/>
      <c r="SXB66"/>
      <c r="SXC66"/>
      <c r="SXD66"/>
      <c r="SXE66"/>
      <c r="SXF66"/>
      <c r="SXG66"/>
      <c r="SXH66"/>
      <c r="SXI66"/>
      <c r="SXJ66"/>
      <c r="SXK66"/>
      <c r="SXL66"/>
      <c r="SXM66"/>
      <c r="SXN66"/>
      <c r="SXO66"/>
      <c r="SXP66"/>
      <c r="SXQ66"/>
      <c r="SXR66"/>
      <c r="SXS66"/>
      <c r="SXT66"/>
      <c r="SXU66"/>
      <c r="SXV66"/>
      <c r="SXW66"/>
      <c r="SXX66"/>
      <c r="SXY66"/>
      <c r="SXZ66"/>
      <c r="SYA66"/>
      <c r="SYB66"/>
      <c r="SYC66"/>
      <c r="SYD66"/>
      <c r="SYE66"/>
      <c r="SYF66"/>
      <c r="SYG66"/>
      <c r="SYH66"/>
      <c r="SYI66"/>
      <c r="SYJ66"/>
      <c r="SYK66"/>
      <c r="SYL66"/>
      <c r="SYM66"/>
      <c r="SYN66"/>
      <c r="SYO66"/>
      <c r="SYP66"/>
      <c r="SYQ66"/>
      <c r="SYR66"/>
      <c r="SYS66"/>
      <c r="SYT66"/>
      <c r="SYU66"/>
      <c r="SYV66"/>
      <c r="SYW66"/>
      <c r="SYX66"/>
      <c r="SYY66"/>
      <c r="SYZ66"/>
      <c r="SZA66"/>
      <c r="SZB66"/>
      <c r="SZC66"/>
      <c r="SZD66"/>
      <c r="SZE66"/>
      <c r="SZF66"/>
      <c r="SZG66"/>
      <c r="SZH66"/>
      <c r="SZI66"/>
      <c r="SZJ66"/>
      <c r="SZK66"/>
      <c r="SZL66"/>
      <c r="SZM66"/>
      <c r="SZN66"/>
      <c r="SZO66"/>
      <c r="SZP66"/>
      <c r="SZQ66"/>
      <c r="SZR66"/>
      <c r="SZS66"/>
      <c r="SZT66"/>
      <c r="SZU66"/>
      <c r="SZV66"/>
      <c r="SZW66"/>
      <c r="SZX66"/>
      <c r="SZY66"/>
      <c r="SZZ66"/>
      <c r="TAA66"/>
      <c r="TAB66"/>
      <c r="TAC66"/>
      <c r="TAD66"/>
      <c r="TAE66"/>
      <c r="TAF66"/>
      <c r="TAG66"/>
      <c r="TAH66"/>
      <c r="TAI66"/>
      <c r="TAJ66"/>
      <c r="TAK66"/>
      <c r="TAL66"/>
      <c r="TAM66"/>
      <c r="TAN66"/>
      <c r="TAO66"/>
      <c r="TAP66"/>
      <c r="TAQ66"/>
      <c r="TAR66"/>
      <c r="TAS66"/>
      <c r="TAT66"/>
      <c r="TAU66"/>
      <c r="TAV66"/>
      <c r="TAW66"/>
      <c r="TAX66"/>
      <c r="TAY66"/>
      <c r="TAZ66"/>
      <c r="TBA66"/>
      <c r="TBB66"/>
      <c r="TBC66"/>
      <c r="TBD66"/>
      <c r="TBE66"/>
      <c r="TBF66"/>
      <c r="TBG66"/>
      <c r="TBH66"/>
      <c r="TBI66"/>
      <c r="TBJ66"/>
      <c r="TBK66"/>
      <c r="TBL66"/>
      <c r="TBM66"/>
      <c r="TBN66"/>
      <c r="TBO66"/>
      <c r="TBP66"/>
      <c r="TBQ66"/>
      <c r="TBR66"/>
      <c r="TBS66"/>
      <c r="TBT66"/>
      <c r="TBU66"/>
      <c r="TBV66"/>
      <c r="TBW66"/>
      <c r="TBX66"/>
      <c r="TBY66"/>
      <c r="TBZ66"/>
      <c r="TCA66"/>
      <c r="TCB66"/>
      <c r="TCC66"/>
      <c r="TCD66"/>
      <c r="TCE66"/>
      <c r="TCF66"/>
      <c r="TCG66"/>
      <c r="TCH66"/>
      <c r="TCI66"/>
      <c r="TCJ66"/>
      <c r="TCK66"/>
      <c r="TCL66"/>
      <c r="TCM66"/>
      <c r="TCN66"/>
      <c r="TCO66"/>
      <c r="TCP66"/>
      <c r="TCQ66"/>
      <c r="TCR66"/>
      <c r="TCS66"/>
      <c r="TCT66"/>
      <c r="TCU66"/>
      <c r="TCV66"/>
      <c r="TCW66"/>
      <c r="TCX66"/>
      <c r="TCY66"/>
      <c r="TCZ66"/>
      <c r="TDA66"/>
      <c r="TDB66"/>
      <c r="TDC66"/>
      <c r="TDD66"/>
      <c r="TDE66"/>
      <c r="TDF66"/>
      <c r="TDG66"/>
      <c r="TDH66"/>
      <c r="TDI66"/>
      <c r="TDJ66"/>
      <c r="TDK66"/>
      <c r="TDL66"/>
      <c r="TDM66"/>
      <c r="TDN66"/>
      <c r="TDO66"/>
      <c r="TDP66"/>
      <c r="TDQ66"/>
      <c r="TDR66"/>
      <c r="TDS66"/>
      <c r="TDT66"/>
      <c r="TDU66"/>
      <c r="TDV66"/>
      <c r="TDW66"/>
      <c r="TDX66"/>
      <c r="TDY66"/>
      <c r="TDZ66"/>
      <c r="TEA66"/>
      <c r="TEB66"/>
      <c r="TEC66"/>
      <c r="TED66"/>
      <c r="TEE66"/>
      <c r="TEF66"/>
      <c r="TEG66"/>
      <c r="TEH66"/>
      <c r="TEI66"/>
      <c r="TEJ66"/>
      <c r="TEK66"/>
      <c r="TEL66"/>
      <c r="TEM66"/>
      <c r="TEN66"/>
      <c r="TEO66"/>
      <c r="TEP66"/>
      <c r="TEQ66"/>
      <c r="TER66"/>
      <c r="TES66"/>
      <c r="TET66"/>
      <c r="TEU66"/>
      <c r="TEV66"/>
      <c r="TEW66"/>
      <c r="TEX66"/>
      <c r="TEY66"/>
      <c r="TEZ66"/>
      <c r="TFA66"/>
      <c r="TFB66"/>
      <c r="TFC66"/>
      <c r="TFD66"/>
      <c r="TFE66"/>
      <c r="TFF66"/>
      <c r="TFG66"/>
      <c r="TFH66"/>
      <c r="TFI66"/>
      <c r="TFJ66"/>
      <c r="TFK66"/>
      <c r="TFL66"/>
      <c r="TFM66"/>
      <c r="TFN66"/>
      <c r="TFO66"/>
      <c r="TFP66"/>
      <c r="TFQ66"/>
      <c r="TFR66"/>
      <c r="TFS66"/>
      <c r="TFT66"/>
      <c r="TFU66"/>
      <c r="TFV66"/>
      <c r="TFW66"/>
      <c r="TFX66"/>
      <c r="TFY66"/>
      <c r="TFZ66"/>
      <c r="TGA66"/>
      <c r="TGB66"/>
      <c r="TGC66"/>
      <c r="TGD66"/>
      <c r="TGE66"/>
      <c r="TGF66"/>
      <c r="TGG66"/>
      <c r="TGH66"/>
      <c r="TGI66"/>
      <c r="TGJ66"/>
      <c r="TGK66"/>
      <c r="TGL66"/>
      <c r="TGM66"/>
      <c r="TGN66"/>
      <c r="TGO66"/>
      <c r="TGP66"/>
      <c r="TGQ66"/>
      <c r="TGR66"/>
      <c r="TGS66"/>
      <c r="TGT66"/>
      <c r="TGU66"/>
      <c r="TGV66"/>
      <c r="TGW66"/>
      <c r="TGX66"/>
      <c r="TGY66"/>
      <c r="TGZ66"/>
      <c r="THA66"/>
      <c r="THB66"/>
      <c r="THC66"/>
      <c r="THD66"/>
      <c r="THE66"/>
      <c r="THF66"/>
      <c r="THG66"/>
      <c r="THH66"/>
      <c r="THI66"/>
      <c r="THJ66"/>
      <c r="THK66"/>
      <c r="THL66"/>
      <c r="THM66"/>
      <c r="THN66"/>
      <c r="THO66"/>
      <c r="THP66"/>
      <c r="THQ66"/>
      <c r="THR66"/>
      <c r="THS66"/>
      <c r="THT66"/>
      <c r="THU66"/>
      <c r="THV66"/>
      <c r="THW66"/>
      <c r="THX66"/>
      <c r="THY66"/>
      <c r="THZ66"/>
      <c r="TIA66"/>
      <c r="TIB66"/>
      <c r="TIC66"/>
      <c r="TID66"/>
      <c r="TIE66"/>
      <c r="TIF66"/>
      <c r="TIG66"/>
      <c r="TIH66"/>
      <c r="TII66"/>
      <c r="TIJ66"/>
      <c r="TIK66"/>
      <c r="TIL66"/>
      <c r="TIM66"/>
      <c r="TIN66"/>
      <c r="TIO66"/>
      <c r="TIP66"/>
      <c r="TIQ66"/>
      <c r="TIR66"/>
      <c r="TIS66"/>
      <c r="TIT66"/>
      <c r="TIU66"/>
      <c r="TIV66"/>
      <c r="TIW66"/>
      <c r="TIX66"/>
      <c r="TIY66"/>
      <c r="TIZ66"/>
      <c r="TJA66"/>
      <c r="TJB66"/>
      <c r="TJC66"/>
      <c r="TJD66"/>
      <c r="TJE66"/>
      <c r="TJF66"/>
      <c r="TJG66"/>
      <c r="TJH66"/>
      <c r="TJI66"/>
      <c r="TJJ66"/>
      <c r="TJK66"/>
      <c r="TJL66"/>
      <c r="TJM66"/>
      <c r="TJN66"/>
      <c r="TJO66"/>
      <c r="TJP66"/>
      <c r="TJQ66"/>
      <c r="TJR66"/>
      <c r="TJS66"/>
      <c r="TJT66"/>
      <c r="TJU66"/>
      <c r="TJV66"/>
      <c r="TJW66"/>
      <c r="TJX66"/>
      <c r="TJY66"/>
      <c r="TJZ66"/>
      <c r="TKA66"/>
      <c r="TKB66"/>
      <c r="TKC66"/>
      <c r="TKD66"/>
      <c r="TKE66"/>
      <c r="TKF66"/>
      <c r="TKG66"/>
      <c r="TKH66"/>
      <c r="TKI66"/>
      <c r="TKJ66"/>
      <c r="TKK66"/>
      <c r="TKL66"/>
      <c r="TKM66"/>
      <c r="TKN66"/>
      <c r="TKO66"/>
      <c r="TKP66"/>
      <c r="TKQ66"/>
      <c r="TKR66"/>
      <c r="TKS66"/>
      <c r="TKT66"/>
      <c r="TKU66"/>
      <c r="TKV66"/>
      <c r="TKW66"/>
      <c r="TKX66"/>
      <c r="TKY66"/>
      <c r="TKZ66"/>
      <c r="TLA66"/>
      <c r="TLB66"/>
      <c r="TLC66"/>
      <c r="TLD66"/>
      <c r="TLE66"/>
      <c r="TLF66"/>
      <c r="TLG66"/>
      <c r="TLH66"/>
      <c r="TLI66"/>
      <c r="TLJ66"/>
      <c r="TLK66"/>
      <c r="TLL66"/>
      <c r="TLM66"/>
      <c r="TLN66"/>
      <c r="TLO66"/>
      <c r="TLP66"/>
      <c r="TLQ66"/>
      <c r="TLR66"/>
      <c r="TLS66"/>
      <c r="TLT66"/>
      <c r="TLU66"/>
      <c r="TLV66"/>
      <c r="TLW66"/>
      <c r="TLX66"/>
      <c r="TLY66"/>
      <c r="TLZ66"/>
      <c r="TMA66"/>
      <c r="TMB66"/>
      <c r="TMC66"/>
      <c r="TMD66"/>
      <c r="TME66"/>
      <c r="TMF66"/>
      <c r="TMG66"/>
      <c r="TMH66"/>
      <c r="TMI66"/>
      <c r="TMJ66"/>
      <c r="TMK66"/>
      <c r="TML66"/>
      <c r="TMM66"/>
      <c r="TMN66"/>
      <c r="TMO66"/>
      <c r="TMP66"/>
      <c r="TMQ66"/>
      <c r="TMR66"/>
      <c r="TMS66"/>
      <c r="TMT66"/>
      <c r="TMU66"/>
      <c r="TMV66"/>
      <c r="TMW66"/>
      <c r="TMX66"/>
      <c r="TMY66"/>
      <c r="TMZ66"/>
      <c r="TNA66"/>
      <c r="TNB66"/>
      <c r="TNC66"/>
      <c r="TND66"/>
      <c r="TNE66"/>
      <c r="TNF66"/>
      <c r="TNG66"/>
      <c r="TNH66"/>
      <c r="TNI66"/>
      <c r="TNJ66"/>
      <c r="TNK66"/>
      <c r="TNL66"/>
      <c r="TNM66"/>
      <c r="TNN66"/>
      <c r="TNO66"/>
      <c r="TNP66"/>
      <c r="TNQ66"/>
      <c r="TNR66"/>
      <c r="TNS66"/>
      <c r="TNT66"/>
      <c r="TNU66"/>
      <c r="TNV66"/>
      <c r="TNW66"/>
      <c r="TNX66"/>
      <c r="TNY66"/>
      <c r="TNZ66"/>
      <c r="TOA66"/>
      <c r="TOB66"/>
      <c r="TOC66"/>
      <c r="TOD66"/>
      <c r="TOE66"/>
      <c r="TOF66"/>
      <c r="TOG66"/>
      <c r="TOH66"/>
      <c r="TOI66"/>
      <c r="TOJ66"/>
      <c r="TOK66"/>
      <c r="TOL66"/>
      <c r="TOM66"/>
      <c r="TON66"/>
      <c r="TOO66"/>
      <c r="TOP66"/>
      <c r="TOQ66"/>
      <c r="TOR66"/>
      <c r="TOS66"/>
      <c r="TOT66"/>
      <c r="TOU66"/>
      <c r="TOV66"/>
      <c r="TOW66"/>
      <c r="TOX66"/>
      <c r="TOY66"/>
      <c r="TOZ66"/>
      <c r="TPA66"/>
      <c r="TPB66"/>
      <c r="TPC66"/>
      <c r="TPD66"/>
      <c r="TPE66"/>
      <c r="TPF66"/>
      <c r="TPG66"/>
      <c r="TPH66"/>
      <c r="TPI66"/>
      <c r="TPJ66"/>
      <c r="TPK66"/>
      <c r="TPL66"/>
      <c r="TPM66"/>
      <c r="TPN66"/>
      <c r="TPO66"/>
      <c r="TPP66"/>
      <c r="TPQ66"/>
      <c r="TPR66"/>
      <c r="TPS66"/>
      <c r="TPT66"/>
      <c r="TPU66"/>
      <c r="TPV66"/>
      <c r="TPW66"/>
      <c r="TPX66"/>
      <c r="TPY66"/>
      <c r="TPZ66"/>
      <c r="TQA66"/>
      <c r="TQB66"/>
      <c r="TQC66"/>
      <c r="TQD66"/>
      <c r="TQE66"/>
      <c r="TQF66"/>
      <c r="TQG66"/>
      <c r="TQH66"/>
      <c r="TQI66"/>
      <c r="TQJ66"/>
      <c r="TQK66"/>
      <c r="TQL66"/>
      <c r="TQM66"/>
      <c r="TQN66"/>
      <c r="TQO66"/>
      <c r="TQP66"/>
      <c r="TQQ66"/>
      <c r="TQR66"/>
      <c r="TQS66"/>
      <c r="TQT66"/>
      <c r="TQU66"/>
      <c r="TQV66"/>
      <c r="TQW66"/>
      <c r="TQX66"/>
      <c r="TQY66"/>
      <c r="TQZ66"/>
      <c r="TRA66"/>
      <c r="TRB66"/>
      <c r="TRC66"/>
      <c r="TRD66"/>
      <c r="TRE66"/>
      <c r="TRF66"/>
      <c r="TRG66"/>
      <c r="TRH66"/>
      <c r="TRI66"/>
      <c r="TRJ66"/>
      <c r="TRK66"/>
      <c r="TRL66"/>
      <c r="TRM66"/>
      <c r="TRN66"/>
      <c r="TRO66"/>
      <c r="TRP66"/>
      <c r="TRQ66"/>
      <c r="TRR66"/>
      <c r="TRS66"/>
      <c r="TRT66"/>
      <c r="TRU66"/>
      <c r="TRV66"/>
      <c r="TRW66"/>
      <c r="TRX66"/>
      <c r="TRY66"/>
      <c r="TRZ66"/>
      <c r="TSA66"/>
      <c r="TSB66"/>
      <c r="TSC66"/>
      <c r="TSD66"/>
      <c r="TSE66"/>
      <c r="TSF66"/>
      <c r="TSG66"/>
      <c r="TSH66"/>
      <c r="TSI66"/>
      <c r="TSJ66"/>
      <c r="TSK66"/>
      <c r="TSL66"/>
      <c r="TSM66"/>
      <c r="TSN66"/>
      <c r="TSO66"/>
      <c r="TSP66"/>
      <c r="TSQ66"/>
      <c r="TSR66"/>
      <c r="TSS66"/>
      <c r="TST66"/>
      <c r="TSU66"/>
      <c r="TSV66"/>
      <c r="TSW66"/>
      <c r="TSX66"/>
      <c r="TSY66"/>
      <c r="TSZ66"/>
      <c r="TTA66"/>
      <c r="TTB66"/>
      <c r="TTC66"/>
      <c r="TTD66"/>
      <c r="TTE66"/>
      <c r="TTF66"/>
      <c r="TTG66"/>
      <c r="TTH66"/>
      <c r="TTI66"/>
      <c r="TTJ66"/>
      <c r="TTK66"/>
      <c r="TTL66"/>
      <c r="TTM66"/>
      <c r="TTN66"/>
      <c r="TTO66"/>
      <c r="TTP66"/>
      <c r="TTQ66"/>
      <c r="TTR66"/>
      <c r="TTS66"/>
      <c r="TTT66"/>
      <c r="TTU66"/>
      <c r="TTV66"/>
      <c r="TTW66"/>
      <c r="TTX66"/>
      <c r="TTY66"/>
      <c r="TTZ66"/>
      <c r="TUA66"/>
      <c r="TUB66"/>
      <c r="TUC66"/>
      <c r="TUD66"/>
      <c r="TUE66"/>
      <c r="TUF66"/>
      <c r="TUG66"/>
      <c r="TUH66"/>
      <c r="TUI66"/>
      <c r="TUJ66"/>
      <c r="TUK66"/>
      <c r="TUL66"/>
      <c r="TUM66"/>
      <c r="TUN66"/>
      <c r="TUO66"/>
      <c r="TUP66"/>
      <c r="TUQ66"/>
      <c r="TUR66"/>
      <c r="TUS66"/>
      <c r="TUT66"/>
      <c r="TUU66"/>
      <c r="TUV66"/>
      <c r="TUW66"/>
      <c r="TUX66"/>
      <c r="TUY66"/>
      <c r="TUZ66"/>
      <c r="TVA66"/>
      <c r="TVB66"/>
      <c r="TVC66"/>
      <c r="TVD66"/>
      <c r="TVE66"/>
      <c r="TVF66"/>
      <c r="TVG66"/>
      <c r="TVH66"/>
      <c r="TVI66"/>
      <c r="TVJ66"/>
      <c r="TVK66"/>
      <c r="TVL66"/>
      <c r="TVM66"/>
      <c r="TVN66"/>
      <c r="TVO66"/>
      <c r="TVP66"/>
      <c r="TVQ66"/>
      <c r="TVR66"/>
      <c r="TVS66"/>
      <c r="TVT66"/>
      <c r="TVU66"/>
      <c r="TVV66"/>
      <c r="TVW66"/>
      <c r="TVX66"/>
      <c r="TVY66"/>
      <c r="TVZ66"/>
      <c r="TWA66"/>
      <c r="TWB66"/>
      <c r="TWC66"/>
      <c r="TWD66"/>
      <c r="TWE66"/>
      <c r="TWF66"/>
      <c r="TWG66"/>
      <c r="TWH66"/>
      <c r="TWI66"/>
      <c r="TWJ66"/>
      <c r="TWK66"/>
      <c r="TWL66"/>
      <c r="TWM66"/>
      <c r="TWN66"/>
      <c r="TWO66"/>
      <c r="TWP66"/>
      <c r="TWQ66"/>
      <c r="TWR66"/>
      <c r="TWS66"/>
      <c r="TWT66"/>
      <c r="TWU66"/>
      <c r="TWV66"/>
      <c r="TWW66"/>
      <c r="TWX66"/>
      <c r="TWY66"/>
      <c r="TWZ66"/>
      <c r="TXA66"/>
      <c r="TXB66"/>
      <c r="TXC66"/>
      <c r="TXD66"/>
      <c r="TXE66"/>
      <c r="TXF66"/>
      <c r="TXG66"/>
      <c r="TXH66"/>
      <c r="TXI66"/>
      <c r="TXJ66"/>
      <c r="TXK66"/>
      <c r="TXL66"/>
      <c r="TXM66"/>
      <c r="TXN66"/>
      <c r="TXO66"/>
      <c r="TXP66"/>
      <c r="TXQ66"/>
      <c r="TXR66"/>
      <c r="TXS66"/>
      <c r="TXT66"/>
      <c r="TXU66"/>
      <c r="TXV66"/>
      <c r="TXW66"/>
      <c r="TXX66"/>
      <c r="TXY66"/>
      <c r="TXZ66"/>
      <c r="TYA66"/>
      <c r="TYB66"/>
      <c r="TYC66"/>
      <c r="TYD66"/>
      <c r="TYE66"/>
      <c r="TYF66"/>
      <c r="TYG66"/>
      <c r="TYH66"/>
      <c r="TYI66"/>
      <c r="TYJ66"/>
      <c r="TYK66"/>
      <c r="TYL66"/>
      <c r="TYM66"/>
      <c r="TYN66"/>
      <c r="TYO66"/>
      <c r="TYP66"/>
      <c r="TYQ66"/>
      <c r="TYR66"/>
      <c r="TYS66"/>
      <c r="TYT66"/>
      <c r="TYU66"/>
      <c r="TYV66"/>
      <c r="TYW66"/>
      <c r="TYX66"/>
      <c r="TYY66"/>
      <c r="TYZ66"/>
      <c r="TZA66"/>
      <c r="TZB66"/>
      <c r="TZC66"/>
      <c r="TZD66"/>
      <c r="TZE66"/>
      <c r="TZF66"/>
      <c r="TZG66"/>
      <c r="TZH66"/>
      <c r="TZI66"/>
      <c r="TZJ66"/>
      <c r="TZK66"/>
      <c r="TZL66"/>
      <c r="TZM66"/>
      <c r="TZN66"/>
      <c r="TZO66"/>
      <c r="TZP66"/>
      <c r="TZQ66"/>
      <c r="TZR66"/>
      <c r="TZS66"/>
      <c r="TZT66"/>
      <c r="TZU66"/>
      <c r="TZV66"/>
      <c r="TZW66"/>
      <c r="TZX66"/>
      <c r="TZY66"/>
      <c r="TZZ66"/>
      <c r="UAA66"/>
      <c r="UAB66"/>
      <c r="UAC66"/>
      <c r="UAD66"/>
      <c r="UAE66"/>
      <c r="UAF66"/>
      <c r="UAG66"/>
      <c r="UAH66"/>
      <c r="UAI66"/>
      <c r="UAJ66"/>
      <c r="UAK66"/>
      <c r="UAL66"/>
      <c r="UAM66"/>
      <c r="UAN66"/>
      <c r="UAO66"/>
      <c r="UAP66"/>
      <c r="UAQ66"/>
      <c r="UAR66"/>
      <c r="UAS66"/>
      <c r="UAT66"/>
      <c r="UAU66"/>
      <c r="UAV66"/>
      <c r="UAW66"/>
      <c r="UAX66"/>
      <c r="UAY66"/>
      <c r="UAZ66"/>
      <c r="UBA66"/>
      <c r="UBB66"/>
      <c r="UBC66"/>
      <c r="UBD66"/>
      <c r="UBE66"/>
      <c r="UBF66"/>
      <c r="UBG66"/>
      <c r="UBH66"/>
      <c r="UBI66"/>
      <c r="UBJ66"/>
      <c r="UBK66"/>
      <c r="UBL66"/>
      <c r="UBM66"/>
      <c r="UBN66"/>
      <c r="UBO66"/>
      <c r="UBP66"/>
      <c r="UBQ66"/>
      <c r="UBR66"/>
      <c r="UBS66"/>
      <c r="UBT66"/>
      <c r="UBU66"/>
      <c r="UBV66"/>
      <c r="UBW66"/>
      <c r="UBX66"/>
      <c r="UBY66"/>
      <c r="UBZ66"/>
      <c r="UCA66"/>
      <c r="UCB66"/>
      <c r="UCC66"/>
      <c r="UCD66"/>
      <c r="UCE66"/>
      <c r="UCF66"/>
      <c r="UCG66"/>
      <c r="UCH66"/>
      <c r="UCI66"/>
      <c r="UCJ66"/>
      <c r="UCK66"/>
      <c r="UCL66"/>
      <c r="UCM66"/>
      <c r="UCN66"/>
      <c r="UCO66"/>
      <c r="UCP66"/>
      <c r="UCQ66"/>
      <c r="UCR66"/>
      <c r="UCS66"/>
      <c r="UCT66"/>
      <c r="UCU66"/>
      <c r="UCV66"/>
      <c r="UCW66"/>
      <c r="UCX66"/>
      <c r="UCY66"/>
      <c r="UCZ66"/>
      <c r="UDA66"/>
      <c r="UDB66"/>
      <c r="UDC66"/>
      <c r="UDD66"/>
      <c r="UDE66"/>
      <c r="UDF66"/>
      <c r="UDG66"/>
      <c r="UDH66"/>
      <c r="UDI66"/>
      <c r="UDJ66"/>
      <c r="UDK66"/>
      <c r="UDL66"/>
      <c r="UDM66"/>
      <c r="UDN66"/>
      <c r="UDO66"/>
      <c r="UDP66"/>
      <c r="UDQ66"/>
      <c r="UDR66"/>
      <c r="UDS66"/>
      <c r="UDT66"/>
      <c r="UDU66"/>
      <c r="UDV66"/>
      <c r="UDW66"/>
      <c r="UDX66"/>
      <c r="UDY66"/>
      <c r="UDZ66"/>
      <c r="UEA66"/>
      <c r="UEB66"/>
      <c r="UEC66"/>
      <c r="UED66"/>
      <c r="UEE66"/>
      <c r="UEF66"/>
      <c r="UEG66"/>
      <c r="UEH66"/>
      <c r="UEI66"/>
      <c r="UEJ66"/>
      <c r="UEK66"/>
      <c r="UEL66"/>
      <c r="UEM66"/>
      <c r="UEN66"/>
      <c r="UEO66"/>
      <c r="UEP66"/>
      <c r="UEQ66"/>
      <c r="UER66"/>
      <c r="UES66"/>
      <c r="UET66"/>
      <c r="UEU66"/>
      <c r="UEV66"/>
      <c r="UEW66"/>
      <c r="UEX66"/>
      <c r="UEY66"/>
      <c r="UEZ66"/>
      <c r="UFA66"/>
      <c r="UFB66"/>
      <c r="UFC66"/>
      <c r="UFD66"/>
      <c r="UFE66"/>
      <c r="UFF66"/>
      <c r="UFG66"/>
      <c r="UFH66"/>
      <c r="UFI66"/>
      <c r="UFJ66"/>
      <c r="UFK66"/>
      <c r="UFL66"/>
      <c r="UFM66"/>
      <c r="UFN66"/>
      <c r="UFO66"/>
      <c r="UFP66"/>
      <c r="UFQ66"/>
      <c r="UFR66"/>
      <c r="UFS66"/>
      <c r="UFT66"/>
      <c r="UFU66"/>
      <c r="UFV66"/>
      <c r="UFW66"/>
      <c r="UFX66"/>
      <c r="UFY66"/>
      <c r="UFZ66"/>
      <c r="UGA66"/>
      <c r="UGB66"/>
      <c r="UGC66"/>
      <c r="UGD66"/>
      <c r="UGE66"/>
      <c r="UGF66"/>
      <c r="UGG66"/>
      <c r="UGH66"/>
      <c r="UGI66"/>
      <c r="UGJ66"/>
      <c r="UGK66"/>
      <c r="UGL66"/>
      <c r="UGM66"/>
      <c r="UGN66"/>
      <c r="UGO66"/>
      <c r="UGP66"/>
      <c r="UGQ66"/>
      <c r="UGR66"/>
      <c r="UGS66"/>
      <c r="UGT66"/>
      <c r="UGU66"/>
      <c r="UGV66"/>
      <c r="UGW66"/>
      <c r="UGX66"/>
      <c r="UGY66"/>
      <c r="UGZ66"/>
      <c r="UHA66"/>
      <c r="UHB66"/>
      <c r="UHC66"/>
      <c r="UHD66"/>
      <c r="UHE66"/>
      <c r="UHF66"/>
      <c r="UHG66"/>
      <c r="UHH66"/>
      <c r="UHI66"/>
      <c r="UHJ66"/>
      <c r="UHK66"/>
      <c r="UHL66"/>
      <c r="UHM66"/>
      <c r="UHN66"/>
      <c r="UHO66"/>
      <c r="UHP66"/>
      <c r="UHQ66"/>
      <c r="UHR66"/>
      <c r="UHS66"/>
      <c r="UHT66"/>
      <c r="UHU66"/>
      <c r="UHV66"/>
      <c r="UHW66"/>
      <c r="UHX66"/>
      <c r="UHY66"/>
      <c r="UHZ66"/>
      <c r="UIA66"/>
      <c r="UIB66"/>
      <c r="UIC66"/>
      <c r="UID66"/>
      <c r="UIE66"/>
      <c r="UIF66"/>
      <c r="UIG66"/>
      <c r="UIH66"/>
      <c r="UII66"/>
      <c r="UIJ66"/>
      <c r="UIK66"/>
      <c r="UIL66"/>
      <c r="UIM66"/>
      <c r="UIN66"/>
      <c r="UIO66"/>
      <c r="UIP66"/>
      <c r="UIQ66"/>
      <c r="UIR66"/>
      <c r="UIS66"/>
      <c r="UIT66"/>
      <c r="UIU66"/>
      <c r="UIV66"/>
      <c r="UIW66"/>
      <c r="UIX66"/>
      <c r="UIY66"/>
      <c r="UIZ66"/>
      <c r="UJA66"/>
      <c r="UJB66"/>
      <c r="UJC66"/>
      <c r="UJD66"/>
      <c r="UJE66"/>
      <c r="UJF66"/>
      <c r="UJG66"/>
      <c r="UJH66"/>
      <c r="UJI66"/>
      <c r="UJJ66"/>
      <c r="UJK66"/>
      <c r="UJL66"/>
      <c r="UJM66"/>
      <c r="UJN66"/>
      <c r="UJO66"/>
      <c r="UJP66"/>
      <c r="UJQ66"/>
      <c r="UJR66"/>
      <c r="UJS66"/>
      <c r="UJT66"/>
      <c r="UJU66"/>
      <c r="UJV66"/>
      <c r="UJW66"/>
      <c r="UJX66"/>
      <c r="UJY66"/>
      <c r="UJZ66"/>
      <c r="UKA66"/>
      <c r="UKB66"/>
      <c r="UKC66"/>
      <c r="UKD66"/>
      <c r="UKE66"/>
      <c r="UKF66"/>
      <c r="UKG66"/>
      <c r="UKH66"/>
      <c r="UKI66"/>
      <c r="UKJ66"/>
      <c r="UKK66"/>
      <c r="UKL66"/>
      <c r="UKM66"/>
      <c r="UKN66"/>
      <c r="UKO66"/>
      <c r="UKP66"/>
      <c r="UKQ66"/>
      <c r="UKR66"/>
      <c r="UKS66"/>
      <c r="UKT66"/>
      <c r="UKU66"/>
      <c r="UKV66"/>
      <c r="UKW66"/>
      <c r="UKX66"/>
      <c r="UKY66"/>
      <c r="UKZ66"/>
      <c r="ULA66"/>
      <c r="ULB66"/>
      <c r="ULC66"/>
      <c r="ULD66"/>
      <c r="ULE66"/>
      <c r="ULF66"/>
      <c r="ULG66"/>
      <c r="ULH66"/>
      <c r="ULI66"/>
      <c r="ULJ66"/>
      <c r="ULK66"/>
      <c r="ULL66"/>
      <c r="ULM66"/>
      <c r="ULN66"/>
      <c r="ULO66"/>
      <c r="ULP66"/>
      <c r="ULQ66"/>
      <c r="ULR66"/>
      <c r="ULS66"/>
      <c r="ULT66"/>
      <c r="ULU66"/>
      <c r="ULV66"/>
      <c r="ULW66"/>
      <c r="ULX66"/>
      <c r="ULY66"/>
      <c r="ULZ66"/>
      <c r="UMA66"/>
      <c r="UMB66"/>
      <c r="UMC66"/>
      <c r="UMD66"/>
      <c r="UME66"/>
      <c r="UMF66"/>
      <c r="UMG66"/>
      <c r="UMH66"/>
      <c r="UMI66"/>
      <c r="UMJ66"/>
      <c r="UMK66"/>
      <c r="UML66"/>
      <c r="UMM66"/>
      <c r="UMN66"/>
      <c r="UMO66"/>
      <c r="UMP66"/>
      <c r="UMQ66"/>
      <c r="UMR66"/>
      <c r="UMS66"/>
      <c r="UMT66"/>
      <c r="UMU66"/>
      <c r="UMV66"/>
      <c r="UMW66"/>
      <c r="UMX66"/>
      <c r="UMY66"/>
      <c r="UMZ66"/>
      <c r="UNA66"/>
      <c r="UNB66"/>
      <c r="UNC66"/>
      <c r="UND66"/>
      <c r="UNE66"/>
      <c r="UNF66"/>
      <c r="UNG66"/>
      <c r="UNH66"/>
      <c r="UNI66"/>
      <c r="UNJ66"/>
      <c r="UNK66"/>
      <c r="UNL66"/>
      <c r="UNM66"/>
      <c r="UNN66"/>
      <c r="UNO66"/>
      <c r="UNP66"/>
      <c r="UNQ66"/>
      <c r="UNR66"/>
      <c r="UNS66"/>
      <c r="UNT66"/>
      <c r="UNU66"/>
      <c r="UNV66"/>
      <c r="UNW66"/>
      <c r="UNX66"/>
      <c r="UNY66"/>
      <c r="UNZ66"/>
      <c r="UOA66"/>
      <c r="UOB66"/>
      <c r="UOC66"/>
      <c r="UOD66"/>
      <c r="UOE66"/>
      <c r="UOF66"/>
      <c r="UOG66"/>
      <c r="UOH66"/>
      <c r="UOI66"/>
      <c r="UOJ66"/>
      <c r="UOK66"/>
      <c r="UOL66"/>
      <c r="UOM66"/>
      <c r="UON66"/>
      <c r="UOO66"/>
      <c r="UOP66"/>
      <c r="UOQ66"/>
      <c r="UOR66"/>
      <c r="UOS66"/>
      <c r="UOT66"/>
      <c r="UOU66"/>
      <c r="UOV66"/>
      <c r="UOW66"/>
      <c r="UOX66"/>
      <c r="UOY66"/>
      <c r="UOZ66"/>
      <c r="UPA66"/>
      <c r="UPB66"/>
      <c r="UPC66"/>
      <c r="UPD66"/>
      <c r="UPE66"/>
      <c r="UPF66"/>
      <c r="UPG66"/>
      <c r="UPH66"/>
      <c r="UPI66"/>
      <c r="UPJ66"/>
      <c r="UPK66"/>
      <c r="UPL66"/>
      <c r="UPM66"/>
      <c r="UPN66"/>
      <c r="UPO66"/>
      <c r="UPP66"/>
      <c r="UPQ66"/>
      <c r="UPR66"/>
      <c r="UPS66"/>
      <c r="UPT66"/>
      <c r="UPU66"/>
      <c r="UPV66"/>
      <c r="UPW66"/>
      <c r="UPX66"/>
      <c r="UPY66"/>
      <c r="UPZ66"/>
      <c r="UQA66"/>
      <c r="UQB66"/>
      <c r="UQC66"/>
      <c r="UQD66"/>
      <c r="UQE66"/>
      <c r="UQF66"/>
      <c r="UQG66"/>
      <c r="UQH66"/>
      <c r="UQI66"/>
      <c r="UQJ66"/>
      <c r="UQK66"/>
      <c r="UQL66"/>
      <c r="UQM66"/>
      <c r="UQN66"/>
      <c r="UQO66"/>
      <c r="UQP66"/>
      <c r="UQQ66"/>
      <c r="UQR66"/>
      <c r="UQS66"/>
      <c r="UQT66"/>
      <c r="UQU66"/>
      <c r="UQV66"/>
      <c r="UQW66"/>
      <c r="UQX66"/>
      <c r="UQY66"/>
      <c r="UQZ66"/>
      <c r="URA66"/>
      <c r="URB66"/>
      <c r="URC66"/>
      <c r="URD66"/>
      <c r="URE66"/>
      <c r="URF66"/>
      <c r="URG66"/>
      <c r="URH66"/>
      <c r="URI66"/>
      <c r="URJ66"/>
      <c r="URK66"/>
      <c r="URL66"/>
      <c r="URM66"/>
      <c r="URN66"/>
      <c r="URO66"/>
      <c r="URP66"/>
      <c r="URQ66"/>
      <c r="URR66"/>
      <c r="URS66"/>
      <c r="URT66"/>
      <c r="URU66"/>
      <c r="URV66"/>
      <c r="URW66"/>
      <c r="URX66"/>
      <c r="URY66"/>
      <c r="URZ66"/>
      <c r="USA66"/>
      <c r="USB66"/>
      <c r="USC66"/>
      <c r="USD66"/>
      <c r="USE66"/>
      <c r="USF66"/>
      <c r="USG66"/>
      <c r="USH66"/>
      <c r="USI66"/>
      <c r="USJ66"/>
      <c r="USK66"/>
      <c r="USL66"/>
      <c r="USM66"/>
      <c r="USN66"/>
      <c r="USO66"/>
      <c r="USP66"/>
      <c r="USQ66"/>
      <c r="USR66"/>
      <c r="USS66"/>
      <c r="UST66"/>
      <c r="USU66"/>
      <c r="USV66"/>
      <c r="USW66"/>
      <c r="USX66"/>
      <c r="USY66"/>
      <c r="USZ66"/>
      <c r="UTA66"/>
      <c r="UTB66"/>
      <c r="UTC66"/>
      <c r="UTD66"/>
      <c r="UTE66"/>
      <c r="UTF66"/>
      <c r="UTG66"/>
      <c r="UTH66"/>
      <c r="UTI66"/>
      <c r="UTJ66"/>
      <c r="UTK66"/>
      <c r="UTL66"/>
      <c r="UTM66"/>
      <c r="UTN66"/>
      <c r="UTO66"/>
      <c r="UTP66"/>
      <c r="UTQ66"/>
      <c r="UTR66"/>
      <c r="UTS66"/>
      <c r="UTT66"/>
      <c r="UTU66"/>
      <c r="UTV66"/>
      <c r="UTW66"/>
      <c r="UTX66"/>
      <c r="UTY66"/>
      <c r="UTZ66"/>
      <c r="UUA66"/>
      <c r="UUB66"/>
      <c r="UUC66"/>
      <c r="UUD66"/>
      <c r="UUE66"/>
      <c r="UUF66"/>
      <c r="UUG66"/>
      <c r="UUH66"/>
      <c r="UUI66"/>
      <c r="UUJ66"/>
      <c r="UUK66"/>
      <c r="UUL66"/>
      <c r="UUM66"/>
      <c r="UUN66"/>
      <c r="UUO66"/>
      <c r="UUP66"/>
      <c r="UUQ66"/>
      <c r="UUR66"/>
      <c r="UUS66"/>
      <c r="UUT66"/>
      <c r="UUU66"/>
      <c r="UUV66"/>
      <c r="UUW66"/>
      <c r="UUX66"/>
      <c r="UUY66"/>
      <c r="UUZ66"/>
      <c r="UVA66"/>
      <c r="UVB66"/>
      <c r="UVC66"/>
      <c r="UVD66"/>
      <c r="UVE66"/>
      <c r="UVF66"/>
      <c r="UVG66"/>
      <c r="UVH66"/>
      <c r="UVI66"/>
      <c r="UVJ66"/>
      <c r="UVK66"/>
      <c r="UVL66"/>
      <c r="UVM66"/>
      <c r="UVN66"/>
      <c r="UVO66"/>
      <c r="UVP66"/>
      <c r="UVQ66"/>
      <c r="UVR66"/>
      <c r="UVS66"/>
      <c r="UVT66"/>
      <c r="UVU66"/>
      <c r="UVV66"/>
      <c r="UVW66"/>
      <c r="UVX66"/>
      <c r="UVY66"/>
      <c r="UVZ66"/>
      <c r="UWA66"/>
      <c r="UWB66"/>
      <c r="UWC66"/>
      <c r="UWD66"/>
      <c r="UWE66"/>
      <c r="UWF66"/>
      <c r="UWG66"/>
      <c r="UWH66"/>
      <c r="UWI66"/>
      <c r="UWJ66"/>
      <c r="UWK66"/>
      <c r="UWL66"/>
      <c r="UWM66"/>
      <c r="UWN66"/>
      <c r="UWO66"/>
      <c r="UWP66"/>
      <c r="UWQ66"/>
      <c r="UWR66"/>
      <c r="UWS66"/>
      <c r="UWT66"/>
      <c r="UWU66"/>
      <c r="UWV66"/>
      <c r="UWW66"/>
      <c r="UWX66"/>
      <c r="UWY66"/>
      <c r="UWZ66"/>
      <c r="UXA66"/>
      <c r="UXB66"/>
      <c r="UXC66"/>
      <c r="UXD66"/>
      <c r="UXE66"/>
      <c r="UXF66"/>
      <c r="UXG66"/>
      <c r="UXH66"/>
      <c r="UXI66"/>
      <c r="UXJ66"/>
      <c r="UXK66"/>
      <c r="UXL66"/>
      <c r="UXM66"/>
      <c r="UXN66"/>
      <c r="UXO66"/>
      <c r="UXP66"/>
      <c r="UXQ66"/>
      <c r="UXR66"/>
      <c r="UXS66"/>
      <c r="UXT66"/>
      <c r="UXU66"/>
      <c r="UXV66"/>
      <c r="UXW66"/>
      <c r="UXX66"/>
      <c r="UXY66"/>
      <c r="UXZ66"/>
      <c r="UYA66"/>
      <c r="UYB66"/>
      <c r="UYC66"/>
      <c r="UYD66"/>
      <c r="UYE66"/>
      <c r="UYF66"/>
      <c r="UYG66"/>
      <c r="UYH66"/>
      <c r="UYI66"/>
      <c r="UYJ66"/>
      <c r="UYK66"/>
      <c r="UYL66"/>
      <c r="UYM66"/>
      <c r="UYN66"/>
      <c r="UYO66"/>
      <c r="UYP66"/>
      <c r="UYQ66"/>
      <c r="UYR66"/>
      <c r="UYS66"/>
      <c r="UYT66"/>
      <c r="UYU66"/>
      <c r="UYV66"/>
      <c r="UYW66"/>
      <c r="UYX66"/>
      <c r="UYY66"/>
      <c r="UYZ66"/>
      <c r="UZA66"/>
      <c r="UZB66"/>
      <c r="UZC66"/>
      <c r="UZD66"/>
      <c r="UZE66"/>
      <c r="UZF66"/>
      <c r="UZG66"/>
      <c r="UZH66"/>
      <c r="UZI66"/>
      <c r="UZJ66"/>
      <c r="UZK66"/>
      <c r="UZL66"/>
      <c r="UZM66"/>
      <c r="UZN66"/>
      <c r="UZO66"/>
      <c r="UZP66"/>
      <c r="UZQ66"/>
      <c r="UZR66"/>
      <c r="UZS66"/>
      <c r="UZT66"/>
      <c r="UZU66"/>
      <c r="UZV66"/>
      <c r="UZW66"/>
      <c r="UZX66"/>
      <c r="UZY66"/>
      <c r="UZZ66"/>
      <c r="VAA66"/>
      <c r="VAB66"/>
      <c r="VAC66"/>
      <c r="VAD66"/>
      <c r="VAE66"/>
      <c r="VAF66"/>
      <c r="VAG66"/>
      <c r="VAH66"/>
      <c r="VAI66"/>
      <c r="VAJ66"/>
      <c r="VAK66"/>
      <c r="VAL66"/>
      <c r="VAM66"/>
      <c r="VAN66"/>
      <c r="VAO66"/>
      <c r="VAP66"/>
      <c r="VAQ66"/>
      <c r="VAR66"/>
      <c r="VAS66"/>
      <c r="VAT66"/>
      <c r="VAU66"/>
      <c r="VAV66"/>
      <c r="VAW66"/>
      <c r="VAX66"/>
      <c r="VAY66"/>
      <c r="VAZ66"/>
      <c r="VBA66"/>
      <c r="VBB66"/>
      <c r="VBC66"/>
      <c r="VBD66"/>
      <c r="VBE66"/>
      <c r="VBF66"/>
      <c r="VBG66"/>
      <c r="VBH66"/>
      <c r="VBI66"/>
      <c r="VBJ66"/>
      <c r="VBK66"/>
      <c r="VBL66"/>
      <c r="VBM66"/>
      <c r="VBN66"/>
      <c r="VBO66"/>
      <c r="VBP66"/>
      <c r="VBQ66"/>
      <c r="VBR66"/>
      <c r="VBS66"/>
      <c r="VBT66"/>
      <c r="VBU66"/>
      <c r="VBV66"/>
      <c r="VBW66"/>
      <c r="VBX66"/>
      <c r="VBY66"/>
      <c r="VBZ66"/>
      <c r="VCA66"/>
      <c r="VCB66"/>
      <c r="VCC66"/>
      <c r="VCD66"/>
      <c r="VCE66"/>
      <c r="VCF66"/>
      <c r="VCG66"/>
      <c r="VCH66"/>
      <c r="VCI66"/>
      <c r="VCJ66"/>
      <c r="VCK66"/>
      <c r="VCL66"/>
      <c r="VCM66"/>
      <c r="VCN66"/>
      <c r="VCO66"/>
      <c r="VCP66"/>
      <c r="VCQ66"/>
      <c r="VCR66"/>
      <c r="VCS66"/>
      <c r="VCT66"/>
      <c r="VCU66"/>
      <c r="VCV66"/>
      <c r="VCW66"/>
      <c r="VCX66"/>
      <c r="VCY66"/>
      <c r="VCZ66"/>
      <c r="VDA66"/>
      <c r="VDB66"/>
      <c r="VDC66"/>
      <c r="VDD66"/>
      <c r="VDE66"/>
      <c r="VDF66"/>
      <c r="VDG66"/>
      <c r="VDH66"/>
      <c r="VDI66"/>
      <c r="VDJ66"/>
      <c r="VDK66"/>
      <c r="VDL66"/>
      <c r="VDM66"/>
      <c r="VDN66"/>
      <c r="VDO66"/>
      <c r="VDP66"/>
      <c r="VDQ66"/>
      <c r="VDR66"/>
      <c r="VDS66"/>
      <c r="VDT66"/>
      <c r="VDU66"/>
      <c r="VDV66"/>
      <c r="VDW66"/>
      <c r="VDX66"/>
      <c r="VDY66"/>
      <c r="VDZ66"/>
      <c r="VEA66"/>
      <c r="VEB66"/>
      <c r="VEC66"/>
      <c r="VED66"/>
      <c r="VEE66"/>
      <c r="VEF66"/>
      <c r="VEG66"/>
      <c r="VEH66"/>
      <c r="VEI66"/>
      <c r="VEJ66"/>
      <c r="VEK66"/>
      <c r="VEL66"/>
      <c r="VEM66"/>
      <c r="VEN66"/>
      <c r="VEO66"/>
      <c r="VEP66"/>
      <c r="VEQ66"/>
      <c r="VER66"/>
      <c r="VES66"/>
      <c r="VET66"/>
      <c r="VEU66"/>
      <c r="VEV66"/>
      <c r="VEW66"/>
      <c r="VEX66"/>
      <c r="VEY66"/>
      <c r="VEZ66"/>
      <c r="VFA66"/>
      <c r="VFB66"/>
      <c r="VFC66"/>
      <c r="VFD66"/>
      <c r="VFE66"/>
      <c r="VFF66"/>
      <c r="VFG66"/>
      <c r="VFH66"/>
      <c r="VFI66"/>
      <c r="VFJ66"/>
      <c r="VFK66"/>
      <c r="VFL66"/>
      <c r="VFM66"/>
      <c r="VFN66"/>
      <c r="VFO66"/>
      <c r="VFP66"/>
      <c r="VFQ66"/>
      <c r="VFR66"/>
      <c r="VFS66"/>
      <c r="VFT66"/>
      <c r="VFU66"/>
      <c r="VFV66"/>
      <c r="VFW66"/>
      <c r="VFX66"/>
      <c r="VFY66"/>
      <c r="VFZ66"/>
      <c r="VGA66"/>
      <c r="VGB66"/>
      <c r="VGC66"/>
      <c r="VGD66"/>
      <c r="VGE66"/>
      <c r="VGF66"/>
      <c r="VGG66"/>
      <c r="VGH66"/>
      <c r="VGI66"/>
      <c r="VGJ66"/>
      <c r="VGK66"/>
      <c r="VGL66"/>
      <c r="VGM66"/>
      <c r="VGN66"/>
      <c r="VGO66"/>
      <c r="VGP66"/>
      <c r="VGQ66"/>
      <c r="VGR66"/>
      <c r="VGS66"/>
      <c r="VGT66"/>
      <c r="VGU66"/>
      <c r="VGV66"/>
      <c r="VGW66"/>
      <c r="VGX66"/>
      <c r="VGY66"/>
      <c r="VGZ66"/>
      <c r="VHA66"/>
      <c r="VHB66"/>
      <c r="VHC66"/>
      <c r="VHD66"/>
      <c r="VHE66"/>
      <c r="VHF66"/>
      <c r="VHG66"/>
      <c r="VHH66"/>
      <c r="VHI66"/>
      <c r="VHJ66"/>
      <c r="VHK66"/>
      <c r="VHL66"/>
      <c r="VHM66"/>
      <c r="VHN66"/>
      <c r="VHO66"/>
      <c r="VHP66"/>
      <c r="VHQ66"/>
      <c r="VHR66"/>
      <c r="VHS66"/>
      <c r="VHT66"/>
      <c r="VHU66"/>
      <c r="VHV66"/>
      <c r="VHW66"/>
      <c r="VHX66"/>
      <c r="VHY66"/>
      <c r="VHZ66"/>
      <c r="VIA66"/>
      <c r="VIB66"/>
      <c r="VIC66"/>
      <c r="VID66"/>
      <c r="VIE66"/>
      <c r="VIF66"/>
      <c r="VIG66"/>
      <c r="VIH66"/>
      <c r="VII66"/>
      <c r="VIJ66"/>
      <c r="VIK66"/>
      <c r="VIL66"/>
      <c r="VIM66"/>
      <c r="VIN66"/>
      <c r="VIO66"/>
      <c r="VIP66"/>
      <c r="VIQ66"/>
      <c r="VIR66"/>
      <c r="VIS66"/>
      <c r="VIT66"/>
      <c r="VIU66"/>
      <c r="VIV66"/>
      <c r="VIW66"/>
      <c r="VIX66"/>
      <c r="VIY66"/>
      <c r="VIZ66"/>
      <c r="VJA66"/>
      <c r="VJB66"/>
      <c r="VJC66"/>
      <c r="VJD66"/>
      <c r="VJE66"/>
      <c r="VJF66"/>
      <c r="VJG66"/>
      <c r="VJH66"/>
      <c r="VJI66"/>
      <c r="VJJ66"/>
      <c r="VJK66"/>
      <c r="VJL66"/>
      <c r="VJM66"/>
      <c r="VJN66"/>
      <c r="VJO66"/>
      <c r="VJP66"/>
      <c r="VJQ66"/>
      <c r="VJR66"/>
      <c r="VJS66"/>
      <c r="VJT66"/>
      <c r="VJU66"/>
      <c r="VJV66"/>
      <c r="VJW66"/>
      <c r="VJX66"/>
      <c r="VJY66"/>
      <c r="VJZ66"/>
      <c r="VKA66"/>
      <c r="VKB66"/>
      <c r="VKC66"/>
      <c r="VKD66"/>
      <c r="VKE66"/>
      <c r="VKF66"/>
      <c r="VKG66"/>
      <c r="VKH66"/>
      <c r="VKI66"/>
      <c r="VKJ66"/>
      <c r="VKK66"/>
      <c r="VKL66"/>
      <c r="VKM66"/>
      <c r="VKN66"/>
      <c r="VKO66"/>
      <c r="VKP66"/>
      <c r="VKQ66"/>
      <c r="VKR66"/>
      <c r="VKS66"/>
      <c r="VKT66"/>
      <c r="VKU66"/>
      <c r="VKV66"/>
      <c r="VKW66"/>
      <c r="VKX66"/>
      <c r="VKY66"/>
      <c r="VKZ66"/>
      <c r="VLA66"/>
      <c r="VLB66"/>
      <c r="VLC66"/>
      <c r="VLD66"/>
      <c r="VLE66"/>
      <c r="VLF66"/>
      <c r="VLG66"/>
      <c r="VLH66"/>
      <c r="VLI66"/>
      <c r="VLJ66"/>
      <c r="VLK66"/>
      <c r="VLL66"/>
      <c r="VLM66"/>
      <c r="VLN66"/>
      <c r="VLO66"/>
      <c r="VLP66"/>
      <c r="VLQ66"/>
      <c r="VLR66"/>
      <c r="VLS66"/>
      <c r="VLT66"/>
      <c r="VLU66"/>
      <c r="VLV66"/>
      <c r="VLW66"/>
      <c r="VLX66"/>
      <c r="VLY66"/>
      <c r="VLZ66"/>
      <c r="VMA66"/>
      <c r="VMB66"/>
      <c r="VMC66"/>
      <c r="VMD66"/>
      <c r="VME66"/>
      <c r="VMF66"/>
      <c r="VMG66"/>
      <c r="VMH66"/>
      <c r="VMI66"/>
      <c r="VMJ66"/>
      <c r="VMK66"/>
      <c r="VML66"/>
      <c r="VMM66"/>
      <c r="VMN66"/>
      <c r="VMO66"/>
      <c r="VMP66"/>
      <c r="VMQ66"/>
      <c r="VMR66"/>
      <c r="VMS66"/>
      <c r="VMT66"/>
      <c r="VMU66"/>
      <c r="VMV66"/>
      <c r="VMW66"/>
      <c r="VMX66"/>
      <c r="VMY66"/>
      <c r="VMZ66"/>
      <c r="VNA66"/>
      <c r="VNB66"/>
      <c r="VNC66"/>
      <c r="VND66"/>
      <c r="VNE66"/>
      <c r="VNF66"/>
      <c r="VNG66"/>
      <c r="VNH66"/>
      <c r="VNI66"/>
      <c r="VNJ66"/>
      <c r="VNK66"/>
      <c r="VNL66"/>
      <c r="VNM66"/>
      <c r="VNN66"/>
      <c r="VNO66"/>
      <c r="VNP66"/>
      <c r="VNQ66"/>
      <c r="VNR66"/>
      <c r="VNS66"/>
      <c r="VNT66"/>
      <c r="VNU66"/>
      <c r="VNV66"/>
      <c r="VNW66"/>
      <c r="VNX66"/>
      <c r="VNY66"/>
      <c r="VNZ66"/>
      <c r="VOA66"/>
      <c r="VOB66"/>
      <c r="VOC66"/>
      <c r="VOD66"/>
      <c r="VOE66"/>
      <c r="VOF66"/>
      <c r="VOG66"/>
      <c r="VOH66"/>
      <c r="VOI66"/>
      <c r="VOJ66"/>
      <c r="VOK66"/>
      <c r="VOL66"/>
      <c r="VOM66"/>
      <c r="VON66"/>
      <c r="VOO66"/>
      <c r="VOP66"/>
      <c r="VOQ66"/>
      <c r="VOR66"/>
      <c r="VOS66"/>
      <c r="VOT66"/>
      <c r="VOU66"/>
      <c r="VOV66"/>
      <c r="VOW66"/>
      <c r="VOX66"/>
      <c r="VOY66"/>
      <c r="VOZ66"/>
      <c r="VPA66"/>
      <c r="VPB66"/>
      <c r="VPC66"/>
      <c r="VPD66"/>
      <c r="VPE66"/>
      <c r="VPF66"/>
      <c r="VPG66"/>
      <c r="VPH66"/>
      <c r="VPI66"/>
      <c r="VPJ66"/>
      <c r="VPK66"/>
      <c r="VPL66"/>
      <c r="VPM66"/>
      <c r="VPN66"/>
      <c r="VPO66"/>
      <c r="VPP66"/>
      <c r="VPQ66"/>
      <c r="VPR66"/>
      <c r="VPS66"/>
      <c r="VPT66"/>
      <c r="VPU66"/>
      <c r="VPV66"/>
      <c r="VPW66"/>
      <c r="VPX66"/>
      <c r="VPY66"/>
      <c r="VPZ66"/>
      <c r="VQA66"/>
      <c r="VQB66"/>
      <c r="VQC66"/>
      <c r="VQD66"/>
      <c r="VQE66"/>
      <c r="VQF66"/>
      <c r="VQG66"/>
      <c r="VQH66"/>
      <c r="VQI66"/>
      <c r="VQJ66"/>
      <c r="VQK66"/>
      <c r="VQL66"/>
      <c r="VQM66"/>
      <c r="VQN66"/>
      <c r="VQO66"/>
      <c r="VQP66"/>
      <c r="VQQ66"/>
      <c r="VQR66"/>
      <c r="VQS66"/>
      <c r="VQT66"/>
      <c r="VQU66"/>
      <c r="VQV66"/>
      <c r="VQW66"/>
      <c r="VQX66"/>
      <c r="VQY66"/>
      <c r="VQZ66"/>
      <c r="VRA66"/>
      <c r="VRB66"/>
      <c r="VRC66"/>
      <c r="VRD66"/>
      <c r="VRE66"/>
      <c r="VRF66"/>
      <c r="VRG66"/>
      <c r="VRH66"/>
      <c r="VRI66"/>
      <c r="VRJ66"/>
      <c r="VRK66"/>
      <c r="VRL66"/>
      <c r="VRM66"/>
      <c r="VRN66"/>
      <c r="VRO66"/>
      <c r="VRP66"/>
      <c r="VRQ66"/>
      <c r="VRR66"/>
      <c r="VRS66"/>
      <c r="VRT66"/>
      <c r="VRU66"/>
      <c r="VRV66"/>
      <c r="VRW66"/>
      <c r="VRX66"/>
      <c r="VRY66"/>
      <c r="VRZ66"/>
      <c r="VSA66"/>
      <c r="VSB66"/>
      <c r="VSC66"/>
      <c r="VSD66"/>
      <c r="VSE66"/>
      <c r="VSF66"/>
      <c r="VSG66"/>
      <c r="VSH66"/>
      <c r="VSI66"/>
      <c r="VSJ66"/>
      <c r="VSK66"/>
      <c r="VSL66"/>
      <c r="VSM66"/>
      <c r="VSN66"/>
      <c r="VSO66"/>
      <c r="VSP66"/>
      <c r="VSQ66"/>
      <c r="VSR66"/>
      <c r="VSS66"/>
      <c r="VST66"/>
      <c r="VSU66"/>
      <c r="VSV66"/>
      <c r="VSW66"/>
      <c r="VSX66"/>
      <c r="VSY66"/>
      <c r="VSZ66"/>
      <c r="VTA66"/>
      <c r="VTB66"/>
      <c r="VTC66"/>
      <c r="VTD66"/>
      <c r="VTE66"/>
      <c r="VTF66"/>
      <c r="VTG66"/>
      <c r="VTH66"/>
      <c r="VTI66"/>
      <c r="VTJ66"/>
      <c r="VTK66"/>
      <c r="VTL66"/>
      <c r="VTM66"/>
      <c r="VTN66"/>
      <c r="VTO66"/>
      <c r="VTP66"/>
      <c r="VTQ66"/>
      <c r="VTR66"/>
      <c r="VTS66"/>
      <c r="VTT66"/>
      <c r="VTU66"/>
      <c r="VTV66"/>
      <c r="VTW66"/>
      <c r="VTX66"/>
      <c r="VTY66"/>
      <c r="VTZ66"/>
      <c r="VUA66"/>
      <c r="VUB66"/>
      <c r="VUC66"/>
      <c r="VUD66"/>
      <c r="VUE66"/>
      <c r="VUF66"/>
      <c r="VUG66"/>
      <c r="VUH66"/>
      <c r="VUI66"/>
      <c r="VUJ66"/>
      <c r="VUK66"/>
      <c r="VUL66"/>
      <c r="VUM66"/>
      <c r="VUN66"/>
      <c r="VUO66"/>
      <c r="VUP66"/>
      <c r="VUQ66"/>
      <c r="VUR66"/>
      <c r="VUS66"/>
      <c r="VUT66"/>
      <c r="VUU66"/>
      <c r="VUV66"/>
      <c r="VUW66"/>
      <c r="VUX66"/>
      <c r="VUY66"/>
      <c r="VUZ66"/>
      <c r="VVA66"/>
      <c r="VVB66"/>
      <c r="VVC66"/>
      <c r="VVD66"/>
      <c r="VVE66"/>
      <c r="VVF66"/>
      <c r="VVG66"/>
      <c r="VVH66"/>
      <c r="VVI66"/>
      <c r="VVJ66"/>
      <c r="VVK66"/>
      <c r="VVL66"/>
      <c r="VVM66"/>
      <c r="VVN66"/>
      <c r="VVO66"/>
      <c r="VVP66"/>
      <c r="VVQ66"/>
      <c r="VVR66"/>
      <c r="VVS66"/>
      <c r="VVT66"/>
      <c r="VVU66"/>
      <c r="VVV66"/>
      <c r="VVW66"/>
      <c r="VVX66"/>
      <c r="VVY66"/>
      <c r="VVZ66"/>
      <c r="VWA66"/>
      <c r="VWB66"/>
      <c r="VWC66"/>
      <c r="VWD66"/>
      <c r="VWE66"/>
      <c r="VWF66"/>
      <c r="VWG66"/>
      <c r="VWH66"/>
      <c r="VWI66"/>
      <c r="VWJ66"/>
      <c r="VWK66"/>
      <c r="VWL66"/>
      <c r="VWM66"/>
      <c r="VWN66"/>
      <c r="VWO66"/>
      <c r="VWP66"/>
      <c r="VWQ66"/>
      <c r="VWR66"/>
      <c r="VWS66"/>
      <c r="VWT66"/>
      <c r="VWU66"/>
      <c r="VWV66"/>
      <c r="VWW66"/>
      <c r="VWX66"/>
      <c r="VWY66"/>
      <c r="VWZ66"/>
      <c r="VXA66"/>
      <c r="VXB66"/>
      <c r="VXC66"/>
      <c r="VXD66"/>
      <c r="VXE66"/>
      <c r="VXF66"/>
      <c r="VXG66"/>
      <c r="VXH66"/>
      <c r="VXI66"/>
      <c r="VXJ66"/>
      <c r="VXK66"/>
      <c r="VXL66"/>
      <c r="VXM66"/>
      <c r="VXN66"/>
      <c r="VXO66"/>
      <c r="VXP66"/>
      <c r="VXQ66"/>
      <c r="VXR66"/>
      <c r="VXS66"/>
      <c r="VXT66"/>
      <c r="VXU66"/>
      <c r="VXV66"/>
      <c r="VXW66"/>
      <c r="VXX66"/>
      <c r="VXY66"/>
      <c r="VXZ66"/>
      <c r="VYA66"/>
      <c r="VYB66"/>
      <c r="VYC66"/>
      <c r="VYD66"/>
      <c r="VYE66"/>
      <c r="VYF66"/>
      <c r="VYG66"/>
      <c r="VYH66"/>
      <c r="VYI66"/>
      <c r="VYJ66"/>
      <c r="VYK66"/>
      <c r="VYL66"/>
      <c r="VYM66"/>
      <c r="VYN66"/>
      <c r="VYO66"/>
      <c r="VYP66"/>
      <c r="VYQ66"/>
      <c r="VYR66"/>
      <c r="VYS66"/>
      <c r="VYT66"/>
      <c r="VYU66"/>
      <c r="VYV66"/>
      <c r="VYW66"/>
      <c r="VYX66"/>
      <c r="VYY66"/>
      <c r="VYZ66"/>
      <c r="VZA66"/>
      <c r="VZB66"/>
      <c r="VZC66"/>
      <c r="VZD66"/>
      <c r="VZE66"/>
      <c r="VZF66"/>
      <c r="VZG66"/>
      <c r="VZH66"/>
      <c r="VZI66"/>
      <c r="VZJ66"/>
      <c r="VZK66"/>
      <c r="VZL66"/>
      <c r="VZM66"/>
      <c r="VZN66"/>
      <c r="VZO66"/>
      <c r="VZP66"/>
      <c r="VZQ66"/>
      <c r="VZR66"/>
      <c r="VZS66"/>
      <c r="VZT66"/>
      <c r="VZU66"/>
      <c r="VZV66"/>
      <c r="VZW66"/>
      <c r="VZX66"/>
      <c r="VZY66"/>
      <c r="VZZ66"/>
      <c r="WAA66"/>
      <c r="WAB66"/>
      <c r="WAC66"/>
      <c r="WAD66"/>
      <c r="WAE66"/>
      <c r="WAF66"/>
      <c r="WAG66"/>
      <c r="WAH66"/>
      <c r="WAI66"/>
      <c r="WAJ66"/>
      <c r="WAK66"/>
      <c r="WAL66"/>
      <c r="WAM66"/>
      <c r="WAN66"/>
      <c r="WAO66"/>
      <c r="WAP66"/>
      <c r="WAQ66"/>
      <c r="WAR66"/>
      <c r="WAS66"/>
      <c r="WAT66"/>
      <c r="WAU66"/>
      <c r="WAV66"/>
      <c r="WAW66"/>
      <c r="WAX66"/>
      <c r="WAY66"/>
      <c r="WAZ66"/>
      <c r="WBA66"/>
      <c r="WBB66"/>
      <c r="WBC66"/>
      <c r="WBD66"/>
      <c r="WBE66"/>
      <c r="WBF66"/>
      <c r="WBG66"/>
      <c r="WBH66"/>
      <c r="WBI66"/>
      <c r="WBJ66"/>
      <c r="WBK66"/>
      <c r="WBL66"/>
      <c r="WBM66"/>
      <c r="WBN66"/>
      <c r="WBO66"/>
      <c r="WBP66"/>
      <c r="WBQ66"/>
      <c r="WBR66"/>
      <c r="WBS66"/>
      <c r="WBT66"/>
      <c r="WBU66"/>
      <c r="WBV66"/>
      <c r="WBW66"/>
      <c r="WBX66"/>
      <c r="WBY66"/>
      <c r="WBZ66"/>
      <c r="WCA66"/>
      <c r="WCB66"/>
      <c r="WCC66"/>
      <c r="WCD66"/>
      <c r="WCE66"/>
      <c r="WCF66"/>
      <c r="WCG66"/>
      <c r="WCH66"/>
      <c r="WCI66"/>
      <c r="WCJ66"/>
      <c r="WCK66"/>
      <c r="WCL66"/>
      <c r="WCM66"/>
      <c r="WCN66"/>
      <c r="WCO66"/>
      <c r="WCP66"/>
      <c r="WCQ66"/>
      <c r="WCR66"/>
      <c r="WCS66"/>
      <c r="WCT66"/>
      <c r="WCU66"/>
      <c r="WCV66"/>
      <c r="WCW66"/>
      <c r="WCX66"/>
      <c r="WCY66"/>
      <c r="WCZ66"/>
      <c r="WDA66"/>
      <c r="WDB66"/>
      <c r="WDC66"/>
      <c r="WDD66"/>
      <c r="WDE66"/>
      <c r="WDF66"/>
      <c r="WDG66"/>
      <c r="WDH66"/>
      <c r="WDI66"/>
      <c r="WDJ66"/>
      <c r="WDK66"/>
      <c r="WDL66"/>
      <c r="WDM66"/>
      <c r="WDN66"/>
      <c r="WDO66"/>
      <c r="WDP66"/>
      <c r="WDQ66"/>
      <c r="WDR66"/>
      <c r="WDS66"/>
      <c r="WDT66"/>
      <c r="WDU66"/>
      <c r="WDV66"/>
      <c r="WDW66"/>
      <c r="WDX66"/>
      <c r="WDY66"/>
      <c r="WDZ66"/>
      <c r="WEA66"/>
      <c r="WEB66"/>
      <c r="WEC66"/>
      <c r="WED66"/>
      <c r="WEE66"/>
      <c r="WEF66"/>
      <c r="WEG66"/>
      <c r="WEH66"/>
      <c r="WEI66"/>
      <c r="WEJ66"/>
      <c r="WEK66"/>
      <c r="WEL66"/>
      <c r="WEM66"/>
      <c r="WEN66"/>
      <c r="WEO66"/>
      <c r="WEP66"/>
      <c r="WEQ66"/>
      <c r="WER66"/>
      <c r="WES66"/>
      <c r="WET66"/>
      <c r="WEU66"/>
      <c r="WEV66"/>
      <c r="WEW66"/>
      <c r="WEX66"/>
      <c r="WEY66"/>
      <c r="WEZ66"/>
      <c r="WFA66"/>
      <c r="WFB66"/>
      <c r="WFC66"/>
      <c r="WFD66"/>
      <c r="WFE66"/>
      <c r="WFF66"/>
      <c r="WFG66"/>
      <c r="WFH66"/>
      <c r="WFI66"/>
      <c r="WFJ66"/>
      <c r="WFK66"/>
      <c r="WFL66"/>
      <c r="WFM66"/>
      <c r="WFN66"/>
      <c r="WFO66"/>
      <c r="WFP66"/>
      <c r="WFQ66"/>
      <c r="WFR66"/>
      <c r="WFS66"/>
      <c r="WFT66"/>
      <c r="WFU66"/>
      <c r="WFV66"/>
      <c r="WFW66"/>
      <c r="WFX66"/>
      <c r="WFY66"/>
      <c r="WFZ66"/>
      <c r="WGA66"/>
      <c r="WGB66"/>
      <c r="WGC66"/>
      <c r="WGD66"/>
      <c r="WGE66"/>
      <c r="WGF66"/>
      <c r="WGG66"/>
      <c r="WGH66"/>
      <c r="WGI66"/>
      <c r="WGJ66"/>
      <c r="WGK66"/>
      <c r="WGL66"/>
      <c r="WGM66"/>
      <c r="WGN66"/>
      <c r="WGO66"/>
      <c r="WGP66"/>
      <c r="WGQ66"/>
      <c r="WGR66"/>
      <c r="WGS66"/>
      <c r="WGT66"/>
      <c r="WGU66"/>
      <c r="WGV66"/>
      <c r="WGW66"/>
      <c r="WGX66"/>
      <c r="WGY66"/>
      <c r="WGZ66"/>
      <c r="WHA66"/>
      <c r="WHB66"/>
      <c r="WHC66"/>
      <c r="WHD66"/>
      <c r="WHE66"/>
      <c r="WHF66"/>
      <c r="WHG66"/>
      <c r="WHH66"/>
      <c r="WHI66"/>
      <c r="WHJ66"/>
      <c r="WHK66"/>
      <c r="WHL66"/>
      <c r="WHM66"/>
      <c r="WHN66"/>
      <c r="WHO66"/>
      <c r="WHP66"/>
      <c r="WHQ66"/>
      <c r="WHR66"/>
      <c r="WHS66"/>
      <c r="WHT66"/>
      <c r="WHU66"/>
      <c r="WHV66"/>
      <c r="WHW66"/>
      <c r="WHX66"/>
      <c r="WHY66"/>
      <c r="WHZ66"/>
      <c r="WIA66"/>
      <c r="WIB66"/>
      <c r="WIC66"/>
      <c r="WID66"/>
      <c r="WIE66"/>
      <c r="WIF66"/>
      <c r="WIG66"/>
      <c r="WIH66"/>
      <c r="WII66"/>
      <c r="WIJ66"/>
      <c r="WIK66"/>
      <c r="WIL66"/>
      <c r="WIM66"/>
      <c r="WIN66"/>
      <c r="WIO66"/>
      <c r="WIP66"/>
      <c r="WIQ66"/>
      <c r="WIR66"/>
      <c r="WIS66"/>
      <c r="WIT66"/>
      <c r="WIU66"/>
      <c r="WIV66"/>
      <c r="WIW66"/>
      <c r="WIX66"/>
      <c r="WIY66"/>
      <c r="WIZ66"/>
      <c r="WJA66"/>
      <c r="WJB66"/>
      <c r="WJC66"/>
      <c r="WJD66"/>
      <c r="WJE66"/>
      <c r="WJF66"/>
      <c r="WJG66"/>
      <c r="WJH66"/>
      <c r="WJI66"/>
      <c r="WJJ66"/>
      <c r="WJK66"/>
      <c r="WJL66"/>
      <c r="WJM66"/>
      <c r="WJN66"/>
      <c r="WJO66"/>
      <c r="WJP66"/>
      <c r="WJQ66"/>
      <c r="WJR66"/>
      <c r="WJS66"/>
      <c r="WJT66"/>
      <c r="WJU66"/>
      <c r="WJV66"/>
      <c r="WJW66"/>
      <c r="WJX66"/>
      <c r="WJY66"/>
      <c r="WJZ66"/>
      <c r="WKA66"/>
      <c r="WKB66"/>
      <c r="WKC66"/>
      <c r="WKD66"/>
      <c r="WKE66"/>
      <c r="WKF66"/>
      <c r="WKG66"/>
      <c r="WKH66"/>
      <c r="WKI66"/>
      <c r="WKJ66"/>
      <c r="WKK66"/>
      <c r="WKL66"/>
      <c r="WKM66"/>
      <c r="WKN66"/>
      <c r="WKO66"/>
      <c r="WKP66"/>
      <c r="WKQ66"/>
      <c r="WKR66"/>
      <c r="WKS66"/>
      <c r="WKT66"/>
      <c r="WKU66"/>
      <c r="WKV66"/>
      <c r="WKW66"/>
      <c r="WKX66"/>
      <c r="WKY66"/>
      <c r="WKZ66"/>
      <c r="WLA66"/>
      <c r="WLB66"/>
      <c r="WLC66"/>
      <c r="WLD66"/>
      <c r="WLE66"/>
      <c r="WLF66"/>
      <c r="WLG66"/>
      <c r="WLH66"/>
      <c r="WLI66"/>
      <c r="WLJ66"/>
      <c r="WLK66"/>
      <c r="WLL66"/>
      <c r="WLM66"/>
      <c r="WLN66"/>
      <c r="WLO66"/>
      <c r="WLP66"/>
      <c r="WLQ66"/>
      <c r="WLR66"/>
      <c r="WLS66"/>
      <c r="WLT66"/>
      <c r="WLU66"/>
      <c r="WLV66"/>
      <c r="WLW66"/>
      <c r="WLX66"/>
      <c r="WLY66"/>
      <c r="WLZ66"/>
      <c r="WMA66"/>
      <c r="WMB66"/>
      <c r="WMC66"/>
      <c r="WMD66"/>
      <c r="WME66"/>
      <c r="WMF66"/>
      <c r="WMG66"/>
      <c r="WMH66"/>
      <c r="WMI66"/>
      <c r="WMJ66"/>
      <c r="WMK66"/>
      <c r="WML66"/>
      <c r="WMM66"/>
      <c r="WMN66"/>
      <c r="WMO66"/>
      <c r="WMP66"/>
      <c r="WMQ66"/>
      <c r="WMR66"/>
      <c r="WMS66"/>
      <c r="WMT66"/>
      <c r="WMU66"/>
      <c r="WMV66"/>
      <c r="WMW66"/>
      <c r="WMX66"/>
      <c r="WMY66"/>
      <c r="WMZ66"/>
      <c r="WNA66"/>
      <c r="WNB66"/>
      <c r="WNC66"/>
      <c r="WND66"/>
      <c r="WNE66"/>
      <c r="WNF66"/>
      <c r="WNG66"/>
      <c r="WNH66"/>
      <c r="WNI66"/>
      <c r="WNJ66"/>
      <c r="WNK66"/>
      <c r="WNL66"/>
      <c r="WNM66"/>
      <c r="WNN66"/>
      <c r="WNO66"/>
      <c r="WNP66"/>
      <c r="WNQ66"/>
      <c r="WNR66"/>
      <c r="WNS66"/>
      <c r="WNT66"/>
      <c r="WNU66"/>
      <c r="WNV66"/>
      <c r="WNW66"/>
      <c r="WNX66"/>
      <c r="WNY66"/>
      <c r="WNZ66"/>
      <c r="WOA66"/>
      <c r="WOB66"/>
      <c r="WOC66"/>
      <c r="WOD66"/>
      <c r="WOE66"/>
      <c r="WOF66"/>
      <c r="WOG66"/>
      <c r="WOH66"/>
      <c r="WOI66"/>
      <c r="WOJ66"/>
      <c r="WOK66"/>
      <c r="WOL66"/>
      <c r="WOM66"/>
      <c r="WON66"/>
      <c r="WOO66"/>
      <c r="WOP66"/>
      <c r="WOQ66"/>
      <c r="WOR66"/>
      <c r="WOS66"/>
      <c r="WOT66"/>
      <c r="WOU66"/>
      <c r="WOV66"/>
      <c r="WOW66"/>
      <c r="WOX66"/>
      <c r="WOY66"/>
      <c r="WOZ66"/>
      <c r="WPA66"/>
      <c r="WPB66"/>
      <c r="WPC66"/>
      <c r="WPD66"/>
      <c r="WPE66"/>
      <c r="WPF66"/>
      <c r="WPG66"/>
      <c r="WPH66"/>
      <c r="WPI66"/>
      <c r="WPJ66"/>
      <c r="WPK66"/>
      <c r="WPL66"/>
      <c r="WPM66"/>
      <c r="WPN66"/>
      <c r="WPO66"/>
      <c r="WPP66"/>
      <c r="WPQ66"/>
      <c r="WPR66"/>
      <c r="WPS66"/>
      <c r="WPT66"/>
      <c r="WPU66"/>
      <c r="WPV66"/>
      <c r="WPW66"/>
      <c r="WPX66"/>
      <c r="WPY66"/>
      <c r="WPZ66"/>
      <c r="WQA66"/>
      <c r="WQB66"/>
      <c r="WQC66"/>
      <c r="WQD66"/>
      <c r="WQE66"/>
      <c r="WQF66"/>
      <c r="WQG66"/>
      <c r="WQH66"/>
      <c r="WQI66"/>
      <c r="WQJ66"/>
      <c r="WQK66"/>
      <c r="WQL66"/>
      <c r="WQM66"/>
      <c r="WQN66"/>
      <c r="WQO66"/>
      <c r="WQP66"/>
      <c r="WQQ66"/>
      <c r="WQR66"/>
      <c r="WQS66"/>
      <c r="WQT66"/>
      <c r="WQU66"/>
      <c r="WQV66"/>
      <c r="WQW66"/>
      <c r="WQX66"/>
      <c r="WQY66"/>
      <c r="WQZ66"/>
      <c r="WRA66"/>
      <c r="WRB66"/>
      <c r="WRC66"/>
      <c r="WRD66"/>
      <c r="WRE66"/>
      <c r="WRF66"/>
      <c r="WRG66"/>
      <c r="WRH66"/>
      <c r="WRI66"/>
      <c r="WRJ66"/>
      <c r="WRK66"/>
      <c r="WRL66"/>
      <c r="WRM66"/>
      <c r="WRN66"/>
      <c r="WRO66"/>
      <c r="WRP66"/>
      <c r="WRQ66"/>
      <c r="WRR66"/>
      <c r="WRS66"/>
      <c r="WRT66"/>
      <c r="WRU66"/>
      <c r="WRV66"/>
      <c r="WRW66"/>
      <c r="WRX66"/>
      <c r="WRY66"/>
      <c r="WRZ66"/>
      <c r="WSA66"/>
      <c r="WSB66"/>
      <c r="WSC66"/>
      <c r="WSD66"/>
      <c r="WSE66"/>
      <c r="WSF66"/>
      <c r="WSG66"/>
      <c r="WSH66"/>
      <c r="WSI66"/>
      <c r="WSJ66"/>
      <c r="WSK66"/>
      <c r="WSL66"/>
      <c r="WSM66"/>
      <c r="WSN66"/>
      <c r="WSO66"/>
      <c r="WSP66"/>
      <c r="WSQ66"/>
      <c r="WSR66"/>
      <c r="WSS66"/>
      <c r="WST66"/>
      <c r="WSU66"/>
      <c r="WSV66"/>
      <c r="WSW66"/>
      <c r="WSX66"/>
      <c r="WSY66"/>
      <c r="WSZ66"/>
      <c r="WTA66"/>
      <c r="WTB66"/>
      <c r="WTC66"/>
      <c r="WTD66"/>
      <c r="WTE66"/>
      <c r="WTF66"/>
      <c r="WTG66"/>
      <c r="WTH66"/>
      <c r="WTI66"/>
      <c r="WTJ66"/>
      <c r="WTK66"/>
      <c r="WTL66"/>
      <c r="WTM66"/>
      <c r="WTN66"/>
      <c r="WTO66"/>
      <c r="WTP66"/>
      <c r="WTQ66"/>
      <c r="WTR66"/>
      <c r="WTS66"/>
      <c r="WTT66"/>
      <c r="WTU66"/>
      <c r="WTV66"/>
      <c r="WTW66"/>
      <c r="WTX66"/>
      <c r="WTY66"/>
      <c r="WTZ66"/>
      <c r="WUA66"/>
      <c r="WUB66"/>
      <c r="WUC66"/>
      <c r="WUD66"/>
      <c r="WUE66"/>
      <c r="WUF66"/>
      <c r="WUG66"/>
      <c r="WUH66"/>
      <c r="WUI66"/>
      <c r="WUJ66"/>
      <c r="WUK66"/>
      <c r="WUL66"/>
      <c r="WUM66"/>
      <c r="WUN66"/>
      <c r="WUO66"/>
      <c r="WUP66"/>
      <c r="WUQ66"/>
      <c r="WUR66"/>
      <c r="WUS66"/>
      <c r="WUT66"/>
      <c r="WUU66"/>
      <c r="WUV66"/>
      <c r="WUW66"/>
      <c r="WUX66"/>
      <c r="WUY66"/>
      <c r="WUZ66"/>
      <c r="WVA66"/>
      <c r="WVB66"/>
      <c r="WVC66"/>
      <c r="WVD66"/>
      <c r="WVE66"/>
      <c r="WVF66"/>
      <c r="WVG66"/>
      <c r="WVH66"/>
      <c r="WVI66"/>
      <c r="WVJ66"/>
      <c r="WVK66"/>
      <c r="WVL66"/>
      <c r="WVM66"/>
      <c r="WVN66"/>
      <c r="WVO66"/>
      <c r="WVP66"/>
      <c r="WVQ66"/>
      <c r="WVR66"/>
      <c r="WVS66"/>
      <c r="WVT66"/>
      <c r="WVU66"/>
      <c r="WVV66"/>
      <c r="WVW66"/>
      <c r="WVX66"/>
      <c r="WVY66"/>
      <c r="WVZ66"/>
      <c r="WWA66"/>
      <c r="WWB66"/>
      <c r="WWC66"/>
      <c r="WWD66"/>
      <c r="WWE66"/>
      <c r="WWF66"/>
      <c r="WWG66"/>
      <c r="WWH66"/>
      <c r="WWI66"/>
      <c r="WWJ66"/>
      <c r="WWK66"/>
      <c r="WWL66"/>
      <c r="WWM66"/>
      <c r="WWN66"/>
      <c r="WWO66"/>
      <c r="WWP66"/>
      <c r="WWQ66"/>
      <c r="WWR66"/>
      <c r="WWS66"/>
      <c r="WWT66"/>
      <c r="WWU66"/>
      <c r="WWV66"/>
      <c r="WWW66"/>
      <c r="WWX66"/>
      <c r="WWY66"/>
      <c r="WWZ66"/>
      <c r="WXA66"/>
      <c r="WXB66"/>
      <c r="WXC66"/>
      <c r="WXD66"/>
      <c r="WXE66"/>
      <c r="WXF66"/>
      <c r="WXG66"/>
      <c r="WXH66"/>
      <c r="WXI66"/>
      <c r="WXJ66"/>
      <c r="WXK66"/>
      <c r="WXL66"/>
      <c r="WXM66"/>
      <c r="WXN66"/>
      <c r="WXO66"/>
      <c r="WXP66"/>
      <c r="WXQ66"/>
      <c r="WXR66"/>
      <c r="WXS66"/>
      <c r="WXT66"/>
      <c r="WXU66"/>
      <c r="WXV66"/>
      <c r="WXW66"/>
      <c r="WXX66"/>
      <c r="WXY66"/>
      <c r="WXZ66"/>
      <c r="WYA66"/>
      <c r="WYB66"/>
      <c r="WYC66"/>
      <c r="WYD66"/>
      <c r="WYE66"/>
      <c r="WYF66"/>
      <c r="WYG66"/>
      <c r="WYH66"/>
      <c r="WYI66"/>
      <c r="WYJ66"/>
      <c r="WYK66"/>
      <c r="WYL66"/>
      <c r="WYM66"/>
      <c r="WYN66"/>
      <c r="WYO66"/>
      <c r="WYP66"/>
      <c r="WYQ66"/>
      <c r="WYR66"/>
      <c r="WYS66"/>
      <c r="WYT66"/>
      <c r="WYU66"/>
      <c r="WYV66"/>
      <c r="WYW66"/>
      <c r="WYX66"/>
      <c r="WYY66"/>
      <c r="WYZ66"/>
      <c r="WZA66"/>
      <c r="WZB66"/>
      <c r="WZC66"/>
      <c r="WZD66"/>
      <c r="WZE66"/>
      <c r="WZF66"/>
      <c r="WZG66"/>
      <c r="WZH66"/>
      <c r="WZI66"/>
      <c r="WZJ66"/>
      <c r="WZK66"/>
      <c r="WZL66"/>
      <c r="WZM66"/>
      <c r="WZN66"/>
      <c r="WZO66"/>
      <c r="WZP66"/>
      <c r="WZQ66"/>
      <c r="WZR66"/>
      <c r="WZS66"/>
      <c r="WZT66"/>
      <c r="WZU66"/>
      <c r="WZV66"/>
      <c r="WZW66"/>
      <c r="WZX66"/>
      <c r="WZY66"/>
      <c r="WZZ66"/>
      <c r="XAA66"/>
      <c r="XAB66"/>
      <c r="XAC66"/>
      <c r="XAD66"/>
      <c r="XAE66"/>
      <c r="XAF66"/>
      <c r="XAG66"/>
      <c r="XAH66"/>
      <c r="XAI66"/>
      <c r="XAJ66"/>
      <c r="XAK66"/>
      <c r="XAL66"/>
      <c r="XAM66"/>
      <c r="XAN66"/>
      <c r="XAO66"/>
      <c r="XAP66"/>
      <c r="XAQ66"/>
      <c r="XAR66"/>
      <c r="XAS66"/>
      <c r="XAT66"/>
      <c r="XAU66"/>
      <c r="XAV66"/>
      <c r="XAW66"/>
      <c r="XAX66"/>
      <c r="XAY66"/>
      <c r="XAZ66"/>
      <c r="XBA66"/>
      <c r="XBB66"/>
      <c r="XBC66"/>
      <c r="XBD66"/>
      <c r="XBE66"/>
      <c r="XBF66"/>
      <c r="XBG66"/>
      <c r="XBH66"/>
      <c r="XBI66"/>
      <c r="XBJ66"/>
      <c r="XBK66"/>
      <c r="XBL66"/>
      <c r="XBM66"/>
      <c r="XBN66"/>
      <c r="XBO66"/>
      <c r="XBP66"/>
      <c r="XBQ66"/>
      <c r="XBR66"/>
      <c r="XBS66"/>
      <c r="XBT66"/>
      <c r="XBU66"/>
      <c r="XBV66"/>
      <c r="XBW66"/>
      <c r="XBX66"/>
      <c r="XBY66"/>
      <c r="XBZ66"/>
      <c r="XCA66"/>
      <c r="XCB66"/>
      <c r="XCC66"/>
      <c r="XCD66"/>
      <c r="XCE66"/>
      <c r="XCF66"/>
      <c r="XCG66"/>
      <c r="XCH66"/>
      <c r="XCI66"/>
      <c r="XCJ66"/>
      <c r="XCK66"/>
      <c r="XCL66"/>
      <c r="XCM66"/>
      <c r="XCN66"/>
      <c r="XCO66"/>
      <c r="XCP66"/>
      <c r="XCQ66"/>
      <c r="XCR66"/>
      <c r="XCS66"/>
      <c r="XCT66"/>
      <c r="XCU66"/>
      <c r="XCV66"/>
      <c r="XCW66"/>
      <c r="XCX66"/>
      <c r="XCY66"/>
      <c r="XCZ66"/>
      <c r="XDA66"/>
      <c r="XDB66"/>
      <c r="XDC66"/>
      <c r="XDD66"/>
      <c r="XDE66"/>
      <c r="XDF66"/>
      <c r="XDG66"/>
      <c r="XDH66"/>
      <c r="XDI66"/>
      <c r="XDJ66"/>
      <c r="XDK66"/>
      <c r="XDL66"/>
      <c r="XDM66"/>
      <c r="XDN66"/>
      <c r="XDO66"/>
      <c r="XDP66"/>
      <c r="XDQ66"/>
      <c r="XDR66"/>
      <c r="XDS66"/>
      <c r="XDT66"/>
      <c r="XDU66"/>
      <c r="XDV66"/>
      <c r="XDW66"/>
      <c r="XDX66"/>
      <c r="XDY66"/>
      <c r="XDZ66"/>
      <c r="XEA66"/>
      <c r="XEB66"/>
      <c r="XEC66"/>
      <c r="XED66"/>
      <c r="XEE66"/>
      <c r="XEF66"/>
      <c r="XEG66"/>
      <c r="XEH66"/>
      <c r="XEI66"/>
      <c r="XEJ66"/>
      <c r="XEK66"/>
      <c r="XEL66"/>
      <c r="XEM66"/>
      <c r="XEN66"/>
      <c r="XEO66"/>
      <c r="XEP66"/>
      <c r="XEQ66"/>
      <c r="XER66"/>
      <c r="XES66"/>
      <c r="XET66"/>
      <c r="XEU66"/>
      <c r="XEV66"/>
      <c r="XEW66"/>
      <c r="XEX66"/>
      <c r="XEY66"/>
      <c r="XEZ66"/>
      <c r="XFA66"/>
      <c r="XFB66"/>
      <c r="XFC66"/>
      <c r="XFD66"/>
    </row>
    <row r="67" spans="1:16384" s="1" customFormat="1" x14ac:dyDescent="0.25">
      <c r="A67">
        <v>7</v>
      </c>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c r="AMN67"/>
      <c r="AMO67"/>
      <c r="AMP67"/>
      <c r="AMQ67"/>
      <c r="AMR67"/>
      <c r="AMS67"/>
      <c r="AMT67"/>
      <c r="AMU67"/>
      <c r="AMV67"/>
      <c r="AMW67"/>
      <c r="AMX67"/>
      <c r="AMY67"/>
      <c r="AMZ67"/>
      <c r="ANA67"/>
      <c r="ANB67"/>
      <c r="ANC67"/>
      <c r="AND67"/>
      <c r="ANE67"/>
      <c r="ANF67"/>
      <c r="ANG67"/>
      <c r="ANH67"/>
      <c r="ANI67"/>
      <c r="ANJ67"/>
      <c r="ANK67"/>
      <c r="ANL67"/>
      <c r="ANM67"/>
      <c r="ANN67"/>
      <c r="ANO67"/>
      <c r="ANP67"/>
      <c r="ANQ67"/>
      <c r="ANR67"/>
      <c r="ANS67"/>
      <c r="ANT67"/>
      <c r="ANU67"/>
      <c r="ANV67"/>
      <c r="ANW67"/>
      <c r="ANX67"/>
      <c r="ANY67"/>
      <c r="ANZ67"/>
      <c r="AOA67"/>
      <c r="AOB67"/>
      <c r="AOC67"/>
      <c r="AOD67"/>
      <c r="AOE67"/>
      <c r="AOF67"/>
      <c r="AOG67"/>
      <c r="AOH67"/>
      <c r="AOI67"/>
      <c r="AOJ67"/>
      <c r="AOK67"/>
      <c r="AOL67"/>
      <c r="AOM67"/>
      <c r="AON67"/>
      <c r="AOO67"/>
      <c r="AOP67"/>
      <c r="AOQ67"/>
      <c r="AOR67"/>
      <c r="AOS67"/>
      <c r="AOT67"/>
      <c r="AOU67"/>
      <c r="AOV67"/>
      <c r="AOW67"/>
      <c r="AOX67"/>
      <c r="AOY67"/>
      <c r="AOZ67"/>
      <c r="APA67"/>
      <c r="APB67"/>
      <c r="APC67"/>
      <c r="APD67"/>
      <c r="APE67"/>
      <c r="APF67"/>
      <c r="APG67"/>
      <c r="APH67"/>
      <c r="API67"/>
      <c r="APJ67"/>
      <c r="APK67"/>
      <c r="APL67"/>
      <c r="APM67"/>
      <c r="APN67"/>
      <c r="APO67"/>
      <c r="APP67"/>
      <c r="APQ67"/>
      <c r="APR67"/>
      <c r="APS67"/>
      <c r="APT67"/>
      <c r="APU67"/>
      <c r="APV67"/>
      <c r="APW67"/>
      <c r="APX67"/>
      <c r="APY67"/>
      <c r="APZ67"/>
      <c r="AQA67"/>
      <c r="AQB67"/>
      <c r="AQC67"/>
      <c r="AQD67"/>
      <c r="AQE67"/>
      <c r="AQF67"/>
      <c r="AQG67"/>
      <c r="AQH67"/>
      <c r="AQI67"/>
      <c r="AQJ67"/>
      <c r="AQK67"/>
      <c r="AQL67"/>
      <c r="AQM67"/>
      <c r="AQN67"/>
      <c r="AQO67"/>
      <c r="AQP67"/>
      <c r="AQQ67"/>
      <c r="AQR67"/>
      <c r="AQS67"/>
      <c r="AQT67"/>
      <c r="AQU67"/>
      <c r="AQV67"/>
      <c r="AQW67"/>
      <c r="AQX67"/>
      <c r="AQY67"/>
      <c r="AQZ67"/>
      <c r="ARA67"/>
      <c r="ARB67"/>
      <c r="ARC67"/>
      <c r="ARD67"/>
      <c r="ARE67"/>
      <c r="ARF67"/>
      <c r="ARG67"/>
      <c r="ARH67"/>
      <c r="ARI67"/>
      <c r="ARJ67"/>
      <c r="ARK67"/>
      <c r="ARL67"/>
      <c r="ARM67"/>
      <c r="ARN67"/>
      <c r="ARO67"/>
      <c r="ARP67"/>
      <c r="ARQ67"/>
      <c r="ARR67"/>
      <c r="ARS67"/>
      <c r="ART67"/>
      <c r="ARU67"/>
      <c r="ARV67"/>
      <c r="ARW67"/>
      <c r="ARX67"/>
      <c r="ARY67"/>
      <c r="ARZ67"/>
      <c r="ASA67"/>
      <c r="ASB67"/>
      <c r="ASC67"/>
      <c r="ASD67"/>
      <c r="ASE67"/>
      <c r="ASF67"/>
      <c r="ASG67"/>
      <c r="ASH67"/>
      <c r="ASI67"/>
      <c r="ASJ67"/>
      <c r="ASK67"/>
      <c r="ASL67"/>
      <c r="ASM67"/>
      <c r="ASN67"/>
      <c r="ASO67"/>
      <c r="ASP67"/>
      <c r="ASQ67"/>
      <c r="ASR67"/>
      <c r="ASS67"/>
      <c r="AST67"/>
      <c r="ASU67"/>
      <c r="ASV67"/>
      <c r="ASW67"/>
      <c r="ASX67"/>
      <c r="ASY67"/>
      <c r="ASZ67"/>
      <c r="ATA67"/>
      <c r="ATB67"/>
      <c r="ATC67"/>
      <c r="ATD67"/>
      <c r="ATE67"/>
      <c r="ATF67"/>
      <c r="ATG67"/>
      <c r="ATH67"/>
      <c r="ATI67"/>
      <c r="ATJ67"/>
      <c r="ATK67"/>
      <c r="ATL67"/>
      <c r="ATM67"/>
      <c r="ATN67"/>
      <c r="ATO67"/>
      <c r="ATP67"/>
      <c r="ATQ67"/>
      <c r="ATR67"/>
      <c r="ATS67"/>
      <c r="ATT67"/>
      <c r="ATU67"/>
      <c r="ATV67"/>
      <c r="ATW67"/>
      <c r="ATX67"/>
      <c r="ATY67"/>
      <c r="ATZ67"/>
      <c r="AUA67"/>
      <c r="AUB67"/>
      <c r="AUC67"/>
      <c r="AUD67"/>
      <c r="AUE67"/>
      <c r="AUF67"/>
      <c r="AUG67"/>
      <c r="AUH67"/>
      <c r="AUI67"/>
      <c r="AUJ67"/>
      <c r="AUK67"/>
      <c r="AUL67"/>
      <c r="AUM67"/>
      <c r="AUN67"/>
      <c r="AUO67"/>
      <c r="AUP67"/>
      <c r="AUQ67"/>
      <c r="AUR67"/>
      <c r="AUS67"/>
      <c r="AUT67"/>
      <c r="AUU67"/>
      <c r="AUV67"/>
      <c r="AUW67"/>
      <c r="AUX67"/>
      <c r="AUY67"/>
      <c r="AUZ67"/>
      <c r="AVA67"/>
      <c r="AVB67"/>
      <c r="AVC67"/>
      <c r="AVD67"/>
      <c r="AVE67"/>
      <c r="AVF67"/>
      <c r="AVG67"/>
      <c r="AVH67"/>
      <c r="AVI67"/>
      <c r="AVJ67"/>
      <c r="AVK67"/>
      <c r="AVL67"/>
      <c r="AVM67"/>
      <c r="AVN67"/>
      <c r="AVO67"/>
      <c r="AVP67"/>
      <c r="AVQ67"/>
      <c r="AVR67"/>
      <c r="AVS67"/>
      <c r="AVT67"/>
      <c r="AVU67"/>
      <c r="AVV67"/>
      <c r="AVW67"/>
      <c r="AVX67"/>
      <c r="AVY67"/>
      <c r="AVZ67"/>
      <c r="AWA67"/>
      <c r="AWB67"/>
      <c r="AWC67"/>
      <c r="AWD67"/>
      <c r="AWE67"/>
      <c r="AWF67"/>
      <c r="AWG67"/>
      <c r="AWH67"/>
      <c r="AWI67"/>
      <c r="AWJ67"/>
      <c r="AWK67"/>
      <c r="AWL67"/>
      <c r="AWM67"/>
      <c r="AWN67"/>
      <c r="AWO67"/>
      <c r="AWP67"/>
      <c r="AWQ67"/>
      <c r="AWR67"/>
      <c r="AWS67"/>
      <c r="AWT67"/>
      <c r="AWU67"/>
      <c r="AWV67"/>
      <c r="AWW67"/>
      <c r="AWX67"/>
      <c r="AWY67"/>
      <c r="AWZ67"/>
      <c r="AXA67"/>
      <c r="AXB67"/>
      <c r="AXC67"/>
      <c r="AXD67"/>
      <c r="AXE67"/>
      <c r="AXF67"/>
      <c r="AXG67"/>
      <c r="AXH67"/>
      <c r="AXI67"/>
      <c r="AXJ67"/>
      <c r="AXK67"/>
      <c r="AXL67"/>
      <c r="AXM67"/>
      <c r="AXN67"/>
      <c r="AXO67"/>
      <c r="AXP67"/>
      <c r="AXQ67"/>
      <c r="AXR67"/>
      <c r="AXS67"/>
      <c r="AXT67"/>
      <c r="AXU67"/>
      <c r="AXV67"/>
      <c r="AXW67"/>
      <c r="AXX67"/>
      <c r="AXY67"/>
      <c r="AXZ67"/>
      <c r="AYA67"/>
      <c r="AYB67"/>
      <c r="AYC67"/>
      <c r="AYD67"/>
      <c r="AYE67"/>
      <c r="AYF67"/>
      <c r="AYG67"/>
      <c r="AYH67"/>
      <c r="AYI67"/>
      <c r="AYJ67"/>
      <c r="AYK67"/>
      <c r="AYL67"/>
      <c r="AYM67"/>
      <c r="AYN67"/>
      <c r="AYO67"/>
      <c r="AYP67"/>
      <c r="AYQ67"/>
      <c r="AYR67"/>
      <c r="AYS67"/>
      <c r="AYT67"/>
      <c r="AYU67"/>
      <c r="AYV67"/>
      <c r="AYW67"/>
      <c r="AYX67"/>
      <c r="AYY67"/>
      <c r="AYZ67"/>
      <c r="AZA67"/>
      <c r="AZB67"/>
      <c r="AZC67"/>
      <c r="AZD67"/>
      <c r="AZE67"/>
      <c r="AZF67"/>
      <c r="AZG67"/>
      <c r="AZH67"/>
      <c r="AZI67"/>
      <c r="AZJ67"/>
      <c r="AZK67"/>
      <c r="AZL67"/>
      <c r="AZM67"/>
      <c r="AZN67"/>
      <c r="AZO67"/>
      <c r="AZP67"/>
      <c r="AZQ67"/>
      <c r="AZR67"/>
      <c r="AZS67"/>
      <c r="AZT67"/>
      <c r="AZU67"/>
      <c r="AZV67"/>
      <c r="AZW67"/>
      <c r="AZX67"/>
      <c r="AZY67"/>
      <c r="AZZ67"/>
      <c r="BAA67"/>
      <c r="BAB67"/>
      <c r="BAC67"/>
      <c r="BAD67"/>
      <c r="BAE67"/>
      <c r="BAF67"/>
      <c r="BAG67"/>
      <c r="BAH67"/>
      <c r="BAI67"/>
      <c r="BAJ67"/>
      <c r="BAK67"/>
      <c r="BAL67"/>
      <c r="BAM67"/>
      <c r="BAN67"/>
      <c r="BAO67"/>
      <c r="BAP67"/>
      <c r="BAQ67"/>
      <c r="BAR67"/>
      <c r="BAS67"/>
      <c r="BAT67"/>
      <c r="BAU67"/>
      <c r="BAV67"/>
      <c r="BAW67"/>
      <c r="BAX67"/>
      <c r="BAY67"/>
      <c r="BAZ67"/>
      <c r="BBA67"/>
      <c r="BBB67"/>
      <c r="BBC67"/>
      <c r="BBD67"/>
      <c r="BBE67"/>
      <c r="BBF67"/>
      <c r="BBG67"/>
      <c r="BBH67"/>
      <c r="BBI67"/>
      <c r="BBJ67"/>
      <c r="BBK67"/>
      <c r="BBL67"/>
      <c r="BBM67"/>
      <c r="BBN67"/>
      <c r="BBO67"/>
      <c r="BBP67"/>
      <c r="BBQ67"/>
      <c r="BBR67"/>
      <c r="BBS67"/>
      <c r="BBT67"/>
      <c r="BBU67"/>
      <c r="BBV67"/>
      <c r="BBW67"/>
      <c r="BBX67"/>
      <c r="BBY67"/>
      <c r="BBZ67"/>
      <c r="BCA67"/>
      <c r="BCB67"/>
      <c r="BCC67"/>
      <c r="BCD67"/>
      <c r="BCE67"/>
      <c r="BCF67"/>
      <c r="BCG67"/>
      <c r="BCH67"/>
      <c r="BCI67"/>
      <c r="BCJ67"/>
      <c r="BCK67"/>
      <c r="BCL67"/>
      <c r="BCM67"/>
      <c r="BCN67"/>
      <c r="BCO67"/>
      <c r="BCP67"/>
      <c r="BCQ67"/>
      <c r="BCR67"/>
      <c r="BCS67"/>
      <c r="BCT67"/>
      <c r="BCU67"/>
      <c r="BCV67"/>
      <c r="BCW67"/>
      <c r="BCX67"/>
      <c r="BCY67"/>
      <c r="BCZ67"/>
      <c r="BDA67"/>
      <c r="BDB67"/>
      <c r="BDC67"/>
      <c r="BDD67"/>
      <c r="BDE67"/>
      <c r="BDF67"/>
      <c r="BDG67"/>
      <c r="BDH67"/>
      <c r="BDI67"/>
      <c r="BDJ67"/>
      <c r="BDK67"/>
      <c r="BDL67"/>
      <c r="BDM67"/>
      <c r="BDN67"/>
      <c r="BDO67"/>
      <c r="BDP67"/>
      <c r="BDQ67"/>
      <c r="BDR67"/>
      <c r="BDS67"/>
      <c r="BDT67"/>
      <c r="BDU67"/>
      <c r="BDV67"/>
      <c r="BDW67"/>
      <c r="BDX67"/>
      <c r="BDY67"/>
      <c r="BDZ67"/>
      <c r="BEA67"/>
      <c r="BEB67"/>
      <c r="BEC67"/>
      <c r="BED67"/>
      <c r="BEE67"/>
      <c r="BEF67"/>
      <c r="BEG67"/>
      <c r="BEH67"/>
      <c r="BEI67"/>
      <c r="BEJ67"/>
      <c r="BEK67"/>
      <c r="BEL67"/>
      <c r="BEM67"/>
      <c r="BEN67"/>
      <c r="BEO67"/>
      <c r="BEP67"/>
      <c r="BEQ67"/>
      <c r="BER67"/>
      <c r="BES67"/>
      <c r="BET67"/>
      <c r="BEU67"/>
      <c r="BEV67"/>
      <c r="BEW67"/>
      <c r="BEX67"/>
      <c r="BEY67"/>
      <c r="BEZ67"/>
      <c r="BFA67"/>
      <c r="BFB67"/>
      <c r="BFC67"/>
      <c r="BFD67"/>
      <c r="BFE67"/>
      <c r="BFF67"/>
      <c r="BFG67"/>
      <c r="BFH67"/>
      <c r="BFI67"/>
      <c r="BFJ67"/>
      <c r="BFK67"/>
      <c r="BFL67"/>
      <c r="BFM67"/>
      <c r="BFN67"/>
      <c r="BFO67"/>
      <c r="BFP67"/>
      <c r="BFQ67"/>
      <c r="BFR67"/>
      <c r="BFS67"/>
      <c r="BFT67"/>
      <c r="BFU67"/>
      <c r="BFV67"/>
      <c r="BFW67"/>
      <c r="BFX67"/>
      <c r="BFY67"/>
      <c r="BFZ67"/>
      <c r="BGA67"/>
      <c r="BGB67"/>
      <c r="BGC67"/>
      <c r="BGD67"/>
      <c r="BGE67"/>
      <c r="BGF67"/>
      <c r="BGG67"/>
      <c r="BGH67"/>
      <c r="BGI67"/>
      <c r="BGJ67"/>
      <c r="BGK67"/>
      <c r="BGL67"/>
      <c r="BGM67"/>
      <c r="BGN67"/>
      <c r="BGO67"/>
      <c r="BGP67"/>
      <c r="BGQ67"/>
      <c r="BGR67"/>
      <c r="BGS67"/>
      <c r="BGT67"/>
      <c r="BGU67"/>
      <c r="BGV67"/>
      <c r="BGW67"/>
      <c r="BGX67"/>
      <c r="BGY67"/>
      <c r="BGZ67"/>
      <c r="BHA67"/>
      <c r="BHB67"/>
      <c r="BHC67"/>
      <c r="BHD67"/>
      <c r="BHE67"/>
      <c r="BHF67"/>
      <c r="BHG67"/>
      <c r="BHH67"/>
      <c r="BHI67"/>
      <c r="BHJ67"/>
      <c r="BHK67"/>
      <c r="BHL67"/>
      <c r="BHM67"/>
      <c r="BHN67"/>
      <c r="BHO67"/>
      <c r="BHP67"/>
      <c r="BHQ67"/>
      <c r="BHR67"/>
      <c r="BHS67"/>
      <c r="BHT67"/>
      <c r="BHU67"/>
      <c r="BHV67"/>
      <c r="BHW67"/>
      <c r="BHX67"/>
      <c r="BHY67"/>
      <c r="BHZ67"/>
      <c r="BIA67"/>
      <c r="BIB67"/>
      <c r="BIC67"/>
      <c r="BID67"/>
      <c r="BIE67"/>
      <c r="BIF67"/>
      <c r="BIG67"/>
      <c r="BIH67"/>
      <c r="BII67"/>
      <c r="BIJ67"/>
      <c r="BIK67"/>
      <c r="BIL67"/>
      <c r="BIM67"/>
      <c r="BIN67"/>
      <c r="BIO67"/>
      <c r="BIP67"/>
      <c r="BIQ67"/>
      <c r="BIR67"/>
      <c r="BIS67"/>
      <c r="BIT67"/>
      <c r="BIU67"/>
      <c r="BIV67"/>
      <c r="BIW67"/>
      <c r="BIX67"/>
      <c r="BIY67"/>
      <c r="BIZ67"/>
      <c r="BJA67"/>
      <c r="BJB67"/>
      <c r="BJC67"/>
      <c r="BJD67"/>
      <c r="BJE67"/>
      <c r="BJF67"/>
      <c r="BJG67"/>
      <c r="BJH67"/>
      <c r="BJI67"/>
      <c r="BJJ67"/>
      <c r="BJK67"/>
      <c r="BJL67"/>
      <c r="BJM67"/>
      <c r="BJN67"/>
      <c r="BJO67"/>
      <c r="BJP67"/>
      <c r="BJQ67"/>
      <c r="BJR67"/>
      <c r="BJS67"/>
      <c r="BJT67"/>
      <c r="BJU67"/>
      <c r="BJV67"/>
      <c r="BJW67"/>
      <c r="BJX67"/>
      <c r="BJY67"/>
      <c r="BJZ67"/>
      <c r="BKA67"/>
      <c r="BKB67"/>
      <c r="BKC67"/>
      <c r="BKD67"/>
      <c r="BKE67"/>
      <c r="BKF67"/>
      <c r="BKG67"/>
      <c r="BKH67"/>
      <c r="BKI67"/>
      <c r="BKJ67"/>
      <c r="BKK67"/>
      <c r="BKL67"/>
      <c r="BKM67"/>
      <c r="BKN67"/>
      <c r="BKO67"/>
      <c r="BKP67"/>
      <c r="BKQ67"/>
      <c r="BKR67"/>
      <c r="BKS67"/>
      <c r="BKT67"/>
      <c r="BKU67"/>
      <c r="BKV67"/>
      <c r="BKW67"/>
      <c r="BKX67"/>
      <c r="BKY67"/>
      <c r="BKZ67"/>
      <c r="BLA67"/>
      <c r="BLB67"/>
      <c r="BLC67"/>
      <c r="BLD67"/>
      <c r="BLE67"/>
      <c r="BLF67"/>
      <c r="BLG67"/>
      <c r="BLH67"/>
      <c r="BLI67"/>
      <c r="BLJ67"/>
      <c r="BLK67"/>
      <c r="BLL67"/>
      <c r="BLM67"/>
      <c r="BLN67"/>
      <c r="BLO67"/>
      <c r="BLP67"/>
      <c r="BLQ67"/>
      <c r="BLR67"/>
      <c r="BLS67"/>
      <c r="BLT67"/>
      <c r="BLU67"/>
      <c r="BLV67"/>
      <c r="BLW67"/>
      <c r="BLX67"/>
      <c r="BLY67"/>
      <c r="BLZ67"/>
      <c r="BMA67"/>
      <c r="BMB67"/>
      <c r="BMC67"/>
      <c r="BMD67"/>
      <c r="BME67"/>
      <c r="BMF67"/>
      <c r="BMG67"/>
      <c r="BMH67"/>
      <c r="BMI67"/>
      <c r="BMJ67"/>
      <c r="BMK67"/>
      <c r="BML67"/>
      <c r="BMM67"/>
      <c r="BMN67"/>
      <c r="BMO67"/>
      <c r="BMP67"/>
      <c r="BMQ67"/>
      <c r="BMR67"/>
      <c r="BMS67"/>
      <c r="BMT67"/>
      <c r="BMU67"/>
      <c r="BMV67"/>
      <c r="BMW67"/>
      <c r="BMX67"/>
      <c r="BMY67"/>
      <c r="BMZ67"/>
      <c r="BNA67"/>
      <c r="BNB67"/>
      <c r="BNC67"/>
      <c r="BND67"/>
      <c r="BNE67"/>
      <c r="BNF67"/>
      <c r="BNG67"/>
      <c r="BNH67"/>
      <c r="BNI67"/>
      <c r="BNJ67"/>
      <c r="BNK67"/>
      <c r="BNL67"/>
      <c r="BNM67"/>
      <c r="BNN67"/>
      <c r="BNO67"/>
      <c r="BNP67"/>
      <c r="BNQ67"/>
      <c r="BNR67"/>
      <c r="BNS67"/>
      <c r="BNT67"/>
      <c r="BNU67"/>
      <c r="BNV67"/>
      <c r="BNW67"/>
      <c r="BNX67"/>
      <c r="BNY67"/>
      <c r="BNZ67"/>
      <c r="BOA67"/>
      <c r="BOB67"/>
      <c r="BOC67"/>
      <c r="BOD67"/>
      <c r="BOE67"/>
      <c r="BOF67"/>
      <c r="BOG67"/>
      <c r="BOH67"/>
      <c r="BOI67"/>
      <c r="BOJ67"/>
      <c r="BOK67"/>
      <c r="BOL67"/>
      <c r="BOM67"/>
      <c r="BON67"/>
      <c r="BOO67"/>
      <c r="BOP67"/>
      <c r="BOQ67"/>
      <c r="BOR67"/>
      <c r="BOS67"/>
      <c r="BOT67"/>
      <c r="BOU67"/>
      <c r="BOV67"/>
      <c r="BOW67"/>
      <c r="BOX67"/>
      <c r="BOY67"/>
      <c r="BOZ67"/>
      <c r="BPA67"/>
      <c r="BPB67"/>
      <c r="BPC67"/>
      <c r="BPD67"/>
      <c r="BPE67"/>
      <c r="BPF67"/>
      <c r="BPG67"/>
      <c r="BPH67"/>
      <c r="BPI67"/>
      <c r="BPJ67"/>
      <c r="BPK67"/>
      <c r="BPL67"/>
      <c r="BPM67"/>
      <c r="BPN67"/>
      <c r="BPO67"/>
      <c r="BPP67"/>
      <c r="BPQ67"/>
      <c r="BPR67"/>
      <c r="BPS67"/>
      <c r="BPT67"/>
      <c r="BPU67"/>
      <c r="BPV67"/>
      <c r="BPW67"/>
      <c r="BPX67"/>
      <c r="BPY67"/>
      <c r="BPZ67"/>
      <c r="BQA67"/>
      <c r="BQB67"/>
      <c r="BQC67"/>
      <c r="BQD67"/>
      <c r="BQE67"/>
      <c r="BQF67"/>
      <c r="BQG67"/>
      <c r="BQH67"/>
      <c r="BQI67"/>
      <c r="BQJ67"/>
      <c r="BQK67"/>
      <c r="BQL67"/>
      <c r="BQM67"/>
      <c r="BQN67"/>
      <c r="BQO67"/>
      <c r="BQP67"/>
      <c r="BQQ67"/>
      <c r="BQR67"/>
      <c r="BQS67"/>
      <c r="BQT67"/>
      <c r="BQU67"/>
      <c r="BQV67"/>
      <c r="BQW67"/>
      <c r="BQX67"/>
      <c r="BQY67"/>
      <c r="BQZ67"/>
      <c r="BRA67"/>
      <c r="BRB67"/>
      <c r="BRC67"/>
      <c r="BRD67"/>
      <c r="BRE67"/>
      <c r="BRF67"/>
      <c r="BRG67"/>
      <c r="BRH67"/>
      <c r="BRI67"/>
      <c r="BRJ67"/>
      <c r="BRK67"/>
      <c r="BRL67"/>
      <c r="BRM67"/>
      <c r="BRN67"/>
      <c r="BRO67"/>
      <c r="BRP67"/>
      <c r="BRQ67"/>
      <c r="BRR67"/>
      <c r="BRS67"/>
      <c r="BRT67"/>
      <c r="BRU67"/>
      <c r="BRV67"/>
      <c r="BRW67"/>
      <c r="BRX67"/>
      <c r="BRY67"/>
      <c r="BRZ67"/>
      <c r="BSA67"/>
      <c r="BSB67"/>
      <c r="BSC67"/>
      <c r="BSD67"/>
      <c r="BSE67"/>
      <c r="BSF67"/>
      <c r="BSG67"/>
      <c r="BSH67"/>
      <c r="BSI67"/>
      <c r="BSJ67"/>
      <c r="BSK67"/>
      <c r="BSL67"/>
      <c r="BSM67"/>
      <c r="BSN67"/>
      <c r="BSO67"/>
      <c r="BSP67"/>
      <c r="BSQ67"/>
      <c r="BSR67"/>
      <c r="BSS67"/>
      <c r="BST67"/>
      <c r="BSU67"/>
      <c r="BSV67"/>
      <c r="BSW67"/>
      <c r="BSX67"/>
      <c r="BSY67"/>
      <c r="BSZ67"/>
      <c r="BTA67"/>
      <c r="BTB67"/>
      <c r="BTC67"/>
      <c r="BTD67"/>
      <c r="BTE67"/>
      <c r="BTF67"/>
      <c r="BTG67"/>
      <c r="BTH67"/>
      <c r="BTI67"/>
      <c r="BTJ67"/>
      <c r="BTK67"/>
      <c r="BTL67"/>
      <c r="BTM67"/>
      <c r="BTN67"/>
      <c r="BTO67"/>
      <c r="BTP67"/>
      <c r="BTQ67"/>
      <c r="BTR67"/>
      <c r="BTS67"/>
      <c r="BTT67"/>
      <c r="BTU67"/>
      <c r="BTV67"/>
      <c r="BTW67"/>
      <c r="BTX67"/>
      <c r="BTY67"/>
      <c r="BTZ67"/>
      <c r="BUA67"/>
      <c r="BUB67"/>
      <c r="BUC67"/>
      <c r="BUD67"/>
      <c r="BUE67"/>
      <c r="BUF67"/>
      <c r="BUG67"/>
      <c r="BUH67"/>
      <c r="BUI67"/>
      <c r="BUJ67"/>
      <c r="BUK67"/>
      <c r="BUL67"/>
      <c r="BUM67"/>
      <c r="BUN67"/>
      <c r="BUO67"/>
      <c r="BUP67"/>
      <c r="BUQ67"/>
      <c r="BUR67"/>
      <c r="BUS67"/>
      <c r="BUT67"/>
      <c r="BUU67"/>
      <c r="BUV67"/>
      <c r="BUW67"/>
      <c r="BUX67"/>
      <c r="BUY67"/>
      <c r="BUZ67"/>
      <c r="BVA67"/>
      <c r="BVB67"/>
      <c r="BVC67"/>
      <c r="BVD67"/>
      <c r="BVE67"/>
      <c r="BVF67"/>
      <c r="BVG67"/>
      <c r="BVH67"/>
      <c r="BVI67"/>
      <c r="BVJ67"/>
      <c r="BVK67"/>
      <c r="BVL67"/>
      <c r="BVM67"/>
      <c r="BVN67"/>
      <c r="BVO67"/>
      <c r="BVP67"/>
      <c r="BVQ67"/>
      <c r="BVR67"/>
      <c r="BVS67"/>
      <c r="BVT67"/>
      <c r="BVU67"/>
      <c r="BVV67"/>
      <c r="BVW67"/>
      <c r="BVX67"/>
      <c r="BVY67"/>
      <c r="BVZ67"/>
      <c r="BWA67"/>
      <c r="BWB67"/>
      <c r="BWC67"/>
      <c r="BWD67"/>
      <c r="BWE67"/>
      <c r="BWF67"/>
      <c r="BWG67"/>
      <c r="BWH67"/>
      <c r="BWI67"/>
      <c r="BWJ67"/>
      <c r="BWK67"/>
      <c r="BWL67"/>
      <c r="BWM67"/>
      <c r="BWN67"/>
      <c r="BWO67"/>
      <c r="BWP67"/>
      <c r="BWQ67"/>
      <c r="BWR67"/>
      <c r="BWS67"/>
      <c r="BWT67"/>
      <c r="BWU67"/>
      <c r="BWV67"/>
      <c r="BWW67"/>
      <c r="BWX67"/>
      <c r="BWY67"/>
      <c r="BWZ67"/>
      <c r="BXA67"/>
      <c r="BXB67"/>
      <c r="BXC67"/>
      <c r="BXD67"/>
      <c r="BXE67"/>
      <c r="BXF67"/>
      <c r="BXG67"/>
      <c r="BXH67"/>
      <c r="BXI67"/>
      <c r="BXJ67"/>
      <c r="BXK67"/>
      <c r="BXL67"/>
      <c r="BXM67"/>
      <c r="BXN67"/>
      <c r="BXO67"/>
      <c r="BXP67"/>
      <c r="BXQ67"/>
      <c r="BXR67"/>
      <c r="BXS67"/>
      <c r="BXT67"/>
      <c r="BXU67"/>
      <c r="BXV67"/>
      <c r="BXW67"/>
      <c r="BXX67"/>
      <c r="BXY67"/>
      <c r="BXZ67"/>
      <c r="BYA67"/>
      <c r="BYB67"/>
      <c r="BYC67"/>
      <c r="BYD67"/>
      <c r="BYE67"/>
      <c r="BYF67"/>
      <c r="BYG67"/>
      <c r="BYH67"/>
      <c r="BYI67"/>
      <c r="BYJ67"/>
      <c r="BYK67"/>
      <c r="BYL67"/>
      <c r="BYM67"/>
      <c r="BYN67"/>
      <c r="BYO67"/>
      <c r="BYP67"/>
      <c r="BYQ67"/>
      <c r="BYR67"/>
      <c r="BYS67"/>
      <c r="BYT67"/>
      <c r="BYU67"/>
      <c r="BYV67"/>
      <c r="BYW67"/>
      <c r="BYX67"/>
      <c r="BYY67"/>
      <c r="BYZ67"/>
      <c r="BZA67"/>
      <c r="BZB67"/>
      <c r="BZC67"/>
      <c r="BZD67"/>
      <c r="BZE67"/>
      <c r="BZF67"/>
      <c r="BZG67"/>
      <c r="BZH67"/>
      <c r="BZI67"/>
      <c r="BZJ67"/>
      <c r="BZK67"/>
      <c r="BZL67"/>
      <c r="BZM67"/>
      <c r="BZN67"/>
      <c r="BZO67"/>
      <c r="BZP67"/>
      <c r="BZQ67"/>
      <c r="BZR67"/>
      <c r="BZS67"/>
      <c r="BZT67"/>
      <c r="BZU67"/>
      <c r="BZV67"/>
      <c r="BZW67"/>
      <c r="BZX67"/>
      <c r="BZY67"/>
      <c r="BZZ67"/>
      <c r="CAA67"/>
      <c r="CAB67"/>
      <c r="CAC67"/>
      <c r="CAD67"/>
      <c r="CAE67"/>
      <c r="CAF67"/>
      <c r="CAG67"/>
      <c r="CAH67"/>
      <c r="CAI67"/>
      <c r="CAJ67"/>
      <c r="CAK67"/>
      <c r="CAL67"/>
      <c r="CAM67"/>
      <c r="CAN67"/>
      <c r="CAO67"/>
      <c r="CAP67"/>
      <c r="CAQ67"/>
      <c r="CAR67"/>
      <c r="CAS67"/>
      <c r="CAT67"/>
      <c r="CAU67"/>
      <c r="CAV67"/>
      <c r="CAW67"/>
      <c r="CAX67"/>
      <c r="CAY67"/>
      <c r="CAZ67"/>
      <c r="CBA67"/>
      <c r="CBB67"/>
      <c r="CBC67"/>
      <c r="CBD67"/>
      <c r="CBE67"/>
      <c r="CBF67"/>
      <c r="CBG67"/>
      <c r="CBH67"/>
      <c r="CBI67"/>
      <c r="CBJ67"/>
      <c r="CBK67"/>
      <c r="CBL67"/>
      <c r="CBM67"/>
      <c r="CBN67"/>
      <c r="CBO67"/>
      <c r="CBP67"/>
      <c r="CBQ67"/>
      <c r="CBR67"/>
      <c r="CBS67"/>
      <c r="CBT67"/>
      <c r="CBU67"/>
      <c r="CBV67"/>
      <c r="CBW67"/>
      <c r="CBX67"/>
      <c r="CBY67"/>
      <c r="CBZ67"/>
      <c r="CCA67"/>
      <c r="CCB67"/>
      <c r="CCC67"/>
      <c r="CCD67"/>
      <c r="CCE67"/>
      <c r="CCF67"/>
      <c r="CCG67"/>
      <c r="CCH67"/>
      <c r="CCI67"/>
      <c r="CCJ67"/>
      <c r="CCK67"/>
      <c r="CCL67"/>
      <c r="CCM67"/>
      <c r="CCN67"/>
      <c r="CCO67"/>
      <c r="CCP67"/>
      <c r="CCQ67"/>
      <c r="CCR67"/>
      <c r="CCS67"/>
      <c r="CCT67"/>
      <c r="CCU67"/>
      <c r="CCV67"/>
      <c r="CCW67"/>
      <c r="CCX67"/>
      <c r="CCY67"/>
      <c r="CCZ67"/>
      <c r="CDA67"/>
      <c r="CDB67"/>
      <c r="CDC67"/>
      <c r="CDD67"/>
      <c r="CDE67"/>
      <c r="CDF67"/>
      <c r="CDG67"/>
      <c r="CDH67"/>
      <c r="CDI67"/>
      <c r="CDJ67"/>
      <c r="CDK67"/>
      <c r="CDL67"/>
      <c r="CDM67"/>
      <c r="CDN67"/>
      <c r="CDO67"/>
      <c r="CDP67"/>
      <c r="CDQ67"/>
      <c r="CDR67"/>
      <c r="CDS67"/>
      <c r="CDT67"/>
      <c r="CDU67"/>
      <c r="CDV67"/>
      <c r="CDW67"/>
      <c r="CDX67"/>
      <c r="CDY67"/>
      <c r="CDZ67"/>
      <c r="CEA67"/>
      <c r="CEB67"/>
      <c r="CEC67"/>
      <c r="CED67"/>
      <c r="CEE67"/>
      <c r="CEF67"/>
      <c r="CEG67"/>
      <c r="CEH67"/>
      <c r="CEI67"/>
      <c r="CEJ67"/>
      <c r="CEK67"/>
      <c r="CEL67"/>
      <c r="CEM67"/>
      <c r="CEN67"/>
      <c r="CEO67"/>
      <c r="CEP67"/>
      <c r="CEQ67"/>
      <c r="CER67"/>
      <c r="CES67"/>
      <c r="CET67"/>
      <c r="CEU67"/>
      <c r="CEV67"/>
      <c r="CEW67"/>
      <c r="CEX67"/>
      <c r="CEY67"/>
      <c r="CEZ67"/>
      <c r="CFA67"/>
      <c r="CFB67"/>
      <c r="CFC67"/>
      <c r="CFD67"/>
      <c r="CFE67"/>
      <c r="CFF67"/>
      <c r="CFG67"/>
      <c r="CFH67"/>
      <c r="CFI67"/>
      <c r="CFJ67"/>
      <c r="CFK67"/>
      <c r="CFL67"/>
      <c r="CFM67"/>
      <c r="CFN67"/>
      <c r="CFO67"/>
      <c r="CFP67"/>
      <c r="CFQ67"/>
      <c r="CFR67"/>
      <c r="CFS67"/>
      <c r="CFT67"/>
      <c r="CFU67"/>
      <c r="CFV67"/>
      <c r="CFW67"/>
      <c r="CFX67"/>
      <c r="CFY67"/>
      <c r="CFZ67"/>
      <c r="CGA67"/>
      <c r="CGB67"/>
      <c r="CGC67"/>
      <c r="CGD67"/>
      <c r="CGE67"/>
      <c r="CGF67"/>
      <c r="CGG67"/>
      <c r="CGH67"/>
      <c r="CGI67"/>
      <c r="CGJ67"/>
      <c r="CGK67"/>
      <c r="CGL67"/>
      <c r="CGM67"/>
      <c r="CGN67"/>
      <c r="CGO67"/>
      <c r="CGP67"/>
      <c r="CGQ67"/>
      <c r="CGR67"/>
      <c r="CGS67"/>
      <c r="CGT67"/>
      <c r="CGU67"/>
      <c r="CGV67"/>
      <c r="CGW67"/>
      <c r="CGX67"/>
      <c r="CGY67"/>
      <c r="CGZ67"/>
      <c r="CHA67"/>
      <c r="CHB67"/>
      <c r="CHC67"/>
      <c r="CHD67"/>
      <c r="CHE67"/>
      <c r="CHF67"/>
      <c r="CHG67"/>
      <c r="CHH67"/>
      <c r="CHI67"/>
      <c r="CHJ67"/>
      <c r="CHK67"/>
      <c r="CHL67"/>
      <c r="CHM67"/>
      <c r="CHN67"/>
      <c r="CHO67"/>
      <c r="CHP67"/>
      <c r="CHQ67"/>
      <c r="CHR67"/>
      <c r="CHS67"/>
      <c r="CHT67"/>
      <c r="CHU67"/>
      <c r="CHV67"/>
      <c r="CHW67"/>
      <c r="CHX67"/>
      <c r="CHY67"/>
      <c r="CHZ67"/>
      <c r="CIA67"/>
      <c r="CIB67"/>
      <c r="CIC67"/>
      <c r="CID67"/>
      <c r="CIE67"/>
      <c r="CIF67"/>
      <c r="CIG67"/>
      <c r="CIH67"/>
      <c r="CII67"/>
      <c r="CIJ67"/>
      <c r="CIK67"/>
      <c r="CIL67"/>
      <c r="CIM67"/>
      <c r="CIN67"/>
      <c r="CIO67"/>
      <c r="CIP67"/>
      <c r="CIQ67"/>
      <c r="CIR67"/>
      <c r="CIS67"/>
      <c r="CIT67"/>
      <c r="CIU67"/>
      <c r="CIV67"/>
      <c r="CIW67"/>
      <c r="CIX67"/>
      <c r="CIY67"/>
      <c r="CIZ67"/>
      <c r="CJA67"/>
      <c r="CJB67"/>
      <c r="CJC67"/>
      <c r="CJD67"/>
      <c r="CJE67"/>
      <c r="CJF67"/>
      <c r="CJG67"/>
      <c r="CJH67"/>
      <c r="CJI67"/>
      <c r="CJJ67"/>
      <c r="CJK67"/>
      <c r="CJL67"/>
      <c r="CJM67"/>
      <c r="CJN67"/>
      <c r="CJO67"/>
      <c r="CJP67"/>
      <c r="CJQ67"/>
      <c r="CJR67"/>
      <c r="CJS67"/>
      <c r="CJT67"/>
      <c r="CJU67"/>
      <c r="CJV67"/>
      <c r="CJW67"/>
      <c r="CJX67"/>
      <c r="CJY67"/>
      <c r="CJZ67"/>
      <c r="CKA67"/>
      <c r="CKB67"/>
      <c r="CKC67"/>
      <c r="CKD67"/>
      <c r="CKE67"/>
      <c r="CKF67"/>
      <c r="CKG67"/>
      <c r="CKH67"/>
      <c r="CKI67"/>
      <c r="CKJ67"/>
      <c r="CKK67"/>
      <c r="CKL67"/>
      <c r="CKM67"/>
      <c r="CKN67"/>
      <c r="CKO67"/>
      <c r="CKP67"/>
      <c r="CKQ67"/>
      <c r="CKR67"/>
      <c r="CKS67"/>
      <c r="CKT67"/>
      <c r="CKU67"/>
      <c r="CKV67"/>
      <c r="CKW67"/>
      <c r="CKX67"/>
      <c r="CKY67"/>
      <c r="CKZ67"/>
      <c r="CLA67"/>
      <c r="CLB67"/>
      <c r="CLC67"/>
      <c r="CLD67"/>
      <c r="CLE67"/>
      <c r="CLF67"/>
      <c r="CLG67"/>
      <c r="CLH67"/>
      <c r="CLI67"/>
      <c r="CLJ67"/>
      <c r="CLK67"/>
      <c r="CLL67"/>
      <c r="CLM67"/>
      <c r="CLN67"/>
      <c r="CLO67"/>
      <c r="CLP67"/>
      <c r="CLQ67"/>
      <c r="CLR67"/>
      <c r="CLS67"/>
      <c r="CLT67"/>
      <c r="CLU67"/>
      <c r="CLV67"/>
      <c r="CLW67"/>
      <c r="CLX67"/>
      <c r="CLY67"/>
      <c r="CLZ67"/>
      <c r="CMA67"/>
      <c r="CMB67"/>
      <c r="CMC67"/>
      <c r="CMD67"/>
      <c r="CME67"/>
      <c r="CMF67"/>
      <c r="CMG67"/>
      <c r="CMH67"/>
      <c r="CMI67"/>
      <c r="CMJ67"/>
      <c r="CMK67"/>
      <c r="CML67"/>
      <c r="CMM67"/>
      <c r="CMN67"/>
      <c r="CMO67"/>
      <c r="CMP67"/>
      <c r="CMQ67"/>
      <c r="CMR67"/>
      <c r="CMS67"/>
      <c r="CMT67"/>
      <c r="CMU67"/>
      <c r="CMV67"/>
      <c r="CMW67"/>
      <c r="CMX67"/>
      <c r="CMY67"/>
      <c r="CMZ67"/>
      <c r="CNA67"/>
      <c r="CNB67"/>
      <c r="CNC67"/>
      <c r="CND67"/>
      <c r="CNE67"/>
      <c r="CNF67"/>
      <c r="CNG67"/>
      <c r="CNH67"/>
      <c r="CNI67"/>
      <c r="CNJ67"/>
      <c r="CNK67"/>
      <c r="CNL67"/>
      <c r="CNM67"/>
      <c r="CNN67"/>
      <c r="CNO67"/>
      <c r="CNP67"/>
      <c r="CNQ67"/>
      <c r="CNR67"/>
      <c r="CNS67"/>
      <c r="CNT67"/>
      <c r="CNU67"/>
      <c r="CNV67"/>
      <c r="CNW67"/>
      <c r="CNX67"/>
      <c r="CNY67"/>
      <c r="CNZ67"/>
      <c r="COA67"/>
      <c r="COB67"/>
      <c r="COC67"/>
      <c r="COD67"/>
      <c r="COE67"/>
      <c r="COF67"/>
      <c r="COG67"/>
      <c r="COH67"/>
      <c r="COI67"/>
      <c r="COJ67"/>
      <c r="COK67"/>
      <c r="COL67"/>
      <c r="COM67"/>
      <c r="CON67"/>
      <c r="COO67"/>
      <c r="COP67"/>
      <c r="COQ67"/>
      <c r="COR67"/>
      <c r="COS67"/>
      <c r="COT67"/>
      <c r="COU67"/>
      <c r="COV67"/>
      <c r="COW67"/>
      <c r="COX67"/>
      <c r="COY67"/>
      <c r="COZ67"/>
      <c r="CPA67"/>
      <c r="CPB67"/>
      <c r="CPC67"/>
      <c r="CPD67"/>
      <c r="CPE67"/>
      <c r="CPF67"/>
      <c r="CPG67"/>
      <c r="CPH67"/>
      <c r="CPI67"/>
      <c r="CPJ67"/>
      <c r="CPK67"/>
      <c r="CPL67"/>
      <c r="CPM67"/>
      <c r="CPN67"/>
      <c r="CPO67"/>
      <c r="CPP67"/>
      <c r="CPQ67"/>
      <c r="CPR67"/>
      <c r="CPS67"/>
      <c r="CPT67"/>
      <c r="CPU67"/>
      <c r="CPV67"/>
      <c r="CPW67"/>
      <c r="CPX67"/>
      <c r="CPY67"/>
      <c r="CPZ67"/>
      <c r="CQA67"/>
      <c r="CQB67"/>
      <c r="CQC67"/>
      <c r="CQD67"/>
      <c r="CQE67"/>
      <c r="CQF67"/>
      <c r="CQG67"/>
      <c r="CQH67"/>
      <c r="CQI67"/>
      <c r="CQJ67"/>
      <c r="CQK67"/>
      <c r="CQL67"/>
      <c r="CQM67"/>
      <c r="CQN67"/>
      <c r="CQO67"/>
      <c r="CQP67"/>
      <c r="CQQ67"/>
      <c r="CQR67"/>
      <c r="CQS67"/>
      <c r="CQT67"/>
      <c r="CQU67"/>
      <c r="CQV67"/>
      <c r="CQW67"/>
      <c r="CQX67"/>
      <c r="CQY67"/>
      <c r="CQZ67"/>
      <c r="CRA67"/>
      <c r="CRB67"/>
      <c r="CRC67"/>
      <c r="CRD67"/>
      <c r="CRE67"/>
      <c r="CRF67"/>
      <c r="CRG67"/>
      <c r="CRH67"/>
      <c r="CRI67"/>
      <c r="CRJ67"/>
      <c r="CRK67"/>
      <c r="CRL67"/>
      <c r="CRM67"/>
      <c r="CRN67"/>
      <c r="CRO67"/>
      <c r="CRP67"/>
      <c r="CRQ67"/>
      <c r="CRR67"/>
      <c r="CRS67"/>
      <c r="CRT67"/>
      <c r="CRU67"/>
      <c r="CRV67"/>
      <c r="CRW67"/>
      <c r="CRX67"/>
      <c r="CRY67"/>
      <c r="CRZ67"/>
      <c r="CSA67"/>
      <c r="CSB67"/>
      <c r="CSC67"/>
      <c r="CSD67"/>
      <c r="CSE67"/>
      <c r="CSF67"/>
      <c r="CSG67"/>
      <c r="CSH67"/>
      <c r="CSI67"/>
      <c r="CSJ67"/>
      <c r="CSK67"/>
      <c r="CSL67"/>
      <c r="CSM67"/>
      <c r="CSN67"/>
      <c r="CSO67"/>
      <c r="CSP67"/>
      <c r="CSQ67"/>
      <c r="CSR67"/>
      <c r="CSS67"/>
      <c r="CST67"/>
      <c r="CSU67"/>
      <c r="CSV67"/>
      <c r="CSW67"/>
      <c r="CSX67"/>
      <c r="CSY67"/>
      <c r="CSZ67"/>
      <c r="CTA67"/>
      <c r="CTB67"/>
      <c r="CTC67"/>
      <c r="CTD67"/>
      <c r="CTE67"/>
      <c r="CTF67"/>
      <c r="CTG67"/>
      <c r="CTH67"/>
      <c r="CTI67"/>
      <c r="CTJ67"/>
      <c r="CTK67"/>
      <c r="CTL67"/>
      <c r="CTM67"/>
      <c r="CTN67"/>
      <c r="CTO67"/>
      <c r="CTP67"/>
      <c r="CTQ67"/>
      <c r="CTR67"/>
      <c r="CTS67"/>
      <c r="CTT67"/>
      <c r="CTU67"/>
      <c r="CTV67"/>
      <c r="CTW67"/>
      <c r="CTX67"/>
      <c r="CTY67"/>
      <c r="CTZ67"/>
      <c r="CUA67"/>
      <c r="CUB67"/>
      <c r="CUC67"/>
      <c r="CUD67"/>
      <c r="CUE67"/>
      <c r="CUF67"/>
      <c r="CUG67"/>
      <c r="CUH67"/>
      <c r="CUI67"/>
      <c r="CUJ67"/>
      <c r="CUK67"/>
      <c r="CUL67"/>
      <c r="CUM67"/>
      <c r="CUN67"/>
      <c r="CUO67"/>
      <c r="CUP67"/>
      <c r="CUQ67"/>
      <c r="CUR67"/>
      <c r="CUS67"/>
      <c r="CUT67"/>
      <c r="CUU67"/>
      <c r="CUV67"/>
      <c r="CUW67"/>
      <c r="CUX67"/>
      <c r="CUY67"/>
      <c r="CUZ67"/>
      <c r="CVA67"/>
      <c r="CVB67"/>
      <c r="CVC67"/>
      <c r="CVD67"/>
      <c r="CVE67"/>
      <c r="CVF67"/>
      <c r="CVG67"/>
      <c r="CVH67"/>
      <c r="CVI67"/>
      <c r="CVJ67"/>
      <c r="CVK67"/>
      <c r="CVL67"/>
      <c r="CVM67"/>
      <c r="CVN67"/>
      <c r="CVO67"/>
      <c r="CVP67"/>
      <c r="CVQ67"/>
      <c r="CVR67"/>
      <c r="CVS67"/>
      <c r="CVT67"/>
      <c r="CVU67"/>
      <c r="CVV67"/>
      <c r="CVW67"/>
      <c r="CVX67"/>
      <c r="CVY67"/>
      <c r="CVZ67"/>
      <c r="CWA67"/>
      <c r="CWB67"/>
      <c r="CWC67"/>
      <c r="CWD67"/>
      <c r="CWE67"/>
      <c r="CWF67"/>
      <c r="CWG67"/>
      <c r="CWH67"/>
      <c r="CWI67"/>
      <c r="CWJ67"/>
      <c r="CWK67"/>
      <c r="CWL67"/>
      <c r="CWM67"/>
      <c r="CWN67"/>
      <c r="CWO67"/>
      <c r="CWP67"/>
      <c r="CWQ67"/>
      <c r="CWR67"/>
      <c r="CWS67"/>
      <c r="CWT67"/>
      <c r="CWU67"/>
      <c r="CWV67"/>
      <c r="CWW67"/>
      <c r="CWX67"/>
      <c r="CWY67"/>
      <c r="CWZ67"/>
      <c r="CXA67"/>
      <c r="CXB67"/>
      <c r="CXC67"/>
      <c r="CXD67"/>
      <c r="CXE67"/>
      <c r="CXF67"/>
      <c r="CXG67"/>
      <c r="CXH67"/>
      <c r="CXI67"/>
      <c r="CXJ67"/>
      <c r="CXK67"/>
      <c r="CXL67"/>
      <c r="CXM67"/>
      <c r="CXN67"/>
      <c r="CXO67"/>
      <c r="CXP67"/>
      <c r="CXQ67"/>
      <c r="CXR67"/>
      <c r="CXS67"/>
      <c r="CXT67"/>
      <c r="CXU67"/>
      <c r="CXV67"/>
      <c r="CXW67"/>
      <c r="CXX67"/>
      <c r="CXY67"/>
      <c r="CXZ67"/>
      <c r="CYA67"/>
      <c r="CYB67"/>
      <c r="CYC67"/>
      <c r="CYD67"/>
      <c r="CYE67"/>
      <c r="CYF67"/>
      <c r="CYG67"/>
      <c r="CYH67"/>
      <c r="CYI67"/>
      <c r="CYJ67"/>
      <c r="CYK67"/>
      <c r="CYL67"/>
      <c r="CYM67"/>
      <c r="CYN67"/>
      <c r="CYO67"/>
      <c r="CYP67"/>
      <c r="CYQ67"/>
      <c r="CYR67"/>
      <c r="CYS67"/>
      <c r="CYT67"/>
      <c r="CYU67"/>
      <c r="CYV67"/>
      <c r="CYW67"/>
      <c r="CYX67"/>
      <c r="CYY67"/>
      <c r="CYZ67"/>
      <c r="CZA67"/>
      <c r="CZB67"/>
      <c r="CZC67"/>
      <c r="CZD67"/>
      <c r="CZE67"/>
      <c r="CZF67"/>
      <c r="CZG67"/>
      <c r="CZH67"/>
      <c r="CZI67"/>
      <c r="CZJ67"/>
      <c r="CZK67"/>
      <c r="CZL67"/>
      <c r="CZM67"/>
      <c r="CZN67"/>
      <c r="CZO67"/>
      <c r="CZP67"/>
      <c r="CZQ67"/>
      <c r="CZR67"/>
      <c r="CZS67"/>
      <c r="CZT67"/>
      <c r="CZU67"/>
      <c r="CZV67"/>
      <c r="CZW67"/>
      <c r="CZX67"/>
      <c r="CZY67"/>
      <c r="CZZ67"/>
      <c r="DAA67"/>
      <c r="DAB67"/>
      <c r="DAC67"/>
      <c r="DAD67"/>
      <c r="DAE67"/>
      <c r="DAF67"/>
      <c r="DAG67"/>
      <c r="DAH67"/>
      <c r="DAI67"/>
      <c r="DAJ67"/>
      <c r="DAK67"/>
      <c r="DAL67"/>
      <c r="DAM67"/>
      <c r="DAN67"/>
      <c r="DAO67"/>
      <c r="DAP67"/>
      <c r="DAQ67"/>
      <c r="DAR67"/>
      <c r="DAS67"/>
      <c r="DAT67"/>
      <c r="DAU67"/>
      <c r="DAV67"/>
      <c r="DAW67"/>
      <c r="DAX67"/>
      <c r="DAY67"/>
      <c r="DAZ67"/>
      <c r="DBA67"/>
      <c r="DBB67"/>
      <c r="DBC67"/>
      <c r="DBD67"/>
      <c r="DBE67"/>
      <c r="DBF67"/>
      <c r="DBG67"/>
      <c r="DBH67"/>
      <c r="DBI67"/>
      <c r="DBJ67"/>
      <c r="DBK67"/>
      <c r="DBL67"/>
      <c r="DBM67"/>
      <c r="DBN67"/>
      <c r="DBO67"/>
      <c r="DBP67"/>
      <c r="DBQ67"/>
      <c r="DBR67"/>
      <c r="DBS67"/>
      <c r="DBT67"/>
      <c r="DBU67"/>
      <c r="DBV67"/>
      <c r="DBW67"/>
      <c r="DBX67"/>
      <c r="DBY67"/>
      <c r="DBZ67"/>
      <c r="DCA67"/>
      <c r="DCB67"/>
      <c r="DCC67"/>
      <c r="DCD67"/>
      <c r="DCE67"/>
      <c r="DCF67"/>
      <c r="DCG67"/>
      <c r="DCH67"/>
      <c r="DCI67"/>
      <c r="DCJ67"/>
      <c r="DCK67"/>
      <c r="DCL67"/>
      <c r="DCM67"/>
      <c r="DCN67"/>
      <c r="DCO67"/>
      <c r="DCP67"/>
      <c r="DCQ67"/>
      <c r="DCR67"/>
      <c r="DCS67"/>
      <c r="DCT67"/>
      <c r="DCU67"/>
      <c r="DCV67"/>
      <c r="DCW67"/>
      <c r="DCX67"/>
      <c r="DCY67"/>
      <c r="DCZ67"/>
      <c r="DDA67"/>
      <c r="DDB67"/>
      <c r="DDC67"/>
      <c r="DDD67"/>
      <c r="DDE67"/>
      <c r="DDF67"/>
      <c r="DDG67"/>
      <c r="DDH67"/>
      <c r="DDI67"/>
      <c r="DDJ67"/>
      <c r="DDK67"/>
      <c r="DDL67"/>
      <c r="DDM67"/>
      <c r="DDN67"/>
      <c r="DDO67"/>
      <c r="DDP67"/>
      <c r="DDQ67"/>
      <c r="DDR67"/>
      <c r="DDS67"/>
      <c r="DDT67"/>
      <c r="DDU67"/>
      <c r="DDV67"/>
      <c r="DDW67"/>
      <c r="DDX67"/>
      <c r="DDY67"/>
      <c r="DDZ67"/>
      <c r="DEA67"/>
      <c r="DEB67"/>
      <c r="DEC67"/>
      <c r="DED67"/>
      <c r="DEE67"/>
      <c r="DEF67"/>
      <c r="DEG67"/>
      <c r="DEH67"/>
      <c r="DEI67"/>
      <c r="DEJ67"/>
      <c r="DEK67"/>
      <c r="DEL67"/>
      <c r="DEM67"/>
      <c r="DEN67"/>
      <c r="DEO67"/>
      <c r="DEP67"/>
      <c r="DEQ67"/>
      <c r="DER67"/>
      <c r="DES67"/>
      <c r="DET67"/>
      <c r="DEU67"/>
      <c r="DEV67"/>
      <c r="DEW67"/>
      <c r="DEX67"/>
      <c r="DEY67"/>
      <c r="DEZ67"/>
      <c r="DFA67"/>
      <c r="DFB67"/>
      <c r="DFC67"/>
      <c r="DFD67"/>
      <c r="DFE67"/>
      <c r="DFF67"/>
      <c r="DFG67"/>
      <c r="DFH67"/>
      <c r="DFI67"/>
      <c r="DFJ67"/>
      <c r="DFK67"/>
      <c r="DFL67"/>
      <c r="DFM67"/>
      <c r="DFN67"/>
      <c r="DFO67"/>
      <c r="DFP67"/>
      <c r="DFQ67"/>
      <c r="DFR67"/>
      <c r="DFS67"/>
      <c r="DFT67"/>
      <c r="DFU67"/>
      <c r="DFV67"/>
      <c r="DFW67"/>
      <c r="DFX67"/>
      <c r="DFY67"/>
      <c r="DFZ67"/>
      <c r="DGA67"/>
      <c r="DGB67"/>
      <c r="DGC67"/>
      <c r="DGD67"/>
      <c r="DGE67"/>
      <c r="DGF67"/>
      <c r="DGG67"/>
      <c r="DGH67"/>
      <c r="DGI67"/>
      <c r="DGJ67"/>
      <c r="DGK67"/>
      <c r="DGL67"/>
      <c r="DGM67"/>
      <c r="DGN67"/>
      <c r="DGO67"/>
      <c r="DGP67"/>
      <c r="DGQ67"/>
      <c r="DGR67"/>
      <c r="DGS67"/>
      <c r="DGT67"/>
      <c r="DGU67"/>
      <c r="DGV67"/>
      <c r="DGW67"/>
      <c r="DGX67"/>
      <c r="DGY67"/>
      <c r="DGZ67"/>
      <c r="DHA67"/>
      <c r="DHB67"/>
      <c r="DHC67"/>
      <c r="DHD67"/>
      <c r="DHE67"/>
      <c r="DHF67"/>
      <c r="DHG67"/>
      <c r="DHH67"/>
      <c r="DHI67"/>
      <c r="DHJ67"/>
      <c r="DHK67"/>
      <c r="DHL67"/>
      <c r="DHM67"/>
      <c r="DHN67"/>
      <c r="DHO67"/>
      <c r="DHP67"/>
      <c r="DHQ67"/>
      <c r="DHR67"/>
      <c r="DHS67"/>
      <c r="DHT67"/>
      <c r="DHU67"/>
      <c r="DHV67"/>
      <c r="DHW67"/>
      <c r="DHX67"/>
      <c r="DHY67"/>
      <c r="DHZ67"/>
      <c r="DIA67"/>
      <c r="DIB67"/>
      <c r="DIC67"/>
      <c r="DID67"/>
      <c r="DIE67"/>
      <c r="DIF67"/>
      <c r="DIG67"/>
      <c r="DIH67"/>
      <c r="DII67"/>
      <c r="DIJ67"/>
      <c r="DIK67"/>
      <c r="DIL67"/>
      <c r="DIM67"/>
      <c r="DIN67"/>
      <c r="DIO67"/>
      <c r="DIP67"/>
      <c r="DIQ67"/>
      <c r="DIR67"/>
      <c r="DIS67"/>
      <c r="DIT67"/>
      <c r="DIU67"/>
      <c r="DIV67"/>
      <c r="DIW67"/>
      <c r="DIX67"/>
      <c r="DIY67"/>
      <c r="DIZ67"/>
      <c r="DJA67"/>
      <c r="DJB67"/>
      <c r="DJC67"/>
      <c r="DJD67"/>
      <c r="DJE67"/>
      <c r="DJF67"/>
      <c r="DJG67"/>
      <c r="DJH67"/>
      <c r="DJI67"/>
      <c r="DJJ67"/>
      <c r="DJK67"/>
      <c r="DJL67"/>
      <c r="DJM67"/>
      <c r="DJN67"/>
      <c r="DJO67"/>
      <c r="DJP67"/>
      <c r="DJQ67"/>
      <c r="DJR67"/>
      <c r="DJS67"/>
      <c r="DJT67"/>
      <c r="DJU67"/>
      <c r="DJV67"/>
      <c r="DJW67"/>
      <c r="DJX67"/>
      <c r="DJY67"/>
      <c r="DJZ67"/>
      <c r="DKA67"/>
      <c r="DKB67"/>
      <c r="DKC67"/>
      <c r="DKD67"/>
      <c r="DKE67"/>
      <c r="DKF67"/>
      <c r="DKG67"/>
      <c r="DKH67"/>
      <c r="DKI67"/>
      <c r="DKJ67"/>
      <c r="DKK67"/>
      <c r="DKL67"/>
      <c r="DKM67"/>
      <c r="DKN67"/>
      <c r="DKO67"/>
      <c r="DKP67"/>
      <c r="DKQ67"/>
      <c r="DKR67"/>
      <c r="DKS67"/>
      <c r="DKT67"/>
      <c r="DKU67"/>
      <c r="DKV67"/>
      <c r="DKW67"/>
      <c r="DKX67"/>
      <c r="DKY67"/>
      <c r="DKZ67"/>
      <c r="DLA67"/>
      <c r="DLB67"/>
      <c r="DLC67"/>
      <c r="DLD67"/>
      <c r="DLE67"/>
      <c r="DLF67"/>
      <c r="DLG67"/>
      <c r="DLH67"/>
      <c r="DLI67"/>
      <c r="DLJ67"/>
      <c r="DLK67"/>
      <c r="DLL67"/>
      <c r="DLM67"/>
      <c r="DLN67"/>
      <c r="DLO67"/>
      <c r="DLP67"/>
      <c r="DLQ67"/>
      <c r="DLR67"/>
      <c r="DLS67"/>
      <c r="DLT67"/>
      <c r="DLU67"/>
      <c r="DLV67"/>
      <c r="DLW67"/>
      <c r="DLX67"/>
      <c r="DLY67"/>
      <c r="DLZ67"/>
      <c r="DMA67"/>
      <c r="DMB67"/>
      <c r="DMC67"/>
      <c r="DMD67"/>
      <c r="DME67"/>
      <c r="DMF67"/>
      <c r="DMG67"/>
      <c r="DMH67"/>
      <c r="DMI67"/>
      <c r="DMJ67"/>
      <c r="DMK67"/>
      <c r="DML67"/>
      <c r="DMM67"/>
      <c r="DMN67"/>
      <c r="DMO67"/>
      <c r="DMP67"/>
      <c r="DMQ67"/>
      <c r="DMR67"/>
      <c r="DMS67"/>
      <c r="DMT67"/>
      <c r="DMU67"/>
      <c r="DMV67"/>
      <c r="DMW67"/>
      <c r="DMX67"/>
      <c r="DMY67"/>
      <c r="DMZ67"/>
      <c r="DNA67"/>
      <c r="DNB67"/>
      <c r="DNC67"/>
      <c r="DND67"/>
      <c r="DNE67"/>
      <c r="DNF67"/>
      <c r="DNG67"/>
      <c r="DNH67"/>
      <c r="DNI67"/>
      <c r="DNJ67"/>
      <c r="DNK67"/>
      <c r="DNL67"/>
      <c r="DNM67"/>
      <c r="DNN67"/>
      <c r="DNO67"/>
      <c r="DNP67"/>
      <c r="DNQ67"/>
      <c r="DNR67"/>
      <c r="DNS67"/>
      <c r="DNT67"/>
      <c r="DNU67"/>
      <c r="DNV67"/>
      <c r="DNW67"/>
      <c r="DNX67"/>
      <c r="DNY67"/>
      <c r="DNZ67"/>
      <c r="DOA67"/>
      <c r="DOB67"/>
      <c r="DOC67"/>
      <c r="DOD67"/>
      <c r="DOE67"/>
      <c r="DOF67"/>
      <c r="DOG67"/>
      <c r="DOH67"/>
      <c r="DOI67"/>
      <c r="DOJ67"/>
      <c r="DOK67"/>
      <c r="DOL67"/>
      <c r="DOM67"/>
      <c r="DON67"/>
      <c r="DOO67"/>
      <c r="DOP67"/>
      <c r="DOQ67"/>
      <c r="DOR67"/>
      <c r="DOS67"/>
      <c r="DOT67"/>
      <c r="DOU67"/>
      <c r="DOV67"/>
      <c r="DOW67"/>
      <c r="DOX67"/>
      <c r="DOY67"/>
      <c r="DOZ67"/>
      <c r="DPA67"/>
      <c r="DPB67"/>
      <c r="DPC67"/>
      <c r="DPD67"/>
      <c r="DPE67"/>
      <c r="DPF67"/>
      <c r="DPG67"/>
      <c r="DPH67"/>
      <c r="DPI67"/>
      <c r="DPJ67"/>
      <c r="DPK67"/>
      <c r="DPL67"/>
      <c r="DPM67"/>
      <c r="DPN67"/>
      <c r="DPO67"/>
      <c r="DPP67"/>
      <c r="DPQ67"/>
      <c r="DPR67"/>
      <c r="DPS67"/>
      <c r="DPT67"/>
      <c r="DPU67"/>
      <c r="DPV67"/>
      <c r="DPW67"/>
      <c r="DPX67"/>
      <c r="DPY67"/>
      <c r="DPZ67"/>
      <c r="DQA67"/>
      <c r="DQB67"/>
      <c r="DQC67"/>
      <c r="DQD67"/>
      <c r="DQE67"/>
      <c r="DQF67"/>
      <c r="DQG67"/>
      <c r="DQH67"/>
      <c r="DQI67"/>
      <c r="DQJ67"/>
      <c r="DQK67"/>
      <c r="DQL67"/>
      <c r="DQM67"/>
      <c r="DQN67"/>
      <c r="DQO67"/>
      <c r="DQP67"/>
      <c r="DQQ67"/>
      <c r="DQR67"/>
      <c r="DQS67"/>
      <c r="DQT67"/>
      <c r="DQU67"/>
      <c r="DQV67"/>
      <c r="DQW67"/>
      <c r="DQX67"/>
      <c r="DQY67"/>
      <c r="DQZ67"/>
      <c r="DRA67"/>
      <c r="DRB67"/>
      <c r="DRC67"/>
      <c r="DRD67"/>
      <c r="DRE67"/>
      <c r="DRF67"/>
      <c r="DRG67"/>
      <c r="DRH67"/>
      <c r="DRI67"/>
      <c r="DRJ67"/>
      <c r="DRK67"/>
      <c r="DRL67"/>
      <c r="DRM67"/>
      <c r="DRN67"/>
      <c r="DRO67"/>
      <c r="DRP67"/>
      <c r="DRQ67"/>
      <c r="DRR67"/>
      <c r="DRS67"/>
      <c r="DRT67"/>
      <c r="DRU67"/>
      <c r="DRV67"/>
      <c r="DRW67"/>
      <c r="DRX67"/>
      <c r="DRY67"/>
      <c r="DRZ67"/>
      <c r="DSA67"/>
      <c r="DSB67"/>
      <c r="DSC67"/>
      <c r="DSD67"/>
      <c r="DSE67"/>
      <c r="DSF67"/>
      <c r="DSG67"/>
      <c r="DSH67"/>
      <c r="DSI67"/>
      <c r="DSJ67"/>
      <c r="DSK67"/>
      <c r="DSL67"/>
      <c r="DSM67"/>
      <c r="DSN67"/>
      <c r="DSO67"/>
      <c r="DSP67"/>
      <c r="DSQ67"/>
      <c r="DSR67"/>
      <c r="DSS67"/>
      <c r="DST67"/>
      <c r="DSU67"/>
      <c r="DSV67"/>
      <c r="DSW67"/>
      <c r="DSX67"/>
      <c r="DSY67"/>
      <c r="DSZ67"/>
      <c r="DTA67"/>
      <c r="DTB67"/>
      <c r="DTC67"/>
      <c r="DTD67"/>
      <c r="DTE67"/>
      <c r="DTF67"/>
      <c r="DTG67"/>
      <c r="DTH67"/>
      <c r="DTI67"/>
      <c r="DTJ67"/>
      <c r="DTK67"/>
      <c r="DTL67"/>
      <c r="DTM67"/>
      <c r="DTN67"/>
      <c r="DTO67"/>
      <c r="DTP67"/>
      <c r="DTQ67"/>
      <c r="DTR67"/>
      <c r="DTS67"/>
      <c r="DTT67"/>
      <c r="DTU67"/>
      <c r="DTV67"/>
      <c r="DTW67"/>
      <c r="DTX67"/>
      <c r="DTY67"/>
      <c r="DTZ67"/>
      <c r="DUA67"/>
      <c r="DUB67"/>
      <c r="DUC67"/>
      <c r="DUD67"/>
      <c r="DUE67"/>
      <c r="DUF67"/>
      <c r="DUG67"/>
      <c r="DUH67"/>
      <c r="DUI67"/>
      <c r="DUJ67"/>
      <c r="DUK67"/>
      <c r="DUL67"/>
      <c r="DUM67"/>
      <c r="DUN67"/>
      <c r="DUO67"/>
      <c r="DUP67"/>
      <c r="DUQ67"/>
      <c r="DUR67"/>
      <c r="DUS67"/>
      <c r="DUT67"/>
      <c r="DUU67"/>
      <c r="DUV67"/>
      <c r="DUW67"/>
      <c r="DUX67"/>
      <c r="DUY67"/>
      <c r="DUZ67"/>
      <c r="DVA67"/>
      <c r="DVB67"/>
      <c r="DVC67"/>
      <c r="DVD67"/>
      <c r="DVE67"/>
      <c r="DVF67"/>
      <c r="DVG67"/>
      <c r="DVH67"/>
      <c r="DVI67"/>
      <c r="DVJ67"/>
      <c r="DVK67"/>
      <c r="DVL67"/>
      <c r="DVM67"/>
      <c r="DVN67"/>
      <c r="DVO67"/>
      <c r="DVP67"/>
      <c r="DVQ67"/>
      <c r="DVR67"/>
      <c r="DVS67"/>
      <c r="DVT67"/>
      <c r="DVU67"/>
      <c r="DVV67"/>
      <c r="DVW67"/>
      <c r="DVX67"/>
      <c r="DVY67"/>
      <c r="DVZ67"/>
      <c r="DWA67"/>
      <c r="DWB67"/>
      <c r="DWC67"/>
      <c r="DWD67"/>
      <c r="DWE67"/>
      <c r="DWF67"/>
      <c r="DWG67"/>
      <c r="DWH67"/>
      <c r="DWI67"/>
      <c r="DWJ67"/>
      <c r="DWK67"/>
      <c r="DWL67"/>
      <c r="DWM67"/>
      <c r="DWN67"/>
      <c r="DWO67"/>
      <c r="DWP67"/>
      <c r="DWQ67"/>
      <c r="DWR67"/>
      <c r="DWS67"/>
      <c r="DWT67"/>
      <c r="DWU67"/>
      <c r="DWV67"/>
      <c r="DWW67"/>
      <c r="DWX67"/>
      <c r="DWY67"/>
      <c r="DWZ67"/>
      <c r="DXA67"/>
      <c r="DXB67"/>
      <c r="DXC67"/>
      <c r="DXD67"/>
      <c r="DXE67"/>
      <c r="DXF67"/>
      <c r="DXG67"/>
      <c r="DXH67"/>
      <c r="DXI67"/>
      <c r="DXJ67"/>
      <c r="DXK67"/>
      <c r="DXL67"/>
      <c r="DXM67"/>
      <c r="DXN67"/>
      <c r="DXO67"/>
      <c r="DXP67"/>
      <c r="DXQ67"/>
      <c r="DXR67"/>
      <c r="DXS67"/>
      <c r="DXT67"/>
      <c r="DXU67"/>
      <c r="DXV67"/>
      <c r="DXW67"/>
      <c r="DXX67"/>
      <c r="DXY67"/>
      <c r="DXZ67"/>
      <c r="DYA67"/>
      <c r="DYB67"/>
      <c r="DYC67"/>
      <c r="DYD67"/>
      <c r="DYE67"/>
      <c r="DYF67"/>
      <c r="DYG67"/>
      <c r="DYH67"/>
      <c r="DYI67"/>
      <c r="DYJ67"/>
      <c r="DYK67"/>
      <c r="DYL67"/>
      <c r="DYM67"/>
      <c r="DYN67"/>
      <c r="DYO67"/>
      <c r="DYP67"/>
      <c r="DYQ67"/>
      <c r="DYR67"/>
      <c r="DYS67"/>
      <c r="DYT67"/>
      <c r="DYU67"/>
      <c r="DYV67"/>
      <c r="DYW67"/>
      <c r="DYX67"/>
      <c r="DYY67"/>
      <c r="DYZ67"/>
      <c r="DZA67"/>
      <c r="DZB67"/>
      <c r="DZC67"/>
      <c r="DZD67"/>
      <c r="DZE67"/>
      <c r="DZF67"/>
      <c r="DZG67"/>
      <c r="DZH67"/>
      <c r="DZI67"/>
      <c r="DZJ67"/>
      <c r="DZK67"/>
      <c r="DZL67"/>
      <c r="DZM67"/>
      <c r="DZN67"/>
      <c r="DZO67"/>
      <c r="DZP67"/>
      <c r="DZQ67"/>
      <c r="DZR67"/>
      <c r="DZS67"/>
      <c r="DZT67"/>
      <c r="DZU67"/>
      <c r="DZV67"/>
      <c r="DZW67"/>
      <c r="DZX67"/>
      <c r="DZY67"/>
      <c r="DZZ67"/>
      <c r="EAA67"/>
      <c r="EAB67"/>
      <c r="EAC67"/>
      <c r="EAD67"/>
      <c r="EAE67"/>
      <c r="EAF67"/>
      <c r="EAG67"/>
      <c r="EAH67"/>
      <c r="EAI67"/>
      <c r="EAJ67"/>
      <c r="EAK67"/>
      <c r="EAL67"/>
      <c r="EAM67"/>
      <c r="EAN67"/>
      <c r="EAO67"/>
      <c r="EAP67"/>
      <c r="EAQ67"/>
      <c r="EAR67"/>
      <c r="EAS67"/>
      <c r="EAT67"/>
      <c r="EAU67"/>
      <c r="EAV67"/>
      <c r="EAW67"/>
      <c r="EAX67"/>
      <c r="EAY67"/>
      <c r="EAZ67"/>
      <c r="EBA67"/>
      <c r="EBB67"/>
      <c r="EBC67"/>
      <c r="EBD67"/>
      <c r="EBE67"/>
      <c r="EBF67"/>
      <c r="EBG67"/>
      <c r="EBH67"/>
      <c r="EBI67"/>
      <c r="EBJ67"/>
      <c r="EBK67"/>
      <c r="EBL67"/>
      <c r="EBM67"/>
      <c r="EBN67"/>
      <c r="EBO67"/>
      <c r="EBP67"/>
      <c r="EBQ67"/>
      <c r="EBR67"/>
      <c r="EBS67"/>
      <c r="EBT67"/>
      <c r="EBU67"/>
      <c r="EBV67"/>
      <c r="EBW67"/>
      <c r="EBX67"/>
      <c r="EBY67"/>
      <c r="EBZ67"/>
      <c r="ECA67"/>
      <c r="ECB67"/>
      <c r="ECC67"/>
      <c r="ECD67"/>
      <c r="ECE67"/>
      <c r="ECF67"/>
      <c r="ECG67"/>
      <c r="ECH67"/>
      <c r="ECI67"/>
      <c r="ECJ67"/>
      <c r="ECK67"/>
      <c r="ECL67"/>
      <c r="ECM67"/>
      <c r="ECN67"/>
      <c r="ECO67"/>
      <c r="ECP67"/>
      <c r="ECQ67"/>
      <c r="ECR67"/>
      <c r="ECS67"/>
      <c r="ECT67"/>
      <c r="ECU67"/>
      <c r="ECV67"/>
      <c r="ECW67"/>
      <c r="ECX67"/>
      <c r="ECY67"/>
      <c r="ECZ67"/>
      <c r="EDA67"/>
      <c r="EDB67"/>
      <c r="EDC67"/>
      <c r="EDD67"/>
      <c r="EDE67"/>
      <c r="EDF67"/>
      <c r="EDG67"/>
      <c r="EDH67"/>
      <c r="EDI67"/>
      <c r="EDJ67"/>
      <c r="EDK67"/>
      <c r="EDL67"/>
      <c r="EDM67"/>
      <c r="EDN67"/>
      <c r="EDO67"/>
      <c r="EDP67"/>
      <c r="EDQ67"/>
      <c r="EDR67"/>
      <c r="EDS67"/>
      <c r="EDT67"/>
      <c r="EDU67"/>
      <c r="EDV67"/>
      <c r="EDW67"/>
      <c r="EDX67"/>
      <c r="EDY67"/>
      <c r="EDZ67"/>
      <c r="EEA67"/>
      <c r="EEB67"/>
      <c r="EEC67"/>
      <c r="EED67"/>
      <c r="EEE67"/>
      <c r="EEF67"/>
      <c r="EEG67"/>
      <c r="EEH67"/>
      <c r="EEI67"/>
      <c r="EEJ67"/>
      <c r="EEK67"/>
      <c r="EEL67"/>
      <c r="EEM67"/>
      <c r="EEN67"/>
      <c r="EEO67"/>
      <c r="EEP67"/>
      <c r="EEQ67"/>
      <c r="EER67"/>
      <c r="EES67"/>
      <c r="EET67"/>
      <c r="EEU67"/>
      <c r="EEV67"/>
      <c r="EEW67"/>
      <c r="EEX67"/>
      <c r="EEY67"/>
      <c r="EEZ67"/>
      <c r="EFA67"/>
      <c r="EFB67"/>
      <c r="EFC67"/>
      <c r="EFD67"/>
      <c r="EFE67"/>
      <c r="EFF67"/>
      <c r="EFG67"/>
      <c r="EFH67"/>
      <c r="EFI67"/>
      <c r="EFJ67"/>
      <c r="EFK67"/>
      <c r="EFL67"/>
      <c r="EFM67"/>
      <c r="EFN67"/>
      <c r="EFO67"/>
      <c r="EFP67"/>
      <c r="EFQ67"/>
      <c r="EFR67"/>
      <c r="EFS67"/>
      <c r="EFT67"/>
      <c r="EFU67"/>
      <c r="EFV67"/>
      <c r="EFW67"/>
      <c r="EFX67"/>
      <c r="EFY67"/>
      <c r="EFZ67"/>
      <c r="EGA67"/>
      <c r="EGB67"/>
      <c r="EGC67"/>
      <c r="EGD67"/>
      <c r="EGE67"/>
      <c r="EGF67"/>
      <c r="EGG67"/>
      <c r="EGH67"/>
      <c r="EGI67"/>
      <c r="EGJ67"/>
      <c r="EGK67"/>
      <c r="EGL67"/>
      <c r="EGM67"/>
      <c r="EGN67"/>
      <c r="EGO67"/>
      <c r="EGP67"/>
      <c r="EGQ67"/>
      <c r="EGR67"/>
      <c r="EGS67"/>
      <c r="EGT67"/>
      <c r="EGU67"/>
      <c r="EGV67"/>
      <c r="EGW67"/>
      <c r="EGX67"/>
      <c r="EGY67"/>
      <c r="EGZ67"/>
      <c r="EHA67"/>
      <c r="EHB67"/>
      <c r="EHC67"/>
      <c r="EHD67"/>
      <c r="EHE67"/>
      <c r="EHF67"/>
      <c r="EHG67"/>
      <c r="EHH67"/>
      <c r="EHI67"/>
      <c r="EHJ67"/>
      <c r="EHK67"/>
      <c r="EHL67"/>
      <c r="EHM67"/>
      <c r="EHN67"/>
      <c r="EHO67"/>
      <c r="EHP67"/>
      <c r="EHQ67"/>
      <c r="EHR67"/>
      <c r="EHS67"/>
      <c r="EHT67"/>
      <c r="EHU67"/>
      <c r="EHV67"/>
      <c r="EHW67"/>
      <c r="EHX67"/>
      <c r="EHY67"/>
      <c r="EHZ67"/>
      <c r="EIA67"/>
      <c r="EIB67"/>
      <c r="EIC67"/>
      <c r="EID67"/>
      <c r="EIE67"/>
      <c r="EIF67"/>
      <c r="EIG67"/>
      <c r="EIH67"/>
      <c r="EII67"/>
      <c r="EIJ67"/>
      <c r="EIK67"/>
      <c r="EIL67"/>
      <c r="EIM67"/>
      <c r="EIN67"/>
      <c r="EIO67"/>
      <c r="EIP67"/>
      <c r="EIQ67"/>
      <c r="EIR67"/>
      <c r="EIS67"/>
      <c r="EIT67"/>
      <c r="EIU67"/>
      <c r="EIV67"/>
      <c r="EIW67"/>
      <c r="EIX67"/>
      <c r="EIY67"/>
      <c r="EIZ67"/>
      <c r="EJA67"/>
      <c r="EJB67"/>
      <c r="EJC67"/>
      <c r="EJD67"/>
      <c r="EJE67"/>
      <c r="EJF67"/>
      <c r="EJG67"/>
      <c r="EJH67"/>
      <c r="EJI67"/>
      <c r="EJJ67"/>
      <c r="EJK67"/>
      <c r="EJL67"/>
      <c r="EJM67"/>
      <c r="EJN67"/>
      <c r="EJO67"/>
      <c r="EJP67"/>
      <c r="EJQ67"/>
      <c r="EJR67"/>
      <c r="EJS67"/>
      <c r="EJT67"/>
      <c r="EJU67"/>
      <c r="EJV67"/>
      <c r="EJW67"/>
      <c r="EJX67"/>
      <c r="EJY67"/>
      <c r="EJZ67"/>
      <c r="EKA67"/>
      <c r="EKB67"/>
      <c r="EKC67"/>
      <c r="EKD67"/>
      <c r="EKE67"/>
      <c r="EKF67"/>
      <c r="EKG67"/>
      <c r="EKH67"/>
      <c r="EKI67"/>
      <c r="EKJ67"/>
      <c r="EKK67"/>
      <c r="EKL67"/>
      <c r="EKM67"/>
      <c r="EKN67"/>
      <c r="EKO67"/>
      <c r="EKP67"/>
      <c r="EKQ67"/>
      <c r="EKR67"/>
      <c r="EKS67"/>
      <c r="EKT67"/>
      <c r="EKU67"/>
      <c r="EKV67"/>
      <c r="EKW67"/>
      <c r="EKX67"/>
      <c r="EKY67"/>
      <c r="EKZ67"/>
      <c r="ELA67"/>
      <c r="ELB67"/>
      <c r="ELC67"/>
      <c r="ELD67"/>
      <c r="ELE67"/>
      <c r="ELF67"/>
      <c r="ELG67"/>
      <c r="ELH67"/>
      <c r="ELI67"/>
      <c r="ELJ67"/>
      <c r="ELK67"/>
      <c r="ELL67"/>
      <c r="ELM67"/>
      <c r="ELN67"/>
      <c r="ELO67"/>
      <c r="ELP67"/>
      <c r="ELQ67"/>
      <c r="ELR67"/>
      <c r="ELS67"/>
      <c r="ELT67"/>
      <c r="ELU67"/>
      <c r="ELV67"/>
      <c r="ELW67"/>
      <c r="ELX67"/>
      <c r="ELY67"/>
      <c r="ELZ67"/>
      <c r="EMA67"/>
      <c r="EMB67"/>
      <c r="EMC67"/>
      <c r="EMD67"/>
      <c r="EME67"/>
      <c r="EMF67"/>
      <c r="EMG67"/>
      <c r="EMH67"/>
      <c r="EMI67"/>
      <c r="EMJ67"/>
      <c r="EMK67"/>
      <c r="EML67"/>
      <c r="EMM67"/>
      <c r="EMN67"/>
      <c r="EMO67"/>
      <c r="EMP67"/>
      <c r="EMQ67"/>
      <c r="EMR67"/>
      <c r="EMS67"/>
      <c r="EMT67"/>
      <c r="EMU67"/>
      <c r="EMV67"/>
      <c r="EMW67"/>
      <c r="EMX67"/>
      <c r="EMY67"/>
      <c r="EMZ67"/>
      <c r="ENA67"/>
      <c r="ENB67"/>
      <c r="ENC67"/>
      <c r="END67"/>
      <c r="ENE67"/>
      <c r="ENF67"/>
      <c r="ENG67"/>
      <c r="ENH67"/>
      <c r="ENI67"/>
      <c r="ENJ67"/>
      <c r="ENK67"/>
      <c r="ENL67"/>
      <c r="ENM67"/>
      <c r="ENN67"/>
      <c r="ENO67"/>
      <c r="ENP67"/>
      <c r="ENQ67"/>
      <c r="ENR67"/>
      <c r="ENS67"/>
      <c r="ENT67"/>
      <c r="ENU67"/>
      <c r="ENV67"/>
      <c r="ENW67"/>
      <c r="ENX67"/>
      <c r="ENY67"/>
      <c r="ENZ67"/>
      <c r="EOA67"/>
      <c r="EOB67"/>
      <c r="EOC67"/>
      <c r="EOD67"/>
      <c r="EOE67"/>
      <c r="EOF67"/>
      <c r="EOG67"/>
      <c r="EOH67"/>
      <c r="EOI67"/>
      <c r="EOJ67"/>
      <c r="EOK67"/>
      <c r="EOL67"/>
      <c r="EOM67"/>
      <c r="EON67"/>
      <c r="EOO67"/>
      <c r="EOP67"/>
      <c r="EOQ67"/>
      <c r="EOR67"/>
      <c r="EOS67"/>
      <c r="EOT67"/>
      <c r="EOU67"/>
      <c r="EOV67"/>
      <c r="EOW67"/>
      <c r="EOX67"/>
      <c r="EOY67"/>
      <c r="EOZ67"/>
      <c r="EPA67"/>
      <c r="EPB67"/>
      <c r="EPC67"/>
      <c r="EPD67"/>
      <c r="EPE67"/>
      <c r="EPF67"/>
      <c r="EPG67"/>
      <c r="EPH67"/>
      <c r="EPI67"/>
      <c r="EPJ67"/>
      <c r="EPK67"/>
      <c r="EPL67"/>
      <c r="EPM67"/>
      <c r="EPN67"/>
      <c r="EPO67"/>
      <c r="EPP67"/>
      <c r="EPQ67"/>
      <c r="EPR67"/>
      <c r="EPS67"/>
      <c r="EPT67"/>
      <c r="EPU67"/>
      <c r="EPV67"/>
      <c r="EPW67"/>
      <c r="EPX67"/>
      <c r="EPY67"/>
      <c r="EPZ67"/>
      <c r="EQA67"/>
      <c r="EQB67"/>
      <c r="EQC67"/>
      <c r="EQD67"/>
      <c r="EQE67"/>
      <c r="EQF67"/>
      <c r="EQG67"/>
      <c r="EQH67"/>
      <c r="EQI67"/>
      <c r="EQJ67"/>
      <c r="EQK67"/>
      <c r="EQL67"/>
      <c r="EQM67"/>
      <c r="EQN67"/>
      <c r="EQO67"/>
      <c r="EQP67"/>
      <c r="EQQ67"/>
      <c r="EQR67"/>
      <c r="EQS67"/>
      <c r="EQT67"/>
      <c r="EQU67"/>
      <c r="EQV67"/>
      <c r="EQW67"/>
      <c r="EQX67"/>
      <c r="EQY67"/>
      <c r="EQZ67"/>
      <c r="ERA67"/>
      <c r="ERB67"/>
      <c r="ERC67"/>
      <c r="ERD67"/>
      <c r="ERE67"/>
      <c r="ERF67"/>
      <c r="ERG67"/>
      <c r="ERH67"/>
      <c r="ERI67"/>
      <c r="ERJ67"/>
      <c r="ERK67"/>
      <c r="ERL67"/>
      <c r="ERM67"/>
      <c r="ERN67"/>
      <c r="ERO67"/>
      <c r="ERP67"/>
      <c r="ERQ67"/>
      <c r="ERR67"/>
      <c r="ERS67"/>
      <c r="ERT67"/>
      <c r="ERU67"/>
      <c r="ERV67"/>
      <c r="ERW67"/>
      <c r="ERX67"/>
      <c r="ERY67"/>
      <c r="ERZ67"/>
      <c r="ESA67"/>
      <c r="ESB67"/>
      <c r="ESC67"/>
      <c r="ESD67"/>
      <c r="ESE67"/>
      <c r="ESF67"/>
      <c r="ESG67"/>
      <c r="ESH67"/>
      <c r="ESI67"/>
      <c r="ESJ67"/>
      <c r="ESK67"/>
      <c r="ESL67"/>
      <c r="ESM67"/>
      <c r="ESN67"/>
      <c r="ESO67"/>
      <c r="ESP67"/>
      <c r="ESQ67"/>
      <c r="ESR67"/>
      <c r="ESS67"/>
      <c r="EST67"/>
      <c r="ESU67"/>
      <c r="ESV67"/>
      <c r="ESW67"/>
      <c r="ESX67"/>
      <c r="ESY67"/>
      <c r="ESZ67"/>
      <c r="ETA67"/>
      <c r="ETB67"/>
      <c r="ETC67"/>
      <c r="ETD67"/>
      <c r="ETE67"/>
      <c r="ETF67"/>
      <c r="ETG67"/>
      <c r="ETH67"/>
      <c r="ETI67"/>
      <c r="ETJ67"/>
      <c r="ETK67"/>
      <c r="ETL67"/>
      <c r="ETM67"/>
      <c r="ETN67"/>
      <c r="ETO67"/>
      <c r="ETP67"/>
      <c r="ETQ67"/>
      <c r="ETR67"/>
      <c r="ETS67"/>
      <c r="ETT67"/>
      <c r="ETU67"/>
      <c r="ETV67"/>
      <c r="ETW67"/>
      <c r="ETX67"/>
      <c r="ETY67"/>
      <c r="ETZ67"/>
      <c r="EUA67"/>
      <c r="EUB67"/>
      <c r="EUC67"/>
      <c r="EUD67"/>
      <c r="EUE67"/>
      <c r="EUF67"/>
      <c r="EUG67"/>
      <c r="EUH67"/>
      <c r="EUI67"/>
      <c r="EUJ67"/>
      <c r="EUK67"/>
      <c r="EUL67"/>
      <c r="EUM67"/>
      <c r="EUN67"/>
      <c r="EUO67"/>
      <c r="EUP67"/>
      <c r="EUQ67"/>
      <c r="EUR67"/>
      <c r="EUS67"/>
      <c r="EUT67"/>
      <c r="EUU67"/>
      <c r="EUV67"/>
      <c r="EUW67"/>
      <c r="EUX67"/>
      <c r="EUY67"/>
      <c r="EUZ67"/>
      <c r="EVA67"/>
      <c r="EVB67"/>
      <c r="EVC67"/>
      <c r="EVD67"/>
      <c r="EVE67"/>
      <c r="EVF67"/>
      <c r="EVG67"/>
      <c r="EVH67"/>
      <c r="EVI67"/>
      <c r="EVJ67"/>
      <c r="EVK67"/>
      <c r="EVL67"/>
      <c r="EVM67"/>
      <c r="EVN67"/>
      <c r="EVO67"/>
      <c r="EVP67"/>
      <c r="EVQ67"/>
      <c r="EVR67"/>
      <c r="EVS67"/>
      <c r="EVT67"/>
      <c r="EVU67"/>
      <c r="EVV67"/>
      <c r="EVW67"/>
      <c r="EVX67"/>
      <c r="EVY67"/>
      <c r="EVZ67"/>
      <c r="EWA67"/>
      <c r="EWB67"/>
      <c r="EWC67"/>
      <c r="EWD67"/>
      <c r="EWE67"/>
      <c r="EWF67"/>
      <c r="EWG67"/>
      <c r="EWH67"/>
      <c r="EWI67"/>
      <c r="EWJ67"/>
      <c r="EWK67"/>
      <c r="EWL67"/>
      <c r="EWM67"/>
      <c r="EWN67"/>
      <c r="EWO67"/>
      <c r="EWP67"/>
      <c r="EWQ67"/>
      <c r="EWR67"/>
      <c r="EWS67"/>
      <c r="EWT67"/>
      <c r="EWU67"/>
      <c r="EWV67"/>
      <c r="EWW67"/>
      <c r="EWX67"/>
      <c r="EWY67"/>
      <c r="EWZ67"/>
      <c r="EXA67"/>
      <c r="EXB67"/>
      <c r="EXC67"/>
      <c r="EXD67"/>
      <c r="EXE67"/>
      <c r="EXF67"/>
      <c r="EXG67"/>
      <c r="EXH67"/>
      <c r="EXI67"/>
      <c r="EXJ67"/>
      <c r="EXK67"/>
      <c r="EXL67"/>
      <c r="EXM67"/>
      <c r="EXN67"/>
      <c r="EXO67"/>
      <c r="EXP67"/>
      <c r="EXQ67"/>
      <c r="EXR67"/>
      <c r="EXS67"/>
      <c r="EXT67"/>
      <c r="EXU67"/>
      <c r="EXV67"/>
      <c r="EXW67"/>
      <c r="EXX67"/>
      <c r="EXY67"/>
      <c r="EXZ67"/>
      <c r="EYA67"/>
      <c r="EYB67"/>
      <c r="EYC67"/>
      <c r="EYD67"/>
      <c r="EYE67"/>
      <c r="EYF67"/>
      <c r="EYG67"/>
      <c r="EYH67"/>
      <c r="EYI67"/>
      <c r="EYJ67"/>
      <c r="EYK67"/>
      <c r="EYL67"/>
      <c r="EYM67"/>
      <c r="EYN67"/>
      <c r="EYO67"/>
      <c r="EYP67"/>
      <c r="EYQ67"/>
      <c r="EYR67"/>
      <c r="EYS67"/>
      <c r="EYT67"/>
      <c r="EYU67"/>
      <c r="EYV67"/>
      <c r="EYW67"/>
      <c r="EYX67"/>
      <c r="EYY67"/>
      <c r="EYZ67"/>
      <c r="EZA67"/>
      <c r="EZB67"/>
      <c r="EZC67"/>
      <c r="EZD67"/>
      <c r="EZE67"/>
      <c r="EZF67"/>
      <c r="EZG67"/>
      <c r="EZH67"/>
      <c r="EZI67"/>
      <c r="EZJ67"/>
      <c r="EZK67"/>
      <c r="EZL67"/>
      <c r="EZM67"/>
      <c r="EZN67"/>
      <c r="EZO67"/>
      <c r="EZP67"/>
      <c r="EZQ67"/>
      <c r="EZR67"/>
      <c r="EZS67"/>
      <c r="EZT67"/>
      <c r="EZU67"/>
      <c r="EZV67"/>
      <c r="EZW67"/>
      <c r="EZX67"/>
      <c r="EZY67"/>
      <c r="EZZ67"/>
      <c r="FAA67"/>
      <c r="FAB67"/>
      <c r="FAC67"/>
      <c r="FAD67"/>
      <c r="FAE67"/>
      <c r="FAF67"/>
      <c r="FAG67"/>
      <c r="FAH67"/>
      <c r="FAI67"/>
      <c r="FAJ67"/>
      <c r="FAK67"/>
      <c r="FAL67"/>
      <c r="FAM67"/>
      <c r="FAN67"/>
      <c r="FAO67"/>
      <c r="FAP67"/>
      <c r="FAQ67"/>
      <c r="FAR67"/>
      <c r="FAS67"/>
      <c r="FAT67"/>
      <c r="FAU67"/>
      <c r="FAV67"/>
      <c r="FAW67"/>
      <c r="FAX67"/>
      <c r="FAY67"/>
      <c r="FAZ67"/>
      <c r="FBA67"/>
      <c r="FBB67"/>
      <c r="FBC67"/>
      <c r="FBD67"/>
      <c r="FBE67"/>
      <c r="FBF67"/>
      <c r="FBG67"/>
      <c r="FBH67"/>
      <c r="FBI67"/>
      <c r="FBJ67"/>
      <c r="FBK67"/>
      <c r="FBL67"/>
      <c r="FBM67"/>
      <c r="FBN67"/>
      <c r="FBO67"/>
      <c r="FBP67"/>
      <c r="FBQ67"/>
      <c r="FBR67"/>
      <c r="FBS67"/>
      <c r="FBT67"/>
      <c r="FBU67"/>
      <c r="FBV67"/>
      <c r="FBW67"/>
      <c r="FBX67"/>
      <c r="FBY67"/>
      <c r="FBZ67"/>
      <c r="FCA67"/>
      <c r="FCB67"/>
      <c r="FCC67"/>
      <c r="FCD67"/>
      <c r="FCE67"/>
      <c r="FCF67"/>
      <c r="FCG67"/>
      <c r="FCH67"/>
      <c r="FCI67"/>
      <c r="FCJ67"/>
      <c r="FCK67"/>
      <c r="FCL67"/>
      <c r="FCM67"/>
      <c r="FCN67"/>
      <c r="FCO67"/>
      <c r="FCP67"/>
      <c r="FCQ67"/>
      <c r="FCR67"/>
      <c r="FCS67"/>
      <c r="FCT67"/>
      <c r="FCU67"/>
      <c r="FCV67"/>
      <c r="FCW67"/>
      <c r="FCX67"/>
      <c r="FCY67"/>
      <c r="FCZ67"/>
      <c r="FDA67"/>
      <c r="FDB67"/>
      <c r="FDC67"/>
      <c r="FDD67"/>
      <c r="FDE67"/>
      <c r="FDF67"/>
      <c r="FDG67"/>
      <c r="FDH67"/>
      <c r="FDI67"/>
      <c r="FDJ67"/>
      <c r="FDK67"/>
      <c r="FDL67"/>
      <c r="FDM67"/>
      <c r="FDN67"/>
      <c r="FDO67"/>
      <c r="FDP67"/>
      <c r="FDQ67"/>
      <c r="FDR67"/>
      <c r="FDS67"/>
      <c r="FDT67"/>
      <c r="FDU67"/>
      <c r="FDV67"/>
      <c r="FDW67"/>
      <c r="FDX67"/>
      <c r="FDY67"/>
      <c r="FDZ67"/>
      <c r="FEA67"/>
      <c r="FEB67"/>
      <c r="FEC67"/>
      <c r="FED67"/>
      <c r="FEE67"/>
      <c r="FEF67"/>
      <c r="FEG67"/>
      <c r="FEH67"/>
      <c r="FEI67"/>
      <c r="FEJ67"/>
      <c r="FEK67"/>
      <c r="FEL67"/>
      <c r="FEM67"/>
      <c r="FEN67"/>
      <c r="FEO67"/>
      <c r="FEP67"/>
      <c r="FEQ67"/>
      <c r="FER67"/>
      <c r="FES67"/>
      <c r="FET67"/>
      <c r="FEU67"/>
      <c r="FEV67"/>
      <c r="FEW67"/>
      <c r="FEX67"/>
      <c r="FEY67"/>
      <c r="FEZ67"/>
      <c r="FFA67"/>
      <c r="FFB67"/>
      <c r="FFC67"/>
      <c r="FFD67"/>
      <c r="FFE67"/>
      <c r="FFF67"/>
      <c r="FFG67"/>
      <c r="FFH67"/>
      <c r="FFI67"/>
      <c r="FFJ67"/>
      <c r="FFK67"/>
      <c r="FFL67"/>
      <c r="FFM67"/>
      <c r="FFN67"/>
      <c r="FFO67"/>
      <c r="FFP67"/>
      <c r="FFQ67"/>
      <c r="FFR67"/>
      <c r="FFS67"/>
      <c r="FFT67"/>
      <c r="FFU67"/>
      <c r="FFV67"/>
      <c r="FFW67"/>
      <c r="FFX67"/>
      <c r="FFY67"/>
      <c r="FFZ67"/>
      <c r="FGA67"/>
      <c r="FGB67"/>
      <c r="FGC67"/>
      <c r="FGD67"/>
      <c r="FGE67"/>
      <c r="FGF67"/>
      <c r="FGG67"/>
      <c r="FGH67"/>
      <c r="FGI67"/>
      <c r="FGJ67"/>
      <c r="FGK67"/>
      <c r="FGL67"/>
      <c r="FGM67"/>
      <c r="FGN67"/>
      <c r="FGO67"/>
      <c r="FGP67"/>
      <c r="FGQ67"/>
      <c r="FGR67"/>
      <c r="FGS67"/>
      <c r="FGT67"/>
      <c r="FGU67"/>
      <c r="FGV67"/>
      <c r="FGW67"/>
      <c r="FGX67"/>
      <c r="FGY67"/>
      <c r="FGZ67"/>
      <c r="FHA67"/>
      <c r="FHB67"/>
      <c r="FHC67"/>
      <c r="FHD67"/>
      <c r="FHE67"/>
      <c r="FHF67"/>
      <c r="FHG67"/>
      <c r="FHH67"/>
      <c r="FHI67"/>
      <c r="FHJ67"/>
      <c r="FHK67"/>
      <c r="FHL67"/>
      <c r="FHM67"/>
      <c r="FHN67"/>
      <c r="FHO67"/>
      <c r="FHP67"/>
      <c r="FHQ67"/>
      <c r="FHR67"/>
      <c r="FHS67"/>
      <c r="FHT67"/>
      <c r="FHU67"/>
      <c r="FHV67"/>
      <c r="FHW67"/>
      <c r="FHX67"/>
      <c r="FHY67"/>
      <c r="FHZ67"/>
      <c r="FIA67"/>
      <c r="FIB67"/>
      <c r="FIC67"/>
      <c r="FID67"/>
      <c r="FIE67"/>
      <c r="FIF67"/>
      <c r="FIG67"/>
      <c r="FIH67"/>
      <c r="FII67"/>
      <c r="FIJ67"/>
      <c r="FIK67"/>
      <c r="FIL67"/>
      <c r="FIM67"/>
      <c r="FIN67"/>
      <c r="FIO67"/>
      <c r="FIP67"/>
      <c r="FIQ67"/>
      <c r="FIR67"/>
      <c r="FIS67"/>
      <c r="FIT67"/>
      <c r="FIU67"/>
      <c r="FIV67"/>
      <c r="FIW67"/>
      <c r="FIX67"/>
      <c r="FIY67"/>
      <c r="FIZ67"/>
      <c r="FJA67"/>
      <c r="FJB67"/>
      <c r="FJC67"/>
      <c r="FJD67"/>
      <c r="FJE67"/>
      <c r="FJF67"/>
      <c r="FJG67"/>
      <c r="FJH67"/>
      <c r="FJI67"/>
      <c r="FJJ67"/>
      <c r="FJK67"/>
      <c r="FJL67"/>
      <c r="FJM67"/>
      <c r="FJN67"/>
      <c r="FJO67"/>
      <c r="FJP67"/>
      <c r="FJQ67"/>
      <c r="FJR67"/>
      <c r="FJS67"/>
      <c r="FJT67"/>
      <c r="FJU67"/>
      <c r="FJV67"/>
      <c r="FJW67"/>
      <c r="FJX67"/>
      <c r="FJY67"/>
      <c r="FJZ67"/>
      <c r="FKA67"/>
      <c r="FKB67"/>
      <c r="FKC67"/>
      <c r="FKD67"/>
      <c r="FKE67"/>
      <c r="FKF67"/>
      <c r="FKG67"/>
      <c r="FKH67"/>
      <c r="FKI67"/>
      <c r="FKJ67"/>
      <c r="FKK67"/>
      <c r="FKL67"/>
      <c r="FKM67"/>
      <c r="FKN67"/>
      <c r="FKO67"/>
      <c r="FKP67"/>
      <c r="FKQ67"/>
      <c r="FKR67"/>
      <c r="FKS67"/>
      <c r="FKT67"/>
      <c r="FKU67"/>
      <c r="FKV67"/>
      <c r="FKW67"/>
      <c r="FKX67"/>
      <c r="FKY67"/>
      <c r="FKZ67"/>
      <c r="FLA67"/>
      <c r="FLB67"/>
      <c r="FLC67"/>
      <c r="FLD67"/>
      <c r="FLE67"/>
      <c r="FLF67"/>
      <c r="FLG67"/>
      <c r="FLH67"/>
      <c r="FLI67"/>
      <c r="FLJ67"/>
      <c r="FLK67"/>
      <c r="FLL67"/>
      <c r="FLM67"/>
      <c r="FLN67"/>
      <c r="FLO67"/>
      <c r="FLP67"/>
      <c r="FLQ67"/>
      <c r="FLR67"/>
      <c r="FLS67"/>
      <c r="FLT67"/>
      <c r="FLU67"/>
      <c r="FLV67"/>
      <c r="FLW67"/>
      <c r="FLX67"/>
      <c r="FLY67"/>
      <c r="FLZ67"/>
      <c r="FMA67"/>
      <c r="FMB67"/>
      <c r="FMC67"/>
      <c r="FMD67"/>
      <c r="FME67"/>
      <c r="FMF67"/>
      <c r="FMG67"/>
      <c r="FMH67"/>
      <c r="FMI67"/>
      <c r="FMJ67"/>
      <c r="FMK67"/>
      <c r="FML67"/>
      <c r="FMM67"/>
      <c r="FMN67"/>
      <c r="FMO67"/>
      <c r="FMP67"/>
      <c r="FMQ67"/>
      <c r="FMR67"/>
      <c r="FMS67"/>
      <c r="FMT67"/>
      <c r="FMU67"/>
      <c r="FMV67"/>
      <c r="FMW67"/>
      <c r="FMX67"/>
      <c r="FMY67"/>
      <c r="FMZ67"/>
      <c r="FNA67"/>
      <c r="FNB67"/>
      <c r="FNC67"/>
      <c r="FND67"/>
      <c r="FNE67"/>
      <c r="FNF67"/>
      <c r="FNG67"/>
      <c r="FNH67"/>
      <c r="FNI67"/>
      <c r="FNJ67"/>
      <c r="FNK67"/>
      <c r="FNL67"/>
      <c r="FNM67"/>
      <c r="FNN67"/>
      <c r="FNO67"/>
      <c r="FNP67"/>
      <c r="FNQ67"/>
      <c r="FNR67"/>
      <c r="FNS67"/>
      <c r="FNT67"/>
      <c r="FNU67"/>
      <c r="FNV67"/>
      <c r="FNW67"/>
      <c r="FNX67"/>
      <c r="FNY67"/>
      <c r="FNZ67"/>
      <c r="FOA67"/>
      <c r="FOB67"/>
      <c r="FOC67"/>
      <c r="FOD67"/>
      <c r="FOE67"/>
      <c r="FOF67"/>
      <c r="FOG67"/>
      <c r="FOH67"/>
      <c r="FOI67"/>
      <c r="FOJ67"/>
      <c r="FOK67"/>
      <c r="FOL67"/>
      <c r="FOM67"/>
      <c r="FON67"/>
      <c r="FOO67"/>
      <c r="FOP67"/>
      <c r="FOQ67"/>
      <c r="FOR67"/>
      <c r="FOS67"/>
      <c r="FOT67"/>
      <c r="FOU67"/>
      <c r="FOV67"/>
      <c r="FOW67"/>
      <c r="FOX67"/>
      <c r="FOY67"/>
      <c r="FOZ67"/>
      <c r="FPA67"/>
      <c r="FPB67"/>
      <c r="FPC67"/>
      <c r="FPD67"/>
      <c r="FPE67"/>
      <c r="FPF67"/>
      <c r="FPG67"/>
      <c r="FPH67"/>
      <c r="FPI67"/>
      <c r="FPJ67"/>
      <c r="FPK67"/>
      <c r="FPL67"/>
      <c r="FPM67"/>
      <c r="FPN67"/>
      <c r="FPO67"/>
      <c r="FPP67"/>
      <c r="FPQ67"/>
      <c r="FPR67"/>
      <c r="FPS67"/>
      <c r="FPT67"/>
      <c r="FPU67"/>
      <c r="FPV67"/>
      <c r="FPW67"/>
      <c r="FPX67"/>
      <c r="FPY67"/>
      <c r="FPZ67"/>
      <c r="FQA67"/>
      <c r="FQB67"/>
      <c r="FQC67"/>
      <c r="FQD67"/>
      <c r="FQE67"/>
      <c r="FQF67"/>
      <c r="FQG67"/>
      <c r="FQH67"/>
      <c r="FQI67"/>
      <c r="FQJ67"/>
      <c r="FQK67"/>
      <c r="FQL67"/>
      <c r="FQM67"/>
      <c r="FQN67"/>
      <c r="FQO67"/>
      <c r="FQP67"/>
      <c r="FQQ67"/>
      <c r="FQR67"/>
      <c r="FQS67"/>
      <c r="FQT67"/>
      <c r="FQU67"/>
      <c r="FQV67"/>
      <c r="FQW67"/>
      <c r="FQX67"/>
      <c r="FQY67"/>
      <c r="FQZ67"/>
      <c r="FRA67"/>
      <c r="FRB67"/>
      <c r="FRC67"/>
      <c r="FRD67"/>
      <c r="FRE67"/>
      <c r="FRF67"/>
      <c r="FRG67"/>
      <c r="FRH67"/>
      <c r="FRI67"/>
      <c r="FRJ67"/>
      <c r="FRK67"/>
      <c r="FRL67"/>
      <c r="FRM67"/>
      <c r="FRN67"/>
      <c r="FRO67"/>
      <c r="FRP67"/>
      <c r="FRQ67"/>
      <c r="FRR67"/>
      <c r="FRS67"/>
      <c r="FRT67"/>
      <c r="FRU67"/>
      <c r="FRV67"/>
      <c r="FRW67"/>
      <c r="FRX67"/>
      <c r="FRY67"/>
      <c r="FRZ67"/>
      <c r="FSA67"/>
      <c r="FSB67"/>
      <c r="FSC67"/>
      <c r="FSD67"/>
      <c r="FSE67"/>
      <c r="FSF67"/>
      <c r="FSG67"/>
      <c r="FSH67"/>
      <c r="FSI67"/>
      <c r="FSJ67"/>
      <c r="FSK67"/>
      <c r="FSL67"/>
      <c r="FSM67"/>
      <c r="FSN67"/>
      <c r="FSO67"/>
      <c r="FSP67"/>
      <c r="FSQ67"/>
      <c r="FSR67"/>
      <c r="FSS67"/>
      <c r="FST67"/>
      <c r="FSU67"/>
      <c r="FSV67"/>
      <c r="FSW67"/>
      <c r="FSX67"/>
      <c r="FSY67"/>
      <c r="FSZ67"/>
      <c r="FTA67"/>
      <c r="FTB67"/>
      <c r="FTC67"/>
      <c r="FTD67"/>
      <c r="FTE67"/>
      <c r="FTF67"/>
      <c r="FTG67"/>
      <c r="FTH67"/>
      <c r="FTI67"/>
      <c r="FTJ67"/>
      <c r="FTK67"/>
      <c r="FTL67"/>
      <c r="FTM67"/>
      <c r="FTN67"/>
      <c r="FTO67"/>
      <c r="FTP67"/>
      <c r="FTQ67"/>
      <c r="FTR67"/>
      <c r="FTS67"/>
      <c r="FTT67"/>
      <c r="FTU67"/>
      <c r="FTV67"/>
      <c r="FTW67"/>
      <c r="FTX67"/>
      <c r="FTY67"/>
      <c r="FTZ67"/>
      <c r="FUA67"/>
      <c r="FUB67"/>
      <c r="FUC67"/>
      <c r="FUD67"/>
      <c r="FUE67"/>
      <c r="FUF67"/>
      <c r="FUG67"/>
      <c r="FUH67"/>
      <c r="FUI67"/>
      <c r="FUJ67"/>
      <c r="FUK67"/>
      <c r="FUL67"/>
      <c r="FUM67"/>
      <c r="FUN67"/>
      <c r="FUO67"/>
      <c r="FUP67"/>
      <c r="FUQ67"/>
      <c r="FUR67"/>
      <c r="FUS67"/>
      <c r="FUT67"/>
      <c r="FUU67"/>
      <c r="FUV67"/>
      <c r="FUW67"/>
      <c r="FUX67"/>
      <c r="FUY67"/>
      <c r="FUZ67"/>
      <c r="FVA67"/>
      <c r="FVB67"/>
      <c r="FVC67"/>
      <c r="FVD67"/>
      <c r="FVE67"/>
      <c r="FVF67"/>
      <c r="FVG67"/>
      <c r="FVH67"/>
      <c r="FVI67"/>
      <c r="FVJ67"/>
      <c r="FVK67"/>
      <c r="FVL67"/>
      <c r="FVM67"/>
      <c r="FVN67"/>
      <c r="FVO67"/>
      <c r="FVP67"/>
      <c r="FVQ67"/>
      <c r="FVR67"/>
      <c r="FVS67"/>
      <c r="FVT67"/>
      <c r="FVU67"/>
      <c r="FVV67"/>
      <c r="FVW67"/>
      <c r="FVX67"/>
      <c r="FVY67"/>
      <c r="FVZ67"/>
      <c r="FWA67"/>
      <c r="FWB67"/>
      <c r="FWC67"/>
      <c r="FWD67"/>
      <c r="FWE67"/>
      <c r="FWF67"/>
      <c r="FWG67"/>
      <c r="FWH67"/>
      <c r="FWI67"/>
      <c r="FWJ67"/>
      <c r="FWK67"/>
      <c r="FWL67"/>
      <c r="FWM67"/>
      <c r="FWN67"/>
      <c r="FWO67"/>
      <c r="FWP67"/>
      <c r="FWQ67"/>
      <c r="FWR67"/>
      <c r="FWS67"/>
      <c r="FWT67"/>
      <c r="FWU67"/>
      <c r="FWV67"/>
      <c r="FWW67"/>
      <c r="FWX67"/>
      <c r="FWY67"/>
      <c r="FWZ67"/>
      <c r="FXA67"/>
      <c r="FXB67"/>
      <c r="FXC67"/>
      <c r="FXD67"/>
      <c r="FXE67"/>
      <c r="FXF67"/>
      <c r="FXG67"/>
      <c r="FXH67"/>
      <c r="FXI67"/>
      <c r="FXJ67"/>
      <c r="FXK67"/>
      <c r="FXL67"/>
      <c r="FXM67"/>
      <c r="FXN67"/>
      <c r="FXO67"/>
      <c r="FXP67"/>
      <c r="FXQ67"/>
      <c r="FXR67"/>
      <c r="FXS67"/>
      <c r="FXT67"/>
      <c r="FXU67"/>
      <c r="FXV67"/>
      <c r="FXW67"/>
      <c r="FXX67"/>
      <c r="FXY67"/>
      <c r="FXZ67"/>
      <c r="FYA67"/>
      <c r="FYB67"/>
      <c r="FYC67"/>
      <c r="FYD67"/>
      <c r="FYE67"/>
      <c r="FYF67"/>
      <c r="FYG67"/>
      <c r="FYH67"/>
      <c r="FYI67"/>
      <c r="FYJ67"/>
      <c r="FYK67"/>
      <c r="FYL67"/>
      <c r="FYM67"/>
      <c r="FYN67"/>
      <c r="FYO67"/>
      <c r="FYP67"/>
      <c r="FYQ67"/>
      <c r="FYR67"/>
      <c r="FYS67"/>
      <c r="FYT67"/>
      <c r="FYU67"/>
      <c r="FYV67"/>
      <c r="FYW67"/>
      <c r="FYX67"/>
      <c r="FYY67"/>
      <c r="FYZ67"/>
      <c r="FZA67"/>
      <c r="FZB67"/>
      <c r="FZC67"/>
      <c r="FZD67"/>
      <c r="FZE67"/>
      <c r="FZF67"/>
      <c r="FZG67"/>
      <c r="FZH67"/>
      <c r="FZI67"/>
      <c r="FZJ67"/>
      <c r="FZK67"/>
      <c r="FZL67"/>
      <c r="FZM67"/>
      <c r="FZN67"/>
      <c r="FZO67"/>
      <c r="FZP67"/>
      <c r="FZQ67"/>
      <c r="FZR67"/>
      <c r="FZS67"/>
      <c r="FZT67"/>
      <c r="FZU67"/>
      <c r="FZV67"/>
      <c r="FZW67"/>
      <c r="FZX67"/>
      <c r="FZY67"/>
      <c r="FZZ67"/>
      <c r="GAA67"/>
      <c r="GAB67"/>
      <c r="GAC67"/>
      <c r="GAD67"/>
      <c r="GAE67"/>
      <c r="GAF67"/>
      <c r="GAG67"/>
      <c r="GAH67"/>
      <c r="GAI67"/>
      <c r="GAJ67"/>
      <c r="GAK67"/>
      <c r="GAL67"/>
      <c r="GAM67"/>
      <c r="GAN67"/>
      <c r="GAO67"/>
      <c r="GAP67"/>
      <c r="GAQ67"/>
      <c r="GAR67"/>
      <c r="GAS67"/>
      <c r="GAT67"/>
      <c r="GAU67"/>
      <c r="GAV67"/>
      <c r="GAW67"/>
      <c r="GAX67"/>
      <c r="GAY67"/>
      <c r="GAZ67"/>
      <c r="GBA67"/>
      <c r="GBB67"/>
      <c r="GBC67"/>
      <c r="GBD67"/>
      <c r="GBE67"/>
      <c r="GBF67"/>
      <c r="GBG67"/>
      <c r="GBH67"/>
      <c r="GBI67"/>
      <c r="GBJ67"/>
      <c r="GBK67"/>
      <c r="GBL67"/>
      <c r="GBM67"/>
      <c r="GBN67"/>
      <c r="GBO67"/>
      <c r="GBP67"/>
      <c r="GBQ67"/>
      <c r="GBR67"/>
      <c r="GBS67"/>
      <c r="GBT67"/>
      <c r="GBU67"/>
      <c r="GBV67"/>
      <c r="GBW67"/>
      <c r="GBX67"/>
      <c r="GBY67"/>
      <c r="GBZ67"/>
      <c r="GCA67"/>
      <c r="GCB67"/>
      <c r="GCC67"/>
      <c r="GCD67"/>
      <c r="GCE67"/>
      <c r="GCF67"/>
      <c r="GCG67"/>
      <c r="GCH67"/>
      <c r="GCI67"/>
      <c r="GCJ67"/>
      <c r="GCK67"/>
      <c r="GCL67"/>
      <c r="GCM67"/>
      <c r="GCN67"/>
      <c r="GCO67"/>
      <c r="GCP67"/>
      <c r="GCQ67"/>
      <c r="GCR67"/>
      <c r="GCS67"/>
      <c r="GCT67"/>
      <c r="GCU67"/>
      <c r="GCV67"/>
      <c r="GCW67"/>
      <c r="GCX67"/>
      <c r="GCY67"/>
      <c r="GCZ67"/>
      <c r="GDA67"/>
      <c r="GDB67"/>
      <c r="GDC67"/>
      <c r="GDD67"/>
      <c r="GDE67"/>
      <c r="GDF67"/>
      <c r="GDG67"/>
      <c r="GDH67"/>
      <c r="GDI67"/>
      <c r="GDJ67"/>
      <c r="GDK67"/>
      <c r="GDL67"/>
      <c r="GDM67"/>
      <c r="GDN67"/>
      <c r="GDO67"/>
      <c r="GDP67"/>
      <c r="GDQ67"/>
      <c r="GDR67"/>
      <c r="GDS67"/>
      <c r="GDT67"/>
      <c r="GDU67"/>
      <c r="GDV67"/>
      <c r="GDW67"/>
      <c r="GDX67"/>
      <c r="GDY67"/>
      <c r="GDZ67"/>
      <c r="GEA67"/>
      <c r="GEB67"/>
      <c r="GEC67"/>
      <c r="GED67"/>
      <c r="GEE67"/>
      <c r="GEF67"/>
      <c r="GEG67"/>
      <c r="GEH67"/>
      <c r="GEI67"/>
      <c r="GEJ67"/>
      <c r="GEK67"/>
      <c r="GEL67"/>
      <c r="GEM67"/>
      <c r="GEN67"/>
      <c r="GEO67"/>
      <c r="GEP67"/>
      <c r="GEQ67"/>
      <c r="GER67"/>
      <c r="GES67"/>
      <c r="GET67"/>
      <c r="GEU67"/>
      <c r="GEV67"/>
      <c r="GEW67"/>
      <c r="GEX67"/>
      <c r="GEY67"/>
      <c r="GEZ67"/>
      <c r="GFA67"/>
      <c r="GFB67"/>
      <c r="GFC67"/>
      <c r="GFD67"/>
      <c r="GFE67"/>
      <c r="GFF67"/>
      <c r="GFG67"/>
      <c r="GFH67"/>
      <c r="GFI67"/>
      <c r="GFJ67"/>
      <c r="GFK67"/>
      <c r="GFL67"/>
      <c r="GFM67"/>
      <c r="GFN67"/>
      <c r="GFO67"/>
      <c r="GFP67"/>
      <c r="GFQ67"/>
      <c r="GFR67"/>
      <c r="GFS67"/>
      <c r="GFT67"/>
      <c r="GFU67"/>
      <c r="GFV67"/>
      <c r="GFW67"/>
      <c r="GFX67"/>
      <c r="GFY67"/>
      <c r="GFZ67"/>
      <c r="GGA67"/>
      <c r="GGB67"/>
      <c r="GGC67"/>
      <c r="GGD67"/>
      <c r="GGE67"/>
      <c r="GGF67"/>
      <c r="GGG67"/>
      <c r="GGH67"/>
      <c r="GGI67"/>
      <c r="GGJ67"/>
      <c r="GGK67"/>
      <c r="GGL67"/>
      <c r="GGM67"/>
      <c r="GGN67"/>
      <c r="GGO67"/>
      <c r="GGP67"/>
      <c r="GGQ67"/>
      <c r="GGR67"/>
      <c r="GGS67"/>
      <c r="GGT67"/>
      <c r="GGU67"/>
      <c r="GGV67"/>
      <c r="GGW67"/>
      <c r="GGX67"/>
      <c r="GGY67"/>
      <c r="GGZ67"/>
      <c r="GHA67"/>
      <c r="GHB67"/>
      <c r="GHC67"/>
      <c r="GHD67"/>
      <c r="GHE67"/>
      <c r="GHF67"/>
      <c r="GHG67"/>
      <c r="GHH67"/>
      <c r="GHI67"/>
      <c r="GHJ67"/>
      <c r="GHK67"/>
      <c r="GHL67"/>
      <c r="GHM67"/>
      <c r="GHN67"/>
      <c r="GHO67"/>
      <c r="GHP67"/>
      <c r="GHQ67"/>
      <c r="GHR67"/>
      <c r="GHS67"/>
      <c r="GHT67"/>
      <c r="GHU67"/>
      <c r="GHV67"/>
      <c r="GHW67"/>
      <c r="GHX67"/>
      <c r="GHY67"/>
      <c r="GHZ67"/>
      <c r="GIA67"/>
      <c r="GIB67"/>
      <c r="GIC67"/>
      <c r="GID67"/>
      <c r="GIE67"/>
      <c r="GIF67"/>
      <c r="GIG67"/>
      <c r="GIH67"/>
      <c r="GII67"/>
      <c r="GIJ67"/>
      <c r="GIK67"/>
      <c r="GIL67"/>
      <c r="GIM67"/>
      <c r="GIN67"/>
      <c r="GIO67"/>
      <c r="GIP67"/>
      <c r="GIQ67"/>
      <c r="GIR67"/>
      <c r="GIS67"/>
      <c r="GIT67"/>
      <c r="GIU67"/>
      <c r="GIV67"/>
      <c r="GIW67"/>
      <c r="GIX67"/>
      <c r="GIY67"/>
      <c r="GIZ67"/>
      <c r="GJA67"/>
      <c r="GJB67"/>
      <c r="GJC67"/>
      <c r="GJD67"/>
      <c r="GJE67"/>
      <c r="GJF67"/>
      <c r="GJG67"/>
      <c r="GJH67"/>
      <c r="GJI67"/>
      <c r="GJJ67"/>
      <c r="GJK67"/>
      <c r="GJL67"/>
      <c r="GJM67"/>
      <c r="GJN67"/>
      <c r="GJO67"/>
      <c r="GJP67"/>
      <c r="GJQ67"/>
      <c r="GJR67"/>
      <c r="GJS67"/>
      <c r="GJT67"/>
      <c r="GJU67"/>
      <c r="GJV67"/>
      <c r="GJW67"/>
      <c r="GJX67"/>
      <c r="GJY67"/>
      <c r="GJZ67"/>
      <c r="GKA67"/>
      <c r="GKB67"/>
      <c r="GKC67"/>
      <c r="GKD67"/>
      <c r="GKE67"/>
      <c r="GKF67"/>
      <c r="GKG67"/>
      <c r="GKH67"/>
      <c r="GKI67"/>
      <c r="GKJ67"/>
      <c r="GKK67"/>
      <c r="GKL67"/>
      <c r="GKM67"/>
      <c r="GKN67"/>
      <c r="GKO67"/>
      <c r="GKP67"/>
      <c r="GKQ67"/>
      <c r="GKR67"/>
      <c r="GKS67"/>
      <c r="GKT67"/>
      <c r="GKU67"/>
      <c r="GKV67"/>
      <c r="GKW67"/>
      <c r="GKX67"/>
      <c r="GKY67"/>
      <c r="GKZ67"/>
      <c r="GLA67"/>
      <c r="GLB67"/>
      <c r="GLC67"/>
      <c r="GLD67"/>
      <c r="GLE67"/>
      <c r="GLF67"/>
      <c r="GLG67"/>
      <c r="GLH67"/>
      <c r="GLI67"/>
      <c r="GLJ67"/>
      <c r="GLK67"/>
      <c r="GLL67"/>
      <c r="GLM67"/>
      <c r="GLN67"/>
      <c r="GLO67"/>
      <c r="GLP67"/>
      <c r="GLQ67"/>
      <c r="GLR67"/>
      <c r="GLS67"/>
      <c r="GLT67"/>
      <c r="GLU67"/>
      <c r="GLV67"/>
      <c r="GLW67"/>
      <c r="GLX67"/>
      <c r="GLY67"/>
      <c r="GLZ67"/>
      <c r="GMA67"/>
      <c r="GMB67"/>
      <c r="GMC67"/>
      <c r="GMD67"/>
      <c r="GME67"/>
      <c r="GMF67"/>
      <c r="GMG67"/>
      <c r="GMH67"/>
      <c r="GMI67"/>
      <c r="GMJ67"/>
      <c r="GMK67"/>
      <c r="GML67"/>
      <c r="GMM67"/>
      <c r="GMN67"/>
      <c r="GMO67"/>
      <c r="GMP67"/>
      <c r="GMQ67"/>
      <c r="GMR67"/>
      <c r="GMS67"/>
      <c r="GMT67"/>
      <c r="GMU67"/>
      <c r="GMV67"/>
      <c r="GMW67"/>
      <c r="GMX67"/>
      <c r="GMY67"/>
      <c r="GMZ67"/>
      <c r="GNA67"/>
      <c r="GNB67"/>
      <c r="GNC67"/>
      <c r="GND67"/>
      <c r="GNE67"/>
      <c r="GNF67"/>
      <c r="GNG67"/>
      <c r="GNH67"/>
      <c r="GNI67"/>
      <c r="GNJ67"/>
      <c r="GNK67"/>
      <c r="GNL67"/>
      <c r="GNM67"/>
      <c r="GNN67"/>
      <c r="GNO67"/>
      <c r="GNP67"/>
      <c r="GNQ67"/>
      <c r="GNR67"/>
      <c r="GNS67"/>
      <c r="GNT67"/>
      <c r="GNU67"/>
      <c r="GNV67"/>
      <c r="GNW67"/>
      <c r="GNX67"/>
      <c r="GNY67"/>
      <c r="GNZ67"/>
      <c r="GOA67"/>
      <c r="GOB67"/>
      <c r="GOC67"/>
      <c r="GOD67"/>
      <c r="GOE67"/>
      <c r="GOF67"/>
      <c r="GOG67"/>
      <c r="GOH67"/>
      <c r="GOI67"/>
      <c r="GOJ67"/>
      <c r="GOK67"/>
      <c r="GOL67"/>
      <c r="GOM67"/>
      <c r="GON67"/>
      <c r="GOO67"/>
      <c r="GOP67"/>
      <c r="GOQ67"/>
      <c r="GOR67"/>
      <c r="GOS67"/>
      <c r="GOT67"/>
      <c r="GOU67"/>
      <c r="GOV67"/>
      <c r="GOW67"/>
      <c r="GOX67"/>
      <c r="GOY67"/>
      <c r="GOZ67"/>
      <c r="GPA67"/>
      <c r="GPB67"/>
      <c r="GPC67"/>
      <c r="GPD67"/>
      <c r="GPE67"/>
      <c r="GPF67"/>
      <c r="GPG67"/>
      <c r="GPH67"/>
      <c r="GPI67"/>
      <c r="GPJ67"/>
      <c r="GPK67"/>
      <c r="GPL67"/>
      <c r="GPM67"/>
      <c r="GPN67"/>
      <c r="GPO67"/>
      <c r="GPP67"/>
      <c r="GPQ67"/>
      <c r="GPR67"/>
      <c r="GPS67"/>
      <c r="GPT67"/>
      <c r="GPU67"/>
      <c r="GPV67"/>
      <c r="GPW67"/>
      <c r="GPX67"/>
      <c r="GPY67"/>
      <c r="GPZ67"/>
      <c r="GQA67"/>
      <c r="GQB67"/>
      <c r="GQC67"/>
      <c r="GQD67"/>
      <c r="GQE67"/>
      <c r="GQF67"/>
      <c r="GQG67"/>
      <c r="GQH67"/>
      <c r="GQI67"/>
      <c r="GQJ67"/>
      <c r="GQK67"/>
      <c r="GQL67"/>
      <c r="GQM67"/>
      <c r="GQN67"/>
      <c r="GQO67"/>
      <c r="GQP67"/>
      <c r="GQQ67"/>
      <c r="GQR67"/>
      <c r="GQS67"/>
      <c r="GQT67"/>
      <c r="GQU67"/>
      <c r="GQV67"/>
      <c r="GQW67"/>
      <c r="GQX67"/>
      <c r="GQY67"/>
      <c r="GQZ67"/>
      <c r="GRA67"/>
      <c r="GRB67"/>
      <c r="GRC67"/>
      <c r="GRD67"/>
      <c r="GRE67"/>
      <c r="GRF67"/>
      <c r="GRG67"/>
      <c r="GRH67"/>
      <c r="GRI67"/>
      <c r="GRJ67"/>
      <c r="GRK67"/>
      <c r="GRL67"/>
      <c r="GRM67"/>
      <c r="GRN67"/>
      <c r="GRO67"/>
      <c r="GRP67"/>
      <c r="GRQ67"/>
      <c r="GRR67"/>
      <c r="GRS67"/>
      <c r="GRT67"/>
      <c r="GRU67"/>
      <c r="GRV67"/>
      <c r="GRW67"/>
      <c r="GRX67"/>
      <c r="GRY67"/>
      <c r="GRZ67"/>
      <c r="GSA67"/>
      <c r="GSB67"/>
      <c r="GSC67"/>
      <c r="GSD67"/>
      <c r="GSE67"/>
      <c r="GSF67"/>
      <c r="GSG67"/>
      <c r="GSH67"/>
      <c r="GSI67"/>
      <c r="GSJ67"/>
      <c r="GSK67"/>
      <c r="GSL67"/>
      <c r="GSM67"/>
      <c r="GSN67"/>
      <c r="GSO67"/>
      <c r="GSP67"/>
      <c r="GSQ67"/>
      <c r="GSR67"/>
      <c r="GSS67"/>
      <c r="GST67"/>
      <c r="GSU67"/>
      <c r="GSV67"/>
      <c r="GSW67"/>
      <c r="GSX67"/>
      <c r="GSY67"/>
      <c r="GSZ67"/>
      <c r="GTA67"/>
      <c r="GTB67"/>
      <c r="GTC67"/>
      <c r="GTD67"/>
      <c r="GTE67"/>
      <c r="GTF67"/>
      <c r="GTG67"/>
      <c r="GTH67"/>
      <c r="GTI67"/>
      <c r="GTJ67"/>
      <c r="GTK67"/>
      <c r="GTL67"/>
      <c r="GTM67"/>
      <c r="GTN67"/>
      <c r="GTO67"/>
      <c r="GTP67"/>
      <c r="GTQ67"/>
      <c r="GTR67"/>
      <c r="GTS67"/>
      <c r="GTT67"/>
      <c r="GTU67"/>
      <c r="GTV67"/>
      <c r="GTW67"/>
      <c r="GTX67"/>
      <c r="GTY67"/>
      <c r="GTZ67"/>
      <c r="GUA67"/>
      <c r="GUB67"/>
      <c r="GUC67"/>
      <c r="GUD67"/>
      <c r="GUE67"/>
      <c r="GUF67"/>
      <c r="GUG67"/>
      <c r="GUH67"/>
      <c r="GUI67"/>
      <c r="GUJ67"/>
      <c r="GUK67"/>
      <c r="GUL67"/>
      <c r="GUM67"/>
      <c r="GUN67"/>
      <c r="GUO67"/>
      <c r="GUP67"/>
      <c r="GUQ67"/>
      <c r="GUR67"/>
      <c r="GUS67"/>
      <c r="GUT67"/>
      <c r="GUU67"/>
      <c r="GUV67"/>
      <c r="GUW67"/>
      <c r="GUX67"/>
      <c r="GUY67"/>
      <c r="GUZ67"/>
      <c r="GVA67"/>
      <c r="GVB67"/>
      <c r="GVC67"/>
      <c r="GVD67"/>
      <c r="GVE67"/>
      <c r="GVF67"/>
      <c r="GVG67"/>
      <c r="GVH67"/>
      <c r="GVI67"/>
      <c r="GVJ67"/>
      <c r="GVK67"/>
      <c r="GVL67"/>
      <c r="GVM67"/>
      <c r="GVN67"/>
      <c r="GVO67"/>
      <c r="GVP67"/>
      <c r="GVQ67"/>
      <c r="GVR67"/>
      <c r="GVS67"/>
      <c r="GVT67"/>
      <c r="GVU67"/>
      <c r="GVV67"/>
      <c r="GVW67"/>
      <c r="GVX67"/>
      <c r="GVY67"/>
      <c r="GVZ67"/>
      <c r="GWA67"/>
      <c r="GWB67"/>
      <c r="GWC67"/>
      <c r="GWD67"/>
      <c r="GWE67"/>
      <c r="GWF67"/>
      <c r="GWG67"/>
      <c r="GWH67"/>
      <c r="GWI67"/>
      <c r="GWJ67"/>
      <c r="GWK67"/>
      <c r="GWL67"/>
      <c r="GWM67"/>
      <c r="GWN67"/>
      <c r="GWO67"/>
      <c r="GWP67"/>
      <c r="GWQ67"/>
      <c r="GWR67"/>
      <c r="GWS67"/>
      <c r="GWT67"/>
      <c r="GWU67"/>
      <c r="GWV67"/>
      <c r="GWW67"/>
      <c r="GWX67"/>
      <c r="GWY67"/>
      <c r="GWZ67"/>
      <c r="GXA67"/>
      <c r="GXB67"/>
      <c r="GXC67"/>
      <c r="GXD67"/>
      <c r="GXE67"/>
      <c r="GXF67"/>
      <c r="GXG67"/>
      <c r="GXH67"/>
      <c r="GXI67"/>
      <c r="GXJ67"/>
      <c r="GXK67"/>
      <c r="GXL67"/>
      <c r="GXM67"/>
      <c r="GXN67"/>
      <c r="GXO67"/>
      <c r="GXP67"/>
      <c r="GXQ67"/>
      <c r="GXR67"/>
      <c r="GXS67"/>
      <c r="GXT67"/>
      <c r="GXU67"/>
      <c r="GXV67"/>
      <c r="GXW67"/>
      <c r="GXX67"/>
      <c r="GXY67"/>
      <c r="GXZ67"/>
      <c r="GYA67"/>
      <c r="GYB67"/>
      <c r="GYC67"/>
      <c r="GYD67"/>
      <c r="GYE67"/>
      <c r="GYF67"/>
      <c r="GYG67"/>
      <c r="GYH67"/>
      <c r="GYI67"/>
      <c r="GYJ67"/>
      <c r="GYK67"/>
      <c r="GYL67"/>
      <c r="GYM67"/>
      <c r="GYN67"/>
      <c r="GYO67"/>
      <c r="GYP67"/>
      <c r="GYQ67"/>
      <c r="GYR67"/>
      <c r="GYS67"/>
      <c r="GYT67"/>
      <c r="GYU67"/>
      <c r="GYV67"/>
      <c r="GYW67"/>
      <c r="GYX67"/>
      <c r="GYY67"/>
      <c r="GYZ67"/>
      <c r="GZA67"/>
      <c r="GZB67"/>
      <c r="GZC67"/>
      <c r="GZD67"/>
      <c r="GZE67"/>
      <c r="GZF67"/>
      <c r="GZG67"/>
      <c r="GZH67"/>
      <c r="GZI67"/>
      <c r="GZJ67"/>
      <c r="GZK67"/>
      <c r="GZL67"/>
      <c r="GZM67"/>
      <c r="GZN67"/>
      <c r="GZO67"/>
      <c r="GZP67"/>
      <c r="GZQ67"/>
      <c r="GZR67"/>
      <c r="GZS67"/>
      <c r="GZT67"/>
      <c r="GZU67"/>
      <c r="GZV67"/>
      <c r="GZW67"/>
      <c r="GZX67"/>
      <c r="GZY67"/>
      <c r="GZZ67"/>
      <c r="HAA67"/>
      <c r="HAB67"/>
      <c r="HAC67"/>
      <c r="HAD67"/>
      <c r="HAE67"/>
      <c r="HAF67"/>
      <c r="HAG67"/>
      <c r="HAH67"/>
      <c r="HAI67"/>
      <c r="HAJ67"/>
      <c r="HAK67"/>
      <c r="HAL67"/>
      <c r="HAM67"/>
      <c r="HAN67"/>
      <c r="HAO67"/>
      <c r="HAP67"/>
      <c r="HAQ67"/>
      <c r="HAR67"/>
      <c r="HAS67"/>
      <c r="HAT67"/>
      <c r="HAU67"/>
      <c r="HAV67"/>
      <c r="HAW67"/>
      <c r="HAX67"/>
      <c r="HAY67"/>
      <c r="HAZ67"/>
      <c r="HBA67"/>
      <c r="HBB67"/>
      <c r="HBC67"/>
      <c r="HBD67"/>
      <c r="HBE67"/>
      <c r="HBF67"/>
      <c r="HBG67"/>
      <c r="HBH67"/>
      <c r="HBI67"/>
      <c r="HBJ67"/>
      <c r="HBK67"/>
      <c r="HBL67"/>
      <c r="HBM67"/>
      <c r="HBN67"/>
      <c r="HBO67"/>
      <c r="HBP67"/>
      <c r="HBQ67"/>
      <c r="HBR67"/>
      <c r="HBS67"/>
      <c r="HBT67"/>
      <c r="HBU67"/>
      <c r="HBV67"/>
      <c r="HBW67"/>
      <c r="HBX67"/>
      <c r="HBY67"/>
      <c r="HBZ67"/>
      <c r="HCA67"/>
      <c r="HCB67"/>
      <c r="HCC67"/>
      <c r="HCD67"/>
      <c r="HCE67"/>
      <c r="HCF67"/>
      <c r="HCG67"/>
      <c r="HCH67"/>
      <c r="HCI67"/>
      <c r="HCJ67"/>
      <c r="HCK67"/>
      <c r="HCL67"/>
      <c r="HCM67"/>
      <c r="HCN67"/>
      <c r="HCO67"/>
      <c r="HCP67"/>
      <c r="HCQ67"/>
      <c r="HCR67"/>
      <c r="HCS67"/>
      <c r="HCT67"/>
      <c r="HCU67"/>
      <c r="HCV67"/>
      <c r="HCW67"/>
      <c r="HCX67"/>
      <c r="HCY67"/>
      <c r="HCZ67"/>
      <c r="HDA67"/>
      <c r="HDB67"/>
      <c r="HDC67"/>
      <c r="HDD67"/>
      <c r="HDE67"/>
      <c r="HDF67"/>
      <c r="HDG67"/>
      <c r="HDH67"/>
      <c r="HDI67"/>
      <c r="HDJ67"/>
      <c r="HDK67"/>
      <c r="HDL67"/>
      <c r="HDM67"/>
      <c r="HDN67"/>
      <c r="HDO67"/>
      <c r="HDP67"/>
      <c r="HDQ67"/>
      <c r="HDR67"/>
      <c r="HDS67"/>
      <c r="HDT67"/>
      <c r="HDU67"/>
      <c r="HDV67"/>
      <c r="HDW67"/>
      <c r="HDX67"/>
      <c r="HDY67"/>
      <c r="HDZ67"/>
      <c r="HEA67"/>
      <c r="HEB67"/>
      <c r="HEC67"/>
      <c r="HED67"/>
      <c r="HEE67"/>
      <c r="HEF67"/>
      <c r="HEG67"/>
      <c r="HEH67"/>
      <c r="HEI67"/>
      <c r="HEJ67"/>
      <c r="HEK67"/>
      <c r="HEL67"/>
      <c r="HEM67"/>
      <c r="HEN67"/>
      <c r="HEO67"/>
      <c r="HEP67"/>
      <c r="HEQ67"/>
      <c r="HER67"/>
      <c r="HES67"/>
      <c r="HET67"/>
      <c r="HEU67"/>
      <c r="HEV67"/>
      <c r="HEW67"/>
      <c r="HEX67"/>
      <c r="HEY67"/>
      <c r="HEZ67"/>
      <c r="HFA67"/>
      <c r="HFB67"/>
      <c r="HFC67"/>
      <c r="HFD67"/>
      <c r="HFE67"/>
      <c r="HFF67"/>
      <c r="HFG67"/>
      <c r="HFH67"/>
      <c r="HFI67"/>
      <c r="HFJ67"/>
      <c r="HFK67"/>
      <c r="HFL67"/>
      <c r="HFM67"/>
      <c r="HFN67"/>
      <c r="HFO67"/>
      <c r="HFP67"/>
      <c r="HFQ67"/>
      <c r="HFR67"/>
      <c r="HFS67"/>
      <c r="HFT67"/>
      <c r="HFU67"/>
      <c r="HFV67"/>
      <c r="HFW67"/>
      <c r="HFX67"/>
      <c r="HFY67"/>
      <c r="HFZ67"/>
      <c r="HGA67"/>
      <c r="HGB67"/>
      <c r="HGC67"/>
      <c r="HGD67"/>
      <c r="HGE67"/>
      <c r="HGF67"/>
      <c r="HGG67"/>
      <c r="HGH67"/>
      <c r="HGI67"/>
      <c r="HGJ67"/>
      <c r="HGK67"/>
      <c r="HGL67"/>
      <c r="HGM67"/>
      <c r="HGN67"/>
      <c r="HGO67"/>
      <c r="HGP67"/>
      <c r="HGQ67"/>
      <c r="HGR67"/>
      <c r="HGS67"/>
      <c r="HGT67"/>
      <c r="HGU67"/>
      <c r="HGV67"/>
      <c r="HGW67"/>
      <c r="HGX67"/>
      <c r="HGY67"/>
      <c r="HGZ67"/>
      <c r="HHA67"/>
      <c r="HHB67"/>
      <c r="HHC67"/>
      <c r="HHD67"/>
      <c r="HHE67"/>
      <c r="HHF67"/>
      <c r="HHG67"/>
      <c r="HHH67"/>
      <c r="HHI67"/>
      <c r="HHJ67"/>
      <c r="HHK67"/>
      <c r="HHL67"/>
      <c r="HHM67"/>
      <c r="HHN67"/>
      <c r="HHO67"/>
      <c r="HHP67"/>
      <c r="HHQ67"/>
      <c r="HHR67"/>
      <c r="HHS67"/>
      <c r="HHT67"/>
      <c r="HHU67"/>
      <c r="HHV67"/>
      <c r="HHW67"/>
      <c r="HHX67"/>
      <c r="HHY67"/>
      <c r="HHZ67"/>
      <c r="HIA67"/>
      <c r="HIB67"/>
      <c r="HIC67"/>
      <c r="HID67"/>
      <c r="HIE67"/>
      <c r="HIF67"/>
      <c r="HIG67"/>
      <c r="HIH67"/>
      <c r="HII67"/>
      <c r="HIJ67"/>
      <c r="HIK67"/>
      <c r="HIL67"/>
      <c r="HIM67"/>
      <c r="HIN67"/>
      <c r="HIO67"/>
      <c r="HIP67"/>
      <c r="HIQ67"/>
      <c r="HIR67"/>
      <c r="HIS67"/>
      <c r="HIT67"/>
      <c r="HIU67"/>
      <c r="HIV67"/>
      <c r="HIW67"/>
      <c r="HIX67"/>
      <c r="HIY67"/>
      <c r="HIZ67"/>
      <c r="HJA67"/>
      <c r="HJB67"/>
      <c r="HJC67"/>
      <c r="HJD67"/>
      <c r="HJE67"/>
      <c r="HJF67"/>
      <c r="HJG67"/>
      <c r="HJH67"/>
      <c r="HJI67"/>
      <c r="HJJ67"/>
      <c r="HJK67"/>
      <c r="HJL67"/>
      <c r="HJM67"/>
      <c r="HJN67"/>
      <c r="HJO67"/>
      <c r="HJP67"/>
      <c r="HJQ67"/>
      <c r="HJR67"/>
      <c r="HJS67"/>
      <c r="HJT67"/>
      <c r="HJU67"/>
      <c r="HJV67"/>
      <c r="HJW67"/>
      <c r="HJX67"/>
      <c r="HJY67"/>
      <c r="HJZ67"/>
      <c r="HKA67"/>
      <c r="HKB67"/>
      <c r="HKC67"/>
      <c r="HKD67"/>
      <c r="HKE67"/>
      <c r="HKF67"/>
      <c r="HKG67"/>
      <c r="HKH67"/>
      <c r="HKI67"/>
      <c r="HKJ67"/>
      <c r="HKK67"/>
      <c r="HKL67"/>
      <c r="HKM67"/>
      <c r="HKN67"/>
      <c r="HKO67"/>
      <c r="HKP67"/>
      <c r="HKQ67"/>
      <c r="HKR67"/>
      <c r="HKS67"/>
      <c r="HKT67"/>
      <c r="HKU67"/>
      <c r="HKV67"/>
      <c r="HKW67"/>
      <c r="HKX67"/>
      <c r="HKY67"/>
      <c r="HKZ67"/>
      <c r="HLA67"/>
      <c r="HLB67"/>
      <c r="HLC67"/>
      <c r="HLD67"/>
      <c r="HLE67"/>
      <c r="HLF67"/>
      <c r="HLG67"/>
      <c r="HLH67"/>
      <c r="HLI67"/>
      <c r="HLJ67"/>
      <c r="HLK67"/>
      <c r="HLL67"/>
      <c r="HLM67"/>
      <c r="HLN67"/>
      <c r="HLO67"/>
      <c r="HLP67"/>
      <c r="HLQ67"/>
      <c r="HLR67"/>
      <c r="HLS67"/>
      <c r="HLT67"/>
      <c r="HLU67"/>
      <c r="HLV67"/>
      <c r="HLW67"/>
      <c r="HLX67"/>
      <c r="HLY67"/>
      <c r="HLZ67"/>
      <c r="HMA67"/>
      <c r="HMB67"/>
      <c r="HMC67"/>
      <c r="HMD67"/>
      <c r="HME67"/>
      <c r="HMF67"/>
      <c r="HMG67"/>
      <c r="HMH67"/>
      <c r="HMI67"/>
      <c r="HMJ67"/>
      <c r="HMK67"/>
      <c r="HML67"/>
      <c r="HMM67"/>
      <c r="HMN67"/>
      <c r="HMO67"/>
      <c r="HMP67"/>
      <c r="HMQ67"/>
      <c r="HMR67"/>
      <c r="HMS67"/>
      <c r="HMT67"/>
      <c r="HMU67"/>
      <c r="HMV67"/>
      <c r="HMW67"/>
      <c r="HMX67"/>
      <c r="HMY67"/>
      <c r="HMZ67"/>
      <c r="HNA67"/>
      <c r="HNB67"/>
      <c r="HNC67"/>
      <c r="HND67"/>
      <c r="HNE67"/>
      <c r="HNF67"/>
      <c r="HNG67"/>
      <c r="HNH67"/>
      <c r="HNI67"/>
      <c r="HNJ67"/>
      <c r="HNK67"/>
      <c r="HNL67"/>
      <c r="HNM67"/>
      <c r="HNN67"/>
      <c r="HNO67"/>
      <c r="HNP67"/>
      <c r="HNQ67"/>
      <c r="HNR67"/>
      <c r="HNS67"/>
      <c r="HNT67"/>
      <c r="HNU67"/>
      <c r="HNV67"/>
      <c r="HNW67"/>
      <c r="HNX67"/>
      <c r="HNY67"/>
      <c r="HNZ67"/>
      <c r="HOA67"/>
      <c r="HOB67"/>
      <c r="HOC67"/>
      <c r="HOD67"/>
      <c r="HOE67"/>
      <c r="HOF67"/>
      <c r="HOG67"/>
      <c r="HOH67"/>
      <c r="HOI67"/>
      <c r="HOJ67"/>
      <c r="HOK67"/>
      <c r="HOL67"/>
      <c r="HOM67"/>
      <c r="HON67"/>
      <c r="HOO67"/>
      <c r="HOP67"/>
      <c r="HOQ67"/>
      <c r="HOR67"/>
      <c r="HOS67"/>
      <c r="HOT67"/>
      <c r="HOU67"/>
      <c r="HOV67"/>
      <c r="HOW67"/>
      <c r="HOX67"/>
      <c r="HOY67"/>
      <c r="HOZ67"/>
      <c r="HPA67"/>
      <c r="HPB67"/>
      <c r="HPC67"/>
      <c r="HPD67"/>
      <c r="HPE67"/>
      <c r="HPF67"/>
      <c r="HPG67"/>
      <c r="HPH67"/>
      <c r="HPI67"/>
      <c r="HPJ67"/>
      <c r="HPK67"/>
      <c r="HPL67"/>
      <c r="HPM67"/>
      <c r="HPN67"/>
      <c r="HPO67"/>
      <c r="HPP67"/>
      <c r="HPQ67"/>
      <c r="HPR67"/>
      <c r="HPS67"/>
      <c r="HPT67"/>
      <c r="HPU67"/>
      <c r="HPV67"/>
      <c r="HPW67"/>
      <c r="HPX67"/>
      <c r="HPY67"/>
      <c r="HPZ67"/>
      <c r="HQA67"/>
      <c r="HQB67"/>
      <c r="HQC67"/>
      <c r="HQD67"/>
      <c r="HQE67"/>
      <c r="HQF67"/>
      <c r="HQG67"/>
      <c r="HQH67"/>
      <c r="HQI67"/>
      <c r="HQJ67"/>
      <c r="HQK67"/>
      <c r="HQL67"/>
      <c r="HQM67"/>
      <c r="HQN67"/>
      <c r="HQO67"/>
      <c r="HQP67"/>
      <c r="HQQ67"/>
      <c r="HQR67"/>
      <c r="HQS67"/>
      <c r="HQT67"/>
      <c r="HQU67"/>
      <c r="HQV67"/>
      <c r="HQW67"/>
      <c r="HQX67"/>
      <c r="HQY67"/>
      <c r="HQZ67"/>
      <c r="HRA67"/>
      <c r="HRB67"/>
      <c r="HRC67"/>
      <c r="HRD67"/>
      <c r="HRE67"/>
      <c r="HRF67"/>
      <c r="HRG67"/>
      <c r="HRH67"/>
      <c r="HRI67"/>
      <c r="HRJ67"/>
      <c r="HRK67"/>
      <c r="HRL67"/>
      <c r="HRM67"/>
      <c r="HRN67"/>
      <c r="HRO67"/>
      <c r="HRP67"/>
      <c r="HRQ67"/>
      <c r="HRR67"/>
      <c r="HRS67"/>
      <c r="HRT67"/>
      <c r="HRU67"/>
      <c r="HRV67"/>
      <c r="HRW67"/>
      <c r="HRX67"/>
      <c r="HRY67"/>
      <c r="HRZ67"/>
      <c r="HSA67"/>
      <c r="HSB67"/>
      <c r="HSC67"/>
      <c r="HSD67"/>
      <c r="HSE67"/>
      <c r="HSF67"/>
      <c r="HSG67"/>
      <c r="HSH67"/>
      <c r="HSI67"/>
      <c r="HSJ67"/>
      <c r="HSK67"/>
      <c r="HSL67"/>
      <c r="HSM67"/>
      <c r="HSN67"/>
      <c r="HSO67"/>
      <c r="HSP67"/>
      <c r="HSQ67"/>
      <c r="HSR67"/>
      <c r="HSS67"/>
      <c r="HST67"/>
      <c r="HSU67"/>
      <c r="HSV67"/>
      <c r="HSW67"/>
      <c r="HSX67"/>
      <c r="HSY67"/>
      <c r="HSZ67"/>
      <c r="HTA67"/>
      <c r="HTB67"/>
      <c r="HTC67"/>
      <c r="HTD67"/>
      <c r="HTE67"/>
      <c r="HTF67"/>
      <c r="HTG67"/>
      <c r="HTH67"/>
      <c r="HTI67"/>
      <c r="HTJ67"/>
      <c r="HTK67"/>
      <c r="HTL67"/>
      <c r="HTM67"/>
      <c r="HTN67"/>
      <c r="HTO67"/>
      <c r="HTP67"/>
      <c r="HTQ67"/>
      <c r="HTR67"/>
      <c r="HTS67"/>
      <c r="HTT67"/>
      <c r="HTU67"/>
      <c r="HTV67"/>
      <c r="HTW67"/>
      <c r="HTX67"/>
      <c r="HTY67"/>
      <c r="HTZ67"/>
      <c r="HUA67"/>
      <c r="HUB67"/>
      <c r="HUC67"/>
      <c r="HUD67"/>
      <c r="HUE67"/>
      <c r="HUF67"/>
      <c r="HUG67"/>
      <c r="HUH67"/>
      <c r="HUI67"/>
      <c r="HUJ67"/>
      <c r="HUK67"/>
      <c r="HUL67"/>
      <c r="HUM67"/>
      <c r="HUN67"/>
      <c r="HUO67"/>
      <c r="HUP67"/>
      <c r="HUQ67"/>
      <c r="HUR67"/>
      <c r="HUS67"/>
      <c r="HUT67"/>
      <c r="HUU67"/>
      <c r="HUV67"/>
      <c r="HUW67"/>
      <c r="HUX67"/>
      <c r="HUY67"/>
      <c r="HUZ67"/>
      <c r="HVA67"/>
      <c r="HVB67"/>
      <c r="HVC67"/>
      <c r="HVD67"/>
      <c r="HVE67"/>
      <c r="HVF67"/>
      <c r="HVG67"/>
      <c r="HVH67"/>
      <c r="HVI67"/>
      <c r="HVJ67"/>
      <c r="HVK67"/>
      <c r="HVL67"/>
      <c r="HVM67"/>
      <c r="HVN67"/>
      <c r="HVO67"/>
      <c r="HVP67"/>
      <c r="HVQ67"/>
      <c r="HVR67"/>
      <c r="HVS67"/>
      <c r="HVT67"/>
      <c r="HVU67"/>
      <c r="HVV67"/>
      <c r="HVW67"/>
      <c r="HVX67"/>
      <c r="HVY67"/>
      <c r="HVZ67"/>
      <c r="HWA67"/>
      <c r="HWB67"/>
      <c r="HWC67"/>
      <c r="HWD67"/>
      <c r="HWE67"/>
      <c r="HWF67"/>
      <c r="HWG67"/>
      <c r="HWH67"/>
      <c r="HWI67"/>
      <c r="HWJ67"/>
      <c r="HWK67"/>
      <c r="HWL67"/>
      <c r="HWM67"/>
      <c r="HWN67"/>
      <c r="HWO67"/>
      <c r="HWP67"/>
      <c r="HWQ67"/>
      <c r="HWR67"/>
      <c r="HWS67"/>
      <c r="HWT67"/>
      <c r="HWU67"/>
      <c r="HWV67"/>
      <c r="HWW67"/>
      <c r="HWX67"/>
      <c r="HWY67"/>
      <c r="HWZ67"/>
      <c r="HXA67"/>
      <c r="HXB67"/>
      <c r="HXC67"/>
      <c r="HXD67"/>
      <c r="HXE67"/>
      <c r="HXF67"/>
      <c r="HXG67"/>
      <c r="HXH67"/>
      <c r="HXI67"/>
      <c r="HXJ67"/>
      <c r="HXK67"/>
      <c r="HXL67"/>
      <c r="HXM67"/>
      <c r="HXN67"/>
      <c r="HXO67"/>
      <c r="HXP67"/>
      <c r="HXQ67"/>
      <c r="HXR67"/>
      <c r="HXS67"/>
      <c r="HXT67"/>
      <c r="HXU67"/>
      <c r="HXV67"/>
      <c r="HXW67"/>
      <c r="HXX67"/>
      <c r="HXY67"/>
      <c r="HXZ67"/>
      <c r="HYA67"/>
      <c r="HYB67"/>
      <c r="HYC67"/>
      <c r="HYD67"/>
      <c r="HYE67"/>
      <c r="HYF67"/>
      <c r="HYG67"/>
      <c r="HYH67"/>
      <c r="HYI67"/>
      <c r="HYJ67"/>
      <c r="HYK67"/>
      <c r="HYL67"/>
      <c r="HYM67"/>
      <c r="HYN67"/>
      <c r="HYO67"/>
      <c r="HYP67"/>
      <c r="HYQ67"/>
      <c r="HYR67"/>
      <c r="HYS67"/>
      <c r="HYT67"/>
      <c r="HYU67"/>
      <c r="HYV67"/>
      <c r="HYW67"/>
      <c r="HYX67"/>
      <c r="HYY67"/>
      <c r="HYZ67"/>
      <c r="HZA67"/>
      <c r="HZB67"/>
      <c r="HZC67"/>
      <c r="HZD67"/>
      <c r="HZE67"/>
      <c r="HZF67"/>
      <c r="HZG67"/>
      <c r="HZH67"/>
      <c r="HZI67"/>
      <c r="HZJ67"/>
      <c r="HZK67"/>
      <c r="HZL67"/>
      <c r="HZM67"/>
      <c r="HZN67"/>
      <c r="HZO67"/>
      <c r="HZP67"/>
      <c r="HZQ67"/>
      <c r="HZR67"/>
      <c r="HZS67"/>
      <c r="HZT67"/>
      <c r="HZU67"/>
      <c r="HZV67"/>
      <c r="HZW67"/>
      <c r="HZX67"/>
      <c r="HZY67"/>
      <c r="HZZ67"/>
      <c r="IAA67"/>
      <c r="IAB67"/>
      <c r="IAC67"/>
      <c r="IAD67"/>
      <c r="IAE67"/>
      <c r="IAF67"/>
      <c r="IAG67"/>
      <c r="IAH67"/>
      <c r="IAI67"/>
      <c r="IAJ67"/>
      <c r="IAK67"/>
      <c r="IAL67"/>
      <c r="IAM67"/>
      <c r="IAN67"/>
      <c r="IAO67"/>
      <c r="IAP67"/>
      <c r="IAQ67"/>
      <c r="IAR67"/>
      <c r="IAS67"/>
      <c r="IAT67"/>
      <c r="IAU67"/>
      <c r="IAV67"/>
      <c r="IAW67"/>
      <c r="IAX67"/>
      <c r="IAY67"/>
      <c r="IAZ67"/>
      <c r="IBA67"/>
      <c r="IBB67"/>
      <c r="IBC67"/>
      <c r="IBD67"/>
      <c r="IBE67"/>
      <c r="IBF67"/>
      <c r="IBG67"/>
      <c r="IBH67"/>
      <c r="IBI67"/>
      <c r="IBJ67"/>
      <c r="IBK67"/>
      <c r="IBL67"/>
      <c r="IBM67"/>
      <c r="IBN67"/>
      <c r="IBO67"/>
      <c r="IBP67"/>
      <c r="IBQ67"/>
      <c r="IBR67"/>
      <c r="IBS67"/>
      <c r="IBT67"/>
      <c r="IBU67"/>
      <c r="IBV67"/>
      <c r="IBW67"/>
      <c r="IBX67"/>
      <c r="IBY67"/>
      <c r="IBZ67"/>
      <c r="ICA67"/>
      <c r="ICB67"/>
      <c r="ICC67"/>
      <c r="ICD67"/>
      <c r="ICE67"/>
      <c r="ICF67"/>
      <c r="ICG67"/>
      <c r="ICH67"/>
      <c r="ICI67"/>
      <c r="ICJ67"/>
      <c r="ICK67"/>
      <c r="ICL67"/>
      <c r="ICM67"/>
      <c r="ICN67"/>
      <c r="ICO67"/>
      <c r="ICP67"/>
      <c r="ICQ67"/>
      <c r="ICR67"/>
      <c r="ICS67"/>
      <c r="ICT67"/>
      <c r="ICU67"/>
      <c r="ICV67"/>
      <c r="ICW67"/>
      <c r="ICX67"/>
      <c r="ICY67"/>
      <c r="ICZ67"/>
      <c r="IDA67"/>
      <c r="IDB67"/>
      <c r="IDC67"/>
      <c r="IDD67"/>
      <c r="IDE67"/>
      <c r="IDF67"/>
      <c r="IDG67"/>
      <c r="IDH67"/>
      <c r="IDI67"/>
      <c r="IDJ67"/>
      <c r="IDK67"/>
      <c r="IDL67"/>
      <c r="IDM67"/>
      <c r="IDN67"/>
      <c r="IDO67"/>
      <c r="IDP67"/>
      <c r="IDQ67"/>
      <c r="IDR67"/>
      <c r="IDS67"/>
      <c r="IDT67"/>
      <c r="IDU67"/>
      <c r="IDV67"/>
      <c r="IDW67"/>
      <c r="IDX67"/>
      <c r="IDY67"/>
      <c r="IDZ67"/>
      <c r="IEA67"/>
      <c r="IEB67"/>
      <c r="IEC67"/>
      <c r="IED67"/>
      <c r="IEE67"/>
      <c r="IEF67"/>
      <c r="IEG67"/>
      <c r="IEH67"/>
      <c r="IEI67"/>
      <c r="IEJ67"/>
      <c r="IEK67"/>
      <c r="IEL67"/>
      <c r="IEM67"/>
      <c r="IEN67"/>
      <c r="IEO67"/>
      <c r="IEP67"/>
      <c r="IEQ67"/>
      <c r="IER67"/>
      <c r="IES67"/>
      <c r="IET67"/>
      <c r="IEU67"/>
      <c r="IEV67"/>
      <c r="IEW67"/>
      <c r="IEX67"/>
      <c r="IEY67"/>
      <c r="IEZ67"/>
      <c r="IFA67"/>
      <c r="IFB67"/>
      <c r="IFC67"/>
      <c r="IFD67"/>
      <c r="IFE67"/>
      <c r="IFF67"/>
      <c r="IFG67"/>
      <c r="IFH67"/>
      <c r="IFI67"/>
      <c r="IFJ67"/>
      <c r="IFK67"/>
      <c r="IFL67"/>
      <c r="IFM67"/>
      <c r="IFN67"/>
      <c r="IFO67"/>
      <c r="IFP67"/>
      <c r="IFQ67"/>
      <c r="IFR67"/>
      <c r="IFS67"/>
      <c r="IFT67"/>
      <c r="IFU67"/>
      <c r="IFV67"/>
      <c r="IFW67"/>
      <c r="IFX67"/>
      <c r="IFY67"/>
      <c r="IFZ67"/>
      <c r="IGA67"/>
      <c r="IGB67"/>
      <c r="IGC67"/>
      <c r="IGD67"/>
      <c r="IGE67"/>
      <c r="IGF67"/>
      <c r="IGG67"/>
      <c r="IGH67"/>
      <c r="IGI67"/>
      <c r="IGJ67"/>
      <c r="IGK67"/>
      <c r="IGL67"/>
      <c r="IGM67"/>
      <c r="IGN67"/>
      <c r="IGO67"/>
      <c r="IGP67"/>
      <c r="IGQ67"/>
      <c r="IGR67"/>
      <c r="IGS67"/>
      <c r="IGT67"/>
      <c r="IGU67"/>
      <c r="IGV67"/>
      <c r="IGW67"/>
      <c r="IGX67"/>
      <c r="IGY67"/>
      <c r="IGZ67"/>
      <c r="IHA67"/>
      <c r="IHB67"/>
      <c r="IHC67"/>
      <c r="IHD67"/>
      <c r="IHE67"/>
      <c r="IHF67"/>
      <c r="IHG67"/>
      <c r="IHH67"/>
      <c r="IHI67"/>
      <c r="IHJ67"/>
      <c r="IHK67"/>
      <c r="IHL67"/>
      <c r="IHM67"/>
      <c r="IHN67"/>
      <c r="IHO67"/>
      <c r="IHP67"/>
      <c r="IHQ67"/>
      <c r="IHR67"/>
      <c r="IHS67"/>
      <c r="IHT67"/>
      <c r="IHU67"/>
      <c r="IHV67"/>
      <c r="IHW67"/>
      <c r="IHX67"/>
      <c r="IHY67"/>
      <c r="IHZ67"/>
      <c r="IIA67"/>
      <c r="IIB67"/>
      <c r="IIC67"/>
      <c r="IID67"/>
      <c r="IIE67"/>
      <c r="IIF67"/>
      <c r="IIG67"/>
      <c r="IIH67"/>
      <c r="III67"/>
      <c r="IIJ67"/>
      <c r="IIK67"/>
      <c r="IIL67"/>
      <c r="IIM67"/>
      <c r="IIN67"/>
      <c r="IIO67"/>
      <c r="IIP67"/>
      <c r="IIQ67"/>
      <c r="IIR67"/>
      <c r="IIS67"/>
      <c r="IIT67"/>
      <c r="IIU67"/>
      <c r="IIV67"/>
      <c r="IIW67"/>
      <c r="IIX67"/>
      <c r="IIY67"/>
      <c r="IIZ67"/>
      <c r="IJA67"/>
      <c r="IJB67"/>
      <c r="IJC67"/>
      <c r="IJD67"/>
      <c r="IJE67"/>
      <c r="IJF67"/>
      <c r="IJG67"/>
      <c r="IJH67"/>
      <c r="IJI67"/>
      <c r="IJJ67"/>
      <c r="IJK67"/>
      <c r="IJL67"/>
      <c r="IJM67"/>
      <c r="IJN67"/>
      <c r="IJO67"/>
      <c r="IJP67"/>
      <c r="IJQ67"/>
      <c r="IJR67"/>
      <c r="IJS67"/>
      <c r="IJT67"/>
      <c r="IJU67"/>
      <c r="IJV67"/>
      <c r="IJW67"/>
      <c r="IJX67"/>
      <c r="IJY67"/>
      <c r="IJZ67"/>
      <c r="IKA67"/>
      <c r="IKB67"/>
      <c r="IKC67"/>
      <c r="IKD67"/>
      <c r="IKE67"/>
      <c r="IKF67"/>
      <c r="IKG67"/>
      <c r="IKH67"/>
      <c r="IKI67"/>
      <c r="IKJ67"/>
      <c r="IKK67"/>
      <c r="IKL67"/>
      <c r="IKM67"/>
      <c r="IKN67"/>
      <c r="IKO67"/>
      <c r="IKP67"/>
      <c r="IKQ67"/>
      <c r="IKR67"/>
      <c r="IKS67"/>
      <c r="IKT67"/>
      <c r="IKU67"/>
      <c r="IKV67"/>
      <c r="IKW67"/>
      <c r="IKX67"/>
      <c r="IKY67"/>
      <c r="IKZ67"/>
      <c r="ILA67"/>
      <c r="ILB67"/>
      <c r="ILC67"/>
      <c r="ILD67"/>
      <c r="ILE67"/>
      <c r="ILF67"/>
      <c r="ILG67"/>
      <c r="ILH67"/>
      <c r="ILI67"/>
      <c r="ILJ67"/>
      <c r="ILK67"/>
      <c r="ILL67"/>
      <c r="ILM67"/>
      <c r="ILN67"/>
      <c r="ILO67"/>
      <c r="ILP67"/>
      <c r="ILQ67"/>
      <c r="ILR67"/>
      <c r="ILS67"/>
      <c r="ILT67"/>
      <c r="ILU67"/>
      <c r="ILV67"/>
      <c r="ILW67"/>
      <c r="ILX67"/>
      <c r="ILY67"/>
      <c r="ILZ67"/>
      <c r="IMA67"/>
      <c r="IMB67"/>
      <c r="IMC67"/>
      <c r="IMD67"/>
      <c r="IME67"/>
      <c r="IMF67"/>
      <c r="IMG67"/>
      <c r="IMH67"/>
      <c r="IMI67"/>
      <c r="IMJ67"/>
      <c r="IMK67"/>
      <c r="IML67"/>
      <c r="IMM67"/>
      <c r="IMN67"/>
      <c r="IMO67"/>
      <c r="IMP67"/>
      <c r="IMQ67"/>
      <c r="IMR67"/>
      <c r="IMS67"/>
      <c r="IMT67"/>
      <c r="IMU67"/>
      <c r="IMV67"/>
      <c r="IMW67"/>
      <c r="IMX67"/>
      <c r="IMY67"/>
      <c r="IMZ67"/>
      <c r="INA67"/>
      <c r="INB67"/>
      <c r="INC67"/>
      <c r="IND67"/>
      <c r="INE67"/>
      <c r="INF67"/>
      <c r="ING67"/>
      <c r="INH67"/>
      <c r="INI67"/>
      <c r="INJ67"/>
      <c r="INK67"/>
      <c r="INL67"/>
      <c r="INM67"/>
      <c r="INN67"/>
      <c r="INO67"/>
      <c r="INP67"/>
      <c r="INQ67"/>
      <c r="INR67"/>
      <c r="INS67"/>
      <c r="INT67"/>
      <c r="INU67"/>
      <c r="INV67"/>
      <c r="INW67"/>
      <c r="INX67"/>
      <c r="INY67"/>
      <c r="INZ67"/>
      <c r="IOA67"/>
      <c r="IOB67"/>
      <c r="IOC67"/>
      <c r="IOD67"/>
      <c r="IOE67"/>
      <c r="IOF67"/>
      <c r="IOG67"/>
      <c r="IOH67"/>
      <c r="IOI67"/>
      <c r="IOJ67"/>
      <c r="IOK67"/>
      <c r="IOL67"/>
      <c r="IOM67"/>
      <c r="ION67"/>
      <c r="IOO67"/>
      <c r="IOP67"/>
      <c r="IOQ67"/>
      <c r="IOR67"/>
      <c r="IOS67"/>
      <c r="IOT67"/>
      <c r="IOU67"/>
      <c r="IOV67"/>
      <c r="IOW67"/>
      <c r="IOX67"/>
      <c r="IOY67"/>
      <c r="IOZ67"/>
      <c r="IPA67"/>
      <c r="IPB67"/>
      <c r="IPC67"/>
      <c r="IPD67"/>
      <c r="IPE67"/>
      <c r="IPF67"/>
      <c r="IPG67"/>
      <c r="IPH67"/>
      <c r="IPI67"/>
      <c r="IPJ67"/>
      <c r="IPK67"/>
      <c r="IPL67"/>
      <c r="IPM67"/>
      <c r="IPN67"/>
      <c r="IPO67"/>
      <c r="IPP67"/>
      <c r="IPQ67"/>
      <c r="IPR67"/>
      <c r="IPS67"/>
      <c r="IPT67"/>
      <c r="IPU67"/>
      <c r="IPV67"/>
      <c r="IPW67"/>
      <c r="IPX67"/>
      <c r="IPY67"/>
      <c r="IPZ67"/>
      <c r="IQA67"/>
      <c r="IQB67"/>
      <c r="IQC67"/>
      <c r="IQD67"/>
      <c r="IQE67"/>
      <c r="IQF67"/>
      <c r="IQG67"/>
      <c r="IQH67"/>
      <c r="IQI67"/>
      <c r="IQJ67"/>
      <c r="IQK67"/>
      <c r="IQL67"/>
      <c r="IQM67"/>
      <c r="IQN67"/>
      <c r="IQO67"/>
      <c r="IQP67"/>
      <c r="IQQ67"/>
      <c r="IQR67"/>
      <c r="IQS67"/>
      <c r="IQT67"/>
      <c r="IQU67"/>
      <c r="IQV67"/>
      <c r="IQW67"/>
      <c r="IQX67"/>
      <c r="IQY67"/>
      <c r="IQZ67"/>
      <c r="IRA67"/>
      <c r="IRB67"/>
      <c r="IRC67"/>
      <c r="IRD67"/>
      <c r="IRE67"/>
      <c r="IRF67"/>
      <c r="IRG67"/>
      <c r="IRH67"/>
      <c r="IRI67"/>
      <c r="IRJ67"/>
      <c r="IRK67"/>
      <c r="IRL67"/>
      <c r="IRM67"/>
      <c r="IRN67"/>
      <c r="IRO67"/>
      <c r="IRP67"/>
      <c r="IRQ67"/>
      <c r="IRR67"/>
      <c r="IRS67"/>
      <c r="IRT67"/>
      <c r="IRU67"/>
      <c r="IRV67"/>
      <c r="IRW67"/>
      <c r="IRX67"/>
      <c r="IRY67"/>
      <c r="IRZ67"/>
      <c r="ISA67"/>
      <c r="ISB67"/>
      <c r="ISC67"/>
      <c r="ISD67"/>
      <c r="ISE67"/>
      <c r="ISF67"/>
      <c r="ISG67"/>
      <c r="ISH67"/>
      <c r="ISI67"/>
      <c r="ISJ67"/>
      <c r="ISK67"/>
      <c r="ISL67"/>
      <c r="ISM67"/>
      <c r="ISN67"/>
      <c r="ISO67"/>
      <c r="ISP67"/>
      <c r="ISQ67"/>
      <c r="ISR67"/>
      <c r="ISS67"/>
      <c r="IST67"/>
      <c r="ISU67"/>
      <c r="ISV67"/>
      <c r="ISW67"/>
      <c r="ISX67"/>
      <c r="ISY67"/>
      <c r="ISZ67"/>
      <c r="ITA67"/>
      <c r="ITB67"/>
      <c r="ITC67"/>
      <c r="ITD67"/>
      <c r="ITE67"/>
      <c r="ITF67"/>
      <c r="ITG67"/>
      <c r="ITH67"/>
      <c r="ITI67"/>
      <c r="ITJ67"/>
      <c r="ITK67"/>
      <c r="ITL67"/>
      <c r="ITM67"/>
      <c r="ITN67"/>
      <c r="ITO67"/>
      <c r="ITP67"/>
      <c r="ITQ67"/>
      <c r="ITR67"/>
      <c r="ITS67"/>
      <c r="ITT67"/>
      <c r="ITU67"/>
      <c r="ITV67"/>
      <c r="ITW67"/>
      <c r="ITX67"/>
      <c r="ITY67"/>
      <c r="ITZ67"/>
      <c r="IUA67"/>
      <c r="IUB67"/>
      <c r="IUC67"/>
      <c r="IUD67"/>
      <c r="IUE67"/>
      <c r="IUF67"/>
      <c r="IUG67"/>
      <c r="IUH67"/>
      <c r="IUI67"/>
      <c r="IUJ67"/>
      <c r="IUK67"/>
      <c r="IUL67"/>
      <c r="IUM67"/>
      <c r="IUN67"/>
      <c r="IUO67"/>
      <c r="IUP67"/>
      <c r="IUQ67"/>
      <c r="IUR67"/>
      <c r="IUS67"/>
      <c r="IUT67"/>
      <c r="IUU67"/>
      <c r="IUV67"/>
      <c r="IUW67"/>
      <c r="IUX67"/>
      <c r="IUY67"/>
      <c r="IUZ67"/>
      <c r="IVA67"/>
      <c r="IVB67"/>
      <c r="IVC67"/>
      <c r="IVD67"/>
      <c r="IVE67"/>
      <c r="IVF67"/>
      <c r="IVG67"/>
      <c r="IVH67"/>
      <c r="IVI67"/>
      <c r="IVJ67"/>
      <c r="IVK67"/>
      <c r="IVL67"/>
      <c r="IVM67"/>
      <c r="IVN67"/>
      <c r="IVO67"/>
      <c r="IVP67"/>
      <c r="IVQ67"/>
      <c r="IVR67"/>
      <c r="IVS67"/>
      <c r="IVT67"/>
      <c r="IVU67"/>
      <c r="IVV67"/>
      <c r="IVW67"/>
      <c r="IVX67"/>
      <c r="IVY67"/>
      <c r="IVZ67"/>
      <c r="IWA67"/>
      <c r="IWB67"/>
      <c r="IWC67"/>
      <c r="IWD67"/>
      <c r="IWE67"/>
      <c r="IWF67"/>
      <c r="IWG67"/>
      <c r="IWH67"/>
      <c r="IWI67"/>
      <c r="IWJ67"/>
      <c r="IWK67"/>
      <c r="IWL67"/>
      <c r="IWM67"/>
      <c r="IWN67"/>
      <c r="IWO67"/>
      <c r="IWP67"/>
      <c r="IWQ67"/>
      <c r="IWR67"/>
      <c r="IWS67"/>
      <c r="IWT67"/>
      <c r="IWU67"/>
      <c r="IWV67"/>
      <c r="IWW67"/>
      <c r="IWX67"/>
      <c r="IWY67"/>
      <c r="IWZ67"/>
      <c r="IXA67"/>
      <c r="IXB67"/>
      <c r="IXC67"/>
      <c r="IXD67"/>
      <c r="IXE67"/>
      <c r="IXF67"/>
      <c r="IXG67"/>
      <c r="IXH67"/>
      <c r="IXI67"/>
      <c r="IXJ67"/>
      <c r="IXK67"/>
      <c r="IXL67"/>
      <c r="IXM67"/>
      <c r="IXN67"/>
      <c r="IXO67"/>
      <c r="IXP67"/>
      <c r="IXQ67"/>
      <c r="IXR67"/>
      <c r="IXS67"/>
      <c r="IXT67"/>
      <c r="IXU67"/>
      <c r="IXV67"/>
      <c r="IXW67"/>
      <c r="IXX67"/>
      <c r="IXY67"/>
      <c r="IXZ67"/>
      <c r="IYA67"/>
      <c r="IYB67"/>
      <c r="IYC67"/>
      <c r="IYD67"/>
      <c r="IYE67"/>
      <c r="IYF67"/>
      <c r="IYG67"/>
      <c r="IYH67"/>
      <c r="IYI67"/>
      <c r="IYJ67"/>
      <c r="IYK67"/>
      <c r="IYL67"/>
      <c r="IYM67"/>
      <c r="IYN67"/>
      <c r="IYO67"/>
      <c r="IYP67"/>
      <c r="IYQ67"/>
      <c r="IYR67"/>
      <c r="IYS67"/>
      <c r="IYT67"/>
      <c r="IYU67"/>
      <c r="IYV67"/>
      <c r="IYW67"/>
      <c r="IYX67"/>
      <c r="IYY67"/>
      <c r="IYZ67"/>
      <c r="IZA67"/>
      <c r="IZB67"/>
      <c r="IZC67"/>
      <c r="IZD67"/>
      <c r="IZE67"/>
      <c r="IZF67"/>
      <c r="IZG67"/>
      <c r="IZH67"/>
      <c r="IZI67"/>
      <c r="IZJ67"/>
      <c r="IZK67"/>
      <c r="IZL67"/>
      <c r="IZM67"/>
      <c r="IZN67"/>
      <c r="IZO67"/>
      <c r="IZP67"/>
      <c r="IZQ67"/>
      <c r="IZR67"/>
      <c r="IZS67"/>
      <c r="IZT67"/>
      <c r="IZU67"/>
      <c r="IZV67"/>
      <c r="IZW67"/>
      <c r="IZX67"/>
      <c r="IZY67"/>
      <c r="IZZ67"/>
      <c r="JAA67"/>
      <c r="JAB67"/>
      <c r="JAC67"/>
      <c r="JAD67"/>
      <c r="JAE67"/>
      <c r="JAF67"/>
      <c r="JAG67"/>
      <c r="JAH67"/>
      <c r="JAI67"/>
      <c r="JAJ67"/>
      <c r="JAK67"/>
      <c r="JAL67"/>
      <c r="JAM67"/>
      <c r="JAN67"/>
      <c r="JAO67"/>
      <c r="JAP67"/>
      <c r="JAQ67"/>
      <c r="JAR67"/>
      <c r="JAS67"/>
      <c r="JAT67"/>
      <c r="JAU67"/>
      <c r="JAV67"/>
      <c r="JAW67"/>
      <c r="JAX67"/>
      <c r="JAY67"/>
      <c r="JAZ67"/>
      <c r="JBA67"/>
      <c r="JBB67"/>
      <c r="JBC67"/>
      <c r="JBD67"/>
      <c r="JBE67"/>
      <c r="JBF67"/>
      <c r="JBG67"/>
      <c r="JBH67"/>
      <c r="JBI67"/>
      <c r="JBJ67"/>
      <c r="JBK67"/>
      <c r="JBL67"/>
      <c r="JBM67"/>
      <c r="JBN67"/>
      <c r="JBO67"/>
      <c r="JBP67"/>
      <c r="JBQ67"/>
      <c r="JBR67"/>
      <c r="JBS67"/>
      <c r="JBT67"/>
      <c r="JBU67"/>
      <c r="JBV67"/>
      <c r="JBW67"/>
      <c r="JBX67"/>
      <c r="JBY67"/>
      <c r="JBZ67"/>
      <c r="JCA67"/>
      <c r="JCB67"/>
      <c r="JCC67"/>
      <c r="JCD67"/>
      <c r="JCE67"/>
      <c r="JCF67"/>
      <c r="JCG67"/>
      <c r="JCH67"/>
      <c r="JCI67"/>
      <c r="JCJ67"/>
      <c r="JCK67"/>
      <c r="JCL67"/>
      <c r="JCM67"/>
      <c r="JCN67"/>
      <c r="JCO67"/>
      <c r="JCP67"/>
      <c r="JCQ67"/>
      <c r="JCR67"/>
      <c r="JCS67"/>
      <c r="JCT67"/>
      <c r="JCU67"/>
      <c r="JCV67"/>
      <c r="JCW67"/>
      <c r="JCX67"/>
      <c r="JCY67"/>
      <c r="JCZ67"/>
      <c r="JDA67"/>
      <c r="JDB67"/>
      <c r="JDC67"/>
      <c r="JDD67"/>
      <c r="JDE67"/>
      <c r="JDF67"/>
      <c r="JDG67"/>
      <c r="JDH67"/>
      <c r="JDI67"/>
      <c r="JDJ67"/>
      <c r="JDK67"/>
      <c r="JDL67"/>
      <c r="JDM67"/>
      <c r="JDN67"/>
      <c r="JDO67"/>
      <c r="JDP67"/>
      <c r="JDQ67"/>
      <c r="JDR67"/>
      <c r="JDS67"/>
      <c r="JDT67"/>
      <c r="JDU67"/>
      <c r="JDV67"/>
      <c r="JDW67"/>
      <c r="JDX67"/>
      <c r="JDY67"/>
      <c r="JDZ67"/>
      <c r="JEA67"/>
      <c r="JEB67"/>
      <c r="JEC67"/>
      <c r="JED67"/>
      <c r="JEE67"/>
      <c r="JEF67"/>
      <c r="JEG67"/>
      <c r="JEH67"/>
      <c r="JEI67"/>
      <c r="JEJ67"/>
      <c r="JEK67"/>
      <c r="JEL67"/>
      <c r="JEM67"/>
      <c r="JEN67"/>
      <c r="JEO67"/>
      <c r="JEP67"/>
      <c r="JEQ67"/>
      <c r="JER67"/>
      <c r="JES67"/>
      <c r="JET67"/>
      <c r="JEU67"/>
      <c r="JEV67"/>
      <c r="JEW67"/>
      <c r="JEX67"/>
      <c r="JEY67"/>
      <c r="JEZ67"/>
      <c r="JFA67"/>
      <c r="JFB67"/>
      <c r="JFC67"/>
      <c r="JFD67"/>
      <c r="JFE67"/>
      <c r="JFF67"/>
      <c r="JFG67"/>
      <c r="JFH67"/>
      <c r="JFI67"/>
      <c r="JFJ67"/>
      <c r="JFK67"/>
      <c r="JFL67"/>
      <c r="JFM67"/>
      <c r="JFN67"/>
      <c r="JFO67"/>
      <c r="JFP67"/>
      <c r="JFQ67"/>
      <c r="JFR67"/>
      <c r="JFS67"/>
      <c r="JFT67"/>
      <c r="JFU67"/>
      <c r="JFV67"/>
      <c r="JFW67"/>
      <c r="JFX67"/>
      <c r="JFY67"/>
      <c r="JFZ67"/>
      <c r="JGA67"/>
      <c r="JGB67"/>
      <c r="JGC67"/>
      <c r="JGD67"/>
      <c r="JGE67"/>
      <c r="JGF67"/>
      <c r="JGG67"/>
      <c r="JGH67"/>
      <c r="JGI67"/>
      <c r="JGJ67"/>
      <c r="JGK67"/>
      <c r="JGL67"/>
      <c r="JGM67"/>
      <c r="JGN67"/>
      <c r="JGO67"/>
      <c r="JGP67"/>
      <c r="JGQ67"/>
      <c r="JGR67"/>
      <c r="JGS67"/>
      <c r="JGT67"/>
      <c r="JGU67"/>
      <c r="JGV67"/>
      <c r="JGW67"/>
      <c r="JGX67"/>
      <c r="JGY67"/>
      <c r="JGZ67"/>
      <c r="JHA67"/>
      <c r="JHB67"/>
      <c r="JHC67"/>
      <c r="JHD67"/>
      <c r="JHE67"/>
      <c r="JHF67"/>
      <c r="JHG67"/>
      <c r="JHH67"/>
      <c r="JHI67"/>
      <c r="JHJ67"/>
      <c r="JHK67"/>
      <c r="JHL67"/>
      <c r="JHM67"/>
      <c r="JHN67"/>
      <c r="JHO67"/>
      <c r="JHP67"/>
      <c r="JHQ67"/>
      <c r="JHR67"/>
      <c r="JHS67"/>
      <c r="JHT67"/>
      <c r="JHU67"/>
      <c r="JHV67"/>
      <c r="JHW67"/>
      <c r="JHX67"/>
      <c r="JHY67"/>
      <c r="JHZ67"/>
      <c r="JIA67"/>
      <c r="JIB67"/>
      <c r="JIC67"/>
      <c r="JID67"/>
      <c r="JIE67"/>
      <c r="JIF67"/>
      <c r="JIG67"/>
      <c r="JIH67"/>
      <c r="JII67"/>
      <c r="JIJ67"/>
      <c r="JIK67"/>
      <c r="JIL67"/>
      <c r="JIM67"/>
      <c r="JIN67"/>
      <c r="JIO67"/>
      <c r="JIP67"/>
      <c r="JIQ67"/>
      <c r="JIR67"/>
      <c r="JIS67"/>
      <c r="JIT67"/>
      <c r="JIU67"/>
      <c r="JIV67"/>
      <c r="JIW67"/>
      <c r="JIX67"/>
      <c r="JIY67"/>
      <c r="JIZ67"/>
      <c r="JJA67"/>
      <c r="JJB67"/>
      <c r="JJC67"/>
      <c r="JJD67"/>
      <c r="JJE67"/>
      <c r="JJF67"/>
      <c r="JJG67"/>
      <c r="JJH67"/>
      <c r="JJI67"/>
      <c r="JJJ67"/>
      <c r="JJK67"/>
      <c r="JJL67"/>
      <c r="JJM67"/>
      <c r="JJN67"/>
      <c r="JJO67"/>
      <c r="JJP67"/>
      <c r="JJQ67"/>
      <c r="JJR67"/>
      <c r="JJS67"/>
      <c r="JJT67"/>
      <c r="JJU67"/>
      <c r="JJV67"/>
      <c r="JJW67"/>
      <c r="JJX67"/>
      <c r="JJY67"/>
      <c r="JJZ67"/>
      <c r="JKA67"/>
      <c r="JKB67"/>
      <c r="JKC67"/>
      <c r="JKD67"/>
      <c r="JKE67"/>
      <c r="JKF67"/>
      <c r="JKG67"/>
      <c r="JKH67"/>
      <c r="JKI67"/>
      <c r="JKJ67"/>
      <c r="JKK67"/>
      <c r="JKL67"/>
      <c r="JKM67"/>
      <c r="JKN67"/>
      <c r="JKO67"/>
      <c r="JKP67"/>
      <c r="JKQ67"/>
      <c r="JKR67"/>
      <c r="JKS67"/>
      <c r="JKT67"/>
      <c r="JKU67"/>
      <c r="JKV67"/>
      <c r="JKW67"/>
      <c r="JKX67"/>
      <c r="JKY67"/>
      <c r="JKZ67"/>
      <c r="JLA67"/>
      <c r="JLB67"/>
      <c r="JLC67"/>
      <c r="JLD67"/>
      <c r="JLE67"/>
      <c r="JLF67"/>
      <c r="JLG67"/>
      <c r="JLH67"/>
      <c r="JLI67"/>
      <c r="JLJ67"/>
      <c r="JLK67"/>
      <c r="JLL67"/>
      <c r="JLM67"/>
      <c r="JLN67"/>
      <c r="JLO67"/>
      <c r="JLP67"/>
      <c r="JLQ67"/>
      <c r="JLR67"/>
      <c r="JLS67"/>
      <c r="JLT67"/>
      <c r="JLU67"/>
      <c r="JLV67"/>
      <c r="JLW67"/>
      <c r="JLX67"/>
      <c r="JLY67"/>
      <c r="JLZ67"/>
      <c r="JMA67"/>
      <c r="JMB67"/>
      <c r="JMC67"/>
      <c r="JMD67"/>
      <c r="JME67"/>
      <c r="JMF67"/>
      <c r="JMG67"/>
      <c r="JMH67"/>
      <c r="JMI67"/>
      <c r="JMJ67"/>
      <c r="JMK67"/>
      <c r="JML67"/>
      <c r="JMM67"/>
      <c r="JMN67"/>
      <c r="JMO67"/>
      <c r="JMP67"/>
      <c r="JMQ67"/>
      <c r="JMR67"/>
      <c r="JMS67"/>
      <c r="JMT67"/>
      <c r="JMU67"/>
      <c r="JMV67"/>
      <c r="JMW67"/>
      <c r="JMX67"/>
      <c r="JMY67"/>
      <c r="JMZ67"/>
      <c r="JNA67"/>
      <c r="JNB67"/>
      <c r="JNC67"/>
      <c r="JND67"/>
      <c r="JNE67"/>
      <c r="JNF67"/>
      <c r="JNG67"/>
      <c r="JNH67"/>
      <c r="JNI67"/>
      <c r="JNJ67"/>
      <c r="JNK67"/>
      <c r="JNL67"/>
      <c r="JNM67"/>
      <c r="JNN67"/>
      <c r="JNO67"/>
      <c r="JNP67"/>
      <c r="JNQ67"/>
      <c r="JNR67"/>
      <c r="JNS67"/>
      <c r="JNT67"/>
      <c r="JNU67"/>
      <c r="JNV67"/>
      <c r="JNW67"/>
      <c r="JNX67"/>
      <c r="JNY67"/>
      <c r="JNZ67"/>
      <c r="JOA67"/>
      <c r="JOB67"/>
      <c r="JOC67"/>
      <c r="JOD67"/>
      <c r="JOE67"/>
      <c r="JOF67"/>
      <c r="JOG67"/>
      <c r="JOH67"/>
      <c r="JOI67"/>
      <c r="JOJ67"/>
      <c r="JOK67"/>
      <c r="JOL67"/>
      <c r="JOM67"/>
      <c r="JON67"/>
      <c r="JOO67"/>
      <c r="JOP67"/>
      <c r="JOQ67"/>
      <c r="JOR67"/>
      <c r="JOS67"/>
      <c r="JOT67"/>
      <c r="JOU67"/>
      <c r="JOV67"/>
      <c r="JOW67"/>
      <c r="JOX67"/>
      <c r="JOY67"/>
      <c r="JOZ67"/>
      <c r="JPA67"/>
      <c r="JPB67"/>
      <c r="JPC67"/>
      <c r="JPD67"/>
      <c r="JPE67"/>
      <c r="JPF67"/>
      <c r="JPG67"/>
      <c r="JPH67"/>
      <c r="JPI67"/>
      <c r="JPJ67"/>
      <c r="JPK67"/>
      <c r="JPL67"/>
      <c r="JPM67"/>
      <c r="JPN67"/>
      <c r="JPO67"/>
      <c r="JPP67"/>
      <c r="JPQ67"/>
      <c r="JPR67"/>
      <c r="JPS67"/>
      <c r="JPT67"/>
      <c r="JPU67"/>
      <c r="JPV67"/>
      <c r="JPW67"/>
      <c r="JPX67"/>
      <c r="JPY67"/>
      <c r="JPZ67"/>
      <c r="JQA67"/>
      <c r="JQB67"/>
      <c r="JQC67"/>
      <c r="JQD67"/>
      <c r="JQE67"/>
      <c r="JQF67"/>
      <c r="JQG67"/>
      <c r="JQH67"/>
      <c r="JQI67"/>
      <c r="JQJ67"/>
      <c r="JQK67"/>
      <c r="JQL67"/>
      <c r="JQM67"/>
      <c r="JQN67"/>
      <c r="JQO67"/>
      <c r="JQP67"/>
      <c r="JQQ67"/>
      <c r="JQR67"/>
      <c r="JQS67"/>
      <c r="JQT67"/>
      <c r="JQU67"/>
      <c r="JQV67"/>
      <c r="JQW67"/>
      <c r="JQX67"/>
      <c r="JQY67"/>
      <c r="JQZ67"/>
      <c r="JRA67"/>
      <c r="JRB67"/>
      <c r="JRC67"/>
      <c r="JRD67"/>
      <c r="JRE67"/>
      <c r="JRF67"/>
      <c r="JRG67"/>
      <c r="JRH67"/>
      <c r="JRI67"/>
      <c r="JRJ67"/>
      <c r="JRK67"/>
      <c r="JRL67"/>
      <c r="JRM67"/>
      <c r="JRN67"/>
      <c r="JRO67"/>
      <c r="JRP67"/>
      <c r="JRQ67"/>
      <c r="JRR67"/>
      <c r="JRS67"/>
      <c r="JRT67"/>
      <c r="JRU67"/>
      <c r="JRV67"/>
      <c r="JRW67"/>
      <c r="JRX67"/>
      <c r="JRY67"/>
      <c r="JRZ67"/>
      <c r="JSA67"/>
      <c r="JSB67"/>
      <c r="JSC67"/>
      <c r="JSD67"/>
      <c r="JSE67"/>
      <c r="JSF67"/>
      <c r="JSG67"/>
      <c r="JSH67"/>
      <c r="JSI67"/>
      <c r="JSJ67"/>
      <c r="JSK67"/>
      <c r="JSL67"/>
      <c r="JSM67"/>
      <c r="JSN67"/>
      <c r="JSO67"/>
      <c r="JSP67"/>
      <c r="JSQ67"/>
      <c r="JSR67"/>
      <c r="JSS67"/>
      <c r="JST67"/>
      <c r="JSU67"/>
      <c r="JSV67"/>
      <c r="JSW67"/>
      <c r="JSX67"/>
      <c r="JSY67"/>
      <c r="JSZ67"/>
      <c r="JTA67"/>
      <c r="JTB67"/>
      <c r="JTC67"/>
      <c r="JTD67"/>
      <c r="JTE67"/>
      <c r="JTF67"/>
      <c r="JTG67"/>
      <c r="JTH67"/>
      <c r="JTI67"/>
      <c r="JTJ67"/>
      <c r="JTK67"/>
      <c r="JTL67"/>
      <c r="JTM67"/>
      <c r="JTN67"/>
      <c r="JTO67"/>
      <c r="JTP67"/>
      <c r="JTQ67"/>
      <c r="JTR67"/>
      <c r="JTS67"/>
      <c r="JTT67"/>
      <c r="JTU67"/>
      <c r="JTV67"/>
      <c r="JTW67"/>
      <c r="JTX67"/>
      <c r="JTY67"/>
      <c r="JTZ67"/>
      <c r="JUA67"/>
      <c r="JUB67"/>
      <c r="JUC67"/>
      <c r="JUD67"/>
      <c r="JUE67"/>
      <c r="JUF67"/>
      <c r="JUG67"/>
      <c r="JUH67"/>
      <c r="JUI67"/>
      <c r="JUJ67"/>
      <c r="JUK67"/>
      <c r="JUL67"/>
      <c r="JUM67"/>
      <c r="JUN67"/>
      <c r="JUO67"/>
      <c r="JUP67"/>
      <c r="JUQ67"/>
      <c r="JUR67"/>
      <c r="JUS67"/>
      <c r="JUT67"/>
      <c r="JUU67"/>
      <c r="JUV67"/>
      <c r="JUW67"/>
      <c r="JUX67"/>
      <c r="JUY67"/>
      <c r="JUZ67"/>
      <c r="JVA67"/>
      <c r="JVB67"/>
      <c r="JVC67"/>
      <c r="JVD67"/>
      <c r="JVE67"/>
      <c r="JVF67"/>
      <c r="JVG67"/>
      <c r="JVH67"/>
      <c r="JVI67"/>
      <c r="JVJ67"/>
      <c r="JVK67"/>
      <c r="JVL67"/>
      <c r="JVM67"/>
      <c r="JVN67"/>
      <c r="JVO67"/>
      <c r="JVP67"/>
      <c r="JVQ67"/>
      <c r="JVR67"/>
      <c r="JVS67"/>
      <c r="JVT67"/>
      <c r="JVU67"/>
      <c r="JVV67"/>
      <c r="JVW67"/>
      <c r="JVX67"/>
      <c r="JVY67"/>
      <c r="JVZ67"/>
      <c r="JWA67"/>
      <c r="JWB67"/>
      <c r="JWC67"/>
      <c r="JWD67"/>
      <c r="JWE67"/>
      <c r="JWF67"/>
      <c r="JWG67"/>
      <c r="JWH67"/>
      <c r="JWI67"/>
      <c r="JWJ67"/>
      <c r="JWK67"/>
      <c r="JWL67"/>
      <c r="JWM67"/>
      <c r="JWN67"/>
      <c r="JWO67"/>
      <c r="JWP67"/>
      <c r="JWQ67"/>
      <c r="JWR67"/>
      <c r="JWS67"/>
      <c r="JWT67"/>
      <c r="JWU67"/>
      <c r="JWV67"/>
      <c r="JWW67"/>
      <c r="JWX67"/>
      <c r="JWY67"/>
      <c r="JWZ67"/>
      <c r="JXA67"/>
      <c r="JXB67"/>
      <c r="JXC67"/>
      <c r="JXD67"/>
      <c r="JXE67"/>
      <c r="JXF67"/>
      <c r="JXG67"/>
      <c r="JXH67"/>
      <c r="JXI67"/>
      <c r="JXJ67"/>
      <c r="JXK67"/>
      <c r="JXL67"/>
      <c r="JXM67"/>
      <c r="JXN67"/>
      <c r="JXO67"/>
      <c r="JXP67"/>
      <c r="JXQ67"/>
      <c r="JXR67"/>
      <c r="JXS67"/>
      <c r="JXT67"/>
      <c r="JXU67"/>
      <c r="JXV67"/>
      <c r="JXW67"/>
      <c r="JXX67"/>
      <c r="JXY67"/>
      <c r="JXZ67"/>
      <c r="JYA67"/>
      <c r="JYB67"/>
      <c r="JYC67"/>
      <c r="JYD67"/>
      <c r="JYE67"/>
      <c r="JYF67"/>
      <c r="JYG67"/>
      <c r="JYH67"/>
      <c r="JYI67"/>
      <c r="JYJ67"/>
      <c r="JYK67"/>
      <c r="JYL67"/>
      <c r="JYM67"/>
      <c r="JYN67"/>
      <c r="JYO67"/>
      <c r="JYP67"/>
      <c r="JYQ67"/>
      <c r="JYR67"/>
      <c r="JYS67"/>
      <c r="JYT67"/>
      <c r="JYU67"/>
      <c r="JYV67"/>
      <c r="JYW67"/>
      <c r="JYX67"/>
      <c r="JYY67"/>
      <c r="JYZ67"/>
      <c r="JZA67"/>
      <c r="JZB67"/>
      <c r="JZC67"/>
      <c r="JZD67"/>
      <c r="JZE67"/>
      <c r="JZF67"/>
      <c r="JZG67"/>
      <c r="JZH67"/>
      <c r="JZI67"/>
      <c r="JZJ67"/>
      <c r="JZK67"/>
      <c r="JZL67"/>
      <c r="JZM67"/>
      <c r="JZN67"/>
      <c r="JZO67"/>
      <c r="JZP67"/>
      <c r="JZQ67"/>
      <c r="JZR67"/>
      <c r="JZS67"/>
      <c r="JZT67"/>
      <c r="JZU67"/>
      <c r="JZV67"/>
      <c r="JZW67"/>
      <c r="JZX67"/>
      <c r="JZY67"/>
      <c r="JZZ67"/>
      <c r="KAA67"/>
      <c r="KAB67"/>
      <c r="KAC67"/>
      <c r="KAD67"/>
      <c r="KAE67"/>
      <c r="KAF67"/>
      <c r="KAG67"/>
      <c r="KAH67"/>
      <c r="KAI67"/>
      <c r="KAJ67"/>
      <c r="KAK67"/>
      <c r="KAL67"/>
      <c r="KAM67"/>
      <c r="KAN67"/>
      <c r="KAO67"/>
      <c r="KAP67"/>
      <c r="KAQ67"/>
      <c r="KAR67"/>
      <c r="KAS67"/>
      <c r="KAT67"/>
      <c r="KAU67"/>
      <c r="KAV67"/>
      <c r="KAW67"/>
      <c r="KAX67"/>
      <c r="KAY67"/>
      <c r="KAZ67"/>
      <c r="KBA67"/>
      <c r="KBB67"/>
      <c r="KBC67"/>
      <c r="KBD67"/>
      <c r="KBE67"/>
      <c r="KBF67"/>
      <c r="KBG67"/>
      <c r="KBH67"/>
      <c r="KBI67"/>
      <c r="KBJ67"/>
      <c r="KBK67"/>
      <c r="KBL67"/>
      <c r="KBM67"/>
      <c r="KBN67"/>
      <c r="KBO67"/>
      <c r="KBP67"/>
      <c r="KBQ67"/>
      <c r="KBR67"/>
      <c r="KBS67"/>
      <c r="KBT67"/>
      <c r="KBU67"/>
      <c r="KBV67"/>
      <c r="KBW67"/>
      <c r="KBX67"/>
      <c r="KBY67"/>
      <c r="KBZ67"/>
      <c r="KCA67"/>
      <c r="KCB67"/>
      <c r="KCC67"/>
      <c r="KCD67"/>
      <c r="KCE67"/>
      <c r="KCF67"/>
      <c r="KCG67"/>
      <c r="KCH67"/>
      <c r="KCI67"/>
      <c r="KCJ67"/>
      <c r="KCK67"/>
      <c r="KCL67"/>
      <c r="KCM67"/>
      <c r="KCN67"/>
      <c r="KCO67"/>
      <c r="KCP67"/>
      <c r="KCQ67"/>
      <c r="KCR67"/>
      <c r="KCS67"/>
      <c r="KCT67"/>
      <c r="KCU67"/>
      <c r="KCV67"/>
      <c r="KCW67"/>
      <c r="KCX67"/>
      <c r="KCY67"/>
      <c r="KCZ67"/>
      <c r="KDA67"/>
      <c r="KDB67"/>
      <c r="KDC67"/>
      <c r="KDD67"/>
      <c r="KDE67"/>
      <c r="KDF67"/>
      <c r="KDG67"/>
      <c r="KDH67"/>
      <c r="KDI67"/>
      <c r="KDJ67"/>
      <c r="KDK67"/>
      <c r="KDL67"/>
      <c r="KDM67"/>
      <c r="KDN67"/>
      <c r="KDO67"/>
      <c r="KDP67"/>
      <c r="KDQ67"/>
      <c r="KDR67"/>
      <c r="KDS67"/>
      <c r="KDT67"/>
      <c r="KDU67"/>
      <c r="KDV67"/>
      <c r="KDW67"/>
      <c r="KDX67"/>
      <c r="KDY67"/>
      <c r="KDZ67"/>
      <c r="KEA67"/>
      <c r="KEB67"/>
      <c r="KEC67"/>
      <c r="KED67"/>
      <c r="KEE67"/>
      <c r="KEF67"/>
      <c r="KEG67"/>
      <c r="KEH67"/>
      <c r="KEI67"/>
      <c r="KEJ67"/>
      <c r="KEK67"/>
      <c r="KEL67"/>
      <c r="KEM67"/>
      <c r="KEN67"/>
      <c r="KEO67"/>
      <c r="KEP67"/>
      <c r="KEQ67"/>
      <c r="KER67"/>
      <c r="KES67"/>
      <c r="KET67"/>
      <c r="KEU67"/>
      <c r="KEV67"/>
      <c r="KEW67"/>
      <c r="KEX67"/>
      <c r="KEY67"/>
      <c r="KEZ67"/>
      <c r="KFA67"/>
      <c r="KFB67"/>
      <c r="KFC67"/>
      <c r="KFD67"/>
      <c r="KFE67"/>
      <c r="KFF67"/>
      <c r="KFG67"/>
      <c r="KFH67"/>
      <c r="KFI67"/>
      <c r="KFJ67"/>
      <c r="KFK67"/>
      <c r="KFL67"/>
      <c r="KFM67"/>
      <c r="KFN67"/>
      <c r="KFO67"/>
      <c r="KFP67"/>
      <c r="KFQ67"/>
      <c r="KFR67"/>
      <c r="KFS67"/>
      <c r="KFT67"/>
      <c r="KFU67"/>
      <c r="KFV67"/>
      <c r="KFW67"/>
      <c r="KFX67"/>
      <c r="KFY67"/>
      <c r="KFZ67"/>
      <c r="KGA67"/>
      <c r="KGB67"/>
      <c r="KGC67"/>
      <c r="KGD67"/>
      <c r="KGE67"/>
      <c r="KGF67"/>
      <c r="KGG67"/>
      <c r="KGH67"/>
      <c r="KGI67"/>
      <c r="KGJ67"/>
      <c r="KGK67"/>
      <c r="KGL67"/>
      <c r="KGM67"/>
      <c r="KGN67"/>
      <c r="KGO67"/>
      <c r="KGP67"/>
      <c r="KGQ67"/>
      <c r="KGR67"/>
      <c r="KGS67"/>
      <c r="KGT67"/>
      <c r="KGU67"/>
      <c r="KGV67"/>
      <c r="KGW67"/>
      <c r="KGX67"/>
      <c r="KGY67"/>
      <c r="KGZ67"/>
      <c r="KHA67"/>
      <c r="KHB67"/>
      <c r="KHC67"/>
      <c r="KHD67"/>
      <c r="KHE67"/>
      <c r="KHF67"/>
      <c r="KHG67"/>
      <c r="KHH67"/>
      <c r="KHI67"/>
      <c r="KHJ67"/>
      <c r="KHK67"/>
      <c r="KHL67"/>
      <c r="KHM67"/>
      <c r="KHN67"/>
      <c r="KHO67"/>
      <c r="KHP67"/>
      <c r="KHQ67"/>
      <c r="KHR67"/>
      <c r="KHS67"/>
      <c r="KHT67"/>
      <c r="KHU67"/>
      <c r="KHV67"/>
      <c r="KHW67"/>
      <c r="KHX67"/>
      <c r="KHY67"/>
      <c r="KHZ67"/>
      <c r="KIA67"/>
      <c r="KIB67"/>
      <c r="KIC67"/>
      <c r="KID67"/>
      <c r="KIE67"/>
      <c r="KIF67"/>
      <c r="KIG67"/>
      <c r="KIH67"/>
      <c r="KII67"/>
      <c r="KIJ67"/>
      <c r="KIK67"/>
      <c r="KIL67"/>
      <c r="KIM67"/>
      <c r="KIN67"/>
      <c r="KIO67"/>
      <c r="KIP67"/>
      <c r="KIQ67"/>
      <c r="KIR67"/>
      <c r="KIS67"/>
      <c r="KIT67"/>
      <c r="KIU67"/>
      <c r="KIV67"/>
      <c r="KIW67"/>
      <c r="KIX67"/>
      <c r="KIY67"/>
      <c r="KIZ67"/>
      <c r="KJA67"/>
      <c r="KJB67"/>
      <c r="KJC67"/>
      <c r="KJD67"/>
      <c r="KJE67"/>
      <c r="KJF67"/>
      <c r="KJG67"/>
      <c r="KJH67"/>
      <c r="KJI67"/>
      <c r="KJJ67"/>
      <c r="KJK67"/>
      <c r="KJL67"/>
      <c r="KJM67"/>
      <c r="KJN67"/>
      <c r="KJO67"/>
      <c r="KJP67"/>
      <c r="KJQ67"/>
      <c r="KJR67"/>
      <c r="KJS67"/>
      <c r="KJT67"/>
      <c r="KJU67"/>
      <c r="KJV67"/>
      <c r="KJW67"/>
      <c r="KJX67"/>
      <c r="KJY67"/>
      <c r="KJZ67"/>
      <c r="KKA67"/>
      <c r="KKB67"/>
      <c r="KKC67"/>
      <c r="KKD67"/>
      <c r="KKE67"/>
      <c r="KKF67"/>
      <c r="KKG67"/>
      <c r="KKH67"/>
      <c r="KKI67"/>
      <c r="KKJ67"/>
      <c r="KKK67"/>
      <c r="KKL67"/>
      <c r="KKM67"/>
      <c r="KKN67"/>
      <c r="KKO67"/>
      <c r="KKP67"/>
      <c r="KKQ67"/>
      <c r="KKR67"/>
      <c r="KKS67"/>
      <c r="KKT67"/>
      <c r="KKU67"/>
      <c r="KKV67"/>
      <c r="KKW67"/>
      <c r="KKX67"/>
      <c r="KKY67"/>
      <c r="KKZ67"/>
      <c r="KLA67"/>
      <c r="KLB67"/>
      <c r="KLC67"/>
      <c r="KLD67"/>
      <c r="KLE67"/>
      <c r="KLF67"/>
      <c r="KLG67"/>
      <c r="KLH67"/>
      <c r="KLI67"/>
      <c r="KLJ67"/>
      <c r="KLK67"/>
      <c r="KLL67"/>
      <c r="KLM67"/>
      <c r="KLN67"/>
      <c r="KLO67"/>
      <c r="KLP67"/>
      <c r="KLQ67"/>
      <c r="KLR67"/>
      <c r="KLS67"/>
      <c r="KLT67"/>
      <c r="KLU67"/>
      <c r="KLV67"/>
      <c r="KLW67"/>
      <c r="KLX67"/>
      <c r="KLY67"/>
      <c r="KLZ67"/>
      <c r="KMA67"/>
      <c r="KMB67"/>
      <c r="KMC67"/>
      <c r="KMD67"/>
      <c r="KME67"/>
      <c r="KMF67"/>
      <c r="KMG67"/>
      <c r="KMH67"/>
      <c r="KMI67"/>
      <c r="KMJ67"/>
      <c r="KMK67"/>
      <c r="KML67"/>
      <c r="KMM67"/>
      <c r="KMN67"/>
      <c r="KMO67"/>
      <c r="KMP67"/>
      <c r="KMQ67"/>
      <c r="KMR67"/>
      <c r="KMS67"/>
      <c r="KMT67"/>
      <c r="KMU67"/>
      <c r="KMV67"/>
      <c r="KMW67"/>
      <c r="KMX67"/>
      <c r="KMY67"/>
      <c r="KMZ67"/>
      <c r="KNA67"/>
      <c r="KNB67"/>
      <c r="KNC67"/>
      <c r="KND67"/>
      <c r="KNE67"/>
      <c r="KNF67"/>
      <c r="KNG67"/>
      <c r="KNH67"/>
      <c r="KNI67"/>
      <c r="KNJ67"/>
      <c r="KNK67"/>
      <c r="KNL67"/>
      <c r="KNM67"/>
      <c r="KNN67"/>
      <c r="KNO67"/>
      <c r="KNP67"/>
      <c r="KNQ67"/>
      <c r="KNR67"/>
      <c r="KNS67"/>
      <c r="KNT67"/>
      <c r="KNU67"/>
      <c r="KNV67"/>
      <c r="KNW67"/>
      <c r="KNX67"/>
      <c r="KNY67"/>
      <c r="KNZ67"/>
      <c r="KOA67"/>
      <c r="KOB67"/>
      <c r="KOC67"/>
      <c r="KOD67"/>
      <c r="KOE67"/>
      <c r="KOF67"/>
      <c r="KOG67"/>
      <c r="KOH67"/>
      <c r="KOI67"/>
      <c r="KOJ67"/>
      <c r="KOK67"/>
      <c r="KOL67"/>
      <c r="KOM67"/>
      <c r="KON67"/>
      <c r="KOO67"/>
      <c r="KOP67"/>
      <c r="KOQ67"/>
      <c r="KOR67"/>
      <c r="KOS67"/>
      <c r="KOT67"/>
      <c r="KOU67"/>
      <c r="KOV67"/>
      <c r="KOW67"/>
      <c r="KOX67"/>
      <c r="KOY67"/>
      <c r="KOZ67"/>
      <c r="KPA67"/>
      <c r="KPB67"/>
      <c r="KPC67"/>
      <c r="KPD67"/>
      <c r="KPE67"/>
      <c r="KPF67"/>
      <c r="KPG67"/>
      <c r="KPH67"/>
      <c r="KPI67"/>
      <c r="KPJ67"/>
      <c r="KPK67"/>
      <c r="KPL67"/>
      <c r="KPM67"/>
      <c r="KPN67"/>
      <c r="KPO67"/>
      <c r="KPP67"/>
      <c r="KPQ67"/>
      <c r="KPR67"/>
      <c r="KPS67"/>
      <c r="KPT67"/>
      <c r="KPU67"/>
      <c r="KPV67"/>
      <c r="KPW67"/>
      <c r="KPX67"/>
      <c r="KPY67"/>
      <c r="KPZ67"/>
      <c r="KQA67"/>
      <c r="KQB67"/>
      <c r="KQC67"/>
      <c r="KQD67"/>
      <c r="KQE67"/>
      <c r="KQF67"/>
      <c r="KQG67"/>
      <c r="KQH67"/>
      <c r="KQI67"/>
      <c r="KQJ67"/>
      <c r="KQK67"/>
      <c r="KQL67"/>
      <c r="KQM67"/>
      <c r="KQN67"/>
      <c r="KQO67"/>
      <c r="KQP67"/>
      <c r="KQQ67"/>
      <c r="KQR67"/>
      <c r="KQS67"/>
      <c r="KQT67"/>
      <c r="KQU67"/>
      <c r="KQV67"/>
      <c r="KQW67"/>
      <c r="KQX67"/>
      <c r="KQY67"/>
      <c r="KQZ67"/>
      <c r="KRA67"/>
      <c r="KRB67"/>
      <c r="KRC67"/>
      <c r="KRD67"/>
      <c r="KRE67"/>
      <c r="KRF67"/>
      <c r="KRG67"/>
      <c r="KRH67"/>
      <c r="KRI67"/>
      <c r="KRJ67"/>
      <c r="KRK67"/>
      <c r="KRL67"/>
      <c r="KRM67"/>
      <c r="KRN67"/>
      <c r="KRO67"/>
      <c r="KRP67"/>
      <c r="KRQ67"/>
      <c r="KRR67"/>
      <c r="KRS67"/>
      <c r="KRT67"/>
      <c r="KRU67"/>
      <c r="KRV67"/>
      <c r="KRW67"/>
      <c r="KRX67"/>
      <c r="KRY67"/>
      <c r="KRZ67"/>
      <c r="KSA67"/>
      <c r="KSB67"/>
      <c r="KSC67"/>
      <c r="KSD67"/>
      <c r="KSE67"/>
      <c r="KSF67"/>
      <c r="KSG67"/>
      <c r="KSH67"/>
      <c r="KSI67"/>
      <c r="KSJ67"/>
      <c r="KSK67"/>
      <c r="KSL67"/>
      <c r="KSM67"/>
      <c r="KSN67"/>
      <c r="KSO67"/>
      <c r="KSP67"/>
      <c r="KSQ67"/>
      <c r="KSR67"/>
      <c r="KSS67"/>
      <c r="KST67"/>
      <c r="KSU67"/>
      <c r="KSV67"/>
      <c r="KSW67"/>
      <c r="KSX67"/>
      <c r="KSY67"/>
      <c r="KSZ67"/>
      <c r="KTA67"/>
      <c r="KTB67"/>
      <c r="KTC67"/>
      <c r="KTD67"/>
      <c r="KTE67"/>
      <c r="KTF67"/>
      <c r="KTG67"/>
      <c r="KTH67"/>
      <c r="KTI67"/>
      <c r="KTJ67"/>
      <c r="KTK67"/>
      <c r="KTL67"/>
      <c r="KTM67"/>
      <c r="KTN67"/>
      <c r="KTO67"/>
      <c r="KTP67"/>
      <c r="KTQ67"/>
      <c r="KTR67"/>
      <c r="KTS67"/>
      <c r="KTT67"/>
      <c r="KTU67"/>
      <c r="KTV67"/>
      <c r="KTW67"/>
      <c r="KTX67"/>
      <c r="KTY67"/>
      <c r="KTZ67"/>
      <c r="KUA67"/>
      <c r="KUB67"/>
      <c r="KUC67"/>
      <c r="KUD67"/>
      <c r="KUE67"/>
      <c r="KUF67"/>
      <c r="KUG67"/>
      <c r="KUH67"/>
      <c r="KUI67"/>
      <c r="KUJ67"/>
      <c r="KUK67"/>
      <c r="KUL67"/>
      <c r="KUM67"/>
      <c r="KUN67"/>
      <c r="KUO67"/>
      <c r="KUP67"/>
      <c r="KUQ67"/>
      <c r="KUR67"/>
      <c r="KUS67"/>
      <c r="KUT67"/>
      <c r="KUU67"/>
      <c r="KUV67"/>
      <c r="KUW67"/>
      <c r="KUX67"/>
      <c r="KUY67"/>
      <c r="KUZ67"/>
      <c r="KVA67"/>
      <c r="KVB67"/>
      <c r="KVC67"/>
      <c r="KVD67"/>
      <c r="KVE67"/>
      <c r="KVF67"/>
      <c r="KVG67"/>
      <c r="KVH67"/>
      <c r="KVI67"/>
      <c r="KVJ67"/>
      <c r="KVK67"/>
      <c r="KVL67"/>
      <c r="KVM67"/>
      <c r="KVN67"/>
      <c r="KVO67"/>
      <c r="KVP67"/>
      <c r="KVQ67"/>
      <c r="KVR67"/>
      <c r="KVS67"/>
      <c r="KVT67"/>
      <c r="KVU67"/>
      <c r="KVV67"/>
      <c r="KVW67"/>
      <c r="KVX67"/>
      <c r="KVY67"/>
      <c r="KVZ67"/>
      <c r="KWA67"/>
      <c r="KWB67"/>
      <c r="KWC67"/>
      <c r="KWD67"/>
      <c r="KWE67"/>
      <c r="KWF67"/>
      <c r="KWG67"/>
      <c r="KWH67"/>
      <c r="KWI67"/>
      <c r="KWJ67"/>
      <c r="KWK67"/>
      <c r="KWL67"/>
      <c r="KWM67"/>
      <c r="KWN67"/>
      <c r="KWO67"/>
      <c r="KWP67"/>
      <c r="KWQ67"/>
      <c r="KWR67"/>
      <c r="KWS67"/>
      <c r="KWT67"/>
      <c r="KWU67"/>
      <c r="KWV67"/>
      <c r="KWW67"/>
      <c r="KWX67"/>
      <c r="KWY67"/>
      <c r="KWZ67"/>
      <c r="KXA67"/>
      <c r="KXB67"/>
      <c r="KXC67"/>
      <c r="KXD67"/>
      <c r="KXE67"/>
      <c r="KXF67"/>
      <c r="KXG67"/>
      <c r="KXH67"/>
      <c r="KXI67"/>
      <c r="KXJ67"/>
      <c r="KXK67"/>
      <c r="KXL67"/>
      <c r="KXM67"/>
      <c r="KXN67"/>
      <c r="KXO67"/>
      <c r="KXP67"/>
      <c r="KXQ67"/>
      <c r="KXR67"/>
      <c r="KXS67"/>
      <c r="KXT67"/>
      <c r="KXU67"/>
      <c r="KXV67"/>
      <c r="KXW67"/>
      <c r="KXX67"/>
      <c r="KXY67"/>
      <c r="KXZ67"/>
      <c r="KYA67"/>
      <c r="KYB67"/>
      <c r="KYC67"/>
      <c r="KYD67"/>
      <c r="KYE67"/>
      <c r="KYF67"/>
      <c r="KYG67"/>
      <c r="KYH67"/>
      <c r="KYI67"/>
      <c r="KYJ67"/>
      <c r="KYK67"/>
      <c r="KYL67"/>
      <c r="KYM67"/>
      <c r="KYN67"/>
      <c r="KYO67"/>
      <c r="KYP67"/>
      <c r="KYQ67"/>
      <c r="KYR67"/>
      <c r="KYS67"/>
      <c r="KYT67"/>
      <c r="KYU67"/>
      <c r="KYV67"/>
      <c r="KYW67"/>
      <c r="KYX67"/>
      <c r="KYY67"/>
      <c r="KYZ67"/>
      <c r="KZA67"/>
      <c r="KZB67"/>
      <c r="KZC67"/>
      <c r="KZD67"/>
      <c r="KZE67"/>
      <c r="KZF67"/>
      <c r="KZG67"/>
      <c r="KZH67"/>
      <c r="KZI67"/>
      <c r="KZJ67"/>
      <c r="KZK67"/>
      <c r="KZL67"/>
      <c r="KZM67"/>
      <c r="KZN67"/>
      <c r="KZO67"/>
      <c r="KZP67"/>
      <c r="KZQ67"/>
      <c r="KZR67"/>
      <c r="KZS67"/>
      <c r="KZT67"/>
      <c r="KZU67"/>
      <c r="KZV67"/>
      <c r="KZW67"/>
      <c r="KZX67"/>
      <c r="KZY67"/>
      <c r="KZZ67"/>
      <c r="LAA67"/>
      <c r="LAB67"/>
      <c r="LAC67"/>
      <c r="LAD67"/>
      <c r="LAE67"/>
      <c r="LAF67"/>
      <c r="LAG67"/>
      <c r="LAH67"/>
      <c r="LAI67"/>
      <c r="LAJ67"/>
      <c r="LAK67"/>
      <c r="LAL67"/>
      <c r="LAM67"/>
      <c r="LAN67"/>
      <c r="LAO67"/>
      <c r="LAP67"/>
      <c r="LAQ67"/>
      <c r="LAR67"/>
      <c r="LAS67"/>
      <c r="LAT67"/>
      <c r="LAU67"/>
      <c r="LAV67"/>
      <c r="LAW67"/>
      <c r="LAX67"/>
      <c r="LAY67"/>
      <c r="LAZ67"/>
      <c r="LBA67"/>
      <c r="LBB67"/>
      <c r="LBC67"/>
      <c r="LBD67"/>
      <c r="LBE67"/>
      <c r="LBF67"/>
      <c r="LBG67"/>
      <c r="LBH67"/>
      <c r="LBI67"/>
      <c r="LBJ67"/>
      <c r="LBK67"/>
      <c r="LBL67"/>
      <c r="LBM67"/>
      <c r="LBN67"/>
      <c r="LBO67"/>
      <c r="LBP67"/>
      <c r="LBQ67"/>
      <c r="LBR67"/>
      <c r="LBS67"/>
      <c r="LBT67"/>
      <c r="LBU67"/>
      <c r="LBV67"/>
      <c r="LBW67"/>
      <c r="LBX67"/>
      <c r="LBY67"/>
      <c r="LBZ67"/>
      <c r="LCA67"/>
      <c r="LCB67"/>
      <c r="LCC67"/>
      <c r="LCD67"/>
      <c r="LCE67"/>
      <c r="LCF67"/>
      <c r="LCG67"/>
      <c r="LCH67"/>
      <c r="LCI67"/>
      <c r="LCJ67"/>
      <c r="LCK67"/>
      <c r="LCL67"/>
      <c r="LCM67"/>
      <c r="LCN67"/>
      <c r="LCO67"/>
      <c r="LCP67"/>
      <c r="LCQ67"/>
      <c r="LCR67"/>
      <c r="LCS67"/>
      <c r="LCT67"/>
      <c r="LCU67"/>
      <c r="LCV67"/>
      <c r="LCW67"/>
      <c r="LCX67"/>
      <c r="LCY67"/>
      <c r="LCZ67"/>
      <c r="LDA67"/>
      <c r="LDB67"/>
      <c r="LDC67"/>
      <c r="LDD67"/>
      <c r="LDE67"/>
      <c r="LDF67"/>
      <c r="LDG67"/>
      <c r="LDH67"/>
      <c r="LDI67"/>
      <c r="LDJ67"/>
      <c r="LDK67"/>
      <c r="LDL67"/>
      <c r="LDM67"/>
      <c r="LDN67"/>
      <c r="LDO67"/>
      <c r="LDP67"/>
      <c r="LDQ67"/>
      <c r="LDR67"/>
      <c r="LDS67"/>
      <c r="LDT67"/>
      <c r="LDU67"/>
      <c r="LDV67"/>
      <c r="LDW67"/>
      <c r="LDX67"/>
      <c r="LDY67"/>
      <c r="LDZ67"/>
      <c r="LEA67"/>
      <c r="LEB67"/>
      <c r="LEC67"/>
      <c r="LED67"/>
      <c r="LEE67"/>
      <c r="LEF67"/>
      <c r="LEG67"/>
      <c r="LEH67"/>
      <c r="LEI67"/>
      <c r="LEJ67"/>
      <c r="LEK67"/>
      <c r="LEL67"/>
      <c r="LEM67"/>
      <c r="LEN67"/>
      <c r="LEO67"/>
      <c r="LEP67"/>
      <c r="LEQ67"/>
      <c r="LER67"/>
      <c r="LES67"/>
      <c r="LET67"/>
      <c r="LEU67"/>
      <c r="LEV67"/>
      <c r="LEW67"/>
      <c r="LEX67"/>
      <c r="LEY67"/>
      <c r="LEZ67"/>
      <c r="LFA67"/>
      <c r="LFB67"/>
      <c r="LFC67"/>
      <c r="LFD67"/>
      <c r="LFE67"/>
      <c r="LFF67"/>
      <c r="LFG67"/>
      <c r="LFH67"/>
      <c r="LFI67"/>
      <c r="LFJ67"/>
      <c r="LFK67"/>
      <c r="LFL67"/>
      <c r="LFM67"/>
      <c r="LFN67"/>
      <c r="LFO67"/>
      <c r="LFP67"/>
      <c r="LFQ67"/>
      <c r="LFR67"/>
      <c r="LFS67"/>
      <c r="LFT67"/>
      <c r="LFU67"/>
      <c r="LFV67"/>
      <c r="LFW67"/>
      <c r="LFX67"/>
      <c r="LFY67"/>
      <c r="LFZ67"/>
      <c r="LGA67"/>
      <c r="LGB67"/>
      <c r="LGC67"/>
      <c r="LGD67"/>
      <c r="LGE67"/>
      <c r="LGF67"/>
      <c r="LGG67"/>
      <c r="LGH67"/>
      <c r="LGI67"/>
      <c r="LGJ67"/>
      <c r="LGK67"/>
      <c r="LGL67"/>
      <c r="LGM67"/>
      <c r="LGN67"/>
      <c r="LGO67"/>
      <c r="LGP67"/>
      <c r="LGQ67"/>
      <c r="LGR67"/>
      <c r="LGS67"/>
      <c r="LGT67"/>
      <c r="LGU67"/>
      <c r="LGV67"/>
      <c r="LGW67"/>
      <c r="LGX67"/>
      <c r="LGY67"/>
      <c r="LGZ67"/>
      <c r="LHA67"/>
      <c r="LHB67"/>
      <c r="LHC67"/>
      <c r="LHD67"/>
      <c r="LHE67"/>
      <c r="LHF67"/>
      <c r="LHG67"/>
      <c r="LHH67"/>
      <c r="LHI67"/>
      <c r="LHJ67"/>
      <c r="LHK67"/>
      <c r="LHL67"/>
      <c r="LHM67"/>
      <c r="LHN67"/>
      <c r="LHO67"/>
      <c r="LHP67"/>
      <c r="LHQ67"/>
      <c r="LHR67"/>
      <c r="LHS67"/>
      <c r="LHT67"/>
      <c r="LHU67"/>
      <c r="LHV67"/>
      <c r="LHW67"/>
      <c r="LHX67"/>
      <c r="LHY67"/>
      <c r="LHZ67"/>
      <c r="LIA67"/>
      <c r="LIB67"/>
      <c r="LIC67"/>
      <c r="LID67"/>
      <c r="LIE67"/>
      <c r="LIF67"/>
      <c r="LIG67"/>
      <c r="LIH67"/>
      <c r="LII67"/>
      <c r="LIJ67"/>
      <c r="LIK67"/>
      <c r="LIL67"/>
      <c r="LIM67"/>
      <c r="LIN67"/>
      <c r="LIO67"/>
      <c r="LIP67"/>
      <c r="LIQ67"/>
      <c r="LIR67"/>
      <c r="LIS67"/>
      <c r="LIT67"/>
      <c r="LIU67"/>
      <c r="LIV67"/>
      <c r="LIW67"/>
      <c r="LIX67"/>
      <c r="LIY67"/>
      <c r="LIZ67"/>
      <c r="LJA67"/>
      <c r="LJB67"/>
      <c r="LJC67"/>
      <c r="LJD67"/>
      <c r="LJE67"/>
      <c r="LJF67"/>
      <c r="LJG67"/>
      <c r="LJH67"/>
      <c r="LJI67"/>
      <c r="LJJ67"/>
      <c r="LJK67"/>
      <c r="LJL67"/>
      <c r="LJM67"/>
      <c r="LJN67"/>
      <c r="LJO67"/>
      <c r="LJP67"/>
      <c r="LJQ67"/>
      <c r="LJR67"/>
      <c r="LJS67"/>
      <c r="LJT67"/>
      <c r="LJU67"/>
      <c r="LJV67"/>
      <c r="LJW67"/>
      <c r="LJX67"/>
      <c r="LJY67"/>
      <c r="LJZ67"/>
      <c r="LKA67"/>
      <c r="LKB67"/>
      <c r="LKC67"/>
      <c r="LKD67"/>
      <c r="LKE67"/>
      <c r="LKF67"/>
      <c r="LKG67"/>
      <c r="LKH67"/>
      <c r="LKI67"/>
      <c r="LKJ67"/>
      <c r="LKK67"/>
      <c r="LKL67"/>
      <c r="LKM67"/>
      <c r="LKN67"/>
      <c r="LKO67"/>
      <c r="LKP67"/>
      <c r="LKQ67"/>
      <c r="LKR67"/>
      <c r="LKS67"/>
      <c r="LKT67"/>
      <c r="LKU67"/>
      <c r="LKV67"/>
      <c r="LKW67"/>
      <c r="LKX67"/>
      <c r="LKY67"/>
      <c r="LKZ67"/>
      <c r="LLA67"/>
      <c r="LLB67"/>
      <c r="LLC67"/>
      <c r="LLD67"/>
      <c r="LLE67"/>
      <c r="LLF67"/>
      <c r="LLG67"/>
      <c r="LLH67"/>
      <c r="LLI67"/>
      <c r="LLJ67"/>
      <c r="LLK67"/>
      <c r="LLL67"/>
      <c r="LLM67"/>
      <c r="LLN67"/>
      <c r="LLO67"/>
      <c r="LLP67"/>
      <c r="LLQ67"/>
      <c r="LLR67"/>
      <c r="LLS67"/>
      <c r="LLT67"/>
      <c r="LLU67"/>
      <c r="LLV67"/>
      <c r="LLW67"/>
      <c r="LLX67"/>
      <c r="LLY67"/>
      <c r="LLZ67"/>
      <c r="LMA67"/>
      <c r="LMB67"/>
      <c r="LMC67"/>
      <c r="LMD67"/>
      <c r="LME67"/>
      <c r="LMF67"/>
      <c r="LMG67"/>
      <c r="LMH67"/>
      <c r="LMI67"/>
      <c r="LMJ67"/>
      <c r="LMK67"/>
      <c r="LML67"/>
      <c r="LMM67"/>
      <c r="LMN67"/>
      <c r="LMO67"/>
      <c r="LMP67"/>
      <c r="LMQ67"/>
      <c r="LMR67"/>
      <c r="LMS67"/>
      <c r="LMT67"/>
      <c r="LMU67"/>
      <c r="LMV67"/>
      <c r="LMW67"/>
      <c r="LMX67"/>
      <c r="LMY67"/>
      <c r="LMZ67"/>
      <c r="LNA67"/>
      <c r="LNB67"/>
      <c r="LNC67"/>
      <c r="LND67"/>
      <c r="LNE67"/>
      <c r="LNF67"/>
      <c r="LNG67"/>
      <c r="LNH67"/>
      <c r="LNI67"/>
      <c r="LNJ67"/>
      <c r="LNK67"/>
      <c r="LNL67"/>
      <c r="LNM67"/>
      <c r="LNN67"/>
      <c r="LNO67"/>
      <c r="LNP67"/>
      <c r="LNQ67"/>
      <c r="LNR67"/>
      <c r="LNS67"/>
      <c r="LNT67"/>
      <c r="LNU67"/>
      <c r="LNV67"/>
      <c r="LNW67"/>
      <c r="LNX67"/>
      <c r="LNY67"/>
      <c r="LNZ67"/>
      <c r="LOA67"/>
      <c r="LOB67"/>
      <c r="LOC67"/>
      <c r="LOD67"/>
      <c r="LOE67"/>
      <c r="LOF67"/>
      <c r="LOG67"/>
      <c r="LOH67"/>
      <c r="LOI67"/>
      <c r="LOJ67"/>
      <c r="LOK67"/>
      <c r="LOL67"/>
      <c r="LOM67"/>
      <c r="LON67"/>
      <c r="LOO67"/>
      <c r="LOP67"/>
      <c r="LOQ67"/>
      <c r="LOR67"/>
      <c r="LOS67"/>
      <c r="LOT67"/>
      <c r="LOU67"/>
      <c r="LOV67"/>
      <c r="LOW67"/>
      <c r="LOX67"/>
      <c r="LOY67"/>
      <c r="LOZ67"/>
      <c r="LPA67"/>
      <c r="LPB67"/>
      <c r="LPC67"/>
      <c r="LPD67"/>
      <c r="LPE67"/>
      <c r="LPF67"/>
      <c r="LPG67"/>
      <c r="LPH67"/>
      <c r="LPI67"/>
      <c r="LPJ67"/>
      <c r="LPK67"/>
      <c r="LPL67"/>
      <c r="LPM67"/>
      <c r="LPN67"/>
      <c r="LPO67"/>
      <c r="LPP67"/>
      <c r="LPQ67"/>
      <c r="LPR67"/>
      <c r="LPS67"/>
      <c r="LPT67"/>
      <c r="LPU67"/>
      <c r="LPV67"/>
      <c r="LPW67"/>
      <c r="LPX67"/>
      <c r="LPY67"/>
      <c r="LPZ67"/>
      <c r="LQA67"/>
      <c r="LQB67"/>
      <c r="LQC67"/>
      <c r="LQD67"/>
      <c r="LQE67"/>
      <c r="LQF67"/>
      <c r="LQG67"/>
      <c r="LQH67"/>
      <c r="LQI67"/>
      <c r="LQJ67"/>
      <c r="LQK67"/>
      <c r="LQL67"/>
      <c r="LQM67"/>
      <c r="LQN67"/>
      <c r="LQO67"/>
      <c r="LQP67"/>
      <c r="LQQ67"/>
      <c r="LQR67"/>
      <c r="LQS67"/>
      <c r="LQT67"/>
      <c r="LQU67"/>
      <c r="LQV67"/>
      <c r="LQW67"/>
      <c r="LQX67"/>
      <c r="LQY67"/>
      <c r="LQZ67"/>
      <c r="LRA67"/>
      <c r="LRB67"/>
      <c r="LRC67"/>
      <c r="LRD67"/>
      <c r="LRE67"/>
      <c r="LRF67"/>
      <c r="LRG67"/>
      <c r="LRH67"/>
      <c r="LRI67"/>
      <c r="LRJ67"/>
      <c r="LRK67"/>
      <c r="LRL67"/>
      <c r="LRM67"/>
      <c r="LRN67"/>
      <c r="LRO67"/>
      <c r="LRP67"/>
      <c r="LRQ67"/>
      <c r="LRR67"/>
      <c r="LRS67"/>
      <c r="LRT67"/>
      <c r="LRU67"/>
      <c r="LRV67"/>
      <c r="LRW67"/>
      <c r="LRX67"/>
      <c r="LRY67"/>
      <c r="LRZ67"/>
      <c r="LSA67"/>
      <c r="LSB67"/>
      <c r="LSC67"/>
      <c r="LSD67"/>
      <c r="LSE67"/>
      <c r="LSF67"/>
      <c r="LSG67"/>
      <c r="LSH67"/>
      <c r="LSI67"/>
      <c r="LSJ67"/>
      <c r="LSK67"/>
      <c r="LSL67"/>
      <c r="LSM67"/>
      <c r="LSN67"/>
      <c r="LSO67"/>
      <c r="LSP67"/>
      <c r="LSQ67"/>
      <c r="LSR67"/>
      <c r="LSS67"/>
      <c r="LST67"/>
      <c r="LSU67"/>
      <c r="LSV67"/>
      <c r="LSW67"/>
      <c r="LSX67"/>
      <c r="LSY67"/>
      <c r="LSZ67"/>
      <c r="LTA67"/>
      <c r="LTB67"/>
      <c r="LTC67"/>
      <c r="LTD67"/>
      <c r="LTE67"/>
      <c r="LTF67"/>
      <c r="LTG67"/>
      <c r="LTH67"/>
      <c r="LTI67"/>
      <c r="LTJ67"/>
      <c r="LTK67"/>
      <c r="LTL67"/>
      <c r="LTM67"/>
      <c r="LTN67"/>
      <c r="LTO67"/>
      <c r="LTP67"/>
      <c r="LTQ67"/>
      <c r="LTR67"/>
      <c r="LTS67"/>
      <c r="LTT67"/>
      <c r="LTU67"/>
      <c r="LTV67"/>
      <c r="LTW67"/>
      <c r="LTX67"/>
      <c r="LTY67"/>
      <c r="LTZ67"/>
      <c r="LUA67"/>
      <c r="LUB67"/>
      <c r="LUC67"/>
      <c r="LUD67"/>
      <c r="LUE67"/>
      <c r="LUF67"/>
      <c r="LUG67"/>
      <c r="LUH67"/>
      <c r="LUI67"/>
      <c r="LUJ67"/>
      <c r="LUK67"/>
      <c r="LUL67"/>
      <c r="LUM67"/>
      <c r="LUN67"/>
      <c r="LUO67"/>
      <c r="LUP67"/>
      <c r="LUQ67"/>
      <c r="LUR67"/>
      <c r="LUS67"/>
      <c r="LUT67"/>
      <c r="LUU67"/>
      <c r="LUV67"/>
      <c r="LUW67"/>
      <c r="LUX67"/>
      <c r="LUY67"/>
      <c r="LUZ67"/>
      <c r="LVA67"/>
      <c r="LVB67"/>
      <c r="LVC67"/>
      <c r="LVD67"/>
      <c r="LVE67"/>
      <c r="LVF67"/>
      <c r="LVG67"/>
      <c r="LVH67"/>
      <c r="LVI67"/>
      <c r="LVJ67"/>
      <c r="LVK67"/>
      <c r="LVL67"/>
      <c r="LVM67"/>
      <c r="LVN67"/>
      <c r="LVO67"/>
      <c r="LVP67"/>
      <c r="LVQ67"/>
      <c r="LVR67"/>
      <c r="LVS67"/>
      <c r="LVT67"/>
      <c r="LVU67"/>
      <c r="LVV67"/>
      <c r="LVW67"/>
      <c r="LVX67"/>
      <c r="LVY67"/>
      <c r="LVZ67"/>
      <c r="LWA67"/>
      <c r="LWB67"/>
      <c r="LWC67"/>
      <c r="LWD67"/>
      <c r="LWE67"/>
      <c r="LWF67"/>
      <c r="LWG67"/>
      <c r="LWH67"/>
      <c r="LWI67"/>
      <c r="LWJ67"/>
      <c r="LWK67"/>
      <c r="LWL67"/>
      <c r="LWM67"/>
      <c r="LWN67"/>
      <c r="LWO67"/>
      <c r="LWP67"/>
      <c r="LWQ67"/>
      <c r="LWR67"/>
      <c r="LWS67"/>
      <c r="LWT67"/>
      <c r="LWU67"/>
      <c r="LWV67"/>
      <c r="LWW67"/>
      <c r="LWX67"/>
      <c r="LWY67"/>
      <c r="LWZ67"/>
      <c r="LXA67"/>
      <c r="LXB67"/>
      <c r="LXC67"/>
      <c r="LXD67"/>
      <c r="LXE67"/>
      <c r="LXF67"/>
      <c r="LXG67"/>
      <c r="LXH67"/>
      <c r="LXI67"/>
      <c r="LXJ67"/>
      <c r="LXK67"/>
      <c r="LXL67"/>
      <c r="LXM67"/>
      <c r="LXN67"/>
      <c r="LXO67"/>
      <c r="LXP67"/>
      <c r="LXQ67"/>
      <c r="LXR67"/>
      <c r="LXS67"/>
      <c r="LXT67"/>
      <c r="LXU67"/>
      <c r="LXV67"/>
      <c r="LXW67"/>
      <c r="LXX67"/>
      <c r="LXY67"/>
      <c r="LXZ67"/>
      <c r="LYA67"/>
      <c r="LYB67"/>
      <c r="LYC67"/>
      <c r="LYD67"/>
      <c r="LYE67"/>
      <c r="LYF67"/>
      <c r="LYG67"/>
      <c r="LYH67"/>
      <c r="LYI67"/>
      <c r="LYJ67"/>
      <c r="LYK67"/>
      <c r="LYL67"/>
      <c r="LYM67"/>
      <c r="LYN67"/>
      <c r="LYO67"/>
      <c r="LYP67"/>
      <c r="LYQ67"/>
      <c r="LYR67"/>
      <c r="LYS67"/>
      <c r="LYT67"/>
      <c r="LYU67"/>
      <c r="LYV67"/>
      <c r="LYW67"/>
      <c r="LYX67"/>
      <c r="LYY67"/>
      <c r="LYZ67"/>
      <c r="LZA67"/>
      <c r="LZB67"/>
      <c r="LZC67"/>
      <c r="LZD67"/>
      <c r="LZE67"/>
      <c r="LZF67"/>
      <c r="LZG67"/>
      <c r="LZH67"/>
      <c r="LZI67"/>
      <c r="LZJ67"/>
      <c r="LZK67"/>
      <c r="LZL67"/>
      <c r="LZM67"/>
      <c r="LZN67"/>
      <c r="LZO67"/>
      <c r="LZP67"/>
      <c r="LZQ67"/>
      <c r="LZR67"/>
      <c r="LZS67"/>
      <c r="LZT67"/>
      <c r="LZU67"/>
      <c r="LZV67"/>
      <c r="LZW67"/>
      <c r="LZX67"/>
      <c r="LZY67"/>
      <c r="LZZ67"/>
      <c r="MAA67"/>
      <c r="MAB67"/>
      <c r="MAC67"/>
      <c r="MAD67"/>
      <c r="MAE67"/>
      <c r="MAF67"/>
      <c r="MAG67"/>
      <c r="MAH67"/>
      <c r="MAI67"/>
      <c r="MAJ67"/>
      <c r="MAK67"/>
      <c r="MAL67"/>
      <c r="MAM67"/>
      <c r="MAN67"/>
      <c r="MAO67"/>
      <c r="MAP67"/>
      <c r="MAQ67"/>
      <c r="MAR67"/>
      <c r="MAS67"/>
      <c r="MAT67"/>
      <c r="MAU67"/>
      <c r="MAV67"/>
      <c r="MAW67"/>
      <c r="MAX67"/>
      <c r="MAY67"/>
      <c r="MAZ67"/>
      <c r="MBA67"/>
      <c r="MBB67"/>
      <c r="MBC67"/>
      <c r="MBD67"/>
      <c r="MBE67"/>
      <c r="MBF67"/>
      <c r="MBG67"/>
      <c r="MBH67"/>
      <c r="MBI67"/>
      <c r="MBJ67"/>
      <c r="MBK67"/>
      <c r="MBL67"/>
      <c r="MBM67"/>
      <c r="MBN67"/>
      <c r="MBO67"/>
      <c r="MBP67"/>
      <c r="MBQ67"/>
      <c r="MBR67"/>
      <c r="MBS67"/>
      <c r="MBT67"/>
      <c r="MBU67"/>
      <c r="MBV67"/>
      <c r="MBW67"/>
      <c r="MBX67"/>
      <c r="MBY67"/>
      <c r="MBZ67"/>
      <c r="MCA67"/>
      <c r="MCB67"/>
      <c r="MCC67"/>
      <c r="MCD67"/>
      <c r="MCE67"/>
      <c r="MCF67"/>
      <c r="MCG67"/>
      <c r="MCH67"/>
      <c r="MCI67"/>
      <c r="MCJ67"/>
      <c r="MCK67"/>
      <c r="MCL67"/>
      <c r="MCM67"/>
      <c r="MCN67"/>
      <c r="MCO67"/>
      <c r="MCP67"/>
      <c r="MCQ67"/>
      <c r="MCR67"/>
      <c r="MCS67"/>
      <c r="MCT67"/>
      <c r="MCU67"/>
      <c r="MCV67"/>
      <c r="MCW67"/>
      <c r="MCX67"/>
      <c r="MCY67"/>
      <c r="MCZ67"/>
      <c r="MDA67"/>
      <c r="MDB67"/>
      <c r="MDC67"/>
      <c r="MDD67"/>
      <c r="MDE67"/>
      <c r="MDF67"/>
      <c r="MDG67"/>
      <c r="MDH67"/>
      <c r="MDI67"/>
      <c r="MDJ67"/>
      <c r="MDK67"/>
      <c r="MDL67"/>
      <c r="MDM67"/>
      <c r="MDN67"/>
      <c r="MDO67"/>
      <c r="MDP67"/>
      <c r="MDQ67"/>
      <c r="MDR67"/>
      <c r="MDS67"/>
      <c r="MDT67"/>
      <c r="MDU67"/>
      <c r="MDV67"/>
      <c r="MDW67"/>
      <c r="MDX67"/>
      <c r="MDY67"/>
      <c r="MDZ67"/>
      <c r="MEA67"/>
      <c r="MEB67"/>
      <c r="MEC67"/>
      <c r="MED67"/>
      <c r="MEE67"/>
      <c r="MEF67"/>
      <c r="MEG67"/>
      <c r="MEH67"/>
      <c r="MEI67"/>
      <c r="MEJ67"/>
      <c r="MEK67"/>
      <c r="MEL67"/>
      <c r="MEM67"/>
      <c r="MEN67"/>
      <c r="MEO67"/>
      <c r="MEP67"/>
      <c r="MEQ67"/>
      <c r="MER67"/>
      <c r="MES67"/>
      <c r="MET67"/>
      <c r="MEU67"/>
      <c r="MEV67"/>
      <c r="MEW67"/>
      <c r="MEX67"/>
      <c r="MEY67"/>
      <c r="MEZ67"/>
      <c r="MFA67"/>
      <c r="MFB67"/>
      <c r="MFC67"/>
      <c r="MFD67"/>
      <c r="MFE67"/>
      <c r="MFF67"/>
      <c r="MFG67"/>
      <c r="MFH67"/>
      <c r="MFI67"/>
      <c r="MFJ67"/>
      <c r="MFK67"/>
      <c r="MFL67"/>
      <c r="MFM67"/>
      <c r="MFN67"/>
      <c r="MFO67"/>
      <c r="MFP67"/>
      <c r="MFQ67"/>
      <c r="MFR67"/>
      <c r="MFS67"/>
      <c r="MFT67"/>
      <c r="MFU67"/>
      <c r="MFV67"/>
      <c r="MFW67"/>
      <c r="MFX67"/>
      <c r="MFY67"/>
      <c r="MFZ67"/>
      <c r="MGA67"/>
      <c r="MGB67"/>
      <c r="MGC67"/>
      <c r="MGD67"/>
      <c r="MGE67"/>
      <c r="MGF67"/>
      <c r="MGG67"/>
      <c r="MGH67"/>
      <c r="MGI67"/>
      <c r="MGJ67"/>
      <c r="MGK67"/>
      <c r="MGL67"/>
      <c r="MGM67"/>
      <c r="MGN67"/>
      <c r="MGO67"/>
      <c r="MGP67"/>
      <c r="MGQ67"/>
      <c r="MGR67"/>
      <c r="MGS67"/>
      <c r="MGT67"/>
      <c r="MGU67"/>
      <c r="MGV67"/>
      <c r="MGW67"/>
      <c r="MGX67"/>
      <c r="MGY67"/>
      <c r="MGZ67"/>
      <c r="MHA67"/>
      <c r="MHB67"/>
      <c r="MHC67"/>
      <c r="MHD67"/>
      <c r="MHE67"/>
      <c r="MHF67"/>
      <c r="MHG67"/>
      <c r="MHH67"/>
      <c r="MHI67"/>
      <c r="MHJ67"/>
      <c r="MHK67"/>
      <c r="MHL67"/>
      <c r="MHM67"/>
      <c r="MHN67"/>
      <c r="MHO67"/>
      <c r="MHP67"/>
      <c r="MHQ67"/>
      <c r="MHR67"/>
      <c r="MHS67"/>
      <c r="MHT67"/>
      <c r="MHU67"/>
      <c r="MHV67"/>
      <c r="MHW67"/>
      <c r="MHX67"/>
      <c r="MHY67"/>
      <c r="MHZ67"/>
      <c r="MIA67"/>
      <c r="MIB67"/>
      <c r="MIC67"/>
      <c r="MID67"/>
      <c r="MIE67"/>
      <c r="MIF67"/>
      <c r="MIG67"/>
      <c r="MIH67"/>
      <c r="MII67"/>
      <c r="MIJ67"/>
      <c r="MIK67"/>
      <c r="MIL67"/>
      <c r="MIM67"/>
      <c r="MIN67"/>
      <c r="MIO67"/>
      <c r="MIP67"/>
      <c r="MIQ67"/>
      <c r="MIR67"/>
      <c r="MIS67"/>
      <c r="MIT67"/>
      <c r="MIU67"/>
      <c r="MIV67"/>
      <c r="MIW67"/>
      <c r="MIX67"/>
      <c r="MIY67"/>
      <c r="MIZ67"/>
      <c r="MJA67"/>
      <c r="MJB67"/>
      <c r="MJC67"/>
      <c r="MJD67"/>
      <c r="MJE67"/>
      <c r="MJF67"/>
      <c r="MJG67"/>
      <c r="MJH67"/>
      <c r="MJI67"/>
      <c r="MJJ67"/>
      <c r="MJK67"/>
      <c r="MJL67"/>
      <c r="MJM67"/>
      <c r="MJN67"/>
      <c r="MJO67"/>
      <c r="MJP67"/>
      <c r="MJQ67"/>
      <c r="MJR67"/>
      <c r="MJS67"/>
      <c r="MJT67"/>
      <c r="MJU67"/>
      <c r="MJV67"/>
      <c r="MJW67"/>
      <c r="MJX67"/>
      <c r="MJY67"/>
      <c r="MJZ67"/>
      <c r="MKA67"/>
      <c r="MKB67"/>
      <c r="MKC67"/>
      <c r="MKD67"/>
      <c r="MKE67"/>
      <c r="MKF67"/>
      <c r="MKG67"/>
      <c r="MKH67"/>
      <c r="MKI67"/>
      <c r="MKJ67"/>
      <c r="MKK67"/>
      <c r="MKL67"/>
      <c r="MKM67"/>
      <c r="MKN67"/>
      <c r="MKO67"/>
      <c r="MKP67"/>
      <c r="MKQ67"/>
      <c r="MKR67"/>
      <c r="MKS67"/>
      <c r="MKT67"/>
      <c r="MKU67"/>
      <c r="MKV67"/>
      <c r="MKW67"/>
      <c r="MKX67"/>
      <c r="MKY67"/>
      <c r="MKZ67"/>
      <c r="MLA67"/>
      <c r="MLB67"/>
      <c r="MLC67"/>
      <c r="MLD67"/>
      <c r="MLE67"/>
      <c r="MLF67"/>
      <c r="MLG67"/>
      <c r="MLH67"/>
      <c r="MLI67"/>
      <c r="MLJ67"/>
      <c r="MLK67"/>
      <c r="MLL67"/>
      <c r="MLM67"/>
      <c r="MLN67"/>
      <c r="MLO67"/>
      <c r="MLP67"/>
      <c r="MLQ67"/>
      <c r="MLR67"/>
      <c r="MLS67"/>
      <c r="MLT67"/>
      <c r="MLU67"/>
      <c r="MLV67"/>
      <c r="MLW67"/>
      <c r="MLX67"/>
      <c r="MLY67"/>
      <c r="MLZ67"/>
      <c r="MMA67"/>
      <c r="MMB67"/>
      <c r="MMC67"/>
      <c r="MMD67"/>
      <c r="MME67"/>
      <c r="MMF67"/>
      <c r="MMG67"/>
      <c r="MMH67"/>
      <c r="MMI67"/>
      <c r="MMJ67"/>
      <c r="MMK67"/>
      <c r="MML67"/>
      <c r="MMM67"/>
      <c r="MMN67"/>
      <c r="MMO67"/>
      <c r="MMP67"/>
      <c r="MMQ67"/>
      <c r="MMR67"/>
      <c r="MMS67"/>
      <c r="MMT67"/>
      <c r="MMU67"/>
      <c r="MMV67"/>
      <c r="MMW67"/>
      <c r="MMX67"/>
      <c r="MMY67"/>
      <c r="MMZ67"/>
      <c r="MNA67"/>
      <c r="MNB67"/>
      <c r="MNC67"/>
      <c r="MND67"/>
      <c r="MNE67"/>
      <c r="MNF67"/>
      <c r="MNG67"/>
      <c r="MNH67"/>
      <c r="MNI67"/>
      <c r="MNJ67"/>
      <c r="MNK67"/>
      <c r="MNL67"/>
      <c r="MNM67"/>
      <c r="MNN67"/>
      <c r="MNO67"/>
      <c r="MNP67"/>
      <c r="MNQ67"/>
      <c r="MNR67"/>
      <c r="MNS67"/>
      <c r="MNT67"/>
      <c r="MNU67"/>
      <c r="MNV67"/>
      <c r="MNW67"/>
      <c r="MNX67"/>
      <c r="MNY67"/>
      <c r="MNZ67"/>
      <c r="MOA67"/>
      <c r="MOB67"/>
      <c r="MOC67"/>
      <c r="MOD67"/>
      <c r="MOE67"/>
      <c r="MOF67"/>
      <c r="MOG67"/>
      <c r="MOH67"/>
      <c r="MOI67"/>
      <c r="MOJ67"/>
      <c r="MOK67"/>
      <c r="MOL67"/>
      <c r="MOM67"/>
      <c r="MON67"/>
      <c r="MOO67"/>
      <c r="MOP67"/>
      <c r="MOQ67"/>
      <c r="MOR67"/>
      <c r="MOS67"/>
      <c r="MOT67"/>
      <c r="MOU67"/>
      <c r="MOV67"/>
      <c r="MOW67"/>
      <c r="MOX67"/>
      <c r="MOY67"/>
      <c r="MOZ67"/>
      <c r="MPA67"/>
      <c r="MPB67"/>
      <c r="MPC67"/>
      <c r="MPD67"/>
      <c r="MPE67"/>
      <c r="MPF67"/>
      <c r="MPG67"/>
      <c r="MPH67"/>
      <c r="MPI67"/>
      <c r="MPJ67"/>
      <c r="MPK67"/>
      <c r="MPL67"/>
      <c r="MPM67"/>
      <c r="MPN67"/>
      <c r="MPO67"/>
      <c r="MPP67"/>
      <c r="MPQ67"/>
      <c r="MPR67"/>
      <c r="MPS67"/>
      <c r="MPT67"/>
      <c r="MPU67"/>
      <c r="MPV67"/>
      <c r="MPW67"/>
      <c r="MPX67"/>
      <c r="MPY67"/>
      <c r="MPZ67"/>
      <c r="MQA67"/>
      <c r="MQB67"/>
      <c r="MQC67"/>
      <c r="MQD67"/>
      <c r="MQE67"/>
      <c r="MQF67"/>
      <c r="MQG67"/>
      <c r="MQH67"/>
      <c r="MQI67"/>
      <c r="MQJ67"/>
      <c r="MQK67"/>
      <c r="MQL67"/>
      <c r="MQM67"/>
      <c r="MQN67"/>
      <c r="MQO67"/>
      <c r="MQP67"/>
      <c r="MQQ67"/>
      <c r="MQR67"/>
      <c r="MQS67"/>
      <c r="MQT67"/>
      <c r="MQU67"/>
      <c r="MQV67"/>
      <c r="MQW67"/>
      <c r="MQX67"/>
      <c r="MQY67"/>
      <c r="MQZ67"/>
      <c r="MRA67"/>
      <c r="MRB67"/>
      <c r="MRC67"/>
      <c r="MRD67"/>
      <c r="MRE67"/>
      <c r="MRF67"/>
      <c r="MRG67"/>
      <c r="MRH67"/>
      <c r="MRI67"/>
      <c r="MRJ67"/>
      <c r="MRK67"/>
      <c r="MRL67"/>
      <c r="MRM67"/>
      <c r="MRN67"/>
      <c r="MRO67"/>
      <c r="MRP67"/>
      <c r="MRQ67"/>
      <c r="MRR67"/>
      <c r="MRS67"/>
      <c r="MRT67"/>
      <c r="MRU67"/>
      <c r="MRV67"/>
      <c r="MRW67"/>
      <c r="MRX67"/>
      <c r="MRY67"/>
      <c r="MRZ67"/>
      <c r="MSA67"/>
      <c r="MSB67"/>
      <c r="MSC67"/>
      <c r="MSD67"/>
      <c r="MSE67"/>
      <c r="MSF67"/>
      <c r="MSG67"/>
      <c r="MSH67"/>
      <c r="MSI67"/>
      <c r="MSJ67"/>
      <c r="MSK67"/>
      <c r="MSL67"/>
      <c r="MSM67"/>
      <c r="MSN67"/>
      <c r="MSO67"/>
      <c r="MSP67"/>
      <c r="MSQ67"/>
      <c r="MSR67"/>
      <c r="MSS67"/>
      <c r="MST67"/>
      <c r="MSU67"/>
      <c r="MSV67"/>
      <c r="MSW67"/>
      <c r="MSX67"/>
      <c r="MSY67"/>
      <c r="MSZ67"/>
      <c r="MTA67"/>
      <c r="MTB67"/>
      <c r="MTC67"/>
      <c r="MTD67"/>
      <c r="MTE67"/>
      <c r="MTF67"/>
      <c r="MTG67"/>
      <c r="MTH67"/>
      <c r="MTI67"/>
      <c r="MTJ67"/>
      <c r="MTK67"/>
      <c r="MTL67"/>
      <c r="MTM67"/>
      <c r="MTN67"/>
      <c r="MTO67"/>
      <c r="MTP67"/>
      <c r="MTQ67"/>
      <c r="MTR67"/>
      <c r="MTS67"/>
      <c r="MTT67"/>
      <c r="MTU67"/>
      <c r="MTV67"/>
      <c r="MTW67"/>
      <c r="MTX67"/>
      <c r="MTY67"/>
      <c r="MTZ67"/>
      <c r="MUA67"/>
      <c r="MUB67"/>
      <c r="MUC67"/>
      <c r="MUD67"/>
      <c r="MUE67"/>
      <c r="MUF67"/>
      <c r="MUG67"/>
      <c r="MUH67"/>
      <c r="MUI67"/>
      <c r="MUJ67"/>
      <c r="MUK67"/>
      <c r="MUL67"/>
      <c r="MUM67"/>
      <c r="MUN67"/>
      <c r="MUO67"/>
      <c r="MUP67"/>
      <c r="MUQ67"/>
      <c r="MUR67"/>
      <c r="MUS67"/>
      <c r="MUT67"/>
      <c r="MUU67"/>
      <c r="MUV67"/>
      <c r="MUW67"/>
      <c r="MUX67"/>
      <c r="MUY67"/>
      <c r="MUZ67"/>
      <c r="MVA67"/>
      <c r="MVB67"/>
      <c r="MVC67"/>
      <c r="MVD67"/>
      <c r="MVE67"/>
      <c r="MVF67"/>
      <c r="MVG67"/>
      <c r="MVH67"/>
      <c r="MVI67"/>
      <c r="MVJ67"/>
      <c r="MVK67"/>
      <c r="MVL67"/>
      <c r="MVM67"/>
      <c r="MVN67"/>
      <c r="MVO67"/>
      <c r="MVP67"/>
      <c r="MVQ67"/>
      <c r="MVR67"/>
      <c r="MVS67"/>
      <c r="MVT67"/>
      <c r="MVU67"/>
      <c r="MVV67"/>
      <c r="MVW67"/>
      <c r="MVX67"/>
      <c r="MVY67"/>
      <c r="MVZ67"/>
      <c r="MWA67"/>
      <c r="MWB67"/>
      <c r="MWC67"/>
      <c r="MWD67"/>
      <c r="MWE67"/>
      <c r="MWF67"/>
      <c r="MWG67"/>
      <c r="MWH67"/>
      <c r="MWI67"/>
      <c r="MWJ67"/>
      <c r="MWK67"/>
      <c r="MWL67"/>
      <c r="MWM67"/>
      <c r="MWN67"/>
      <c r="MWO67"/>
      <c r="MWP67"/>
      <c r="MWQ67"/>
      <c r="MWR67"/>
      <c r="MWS67"/>
      <c r="MWT67"/>
      <c r="MWU67"/>
      <c r="MWV67"/>
      <c r="MWW67"/>
      <c r="MWX67"/>
      <c r="MWY67"/>
      <c r="MWZ67"/>
      <c r="MXA67"/>
      <c r="MXB67"/>
      <c r="MXC67"/>
      <c r="MXD67"/>
      <c r="MXE67"/>
      <c r="MXF67"/>
      <c r="MXG67"/>
      <c r="MXH67"/>
      <c r="MXI67"/>
      <c r="MXJ67"/>
      <c r="MXK67"/>
      <c r="MXL67"/>
      <c r="MXM67"/>
      <c r="MXN67"/>
      <c r="MXO67"/>
      <c r="MXP67"/>
      <c r="MXQ67"/>
      <c r="MXR67"/>
      <c r="MXS67"/>
      <c r="MXT67"/>
      <c r="MXU67"/>
      <c r="MXV67"/>
      <c r="MXW67"/>
      <c r="MXX67"/>
      <c r="MXY67"/>
      <c r="MXZ67"/>
      <c r="MYA67"/>
      <c r="MYB67"/>
      <c r="MYC67"/>
      <c r="MYD67"/>
      <c r="MYE67"/>
      <c r="MYF67"/>
      <c r="MYG67"/>
      <c r="MYH67"/>
      <c r="MYI67"/>
      <c r="MYJ67"/>
      <c r="MYK67"/>
      <c r="MYL67"/>
      <c r="MYM67"/>
      <c r="MYN67"/>
      <c r="MYO67"/>
      <c r="MYP67"/>
      <c r="MYQ67"/>
      <c r="MYR67"/>
      <c r="MYS67"/>
      <c r="MYT67"/>
      <c r="MYU67"/>
      <c r="MYV67"/>
      <c r="MYW67"/>
      <c r="MYX67"/>
      <c r="MYY67"/>
      <c r="MYZ67"/>
      <c r="MZA67"/>
      <c r="MZB67"/>
      <c r="MZC67"/>
      <c r="MZD67"/>
      <c r="MZE67"/>
      <c r="MZF67"/>
      <c r="MZG67"/>
      <c r="MZH67"/>
      <c r="MZI67"/>
      <c r="MZJ67"/>
      <c r="MZK67"/>
      <c r="MZL67"/>
      <c r="MZM67"/>
      <c r="MZN67"/>
      <c r="MZO67"/>
      <c r="MZP67"/>
      <c r="MZQ67"/>
      <c r="MZR67"/>
      <c r="MZS67"/>
      <c r="MZT67"/>
      <c r="MZU67"/>
      <c r="MZV67"/>
      <c r="MZW67"/>
      <c r="MZX67"/>
      <c r="MZY67"/>
      <c r="MZZ67"/>
      <c r="NAA67"/>
      <c r="NAB67"/>
      <c r="NAC67"/>
      <c r="NAD67"/>
      <c r="NAE67"/>
      <c r="NAF67"/>
      <c r="NAG67"/>
      <c r="NAH67"/>
      <c r="NAI67"/>
      <c r="NAJ67"/>
      <c r="NAK67"/>
      <c r="NAL67"/>
      <c r="NAM67"/>
      <c r="NAN67"/>
      <c r="NAO67"/>
      <c r="NAP67"/>
      <c r="NAQ67"/>
      <c r="NAR67"/>
      <c r="NAS67"/>
      <c r="NAT67"/>
      <c r="NAU67"/>
      <c r="NAV67"/>
      <c r="NAW67"/>
      <c r="NAX67"/>
      <c r="NAY67"/>
      <c r="NAZ67"/>
      <c r="NBA67"/>
      <c r="NBB67"/>
      <c r="NBC67"/>
      <c r="NBD67"/>
      <c r="NBE67"/>
      <c r="NBF67"/>
      <c r="NBG67"/>
      <c r="NBH67"/>
      <c r="NBI67"/>
      <c r="NBJ67"/>
      <c r="NBK67"/>
      <c r="NBL67"/>
      <c r="NBM67"/>
      <c r="NBN67"/>
      <c r="NBO67"/>
      <c r="NBP67"/>
      <c r="NBQ67"/>
      <c r="NBR67"/>
      <c r="NBS67"/>
      <c r="NBT67"/>
      <c r="NBU67"/>
      <c r="NBV67"/>
      <c r="NBW67"/>
      <c r="NBX67"/>
      <c r="NBY67"/>
      <c r="NBZ67"/>
      <c r="NCA67"/>
      <c r="NCB67"/>
      <c r="NCC67"/>
      <c r="NCD67"/>
      <c r="NCE67"/>
      <c r="NCF67"/>
      <c r="NCG67"/>
      <c r="NCH67"/>
      <c r="NCI67"/>
      <c r="NCJ67"/>
      <c r="NCK67"/>
      <c r="NCL67"/>
      <c r="NCM67"/>
      <c r="NCN67"/>
      <c r="NCO67"/>
      <c r="NCP67"/>
      <c r="NCQ67"/>
      <c r="NCR67"/>
      <c r="NCS67"/>
      <c r="NCT67"/>
      <c r="NCU67"/>
      <c r="NCV67"/>
      <c r="NCW67"/>
      <c r="NCX67"/>
      <c r="NCY67"/>
      <c r="NCZ67"/>
      <c r="NDA67"/>
      <c r="NDB67"/>
      <c r="NDC67"/>
      <c r="NDD67"/>
      <c r="NDE67"/>
      <c r="NDF67"/>
      <c r="NDG67"/>
      <c r="NDH67"/>
      <c r="NDI67"/>
      <c r="NDJ67"/>
      <c r="NDK67"/>
      <c r="NDL67"/>
      <c r="NDM67"/>
      <c r="NDN67"/>
      <c r="NDO67"/>
      <c r="NDP67"/>
      <c r="NDQ67"/>
      <c r="NDR67"/>
      <c r="NDS67"/>
      <c r="NDT67"/>
      <c r="NDU67"/>
      <c r="NDV67"/>
      <c r="NDW67"/>
      <c r="NDX67"/>
      <c r="NDY67"/>
      <c r="NDZ67"/>
      <c r="NEA67"/>
      <c r="NEB67"/>
      <c r="NEC67"/>
      <c r="NED67"/>
      <c r="NEE67"/>
      <c r="NEF67"/>
      <c r="NEG67"/>
      <c r="NEH67"/>
      <c r="NEI67"/>
      <c r="NEJ67"/>
      <c r="NEK67"/>
      <c r="NEL67"/>
      <c r="NEM67"/>
      <c r="NEN67"/>
      <c r="NEO67"/>
      <c r="NEP67"/>
      <c r="NEQ67"/>
      <c r="NER67"/>
      <c r="NES67"/>
      <c r="NET67"/>
      <c r="NEU67"/>
      <c r="NEV67"/>
      <c r="NEW67"/>
      <c r="NEX67"/>
      <c r="NEY67"/>
      <c r="NEZ67"/>
      <c r="NFA67"/>
      <c r="NFB67"/>
      <c r="NFC67"/>
      <c r="NFD67"/>
      <c r="NFE67"/>
      <c r="NFF67"/>
      <c r="NFG67"/>
      <c r="NFH67"/>
      <c r="NFI67"/>
      <c r="NFJ67"/>
      <c r="NFK67"/>
      <c r="NFL67"/>
      <c r="NFM67"/>
      <c r="NFN67"/>
      <c r="NFO67"/>
      <c r="NFP67"/>
      <c r="NFQ67"/>
      <c r="NFR67"/>
      <c r="NFS67"/>
      <c r="NFT67"/>
      <c r="NFU67"/>
      <c r="NFV67"/>
      <c r="NFW67"/>
      <c r="NFX67"/>
      <c r="NFY67"/>
      <c r="NFZ67"/>
      <c r="NGA67"/>
      <c r="NGB67"/>
      <c r="NGC67"/>
      <c r="NGD67"/>
      <c r="NGE67"/>
      <c r="NGF67"/>
      <c r="NGG67"/>
      <c r="NGH67"/>
      <c r="NGI67"/>
      <c r="NGJ67"/>
      <c r="NGK67"/>
      <c r="NGL67"/>
      <c r="NGM67"/>
      <c r="NGN67"/>
      <c r="NGO67"/>
      <c r="NGP67"/>
      <c r="NGQ67"/>
      <c r="NGR67"/>
      <c r="NGS67"/>
      <c r="NGT67"/>
      <c r="NGU67"/>
      <c r="NGV67"/>
      <c r="NGW67"/>
      <c r="NGX67"/>
      <c r="NGY67"/>
      <c r="NGZ67"/>
      <c r="NHA67"/>
      <c r="NHB67"/>
      <c r="NHC67"/>
      <c r="NHD67"/>
      <c r="NHE67"/>
      <c r="NHF67"/>
      <c r="NHG67"/>
      <c r="NHH67"/>
      <c r="NHI67"/>
      <c r="NHJ67"/>
      <c r="NHK67"/>
      <c r="NHL67"/>
      <c r="NHM67"/>
      <c r="NHN67"/>
      <c r="NHO67"/>
      <c r="NHP67"/>
      <c r="NHQ67"/>
      <c r="NHR67"/>
      <c r="NHS67"/>
      <c r="NHT67"/>
      <c r="NHU67"/>
      <c r="NHV67"/>
      <c r="NHW67"/>
      <c r="NHX67"/>
      <c r="NHY67"/>
      <c r="NHZ67"/>
      <c r="NIA67"/>
      <c r="NIB67"/>
      <c r="NIC67"/>
      <c r="NID67"/>
      <c r="NIE67"/>
      <c r="NIF67"/>
      <c r="NIG67"/>
      <c r="NIH67"/>
      <c r="NII67"/>
      <c r="NIJ67"/>
      <c r="NIK67"/>
      <c r="NIL67"/>
      <c r="NIM67"/>
      <c r="NIN67"/>
      <c r="NIO67"/>
      <c r="NIP67"/>
      <c r="NIQ67"/>
      <c r="NIR67"/>
      <c r="NIS67"/>
      <c r="NIT67"/>
      <c r="NIU67"/>
      <c r="NIV67"/>
      <c r="NIW67"/>
      <c r="NIX67"/>
      <c r="NIY67"/>
      <c r="NIZ67"/>
      <c r="NJA67"/>
      <c r="NJB67"/>
      <c r="NJC67"/>
      <c r="NJD67"/>
      <c r="NJE67"/>
      <c r="NJF67"/>
      <c r="NJG67"/>
      <c r="NJH67"/>
      <c r="NJI67"/>
      <c r="NJJ67"/>
      <c r="NJK67"/>
      <c r="NJL67"/>
      <c r="NJM67"/>
      <c r="NJN67"/>
      <c r="NJO67"/>
      <c r="NJP67"/>
      <c r="NJQ67"/>
      <c r="NJR67"/>
      <c r="NJS67"/>
      <c r="NJT67"/>
      <c r="NJU67"/>
      <c r="NJV67"/>
      <c r="NJW67"/>
      <c r="NJX67"/>
      <c r="NJY67"/>
      <c r="NJZ67"/>
      <c r="NKA67"/>
      <c r="NKB67"/>
      <c r="NKC67"/>
      <c r="NKD67"/>
      <c r="NKE67"/>
      <c r="NKF67"/>
      <c r="NKG67"/>
      <c r="NKH67"/>
      <c r="NKI67"/>
      <c r="NKJ67"/>
      <c r="NKK67"/>
      <c r="NKL67"/>
      <c r="NKM67"/>
      <c r="NKN67"/>
      <c r="NKO67"/>
      <c r="NKP67"/>
      <c r="NKQ67"/>
      <c r="NKR67"/>
      <c r="NKS67"/>
      <c r="NKT67"/>
      <c r="NKU67"/>
      <c r="NKV67"/>
      <c r="NKW67"/>
      <c r="NKX67"/>
      <c r="NKY67"/>
      <c r="NKZ67"/>
      <c r="NLA67"/>
      <c r="NLB67"/>
      <c r="NLC67"/>
      <c r="NLD67"/>
      <c r="NLE67"/>
      <c r="NLF67"/>
      <c r="NLG67"/>
      <c r="NLH67"/>
      <c r="NLI67"/>
      <c r="NLJ67"/>
      <c r="NLK67"/>
      <c r="NLL67"/>
      <c r="NLM67"/>
      <c r="NLN67"/>
      <c r="NLO67"/>
      <c r="NLP67"/>
      <c r="NLQ67"/>
      <c r="NLR67"/>
      <c r="NLS67"/>
      <c r="NLT67"/>
      <c r="NLU67"/>
      <c r="NLV67"/>
      <c r="NLW67"/>
      <c r="NLX67"/>
      <c r="NLY67"/>
      <c r="NLZ67"/>
      <c r="NMA67"/>
      <c r="NMB67"/>
      <c r="NMC67"/>
      <c r="NMD67"/>
      <c r="NME67"/>
      <c r="NMF67"/>
      <c r="NMG67"/>
      <c r="NMH67"/>
      <c r="NMI67"/>
      <c r="NMJ67"/>
      <c r="NMK67"/>
      <c r="NML67"/>
      <c r="NMM67"/>
      <c r="NMN67"/>
      <c r="NMO67"/>
      <c r="NMP67"/>
      <c r="NMQ67"/>
      <c r="NMR67"/>
      <c r="NMS67"/>
      <c r="NMT67"/>
      <c r="NMU67"/>
      <c r="NMV67"/>
      <c r="NMW67"/>
      <c r="NMX67"/>
      <c r="NMY67"/>
      <c r="NMZ67"/>
      <c r="NNA67"/>
      <c r="NNB67"/>
      <c r="NNC67"/>
      <c r="NND67"/>
      <c r="NNE67"/>
      <c r="NNF67"/>
      <c r="NNG67"/>
      <c r="NNH67"/>
      <c r="NNI67"/>
      <c r="NNJ67"/>
      <c r="NNK67"/>
      <c r="NNL67"/>
      <c r="NNM67"/>
      <c r="NNN67"/>
      <c r="NNO67"/>
      <c r="NNP67"/>
      <c r="NNQ67"/>
      <c r="NNR67"/>
      <c r="NNS67"/>
      <c r="NNT67"/>
      <c r="NNU67"/>
      <c r="NNV67"/>
      <c r="NNW67"/>
      <c r="NNX67"/>
      <c r="NNY67"/>
      <c r="NNZ67"/>
      <c r="NOA67"/>
      <c r="NOB67"/>
      <c r="NOC67"/>
      <c r="NOD67"/>
      <c r="NOE67"/>
      <c r="NOF67"/>
      <c r="NOG67"/>
      <c r="NOH67"/>
      <c r="NOI67"/>
      <c r="NOJ67"/>
      <c r="NOK67"/>
      <c r="NOL67"/>
      <c r="NOM67"/>
      <c r="NON67"/>
      <c r="NOO67"/>
      <c r="NOP67"/>
      <c r="NOQ67"/>
      <c r="NOR67"/>
      <c r="NOS67"/>
      <c r="NOT67"/>
      <c r="NOU67"/>
      <c r="NOV67"/>
      <c r="NOW67"/>
      <c r="NOX67"/>
      <c r="NOY67"/>
      <c r="NOZ67"/>
      <c r="NPA67"/>
      <c r="NPB67"/>
      <c r="NPC67"/>
      <c r="NPD67"/>
      <c r="NPE67"/>
      <c r="NPF67"/>
      <c r="NPG67"/>
      <c r="NPH67"/>
      <c r="NPI67"/>
      <c r="NPJ67"/>
      <c r="NPK67"/>
      <c r="NPL67"/>
      <c r="NPM67"/>
      <c r="NPN67"/>
      <c r="NPO67"/>
      <c r="NPP67"/>
      <c r="NPQ67"/>
      <c r="NPR67"/>
      <c r="NPS67"/>
      <c r="NPT67"/>
      <c r="NPU67"/>
      <c r="NPV67"/>
      <c r="NPW67"/>
      <c r="NPX67"/>
      <c r="NPY67"/>
      <c r="NPZ67"/>
      <c r="NQA67"/>
      <c r="NQB67"/>
      <c r="NQC67"/>
      <c r="NQD67"/>
      <c r="NQE67"/>
      <c r="NQF67"/>
      <c r="NQG67"/>
      <c r="NQH67"/>
      <c r="NQI67"/>
      <c r="NQJ67"/>
      <c r="NQK67"/>
      <c r="NQL67"/>
      <c r="NQM67"/>
      <c r="NQN67"/>
      <c r="NQO67"/>
      <c r="NQP67"/>
      <c r="NQQ67"/>
      <c r="NQR67"/>
      <c r="NQS67"/>
      <c r="NQT67"/>
      <c r="NQU67"/>
      <c r="NQV67"/>
      <c r="NQW67"/>
      <c r="NQX67"/>
      <c r="NQY67"/>
      <c r="NQZ67"/>
      <c r="NRA67"/>
      <c r="NRB67"/>
      <c r="NRC67"/>
      <c r="NRD67"/>
      <c r="NRE67"/>
      <c r="NRF67"/>
      <c r="NRG67"/>
      <c r="NRH67"/>
      <c r="NRI67"/>
      <c r="NRJ67"/>
      <c r="NRK67"/>
      <c r="NRL67"/>
      <c r="NRM67"/>
      <c r="NRN67"/>
      <c r="NRO67"/>
      <c r="NRP67"/>
      <c r="NRQ67"/>
      <c r="NRR67"/>
      <c r="NRS67"/>
      <c r="NRT67"/>
      <c r="NRU67"/>
      <c r="NRV67"/>
      <c r="NRW67"/>
      <c r="NRX67"/>
      <c r="NRY67"/>
      <c r="NRZ67"/>
      <c r="NSA67"/>
      <c r="NSB67"/>
      <c r="NSC67"/>
      <c r="NSD67"/>
      <c r="NSE67"/>
      <c r="NSF67"/>
      <c r="NSG67"/>
      <c r="NSH67"/>
      <c r="NSI67"/>
      <c r="NSJ67"/>
      <c r="NSK67"/>
      <c r="NSL67"/>
      <c r="NSM67"/>
      <c r="NSN67"/>
      <c r="NSO67"/>
      <c r="NSP67"/>
      <c r="NSQ67"/>
      <c r="NSR67"/>
      <c r="NSS67"/>
      <c r="NST67"/>
      <c r="NSU67"/>
      <c r="NSV67"/>
      <c r="NSW67"/>
      <c r="NSX67"/>
      <c r="NSY67"/>
      <c r="NSZ67"/>
      <c r="NTA67"/>
      <c r="NTB67"/>
      <c r="NTC67"/>
      <c r="NTD67"/>
      <c r="NTE67"/>
      <c r="NTF67"/>
      <c r="NTG67"/>
      <c r="NTH67"/>
      <c r="NTI67"/>
      <c r="NTJ67"/>
      <c r="NTK67"/>
      <c r="NTL67"/>
      <c r="NTM67"/>
      <c r="NTN67"/>
      <c r="NTO67"/>
      <c r="NTP67"/>
      <c r="NTQ67"/>
      <c r="NTR67"/>
      <c r="NTS67"/>
      <c r="NTT67"/>
      <c r="NTU67"/>
      <c r="NTV67"/>
      <c r="NTW67"/>
      <c r="NTX67"/>
      <c r="NTY67"/>
      <c r="NTZ67"/>
      <c r="NUA67"/>
      <c r="NUB67"/>
      <c r="NUC67"/>
      <c r="NUD67"/>
      <c r="NUE67"/>
      <c r="NUF67"/>
      <c r="NUG67"/>
      <c r="NUH67"/>
      <c r="NUI67"/>
      <c r="NUJ67"/>
      <c r="NUK67"/>
      <c r="NUL67"/>
      <c r="NUM67"/>
      <c r="NUN67"/>
      <c r="NUO67"/>
      <c r="NUP67"/>
      <c r="NUQ67"/>
      <c r="NUR67"/>
      <c r="NUS67"/>
      <c r="NUT67"/>
      <c r="NUU67"/>
      <c r="NUV67"/>
      <c r="NUW67"/>
      <c r="NUX67"/>
      <c r="NUY67"/>
      <c r="NUZ67"/>
      <c r="NVA67"/>
      <c r="NVB67"/>
      <c r="NVC67"/>
      <c r="NVD67"/>
      <c r="NVE67"/>
      <c r="NVF67"/>
      <c r="NVG67"/>
      <c r="NVH67"/>
      <c r="NVI67"/>
      <c r="NVJ67"/>
      <c r="NVK67"/>
      <c r="NVL67"/>
      <c r="NVM67"/>
      <c r="NVN67"/>
      <c r="NVO67"/>
      <c r="NVP67"/>
      <c r="NVQ67"/>
      <c r="NVR67"/>
      <c r="NVS67"/>
      <c r="NVT67"/>
      <c r="NVU67"/>
      <c r="NVV67"/>
      <c r="NVW67"/>
      <c r="NVX67"/>
      <c r="NVY67"/>
      <c r="NVZ67"/>
      <c r="NWA67"/>
      <c r="NWB67"/>
      <c r="NWC67"/>
      <c r="NWD67"/>
      <c r="NWE67"/>
      <c r="NWF67"/>
      <c r="NWG67"/>
      <c r="NWH67"/>
      <c r="NWI67"/>
      <c r="NWJ67"/>
      <c r="NWK67"/>
      <c r="NWL67"/>
      <c r="NWM67"/>
      <c r="NWN67"/>
      <c r="NWO67"/>
      <c r="NWP67"/>
      <c r="NWQ67"/>
      <c r="NWR67"/>
      <c r="NWS67"/>
      <c r="NWT67"/>
      <c r="NWU67"/>
      <c r="NWV67"/>
      <c r="NWW67"/>
      <c r="NWX67"/>
      <c r="NWY67"/>
      <c r="NWZ67"/>
      <c r="NXA67"/>
      <c r="NXB67"/>
      <c r="NXC67"/>
      <c r="NXD67"/>
      <c r="NXE67"/>
      <c r="NXF67"/>
      <c r="NXG67"/>
      <c r="NXH67"/>
      <c r="NXI67"/>
      <c r="NXJ67"/>
      <c r="NXK67"/>
      <c r="NXL67"/>
      <c r="NXM67"/>
      <c r="NXN67"/>
      <c r="NXO67"/>
      <c r="NXP67"/>
      <c r="NXQ67"/>
      <c r="NXR67"/>
      <c r="NXS67"/>
      <c r="NXT67"/>
      <c r="NXU67"/>
      <c r="NXV67"/>
      <c r="NXW67"/>
      <c r="NXX67"/>
      <c r="NXY67"/>
      <c r="NXZ67"/>
      <c r="NYA67"/>
      <c r="NYB67"/>
      <c r="NYC67"/>
      <c r="NYD67"/>
      <c r="NYE67"/>
      <c r="NYF67"/>
      <c r="NYG67"/>
      <c r="NYH67"/>
      <c r="NYI67"/>
      <c r="NYJ67"/>
      <c r="NYK67"/>
      <c r="NYL67"/>
      <c r="NYM67"/>
      <c r="NYN67"/>
      <c r="NYO67"/>
      <c r="NYP67"/>
      <c r="NYQ67"/>
      <c r="NYR67"/>
      <c r="NYS67"/>
      <c r="NYT67"/>
      <c r="NYU67"/>
      <c r="NYV67"/>
      <c r="NYW67"/>
      <c r="NYX67"/>
      <c r="NYY67"/>
      <c r="NYZ67"/>
      <c r="NZA67"/>
      <c r="NZB67"/>
      <c r="NZC67"/>
      <c r="NZD67"/>
      <c r="NZE67"/>
      <c r="NZF67"/>
      <c r="NZG67"/>
      <c r="NZH67"/>
      <c r="NZI67"/>
      <c r="NZJ67"/>
      <c r="NZK67"/>
      <c r="NZL67"/>
      <c r="NZM67"/>
      <c r="NZN67"/>
      <c r="NZO67"/>
      <c r="NZP67"/>
      <c r="NZQ67"/>
      <c r="NZR67"/>
      <c r="NZS67"/>
      <c r="NZT67"/>
      <c r="NZU67"/>
      <c r="NZV67"/>
      <c r="NZW67"/>
      <c r="NZX67"/>
      <c r="NZY67"/>
      <c r="NZZ67"/>
      <c r="OAA67"/>
      <c r="OAB67"/>
      <c r="OAC67"/>
      <c r="OAD67"/>
      <c r="OAE67"/>
      <c r="OAF67"/>
      <c r="OAG67"/>
      <c r="OAH67"/>
      <c r="OAI67"/>
      <c r="OAJ67"/>
      <c r="OAK67"/>
      <c r="OAL67"/>
      <c r="OAM67"/>
      <c r="OAN67"/>
      <c r="OAO67"/>
      <c r="OAP67"/>
      <c r="OAQ67"/>
      <c r="OAR67"/>
      <c r="OAS67"/>
      <c r="OAT67"/>
      <c r="OAU67"/>
      <c r="OAV67"/>
      <c r="OAW67"/>
      <c r="OAX67"/>
      <c r="OAY67"/>
      <c r="OAZ67"/>
      <c r="OBA67"/>
      <c r="OBB67"/>
      <c r="OBC67"/>
      <c r="OBD67"/>
      <c r="OBE67"/>
      <c r="OBF67"/>
      <c r="OBG67"/>
      <c r="OBH67"/>
      <c r="OBI67"/>
      <c r="OBJ67"/>
      <c r="OBK67"/>
      <c r="OBL67"/>
      <c r="OBM67"/>
      <c r="OBN67"/>
      <c r="OBO67"/>
      <c r="OBP67"/>
      <c r="OBQ67"/>
      <c r="OBR67"/>
      <c r="OBS67"/>
      <c r="OBT67"/>
      <c r="OBU67"/>
      <c r="OBV67"/>
      <c r="OBW67"/>
      <c r="OBX67"/>
      <c r="OBY67"/>
      <c r="OBZ67"/>
      <c r="OCA67"/>
      <c r="OCB67"/>
      <c r="OCC67"/>
      <c r="OCD67"/>
      <c r="OCE67"/>
      <c r="OCF67"/>
      <c r="OCG67"/>
      <c r="OCH67"/>
      <c r="OCI67"/>
      <c r="OCJ67"/>
      <c r="OCK67"/>
      <c r="OCL67"/>
      <c r="OCM67"/>
      <c r="OCN67"/>
      <c r="OCO67"/>
      <c r="OCP67"/>
      <c r="OCQ67"/>
      <c r="OCR67"/>
      <c r="OCS67"/>
      <c r="OCT67"/>
      <c r="OCU67"/>
      <c r="OCV67"/>
      <c r="OCW67"/>
      <c r="OCX67"/>
      <c r="OCY67"/>
      <c r="OCZ67"/>
      <c r="ODA67"/>
      <c r="ODB67"/>
      <c r="ODC67"/>
      <c r="ODD67"/>
      <c r="ODE67"/>
      <c r="ODF67"/>
      <c r="ODG67"/>
      <c r="ODH67"/>
      <c r="ODI67"/>
      <c r="ODJ67"/>
      <c r="ODK67"/>
      <c r="ODL67"/>
      <c r="ODM67"/>
      <c r="ODN67"/>
      <c r="ODO67"/>
      <c r="ODP67"/>
      <c r="ODQ67"/>
      <c r="ODR67"/>
      <c r="ODS67"/>
      <c r="ODT67"/>
      <c r="ODU67"/>
      <c r="ODV67"/>
      <c r="ODW67"/>
      <c r="ODX67"/>
      <c r="ODY67"/>
      <c r="ODZ67"/>
      <c r="OEA67"/>
      <c r="OEB67"/>
      <c r="OEC67"/>
      <c r="OED67"/>
      <c r="OEE67"/>
      <c r="OEF67"/>
      <c r="OEG67"/>
      <c r="OEH67"/>
      <c r="OEI67"/>
      <c r="OEJ67"/>
      <c r="OEK67"/>
      <c r="OEL67"/>
      <c r="OEM67"/>
      <c r="OEN67"/>
      <c r="OEO67"/>
      <c r="OEP67"/>
      <c r="OEQ67"/>
      <c r="OER67"/>
      <c r="OES67"/>
      <c r="OET67"/>
      <c r="OEU67"/>
      <c r="OEV67"/>
      <c r="OEW67"/>
      <c r="OEX67"/>
      <c r="OEY67"/>
      <c r="OEZ67"/>
      <c r="OFA67"/>
      <c r="OFB67"/>
      <c r="OFC67"/>
      <c r="OFD67"/>
      <c r="OFE67"/>
      <c r="OFF67"/>
      <c r="OFG67"/>
      <c r="OFH67"/>
      <c r="OFI67"/>
      <c r="OFJ67"/>
      <c r="OFK67"/>
      <c r="OFL67"/>
      <c r="OFM67"/>
      <c r="OFN67"/>
      <c r="OFO67"/>
      <c r="OFP67"/>
      <c r="OFQ67"/>
      <c r="OFR67"/>
      <c r="OFS67"/>
      <c r="OFT67"/>
      <c r="OFU67"/>
      <c r="OFV67"/>
      <c r="OFW67"/>
      <c r="OFX67"/>
      <c r="OFY67"/>
      <c r="OFZ67"/>
      <c r="OGA67"/>
      <c r="OGB67"/>
      <c r="OGC67"/>
      <c r="OGD67"/>
      <c r="OGE67"/>
      <c r="OGF67"/>
      <c r="OGG67"/>
      <c r="OGH67"/>
      <c r="OGI67"/>
      <c r="OGJ67"/>
      <c r="OGK67"/>
      <c r="OGL67"/>
      <c r="OGM67"/>
      <c r="OGN67"/>
      <c r="OGO67"/>
      <c r="OGP67"/>
      <c r="OGQ67"/>
      <c r="OGR67"/>
      <c r="OGS67"/>
      <c r="OGT67"/>
      <c r="OGU67"/>
      <c r="OGV67"/>
      <c r="OGW67"/>
      <c r="OGX67"/>
      <c r="OGY67"/>
      <c r="OGZ67"/>
      <c r="OHA67"/>
      <c r="OHB67"/>
      <c r="OHC67"/>
      <c r="OHD67"/>
      <c r="OHE67"/>
      <c r="OHF67"/>
      <c r="OHG67"/>
      <c r="OHH67"/>
      <c r="OHI67"/>
      <c r="OHJ67"/>
      <c r="OHK67"/>
      <c r="OHL67"/>
      <c r="OHM67"/>
      <c r="OHN67"/>
      <c r="OHO67"/>
      <c r="OHP67"/>
      <c r="OHQ67"/>
      <c r="OHR67"/>
      <c r="OHS67"/>
      <c r="OHT67"/>
      <c r="OHU67"/>
      <c r="OHV67"/>
      <c r="OHW67"/>
      <c r="OHX67"/>
      <c r="OHY67"/>
      <c r="OHZ67"/>
      <c r="OIA67"/>
      <c r="OIB67"/>
      <c r="OIC67"/>
      <c r="OID67"/>
      <c r="OIE67"/>
      <c r="OIF67"/>
      <c r="OIG67"/>
      <c r="OIH67"/>
      <c r="OII67"/>
      <c r="OIJ67"/>
      <c r="OIK67"/>
      <c r="OIL67"/>
      <c r="OIM67"/>
      <c r="OIN67"/>
      <c r="OIO67"/>
      <c r="OIP67"/>
      <c r="OIQ67"/>
      <c r="OIR67"/>
      <c r="OIS67"/>
      <c r="OIT67"/>
      <c r="OIU67"/>
      <c r="OIV67"/>
      <c r="OIW67"/>
      <c r="OIX67"/>
      <c r="OIY67"/>
      <c r="OIZ67"/>
      <c r="OJA67"/>
      <c r="OJB67"/>
      <c r="OJC67"/>
      <c r="OJD67"/>
      <c r="OJE67"/>
      <c r="OJF67"/>
      <c r="OJG67"/>
      <c r="OJH67"/>
      <c r="OJI67"/>
      <c r="OJJ67"/>
      <c r="OJK67"/>
      <c r="OJL67"/>
      <c r="OJM67"/>
      <c r="OJN67"/>
      <c r="OJO67"/>
      <c r="OJP67"/>
      <c r="OJQ67"/>
      <c r="OJR67"/>
      <c r="OJS67"/>
      <c r="OJT67"/>
      <c r="OJU67"/>
      <c r="OJV67"/>
      <c r="OJW67"/>
      <c r="OJX67"/>
      <c r="OJY67"/>
      <c r="OJZ67"/>
      <c r="OKA67"/>
      <c r="OKB67"/>
      <c r="OKC67"/>
      <c r="OKD67"/>
      <c r="OKE67"/>
      <c r="OKF67"/>
      <c r="OKG67"/>
      <c r="OKH67"/>
      <c r="OKI67"/>
      <c r="OKJ67"/>
      <c r="OKK67"/>
      <c r="OKL67"/>
      <c r="OKM67"/>
      <c r="OKN67"/>
      <c r="OKO67"/>
      <c r="OKP67"/>
      <c r="OKQ67"/>
      <c r="OKR67"/>
      <c r="OKS67"/>
      <c r="OKT67"/>
      <c r="OKU67"/>
      <c r="OKV67"/>
      <c r="OKW67"/>
      <c r="OKX67"/>
      <c r="OKY67"/>
      <c r="OKZ67"/>
      <c r="OLA67"/>
      <c r="OLB67"/>
      <c r="OLC67"/>
      <c r="OLD67"/>
      <c r="OLE67"/>
      <c r="OLF67"/>
      <c r="OLG67"/>
      <c r="OLH67"/>
      <c r="OLI67"/>
      <c r="OLJ67"/>
      <c r="OLK67"/>
      <c r="OLL67"/>
      <c r="OLM67"/>
      <c r="OLN67"/>
      <c r="OLO67"/>
      <c r="OLP67"/>
      <c r="OLQ67"/>
      <c r="OLR67"/>
      <c r="OLS67"/>
      <c r="OLT67"/>
      <c r="OLU67"/>
      <c r="OLV67"/>
      <c r="OLW67"/>
      <c r="OLX67"/>
      <c r="OLY67"/>
      <c r="OLZ67"/>
      <c r="OMA67"/>
      <c r="OMB67"/>
      <c r="OMC67"/>
      <c r="OMD67"/>
      <c r="OME67"/>
      <c r="OMF67"/>
      <c r="OMG67"/>
      <c r="OMH67"/>
      <c r="OMI67"/>
      <c r="OMJ67"/>
      <c r="OMK67"/>
      <c r="OML67"/>
      <c r="OMM67"/>
      <c r="OMN67"/>
      <c r="OMO67"/>
      <c r="OMP67"/>
      <c r="OMQ67"/>
      <c r="OMR67"/>
      <c r="OMS67"/>
      <c r="OMT67"/>
      <c r="OMU67"/>
      <c r="OMV67"/>
      <c r="OMW67"/>
      <c r="OMX67"/>
      <c r="OMY67"/>
      <c r="OMZ67"/>
      <c r="ONA67"/>
      <c r="ONB67"/>
      <c r="ONC67"/>
      <c r="OND67"/>
      <c r="ONE67"/>
      <c r="ONF67"/>
      <c r="ONG67"/>
      <c r="ONH67"/>
      <c r="ONI67"/>
      <c r="ONJ67"/>
      <c r="ONK67"/>
      <c r="ONL67"/>
      <c r="ONM67"/>
      <c r="ONN67"/>
      <c r="ONO67"/>
      <c r="ONP67"/>
      <c r="ONQ67"/>
      <c r="ONR67"/>
      <c r="ONS67"/>
      <c r="ONT67"/>
      <c r="ONU67"/>
      <c r="ONV67"/>
      <c r="ONW67"/>
      <c r="ONX67"/>
      <c r="ONY67"/>
      <c r="ONZ67"/>
      <c r="OOA67"/>
      <c r="OOB67"/>
      <c r="OOC67"/>
      <c r="OOD67"/>
      <c r="OOE67"/>
      <c r="OOF67"/>
      <c r="OOG67"/>
      <c r="OOH67"/>
      <c r="OOI67"/>
      <c r="OOJ67"/>
      <c r="OOK67"/>
      <c r="OOL67"/>
      <c r="OOM67"/>
      <c r="OON67"/>
      <c r="OOO67"/>
      <c r="OOP67"/>
      <c r="OOQ67"/>
      <c r="OOR67"/>
      <c r="OOS67"/>
      <c r="OOT67"/>
      <c r="OOU67"/>
      <c r="OOV67"/>
      <c r="OOW67"/>
      <c r="OOX67"/>
      <c r="OOY67"/>
      <c r="OOZ67"/>
      <c r="OPA67"/>
      <c r="OPB67"/>
      <c r="OPC67"/>
      <c r="OPD67"/>
      <c r="OPE67"/>
      <c r="OPF67"/>
      <c r="OPG67"/>
      <c r="OPH67"/>
      <c r="OPI67"/>
      <c r="OPJ67"/>
      <c r="OPK67"/>
      <c r="OPL67"/>
      <c r="OPM67"/>
      <c r="OPN67"/>
      <c r="OPO67"/>
      <c r="OPP67"/>
      <c r="OPQ67"/>
      <c r="OPR67"/>
      <c r="OPS67"/>
      <c r="OPT67"/>
      <c r="OPU67"/>
      <c r="OPV67"/>
      <c r="OPW67"/>
      <c r="OPX67"/>
      <c r="OPY67"/>
      <c r="OPZ67"/>
      <c r="OQA67"/>
      <c r="OQB67"/>
      <c r="OQC67"/>
      <c r="OQD67"/>
      <c r="OQE67"/>
      <c r="OQF67"/>
      <c r="OQG67"/>
      <c r="OQH67"/>
      <c r="OQI67"/>
      <c r="OQJ67"/>
      <c r="OQK67"/>
      <c r="OQL67"/>
      <c r="OQM67"/>
      <c r="OQN67"/>
      <c r="OQO67"/>
      <c r="OQP67"/>
      <c r="OQQ67"/>
      <c r="OQR67"/>
      <c r="OQS67"/>
      <c r="OQT67"/>
      <c r="OQU67"/>
      <c r="OQV67"/>
      <c r="OQW67"/>
      <c r="OQX67"/>
      <c r="OQY67"/>
      <c r="OQZ67"/>
      <c r="ORA67"/>
      <c r="ORB67"/>
      <c r="ORC67"/>
      <c r="ORD67"/>
      <c r="ORE67"/>
      <c r="ORF67"/>
      <c r="ORG67"/>
      <c r="ORH67"/>
      <c r="ORI67"/>
      <c r="ORJ67"/>
      <c r="ORK67"/>
      <c r="ORL67"/>
      <c r="ORM67"/>
      <c r="ORN67"/>
      <c r="ORO67"/>
      <c r="ORP67"/>
      <c r="ORQ67"/>
      <c r="ORR67"/>
      <c r="ORS67"/>
      <c r="ORT67"/>
      <c r="ORU67"/>
      <c r="ORV67"/>
      <c r="ORW67"/>
      <c r="ORX67"/>
      <c r="ORY67"/>
      <c r="ORZ67"/>
      <c r="OSA67"/>
      <c r="OSB67"/>
      <c r="OSC67"/>
      <c r="OSD67"/>
      <c r="OSE67"/>
      <c r="OSF67"/>
      <c r="OSG67"/>
      <c r="OSH67"/>
      <c r="OSI67"/>
      <c r="OSJ67"/>
      <c r="OSK67"/>
      <c r="OSL67"/>
      <c r="OSM67"/>
      <c r="OSN67"/>
      <c r="OSO67"/>
      <c r="OSP67"/>
      <c r="OSQ67"/>
      <c r="OSR67"/>
      <c r="OSS67"/>
      <c r="OST67"/>
      <c r="OSU67"/>
      <c r="OSV67"/>
      <c r="OSW67"/>
      <c r="OSX67"/>
      <c r="OSY67"/>
      <c r="OSZ67"/>
      <c r="OTA67"/>
      <c r="OTB67"/>
      <c r="OTC67"/>
      <c r="OTD67"/>
      <c r="OTE67"/>
      <c r="OTF67"/>
      <c r="OTG67"/>
      <c r="OTH67"/>
      <c r="OTI67"/>
      <c r="OTJ67"/>
      <c r="OTK67"/>
      <c r="OTL67"/>
      <c r="OTM67"/>
      <c r="OTN67"/>
      <c r="OTO67"/>
      <c r="OTP67"/>
      <c r="OTQ67"/>
      <c r="OTR67"/>
      <c r="OTS67"/>
      <c r="OTT67"/>
      <c r="OTU67"/>
      <c r="OTV67"/>
      <c r="OTW67"/>
      <c r="OTX67"/>
      <c r="OTY67"/>
      <c r="OTZ67"/>
      <c r="OUA67"/>
      <c r="OUB67"/>
      <c r="OUC67"/>
      <c r="OUD67"/>
      <c r="OUE67"/>
      <c r="OUF67"/>
      <c r="OUG67"/>
      <c r="OUH67"/>
      <c r="OUI67"/>
      <c r="OUJ67"/>
      <c r="OUK67"/>
      <c r="OUL67"/>
      <c r="OUM67"/>
      <c r="OUN67"/>
      <c r="OUO67"/>
      <c r="OUP67"/>
      <c r="OUQ67"/>
      <c r="OUR67"/>
      <c r="OUS67"/>
      <c r="OUT67"/>
      <c r="OUU67"/>
      <c r="OUV67"/>
      <c r="OUW67"/>
      <c r="OUX67"/>
      <c r="OUY67"/>
      <c r="OUZ67"/>
      <c r="OVA67"/>
      <c r="OVB67"/>
      <c r="OVC67"/>
      <c r="OVD67"/>
      <c r="OVE67"/>
      <c r="OVF67"/>
      <c r="OVG67"/>
      <c r="OVH67"/>
      <c r="OVI67"/>
      <c r="OVJ67"/>
      <c r="OVK67"/>
      <c r="OVL67"/>
      <c r="OVM67"/>
      <c r="OVN67"/>
      <c r="OVO67"/>
      <c r="OVP67"/>
      <c r="OVQ67"/>
      <c r="OVR67"/>
      <c r="OVS67"/>
      <c r="OVT67"/>
      <c r="OVU67"/>
      <c r="OVV67"/>
      <c r="OVW67"/>
      <c r="OVX67"/>
      <c r="OVY67"/>
      <c r="OVZ67"/>
      <c r="OWA67"/>
      <c r="OWB67"/>
      <c r="OWC67"/>
      <c r="OWD67"/>
      <c r="OWE67"/>
      <c r="OWF67"/>
      <c r="OWG67"/>
      <c r="OWH67"/>
      <c r="OWI67"/>
      <c r="OWJ67"/>
      <c r="OWK67"/>
      <c r="OWL67"/>
      <c r="OWM67"/>
      <c r="OWN67"/>
      <c r="OWO67"/>
      <c r="OWP67"/>
      <c r="OWQ67"/>
      <c r="OWR67"/>
      <c r="OWS67"/>
      <c r="OWT67"/>
      <c r="OWU67"/>
      <c r="OWV67"/>
      <c r="OWW67"/>
      <c r="OWX67"/>
      <c r="OWY67"/>
      <c r="OWZ67"/>
      <c r="OXA67"/>
      <c r="OXB67"/>
      <c r="OXC67"/>
      <c r="OXD67"/>
      <c r="OXE67"/>
      <c r="OXF67"/>
      <c r="OXG67"/>
      <c r="OXH67"/>
      <c r="OXI67"/>
      <c r="OXJ67"/>
      <c r="OXK67"/>
      <c r="OXL67"/>
      <c r="OXM67"/>
      <c r="OXN67"/>
      <c r="OXO67"/>
      <c r="OXP67"/>
      <c r="OXQ67"/>
      <c r="OXR67"/>
      <c r="OXS67"/>
      <c r="OXT67"/>
      <c r="OXU67"/>
      <c r="OXV67"/>
      <c r="OXW67"/>
      <c r="OXX67"/>
      <c r="OXY67"/>
      <c r="OXZ67"/>
      <c r="OYA67"/>
      <c r="OYB67"/>
      <c r="OYC67"/>
      <c r="OYD67"/>
      <c r="OYE67"/>
      <c r="OYF67"/>
      <c r="OYG67"/>
      <c r="OYH67"/>
      <c r="OYI67"/>
      <c r="OYJ67"/>
      <c r="OYK67"/>
      <c r="OYL67"/>
      <c r="OYM67"/>
      <c r="OYN67"/>
      <c r="OYO67"/>
      <c r="OYP67"/>
      <c r="OYQ67"/>
      <c r="OYR67"/>
      <c r="OYS67"/>
      <c r="OYT67"/>
      <c r="OYU67"/>
      <c r="OYV67"/>
      <c r="OYW67"/>
      <c r="OYX67"/>
      <c r="OYY67"/>
      <c r="OYZ67"/>
      <c r="OZA67"/>
      <c r="OZB67"/>
      <c r="OZC67"/>
      <c r="OZD67"/>
      <c r="OZE67"/>
      <c r="OZF67"/>
      <c r="OZG67"/>
      <c r="OZH67"/>
      <c r="OZI67"/>
      <c r="OZJ67"/>
      <c r="OZK67"/>
      <c r="OZL67"/>
      <c r="OZM67"/>
      <c r="OZN67"/>
      <c r="OZO67"/>
      <c r="OZP67"/>
      <c r="OZQ67"/>
      <c r="OZR67"/>
      <c r="OZS67"/>
      <c r="OZT67"/>
      <c r="OZU67"/>
      <c r="OZV67"/>
      <c r="OZW67"/>
      <c r="OZX67"/>
      <c r="OZY67"/>
      <c r="OZZ67"/>
      <c r="PAA67"/>
      <c r="PAB67"/>
      <c r="PAC67"/>
      <c r="PAD67"/>
      <c r="PAE67"/>
      <c r="PAF67"/>
      <c r="PAG67"/>
      <c r="PAH67"/>
      <c r="PAI67"/>
      <c r="PAJ67"/>
      <c r="PAK67"/>
      <c r="PAL67"/>
      <c r="PAM67"/>
      <c r="PAN67"/>
      <c r="PAO67"/>
      <c r="PAP67"/>
      <c r="PAQ67"/>
      <c r="PAR67"/>
      <c r="PAS67"/>
      <c r="PAT67"/>
      <c r="PAU67"/>
      <c r="PAV67"/>
      <c r="PAW67"/>
      <c r="PAX67"/>
      <c r="PAY67"/>
      <c r="PAZ67"/>
      <c r="PBA67"/>
      <c r="PBB67"/>
      <c r="PBC67"/>
      <c r="PBD67"/>
      <c r="PBE67"/>
      <c r="PBF67"/>
      <c r="PBG67"/>
      <c r="PBH67"/>
      <c r="PBI67"/>
      <c r="PBJ67"/>
      <c r="PBK67"/>
      <c r="PBL67"/>
      <c r="PBM67"/>
      <c r="PBN67"/>
      <c r="PBO67"/>
      <c r="PBP67"/>
      <c r="PBQ67"/>
      <c r="PBR67"/>
      <c r="PBS67"/>
      <c r="PBT67"/>
      <c r="PBU67"/>
      <c r="PBV67"/>
      <c r="PBW67"/>
      <c r="PBX67"/>
      <c r="PBY67"/>
      <c r="PBZ67"/>
      <c r="PCA67"/>
      <c r="PCB67"/>
      <c r="PCC67"/>
      <c r="PCD67"/>
      <c r="PCE67"/>
      <c r="PCF67"/>
      <c r="PCG67"/>
      <c r="PCH67"/>
      <c r="PCI67"/>
      <c r="PCJ67"/>
      <c r="PCK67"/>
      <c r="PCL67"/>
      <c r="PCM67"/>
      <c r="PCN67"/>
      <c r="PCO67"/>
      <c r="PCP67"/>
      <c r="PCQ67"/>
      <c r="PCR67"/>
      <c r="PCS67"/>
      <c r="PCT67"/>
      <c r="PCU67"/>
      <c r="PCV67"/>
      <c r="PCW67"/>
      <c r="PCX67"/>
      <c r="PCY67"/>
      <c r="PCZ67"/>
      <c r="PDA67"/>
      <c r="PDB67"/>
      <c r="PDC67"/>
      <c r="PDD67"/>
      <c r="PDE67"/>
      <c r="PDF67"/>
      <c r="PDG67"/>
      <c r="PDH67"/>
      <c r="PDI67"/>
      <c r="PDJ67"/>
      <c r="PDK67"/>
      <c r="PDL67"/>
      <c r="PDM67"/>
      <c r="PDN67"/>
      <c r="PDO67"/>
      <c r="PDP67"/>
      <c r="PDQ67"/>
      <c r="PDR67"/>
      <c r="PDS67"/>
      <c r="PDT67"/>
      <c r="PDU67"/>
      <c r="PDV67"/>
      <c r="PDW67"/>
      <c r="PDX67"/>
      <c r="PDY67"/>
      <c r="PDZ67"/>
      <c r="PEA67"/>
      <c r="PEB67"/>
      <c r="PEC67"/>
      <c r="PED67"/>
      <c r="PEE67"/>
      <c r="PEF67"/>
      <c r="PEG67"/>
      <c r="PEH67"/>
      <c r="PEI67"/>
      <c r="PEJ67"/>
      <c r="PEK67"/>
      <c r="PEL67"/>
      <c r="PEM67"/>
      <c r="PEN67"/>
      <c r="PEO67"/>
      <c r="PEP67"/>
      <c r="PEQ67"/>
      <c r="PER67"/>
      <c r="PES67"/>
      <c r="PET67"/>
      <c r="PEU67"/>
      <c r="PEV67"/>
      <c r="PEW67"/>
      <c r="PEX67"/>
      <c r="PEY67"/>
      <c r="PEZ67"/>
      <c r="PFA67"/>
      <c r="PFB67"/>
      <c r="PFC67"/>
      <c r="PFD67"/>
      <c r="PFE67"/>
      <c r="PFF67"/>
      <c r="PFG67"/>
      <c r="PFH67"/>
      <c r="PFI67"/>
      <c r="PFJ67"/>
      <c r="PFK67"/>
      <c r="PFL67"/>
      <c r="PFM67"/>
      <c r="PFN67"/>
      <c r="PFO67"/>
      <c r="PFP67"/>
      <c r="PFQ67"/>
      <c r="PFR67"/>
      <c r="PFS67"/>
      <c r="PFT67"/>
      <c r="PFU67"/>
      <c r="PFV67"/>
      <c r="PFW67"/>
      <c r="PFX67"/>
      <c r="PFY67"/>
      <c r="PFZ67"/>
      <c r="PGA67"/>
      <c r="PGB67"/>
      <c r="PGC67"/>
      <c r="PGD67"/>
      <c r="PGE67"/>
      <c r="PGF67"/>
      <c r="PGG67"/>
      <c r="PGH67"/>
      <c r="PGI67"/>
      <c r="PGJ67"/>
      <c r="PGK67"/>
      <c r="PGL67"/>
      <c r="PGM67"/>
      <c r="PGN67"/>
      <c r="PGO67"/>
      <c r="PGP67"/>
      <c r="PGQ67"/>
      <c r="PGR67"/>
      <c r="PGS67"/>
      <c r="PGT67"/>
      <c r="PGU67"/>
      <c r="PGV67"/>
      <c r="PGW67"/>
      <c r="PGX67"/>
      <c r="PGY67"/>
      <c r="PGZ67"/>
      <c r="PHA67"/>
      <c r="PHB67"/>
      <c r="PHC67"/>
      <c r="PHD67"/>
      <c r="PHE67"/>
      <c r="PHF67"/>
      <c r="PHG67"/>
      <c r="PHH67"/>
      <c r="PHI67"/>
      <c r="PHJ67"/>
      <c r="PHK67"/>
      <c r="PHL67"/>
      <c r="PHM67"/>
      <c r="PHN67"/>
      <c r="PHO67"/>
      <c r="PHP67"/>
      <c r="PHQ67"/>
      <c r="PHR67"/>
      <c r="PHS67"/>
      <c r="PHT67"/>
      <c r="PHU67"/>
      <c r="PHV67"/>
      <c r="PHW67"/>
      <c r="PHX67"/>
      <c r="PHY67"/>
      <c r="PHZ67"/>
      <c r="PIA67"/>
      <c r="PIB67"/>
      <c r="PIC67"/>
      <c r="PID67"/>
      <c r="PIE67"/>
      <c r="PIF67"/>
      <c r="PIG67"/>
      <c r="PIH67"/>
      <c r="PII67"/>
      <c r="PIJ67"/>
      <c r="PIK67"/>
      <c r="PIL67"/>
      <c r="PIM67"/>
      <c r="PIN67"/>
      <c r="PIO67"/>
      <c r="PIP67"/>
      <c r="PIQ67"/>
      <c r="PIR67"/>
      <c r="PIS67"/>
      <c r="PIT67"/>
      <c r="PIU67"/>
      <c r="PIV67"/>
      <c r="PIW67"/>
      <c r="PIX67"/>
      <c r="PIY67"/>
      <c r="PIZ67"/>
      <c r="PJA67"/>
      <c r="PJB67"/>
      <c r="PJC67"/>
      <c r="PJD67"/>
      <c r="PJE67"/>
      <c r="PJF67"/>
      <c r="PJG67"/>
      <c r="PJH67"/>
      <c r="PJI67"/>
      <c r="PJJ67"/>
      <c r="PJK67"/>
      <c r="PJL67"/>
      <c r="PJM67"/>
      <c r="PJN67"/>
      <c r="PJO67"/>
      <c r="PJP67"/>
      <c r="PJQ67"/>
      <c r="PJR67"/>
      <c r="PJS67"/>
      <c r="PJT67"/>
      <c r="PJU67"/>
      <c r="PJV67"/>
      <c r="PJW67"/>
      <c r="PJX67"/>
      <c r="PJY67"/>
      <c r="PJZ67"/>
      <c r="PKA67"/>
      <c r="PKB67"/>
      <c r="PKC67"/>
      <c r="PKD67"/>
      <c r="PKE67"/>
      <c r="PKF67"/>
      <c r="PKG67"/>
      <c r="PKH67"/>
      <c r="PKI67"/>
      <c r="PKJ67"/>
      <c r="PKK67"/>
      <c r="PKL67"/>
      <c r="PKM67"/>
      <c r="PKN67"/>
      <c r="PKO67"/>
      <c r="PKP67"/>
      <c r="PKQ67"/>
      <c r="PKR67"/>
      <c r="PKS67"/>
      <c r="PKT67"/>
      <c r="PKU67"/>
      <c r="PKV67"/>
      <c r="PKW67"/>
      <c r="PKX67"/>
      <c r="PKY67"/>
      <c r="PKZ67"/>
      <c r="PLA67"/>
      <c r="PLB67"/>
      <c r="PLC67"/>
      <c r="PLD67"/>
      <c r="PLE67"/>
      <c r="PLF67"/>
      <c r="PLG67"/>
      <c r="PLH67"/>
      <c r="PLI67"/>
      <c r="PLJ67"/>
      <c r="PLK67"/>
      <c r="PLL67"/>
      <c r="PLM67"/>
      <c r="PLN67"/>
      <c r="PLO67"/>
      <c r="PLP67"/>
      <c r="PLQ67"/>
      <c r="PLR67"/>
      <c r="PLS67"/>
      <c r="PLT67"/>
      <c r="PLU67"/>
      <c r="PLV67"/>
      <c r="PLW67"/>
      <c r="PLX67"/>
      <c r="PLY67"/>
      <c r="PLZ67"/>
      <c r="PMA67"/>
      <c r="PMB67"/>
      <c r="PMC67"/>
      <c r="PMD67"/>
      <c r="PME67"/>
      <c r="PMF67"/>
      <c r="PMG67"/>
      <c r="PMH67"/>
      <c r="PMI67"/>
      <c r="PMJ67"/>
      <c r="PMK67"/>
      <c r="PML67"/>
      <c r="PMM67"/>
      <c r="PMN67"/>
      <c r="PMO67"/>
      <c r="PMP67"/>
      <c r="PMQ67"/>
      <c r="PMR67"/>
      <c r="PMS67"/>
      <c r="PMT67"/>
      <c r="PMU67"/>
      <c r="PMV67"/>
      <c r="PMW67"/>
      <c r="PMX67"/>
      <c r="PMY67"/>
      <c r="PMZ67"/>
      <c r="PNA67"/>
      <c r="PNB67"/>
      <c r="PNC67"/>
      <c r="PND67"/>
      <c r="PNE67"/>
      <c r="PNF67"/>
      <c r="PNG67"/>
      <c r="PNH67"/>
      <c r="PNI67"/>
      <c r="PNJ67"/>
      <c r="PNK67"/>
      <c r="PNL67"/>
      <c r="PNM67"/>
      <c r="PNN67"/>
      <c r="PNO67"/>
      <c r="PNP67"/>
      <c r="PNQ67"/>
      <c r="PNR67"/>
      <c r="PNS67"/>
      <c r="PNT67"/>
      <c r="PNU67"/>
      <c r="PNV67"/>
      <c r="PNW67"/>
      <c r="PNX67"/>
      <c r="PNY67"/>
      <c r="PNZ67"/>
      <c r="POA67"/>
      <c r="POB67"/>
      <c r="POC67"/>
      <c r="POD67"/>
      <c r="POE67"/>
      <c r="POF67"/>
      <c r="POG67"/>
      <c r="POH67"/>
      <c r="POI67"/>
      <c r="POJ67"/>
      <c r="POK67"/>
      <c r="POL67"/>
      <c r="POM67"/>
      <c r="PON67"/>
      <c r="POO67"/>
      <c r="POP67"/>
      <c r="POQ67"/>
      <c r="POR67"/>
      <c r="POS67"/>
      <c r="POT67"/>
      <c r="POU67"/>
      <c r="POV67"/>
      <c r="POW67"/>
      <c r="POX67"/>
      <c r="POY67"/>
      <c r="POZ67"/>
      <c r="PPA67"/>
      <c r="PPB67"/>
      <c r="PPC67"/>
      <c r="PPD67"/>
      <c r="PPE67"/>
      <c r="PPF67"/>
      <c r="PPG67"/>
      <c r="PPH67"/>
      <c r="PPI67"/>
      <c r="PPJ67"/>
      <c r="PPK67"/>
      <c r="PPL67"/>
      <c r="PPM67"/>
      <c r="PPN67"/>
      <c r="PPO67"/>
      <c r="PPP67"/>
      <c r="PPQ67"/>
      <c r="PPR67"/>
      <c r="PPS67"/>
      <c r="PPT67"/>
      <c r="PPU67"/>
      <c r="PPV67"/>
      <c r="PPW67"/>
      <c r="PPX67"/>
      <c r="PPY67"/>
      <c r="PPZ67"/>
      <c r="PQA67"/>
      <c r="PQB67"/>
      <c r="PQC67"/>
      <c r="PQD67"/>
      <c r="PQE67"/>
      <c r="PQF67"/>
      <c r="PQG67"/>
      <c r="PQH67"/>
      <c r="PQI67"/>
      <c r="PQJ67"/>
      <c r="PQK67"/>
      <c r="PQL67"/>
      <c r="PQM67"/>
      <c r="PQN67"/>
      <c r="PQO67"/>
      <c r="PQP67"/>
      <c r="PQQ67"/>
      <c r="PQR67"/>
      <c r="PQS67"/>
      <c r="PQT67"/>
      <c r="PQU67"/>
      <c r="PQV67"/>
      <c r="PQW67"/>
      <c r="PQX67"/>
      <c r="PQY67"/>
      <c r="PQZ67"/>
      <c r="PRA67"/>
      <c r="PRB67"/>
      <c r="PRC67"/>
      <c r="PRD67"/>
      <c r="PRE67"/>
      <c r="PRF67"/>
      <c r="PRG67"/>
      <c r="PRH67"/>
      <c r="PRI67"/>
      <c r="PRJ67"/>
      <c r="PRK67"/>
      <c r="PRL67"/>
      <c r="PRM67"/>
      <c r="PRN67"/>
      <c r="PRO67"/>
      <c r="PRP67"/>
      <c r="PRQ67"/>
      <c r="PRR67"/>
      <c r="PRS67"/>
      <c r="PRT67"/>
      <c r="PRU67"/>
      <c r="PRV67"/>
      <c r="PRW67"/>
      <c r="PRX67"/>
      <c r="PRY67"/>
      <c r="PRZ67"/>
      <c r="PSA67"/>
      <c r="PSB67"/>
      <c r="PSC67"/>
      <c r="PSD67"/>
      <c r="PSE67"/>
      <c r="PSF67"/>
      <c r="PSG67"/>
      <c r="PSH67"/>
      <c r="PSI67"/>
      <c r="PSJ67"/>
      <c r="PSK67"/>
      <c r="PSL67"/>
      <c r="PSM67"/>
      <c r="PSN67"/>
      <c r="PSO67"/>
      <c r="PSP67"/>
      <c r="PSQ67"/>
      <c r="PSR67"/>
      <c r="PSS67"/>
      <c r="PST67"/>
      <c r="PSU67"/>
      <c r="PSV67"/>
      <c r="PSW67"/>
      <c r="PSX67"/>
      <c r="PSY67"/>
      <c r="PSZ67"/>
      <c r="PTA67"/>
      <c r="PTB67"/>
      <c r="PTC67"/>
      <c r="PTD67"/>
      <c r="PTE67"/>
      <c r="PTF67"/>
      <c r="PTG67"/>
      <c r="PTH67"/>
      <c r="PTI67"/>
      <c r="PTJ67"/>
      <c r="PTK67"/>
      <c r="PTL67"/>
      <c r="PTM67"/>
      <c r="PTN67"/>
      <c r="PTO67"/>
      <c r="PTP67"/>
      <c r="PTQ67"/>
      <c r="PTR67"/>
      <c r="PTS67"/>
      <c r="PTT67"/>
      <c r="PTU67"/>
      <c r="PTV67"/>
      <c r="PTW67"/>
      <c r="PTX67"/>
      <c r="PTY67"/>
      <c r="PTZ67"/>
      <c r="PUA67"/>
      <c r="PUB67"/>
      <c r="PUC67"/>
      <c r="PUD67"/>
      <c r="PUE67"/>
      <c r="PUF67"/>
      <c r="PUG67"/>
      <c r="PUH67"/>
      <c r="PUI67"/>
      <c r="PUJ67"/>
      <c r="PUK67"/>
      <c r="PUL67"/>
      <c r="PUM67"/>
      <c r="PUN67"/>
      <c r="PUO67"/>
      <c r="PUP67"/>
      <c r="PUQ67"/>
      <c r="PUR67"/>
      <c r="PUS67"/>
      <c r="PUT67"/>
      <c r="PUU67"/>
      <c r="PUV67"/>
      <c r="PUW67"/>
      <c r="PUX67"/>
      <c r="PUY67"/>
      <c r="PUZ67"/>
      <c r="PVA67"/>
      <c r="PVB67"/>
      <c r="PVC67"/>
      <c r="PVD67"/>
      <c r="PVE67"/>
      <c r="PVF67"/>
      <c r="PVG67"/>
      <c r="PVH67"/>
      <c r="PVI67"/>
      <c r="PVJ67"/>
      <c r="PVK67"/>
      <c r="PVL67"/>
      <c r="PVM67"/>
      <c r="PVN67"/>
      <c r="PVO67"/>
      <c r="PVP67"/>
      <c r="PVQ67"/>
      <c r="PVR67"/>
      <c r="PVS67"/>
      <c r="PVT67"/>
      <c r="PVU67"/>
      <c r="PVV67"/>
      <c r="PVW67"/>
      <c r="PVX67"/>
      <c r="PVY67"/>
      <c r="PVZ67"/>
      <c r="PWA67"/>
      <c r="PWB67"/>
      <c r="PWC67"/>
      <c r="PWD67"/>
      <c r="PWE67"/>
      <c r="PWF67"/>
      <c r="PWG67"/>
      <c r="PWH67"/>
      <c r="PWI67"/>
      <c r="PWJ67"/>
      <c r="PWK67"/>
      <c r="PWL67"/>
      <c r="PWM67"/>
      <c r="PWN67"/>
      <c r="PWO67"/>
      <c r="PWP67"/>
      <c r="PWQ67"/>
      <c r="PWR67"/>
      <c r="PWS67"/>
      <c r="PWT67"/>
      <c r="PWU67"/>
      <c r="PWV67"/>
      <c r="PWW67"/>
      <c r="PWX67"/>
      <c r="PWY67"/>
      <c r="PWZ67"/>
      <c r="PXA67"/>
      <c r="PXB67"/>
      <c r="PXC67"/>
      <c r="PXD67"/>
      <c r="PXE67"/>
      <c r="PXF67"/>
      <c r="PXG67"/>
      <c r="PXH67"/>
      <c r="PXI67"/>
      <c r="PXJ67"/>
      <c r="PXK67"/>
      <c r="PXL67"/>
      <c r="PXM67"/>
      <c r="PXN67"/>
      <c r="PXO67"/>
      <c r="PXP67"/>
      <c r="PXQ67"/>
      <c r="PXR67"/>
      <c r="PXS67"/>
      <c r="PXT67"/>
      <c r="PXU67"/>
      <c r="PXV67"/>
      <c r="PXW67"/>
      <c r="PXX67"/>
      <c r="PXY67"/>
      <c r="PXZ67"/>
      <c r="PYA67"/>
      <c r="PYB67"/>
      <c r="PYC67"/>
      <c r="PYD67"/>
      <c r="PYE67"/>
      <c r="PYF67"/>
      <c r="PYG67"/>
      <c r="PYH67"/>
      <c r="PYI67"/>
      <c r="PYJ67"/>
      <c r="PYK67"/>
      <c r="PYL67"/>
      <c r="PYM67"/>
      <c r="PYN67"/>
      <c r="PYO67"/>
      <c r="PYP67"/>
      <c r="PYQ67"/>
      <c r="PYR67"/>
      <c r="PYS67"/>
      <c r="PYT67"/>
      <c r="PYU67"/>
      <c r="PYV67"/>
      <c r="PYW67"/>
      <c r="PYX67"/>
      <c r="PYY67"/>
      <c r="PYZ67"/>
      <c r="PZA67"/>
      <c r="PZB67"/>
      <c r="PZC67"/>
      <c r="PZD67"/>
      <c r="PZE67"/>
      <c r="PZF67"/>
      <c r="PZG67"/>
      <c r="PZH67"/>
      <c r="PZI67"/>
      <c r="PZJ67"/>
      <c r="PZK67"/>
      <c r="PZL67"/>
      <c r="PZM67"/>
      <c r="PZN67"/>
      <c r="PZO67"/>
      <c r="PZP67"/>
      <c r="PZQ67"/>
      <c r="PZR67"/>
      <c r="PZS67"/>
      <c r="PZT67"/>
      <c r="PZU67"/>
      <c r="PZV67"/>
      <c r="PZW67"/>
      <c r="PZX67"/>
      <c r="PZY67"/>
      <c r="PZZ67"/>
      <c r="QAA67"/>
      <c r="QAB67"/>
      <c r="QAC67"/>
      <c r="QAD67"/>
      <c r="QAE67"/>
      <c r="QAF67"/>
      <c r="QAG67"/>
      <c r="QAH67"/>
      <c r="QAI67"/>
      <c r="QAJ67"/>
      <c r="QAK67"/>
      <c r="QAL67"/>
      <c r="QAM67"/>
      <c r="QAN67"/>
      <c r="QAO67"/>
      <c r="QAP67"/>
      <c r="QAQ67"/>
      <c r="QAR67"/>
      <c r="QAS67"/>
      <c r="QAT67"/>
      <c r="QAU67"/>
      <c r="QAV67"/>
      <c r="QAW67"/>
      <c r="QAX67"/>
      <c r="QAY67"/>
      <c r="QAZ67"/>
      <c r="QBA67"/>
      <c r="QBB67"/>
      <c r="QBC67"/>
      <c r="QBD67"/>
      <c r="QBE67"/>
      <c r="QBF67"/>
      <c r="QBG67"/>
      <c r="QBH67"/>
      <c r="QBI67"/>
      <c r="QBJ67"/>
      <c r="QBK67"/>
      <c r="QBL67"/>
      <c r="QBM67"/>
      <c r="QBN67"/>
      <c r="QBO67"/>
      <c r="QBP67"/>
      <c r="QBQ67"/>
      <c r="QBR67"/>
      <c r="QBS67"/>
      <c r="QBT67"/>
      <c r="QBU67"/>
      <c r="QBV67"/>
      <c r="QBW67"/>
      <c r="QBX67"/>
      <c r="QBY67"/>
      <c r="QBZ67"/>
      <c r="QCA67"/>
      <c r="QCB67"/>
      <c r="QCC67"/>
      <c r="QCD67"/>
      <c r="QCE67"/>
      <c r="QCF67"/>
      <c r="QCG67"/>
      <c r="QCH67"/>
      <c r="QCI67"/>
      <c r="QCJ67"/>
      <c r="QCK67"/>
      <c r="QCL67"/>
      <c r="QCM67"/>
      <c r="QCN67"/>
      <c r="QCO67"/>
      <c r="QCP67"/>
      <c r="QCQ67"/>
      <c r="QCR67"/>
      <c r="QCS67"/>
      <c r="QCT67"/>
      <c r="QCU67"/>
      <c r="QCV67"/>
      <c r="QCW67"/>
      <c r="QCX67"/>
      <c r="QCY67"/>
      <c r="QCZ67"/>
      <c r="QDA67"/>
      <c r="QDB67"/>
      <c r="QDC67"/>
      <c r="QDD67"/>
      <c r="QDE67"/>
      <c r="QDF67"/>
      <c r="QDG67"/>
      <c r="QDH67"/>
      <c r="QDI67"/>
      <c r="QDJ67"/>
      <c r="QDK67"/>
      <c r="QDL67"/>
      <c r="QDM67"/>
      <c r="QDN67"/>
      <c r="QDO67"/>
      <c r="QDP67"/>
      <c r="QDQ67"/>
      <c r="QDR67"/>
      <c r="QDS67"/>
      <c r="QDT67"/>
      <c r="QDU67"/>
      <c r="QDV67"/>
      <c r="QDW67"/>
      <c r="QDX67"/>
      <c r="QDY67"/>
      <c r="QDZ67"/>
      <c r="QEA67"/>
      <c r="QEB67"/>
      <c r="QEC67"/>
      <c r="QED67"/>
      <c r="QEE67"/>
      <c r="QEF67"/>
      <c r="QEG67"/>
      <c r="QEH67"/>
      <c r="QEI67"/>
      <c r="QEJ67"/>
      <c r="QEK67"/>
      <c r="QEL67"/>
      <c r="QEM67"/>
      <c r="QEN67"/>
      <c r="QEO67"/>
      <c r="QEP67"/>
      <c r="QEQ67"/>
      <c r="QER67"/>
      <c r="QES67"/>
      <c r="QET67"/>
      <c r="QEU67"/>
      <c r="QEV67"/>
      <c r="QEW67"/>
      <c r="QEX67"/>
      <c r="QEY67"/>
      <c r="QEZ67"/>
      <c r="QFA67"/>
      <c r="QFB67"/>
      <c r="QFC67"/>
      <c r="QFD67"/>
      <c r="QFE67"/>
      <c r="QFF67"/>
      <c r="QFG67"/>
      <c r="QFH67"/>
      <c r="QFI67"/>
      <c r="QFJ67"/>
      <c r="QFK67"/>
      <c r="QFL67"/>
      <c r="QFM67"/>
      <c r="QFN67"/>
      <c r="QFO67"/>
      <c r="QFP67"/>
      <c r="QFQ67"/>
      <c r="QFR67"/>
      <c r="QFS67"/>
      <c r="QFT67"/>
      <c r="QFU67"/>
      <c r="QFV67"/>
      <c r="QFW67"/>
      <c r="QFX67"/>
      <c r="QFY67"/>
      <c r="QFZ67"/>
      <c r="QGA67"/>
      <c r="QGB67"/>
      <c r="QGC67"/>
      <c r="QGD67"/>
      <c r="QGE67"/>
      <c r="QGF67"/>
      <c r="QGG67"/>
      <c r="QGH67"/>
      <c r="QGI67"/>
      <c r="QGJ67"/>
      <c r="QGK67"/>
      <c r="QGL67"/>
      <c r="QGM67"/>
      <c r="QGN67"/>
      <c r="QGO67"/>
      <c r="QGP67"/>
      <c r="QGQ67"/>
      <c r="QGR67"/>
      <c r="QGS67"/>
      <c r="QGT67"/>
      <c r="QGU67"/>
      <c r="QGV67"/>
      <c r="QGW67"/>
      <c r="QGX67"/>
      <c r="QGY67"/>
      <c r="QGZ67"/>
      <c r="QHA67"/>
      <c r="QHB67"/>
      <c r="QHC67"/>
      <c r="QHD67"/>
      <c r="QHE67"/>
      <c r="QHF67"/>
      <c r="QHG67"/>
      <c r="QHH67"/>
      <c r="QHI67"/>
      <c r="QHJ67"/>
      <c r="QHK67"/>
      <c r="QHL67"/>
      <c r="QHM67"/>
      <c r="QHN67"/>
      <c r="QHO67"/>
      <c r="QHP67"/>
      <c r="QHQ67"/>
      <c r="QHR67"/>
      <c r="QHS67"/>
      <c r="QHT67"/>
      <c r="QHU67"/>
      <c r="QHV67"/>
      <c r="QHW67"/>
      <c r="QHX67"/>
      <c r="QHY67"/>
      <c r="QHZ67"/>
      <c r="QIA67"/>
      <c r="QIB67"/>
      <c r="QIC67"/>
      <c r="QID67"/>
      <c r="QIE67"/>
      <c r="QIF67"/>
      <c r="QIG67"/>
      <c r="QIH67"/>
      <c r="QII67"/>
      <c r="QIJ67"/>
      <c r="QIK67"/>
      <c r="QIL67"/>
      <c r="QIM67"/>
      <c r="QIN67"/>
      <c r="QIO67"/>
      <c r="QIP67"/>
      <c r="QIQ67"/>
      <c r="QIR67"/>
      <c r="QIS67"/>
      <c r="QIT67"/>
      <c r="QIU67"/>
      <c r="QIV67"/>
      <c r="QIW67"/>
      <c r="QIX67"/>
      <c r="QIY67"/>
      <c r="QIZ67"/>
      <c r="QJA67"/>
      <c r="QJB67"/>
      <c r="QJC67"/>
      <c r="QJD67"/>
      <c r="QJE67"/>
      <c r="QJF67"/>
      <c r="QJG67"/>
      <c r="QJH67"/>
      <c r="QJI67"/>
      <c r="QJJ67"/>
      <c r="QJK67"/>
      <c r="QJL67"/>
      <c r="QJM67"/>
      <c r="QJN67"/>
      <c r="QJO67"/>
      <c r="QJP67"/>
      <c r="QJQ67"/>
      <c r="QJR67"/>
      <c r="QJS67"/>
      <c r="QJT67"/>
      <c r="QJU67"/>
      <c r="QJV67"/>
      <c r="QJW67"/>
      <c r="QJX67"/>
      <c r="QJY67"/>
      <c r="QJZ67"/>
      <c r="QKA67"/>
      <c r="QKB67"/>
      <c r="QKC67"/>
      <c r="QKD67"/>
      <c r="QKE67"/>
      <c r="QKF67"/>
      <c r="QKG67"/>
      <c r="QKH67"/>
      <c r="QKI67"/>
      <c r="QKJ67"/>
      <c r="QKK67"/>
      <c r="QKL67"/>
      <c r="QKM67"/>
      <c r="QKN67"/>
      <c r="QKO67"/>
      <c r="QKP67"/>
      <c r="QKQ67"/>
      <c r="QKR67"/>
      <c r="QKS67"/>
      <c r="QKT67"/>
      <c r="QKU67"/>
      <c r="QKV67"/>
      <c r="QKW67"/>
      <c r="QKX67"/>
      <c r="QKY67"/>
      <c r="QKZ67"/>
      <c r="QLA67"/>
      <c r="QLB67"/>
      <c r="QLC67"/>
      <c r="QLD67"/>
      <c r="QLE67"/>
      <c r="QLF67"/>
      <c r="QLG67"/>
      <c r="QLH67"/>
      <c r="QLI67"/>
      <c r="QLJ67"/>
      <c r="QLK67"/>
      <c r="QLL67"/>
      <c r="QLM67"/>
      <c r="QLN67"/>
      <c r="QLO67"/>
      <c r="QLP67"/>
      <c r="QLQ67"/>
      <c r="QLR67"/>
      <c r="QLS67"/>
      <c r="QLT67"/>
      <c r="QLU67"/>
      <c r="QLV67"/>
      <c r="QLW67"/>
      <c r="QLX67"/>
      <c r="QLY67"/>
      <c r="QLZ67"/>
      <c r="QMA67"/>
      <c r="QMB67"/>
      <c r="QMC67"/>
      <c r="QMD67"/>
      <c r="QME67"/>
      <c r="QMF67"/>
      <c r="QMG67"/>
      <c r="QMH67"/>
      <c r="QMI67"/>
      <c r="QMJ67"/>
      <c r="QMK67"/>
      <c r="QML67"/>
      <c r="QMM67"/>
      <c r="QMN67"/>
      <c r="QMO67"/>
      <c r="QMP67"/>
      <c r="QMQ67"/>
      <c r="QMR67"/>
      <c r="QMS67"/>
      <c r="QMT67"/>
      <c r="QMU67"/>
      <c r="QMV67"/>
      <c r="QMW67"/>
      <c r="QMX67"/>
      <c r="QMY67"/>
      <c r="QMZ67"/>
      <c r="QNA67"/>
      <c r="QNB67"/>
      <c r="QNC67"/>
      <c r="QND67"/>
      <c r="QNE67"/>
      <c r="QNF67"/>
      <c r="QNG67"/>
      <c r="QNH67"/>
      <c r="QNI67"/>
      <c r="QNJ67"/>
      <c r="QNK67"/>
      <c r="QNL67"/>
      <c r="QNM67"/>
      <c r="QNN67"/>
      <c r="QNO67"/>
      <c r="QNP67"/>
      <c r="QNQ67"/>
      <c r="QNR67"/>
      <c r="QNS67"/>
      <c r="QNT67"/>
      <c r="QNU67"/>
      <c r="QNV67"/>
      <c r="QNW67"/>
      <c r="QNX67"/>
      <c r="QNY67"/>
      <c r="QNZ67"/>
      <c r="QOA67"/>
      <c r="QOB67"/>
      <c r="QOC67"/>
      <c r="QOD67"/>
      <c r="QOE67"/>
      <c r="QOF67"/>
      <c r="QOG67"/>
      <c r="QOH67"/>
      <c r="QOI67"/>
      <c r="QOJ67"/>
      <c r="QOK67"/>
      <c r="QOL67"/>
      <c r="QOM67"/>
      <c r="QON67"/>
      <c r="QOO67"/>
      <c r="QOP67"/>
      <c r="QOQ67"/>
      <c r="QOR67"/>
      <c r="QOS67"/>
      <c r="QOT67"/>
      <c r="QOU67"/>
      <c r="QOV67"/>
      <c r="QOW67"/>
      <c r="QOX67"/>
      <c r="QOY67"/>
      <c r="QOZ67"/>
      <c r="QPA67"/>
      <c r="QPB67"/>
      <c r="QPC67"/>
      <c r="QPD67"/>
      <c r="QPE67"/>
      <c r="QPF67"/>
      <c r="QPG67"/>
      <c r="QPH67"/>
      <c r="QPI67"/>
      <c r="QPJ67"/>
      <c r="QPK67"/>
      <c r="QPL67"/>
      <c r="QPM67"/>
      <c r="QPN67"/>
      <c r="QPO67"/>
      <c r="QPP67"/>
      <c r="QPQ67"/>
      <c r="QPR67"/>
      <c r="QPS67"/>
      <c r="QPT67"/>
      <c r="QPU67"/>
      <c r="QPV67"/>
      <c r="QPW67"/>
      <c r="QPX67"/>
      <c r="QPY67"/>
      <c r="QPZ67"/>
      <c r="QQA67"/>
      <c r="QQB67"/>
      <c r="QQC67"/>
      <c r="QQD67"/>
      <c r="QQE67"/>
      <c r="QQF67"/>
      <c r="QQG67"/>
      <c r="QQH67"/>
      <c r="QQI67"/>
      <c r="QQJ67"/>
      <c r="QQK67"/>
      <c r="QQL67"/>
      <c r="QQM67"/>
      <c r="QQN67"/>
      <c r="QQO67"/>
      <c r="QQP67"/>
      <c r="QQQ67"/>
      <c r="QQR67"/>
      <c r="QQS67"/>
      <c r="QQT67"/>
      <c r="QQU67"/>
      <c r="QQV67"/>
      <c r="QQW67"/>
      <c r="QQX67"/>
      <c r="QQY67"/>
      <c r="QQZ67"/>
      <c r="QRA67"/>
      <c r="QRB67"/>
      <c r="QRC67"/>
      <c r="QRD67"/>
      <c r="QRE67"/>
      <c r="QRF67"/>
      <c r="QRG67"/>
      <c r="QRH67"/>
      <c r="QRI67"/>
      <c r="QRJ67"/>
      <c r="QRK67"/>
      <c r="QRL67"/>
      <c r="QRM67"/>
      <c r="QRN67"/>
      <c r="QRO67"/>
      <c r="QRP67"/>
      <c r="QRQ67"/>
      <c r="QRR67"/>
      <c r="QRS67"/>
      <c r="QRT67"/>
      <c r="QRU67"/>
      <c r="QRV67"/>
      <c r="QRW67"/>
      <c r="QRX67"/>
      <c r="QRY67"/>
      <c r="QRZ67"/>
      <c r="QSA67"/>
      <c r="QSB67"/>
      <c r="QSC67"/>
      <c r="QSD67"/>
      <c r="QSE67"/>
      <c r="QSF67"/>
      <c r="QSG67"/>
      <c r="QSH67"/>
      <c r="QSI67"/>
      <c r="QSJ67"/>
      <c r="QSK67"/>
      <c r="QSL67"/>
      <c r="QSM67"/>
      <c r="QSN67"/>
      <c r="QSO67"/>
      <c r="QSP67"/>
      <c r="QSQ67"/>
      <c r="QSR67"/>
      <c r="QSS67"/>
      <c r="QST67"/>
      <c r="QSU67"/>
      <c r="QSV67"/>
      <c r="QSW67"/>
      <c r="QSX67"/>
      <c r="QSY67"/>
      <c r="QSZ67"/>
      <c r="QTA67"/>
      <c r="QTB67"/>
      <c r="QTC67"/>
      <c r="QTD67"/>
      <c r="QTE67"/>
      <c r="QTF67"/>
      <c r="QTG67"/>
      <c r="QTH67"/>
      <c r="QTI67"/>
      <c r="QTJ67"/>
      <c r="QTK67"/>
      <c r="QTL67"/>
      <c r="QTM67"/>
      <c r="QTN67"/>
      <c r="QTO67"/>
      <c r="QTP67"/>
      <c r="QTQ67"/>
      <c r="QTR67"/>
      <c r="QTS67"/>
      <c r="QTT67"/>
      <c r="QTU67"/>
      <c r="QTV67"/>
      <c r="QTW67"/>
      <c r="QTX67"/>
      <c r="QTY67"/>
      <c r="QTZ67"/>
      <c r="QUA67"/>
      <c r="QUB67"/>
      <c r="QUC67"/>
      <c r="QUD67"/>
      <c r="QUE67"/>
      <c r="QUF67"/>
      <c r="QUG67"/>
      <c r="QUH67"/>
      <c r="QUI67"/>
      <c r="QUJ67"/>
      <c r="QUK67"/>
      <c r="QUL67"/>
      <c r="QUM67"/>
      <c r="QUN67"/>
      <c r="QUO67"/>
      <c r="QUP67"/>
      <c r="QUQ67"/>
      <c r="QUR67"/>
      <c r="QUS67"/>
      <c r="QUT67"/>
      <c r="QUU67"/>
      <c r="QUV67"/>
      <c r="QUW67"/>
      <c r="QUX67"/>
      <c r="QUY67"/>
      <c r="QUZ67"/>
      <c r="QVA67"/>
      <c r="QVB67"/>
      <c r="QVC67"/>
      <c r="QVD67"/>
      <c r="QVE67"/>
      <c r="QVF67"/>
      <c r="QVG67"/>
      <c r="QVH67"/>
      <c r="QVI67"/>
      <c r="QVJ67"/>
      <c r="QVK67"/>
      <c r="QVL67"/>
      <c r="QVM67"/>
      <c r="QVN67"/>
      <c r="QVO67"/>
      <c r="QVP67"/>
      <c r="QVQ67"/>
      <c r="QVR67"/>
      <c r="QVS67"/>
      <c r="QVT67"/>
      <c r="QVU67"/>
      <c r="QVV67"/>
      <c r="QVW67"/>
      <c r="QVX67"/>
      <c r="QVY67"/>
      <c r="QVZ67"/>
      <c r="QWA67"/>
      <c r="QWB67"/>
      <c r="QWC67"/>
      <c r="QWD67"/>
      <c r="QWE67"/>
      <c r="QWF67"/>
      <c r="QWG67"/>
      <c r="QWH67"/>
      <c r="QWI67"/>
      <c r="QWJ67"/>
      <c r="QWK67"/>
      <c r="QWL67"/>
      <c r="QWM67"/>
      <c r="QWN67"/>
      <c r="QWO67"/>
      <c r="QWP67"/>
      <c r="QWQ67"/>
      <c r="QWR67"/>
      <c r="QWS67"/>
      <c r="QWT67"/>
      <c r="QWU67"/>
      <c r="QWV67"/>
      <c r="QWW67"/>
      <c r="QWX67"/>
      <c r="QWY67"/>
      <c r="QWZ67"/>
      <c r="QXA67"/>
      <c r="QXB67"/>
      <c r="QXC67"/>
      <c r="QXD67"/>
      <c r="QXE67"/>
      <c r="QXF67"/>
      <c r="QXG67"/>
      <c r="QXH67"/>
      <c r="QXI67"/>
      <c r="QXJ67"/>
      <c r="QXK67"/>
      <c r="QXL67"/>
      <c r="QXM67"/>
      <c r="QXN67"/>
      <c r="QXO67"/>
      <c r="QXP67"/>
      <c r="QXQ67"/>
      <c r="QXR67"/>
      <c r="QXS67"/>
      <c r="QXT67"/>
      <c r="QXU67"/>
      <c r="QXV67"/>
      <c r="QXW67"/>
      <c r="QXX67"/>
      <c r="QXY67"/>
      <c r="QXZ67"/>
      <c r="QYA67"/>
      <c r="QYB67"/>
      <c r="QYC67"/>
      <c r="QYD67"/>
      <c r="QYE67"/>
      <c r="QYF67"/>
      <c r="QYG67"/>
      <c r="QYH67"/>
      <c r="QYI67"/>
      <c r="QYJ67"/>
      <c r="QYK67"/>
      <c r="QYL67"/>
      <c r="QYM67"/>
      <c r="QYN67"/>
      <c r="QYO67"/>
      <c r="QYP67"/>
      <c r="QYQ67"/>
      <c r="QYR67"/>
      <c r="QYS67"/>
      <c r="QYT67"/>
      <c r="QYU67"/>
      <c r="QYV67"/>
      <c r="QYW67"/>
      <c r="QYX67"/>
      <c r="QYY67"/>
      <c r="QYZ67"/>
      <c r="QZA67"/>
      <c r="QZB67"/>
      <c r="QZC67"/>
      <c r="QZD67"/>
      <c r="QZE67"/>
      <c r="QZF67"/>
      <c r="QZG67"/>
      <c r="QZH67"/>
      <c r="QZI67"/>
      <c r="QZJ67"/>
      <c r="QZK67"/>
      <c r="QZL67"/>
      <c r="QZM67"/>
      <c r="QZN67"/>
      <c r="QZO67"/>
      <c r="QZP67"/>
      <c r="QZQ67"/>
      <c r="QZR67"/>
      <c r="QZS67"/>
      <c r="QZT67"/>
      <c r="QZU67"/>
      <c r="QZV67"/>
      <c r="QZW67"/>
      <c r="QZX67"/>
      <c r="QZY67"/>
      <c r="QZZ67"/>
      <c r="RAA67"/>
      <c r="RAB67"/>
      <c r="RAC67"/>
      <c r="RAD67"/>
      <c r="RAE67"/>
      <c r="RAF67"/>
      <c r="RAG67"/>
      <c r="RAH67"/>
      <c r="RAI67"/>
      <c r="RAJ67"/>
      <c r="RAK67"/>
      <c r="RAL67"/>
      <c r="RAM67"/>
      <c r="RAN67"/>
      <c r="RAO67"/>
      <c r="RAP67"/>
      <c r="RAQ67"/>
      <c r="RAR67"/>
      <c r="RAS67"/>
      <c r="RAT67"/>
      <c r="RAU67"/>
      <c r="RAV67"/>
      <c r="RAW67"/>
      <c r="RAX67"/>
      <c r="RAY67"/>
      <c r="RAZ67"/>
      <c r="RBA67"/>
      <c r="RBB67"/>
      <c r="RBC67"/>
      <c r="RBD67"/>
      <c r="RBE67"/>
      <c r="RBF67"/>
      <c r="RBG67"/>
      <c r="RBH67"/>
      <c r="RBI67"/>
      <c r="RBJ67"/>
      <c r="RBK67"/>
      <c r="RBL67"/>
      <c r="RBM67"/>
      <c r="RBN67"/>
      <c r="RBO67"/>
      <c r="RBP67"/>
      <c r="RBQ67"/>
      <c r="RBR67"/>
      <c r="RBS67"/>
      <c r="RBT67"/>
      <c r="RBU67"/>
      <c r="RBV67"/>
      <c r="RBW67"/>
      <c r="RBX67"/>
      <c r="RBY67"/>
      <c r="RBZ67"/>
      <c r="RCA67"/>
      <c r="RCB67"/>
      <c r="RCC67"/>
      <c r="RCD67"/>
      <c r="RCE67"/>
      <c r="RCF67"/>
      <c r="RCG67"/>
      <c r="RCH67"/>
      <c r="RCI67"/>
      <c r="RCJ67"/>
      <c r="RCK67"/>
      <c r="RCL67"/>
      <c r="RCM67"/>
      <c r="RCN67"/>
      <c r="RCO67"/>
      <c r="RCP67"/>
      <c r="RCQ67"/>
      <c r="RCR67"/>
      <c r="RCS67"/>
      <c r="RCT67"/>
      <c r="RCU67"/>
      <c r="RCV67"/>
      <c r="RCW67"/>
      <c r="RCX67"/>
      <c r="RCY67"/>
      <c r="RCZ67"/>
      <c r="RDA67"/>
      <c r="RDB67"/>
      <c r="RDC67"/>
      <c r="RDD67"/>
      <c r="RDE67"/>
      <c r="RDF67"/>
      <c r="RDG67"/>
      <c r="RDH67"/>
      <c r="RDI67"/>
      <c r="RDJ67"/>
      <c r="RDK67"/>
      <c r="RDL67"/>
      <c r="RDM67"/>
      <c r="RDN67"/>
      <c r="RDO67"/>
      <c r="RDP67"/>
      <c r="RDQ67"/>
      <c r="RDR67"/>
      <c r="RDS67"/>
      <c r="RDT67"/>
      <c r="RDU67"/>
      <c r="RDV67"/>
      <c r="RDW67"/>
      <c r="RDX67"/>
      <c r="RDY67"/>
      <c r="RDZ67"/>
      <c r="REA67"/>
      <c r="REB67"/>
      <c r="REC67"/>
      <c r="RED67"/>
      <c r="REE67"/>
      <c r="REF67"/>
      <c r="REG67"/>
      <c r="REH67"/>
      <c r="REI67"/>
      <c r="REJ67"/>
      <c r="REK67"/>
      <c r="REL67"/>
      <c r="REM67"/>
      <c r="REN67"/>
      <c r="REO67"/>
      <c r="REP67"/>
      <c r="REQ67"/>
      <c r="RER67"/>
      <c r="RES67"/>
      <c r="RET67"/>
      <c r="REU67"/>
      <c r="REV67"/>
      <c r="REW67"/>
      <c r="REX67"/>
      <c r="REY67"/>
      <c r="REZ67"/>
      <c r="RFA67"/>
      <c r="RFB67"/>
      <c r="RFC67"/>
      <c r="RFD67"/>
      <c r="RFE67"/>
      <c r="RFF67"/>
      <c r="RFG67"/>
      <c r="RFH67"/>
      <c r="RFI67"/>
      <c r="RFJ67"/>
      <c r="RFK67"/>
      <c r="RFL67"/>
      <c r="RFM67"/>
      <c r="RFN67"/>
      <c r="RFO67"/>
      <c r="RFP67"/>
      <c r="RFQ67"/>
      <c r="RFR67"/>
      <c r="RFS67"/>
      <c r="RFT67"/>
      <c r="RFU67"/>
      <c r="RFV67"/>
      <c r="RFW67"/>
      <c r="RFX67"/>
      <c r="RFY67"/>
      <c r="RFZ67"/>
      <c r="RGA67"/>
      <c r="RGB67"/>
      <c r="RGC67"/>
      <c r="RGD67"/>
      <c r="RGE67"/>
      <c r="RGF67"/>
      <c r="RGG67"/>
      <c r="RGH67"/>
      <c r="RGI67"/>
      <c r="RGJ67"/>
      <c r="RGK67"/>
      <c r="RGL67"/>
      <c r="RGM67"/>
      <c r="RGN67"/>
      <c r="RGO67"/>
      <c r="RGP67"/>
      <c r="RGQ67"/>
      <c r="RGR67"/>
      <c r="RGS67"/>
      <c r="RGT67"/>
      <c r="RGU67"/>
      <c r="RGV67"/>
      <c r="RGW67"/>
      <c r="RGX67"/>
      <c r="RGY67"/>
      <c r="RGZ67"/>
      <c r="RHA67"/>
      <c r="RHB67"/>
      <c r="RHC67"/>
      <c r="RHD67"/>
      <c r="RHE67"/>
      <c r="RHF67"/>
      <c r="RHG67"/>
      <c r="RHH67"/>
      <c r="RHI67"/>
      <c r="RHJ67"/>
      <c r="RHK67"/>
      <c r="RHL67"/>
      <c r="RHM67"/>
      <c r="RHN67"/>
      <c r="RHO67"/>
      <c r="RHP67"/>
      <c r="RHQ67"/>
      <c r="RHR67"/>
      <c r="RHS67"/>
      <c r="RHT67"/>
      <c r="RHU67"/>
      <c r="RHV67"/>
      <c r="RHW67"/>
      <c r="RHX67"/>
      <c r="RHY67"/>
      <c r="RHZ67"/>
      <c r="RIA67"/>
      <c r="RIB67"/>
      <c r="RIC67"/>
      <c r="RID67"/>
      <c r="RIE67"/>
      <c r="RIF67"/>
      <c r="RIG67"/>
      <c r="RIH67"/>
      <c r="RII67"/>
      <c r="RIJ67"/>
      <c r="RIK67"/>
      <c r="RIL67"/>
      <c r="RIM67"/>
      <c r="RIN67"/>
      <c r="RIO67"/>
      <c r="RIP67"/>
      <c r="RIQ67"/>
      <c r="RIR67"/>
      <c r="RIS67"/>
      <c r="RIT67"/>
      <c r="RIU67"/>
      <c r="RIV67"/>
      <c r="RIW67"/>
      <c r="RIX67"/>
      <c r="RIY67"/>
      <c r="RIZ67"/>
      <c r="RJA67"/>
      <c r="RJB67"/>
      <c r="RJC67"/>
      <c r="RJD67"/>
      <c r="RJE67"/>
      <c r="RJF67"/>
      <c r="RJG67"/>
      <c r="RJH67"/>
      <c r="RJI67"/>
      <c r="RJJ67"/>
      <c r="RJK67"/>
      <c r="RJL67"/>
      <c r="RJM67"/>
      <c r="RJN67"/>
      <c r="RJO67"/>
      <c r="RJP67"/>
      <c r="RJQ67"/>
      <c r="RJR67"/>
      <c r="RJS67"/>
      <c r="RJT67"/>
      <c r="RJU67"/>
      <c r="RJV67"/>
      <c r="RJW67"/>
      <c r="RJX67"/>
      <c r="RJY67"/>
      <c r="RJZ67"/>
      <c r="RKA67"/>
      <c r="RKB67"/>
      <c r="RKC67"/>
      <c r="RKD67"/>
      <c r="RKE67"/>
      <c r="RKF67"/>
      <c r="RKG67"/>
      <c r="RKH67"/>
      <c r="RKI67"/>
      <c r="RKJ67"/>
      <c r="RKK67"/>
      <c r="RKL67"/>
      <c r="RKM67"/>
      <c r="RKN67"/>
      <c r="RKO67"/>
      <c r="RKP67"/>
      <c r="RKQ67"/>
      <c r="RKR67"/>
      <c r="RKS67"/>
      <c r="RKT67"/>
      <c r="RKU67"/>
      <c r="RKV67"/>
      <c r="RKW67"/>
      <c r="RKX67"/>
      <c r="RKY67"/>
      <c r="RKZ67"/>
      <c r="RLA67"/>
      <c r="RLB67"/>
      <c r="RLC67"/>
      <c r="RLD67"/>
      <c r="RLE67"/>
      <c r="RLF67"/>
      <c r="RLG67"/>
      <c r="RLH67"/>
      <c r="RLI67"/>
      <c r="RLJ67"/>
      <c r="RLK67"/>
      <c r="RLL67"/>
      <c r="RLM67"/>
      <c r="RLN67"/>
      <c r="RLO67"/>
      <c r="RLP67"/>
      <c r="RLQ67"/>
      <c r="RLR67"/>
      <c r="RLS67"/>
      <c r="RLT67"/>
      <c r="RLU67"/>
      <c r="RLV67"/>
      <c r="RLW67"/>
      <c r="RLX67"/>
      <c r="RLY67"/>
      <c r="RLZ67"/>
      <c r="RMA67"/>
      <c r="RMB67"/>
      <c r="RMC67"/>
      <c r="RMD67"/>
      <c r="RME67"/>
      <c r="RMF67"/>
      <c r="RMG67"/>
      <c r="RMH67"/>
      <c r="RMI67"/>
      <c r="RMJ67"/>
      <c r="RMK67"/>
      <c r="RML67"/>
      <c r="RMM67"/>
      <c r="RMN67"/>
      <c r="RMO67"/>
      <c r="RMP67"/>
      <c r="RMQ67"/>
      <c r="RMR67"/>
      <c r="RMS67"/>
      <c r="RMT67"/>
      <c r="RMU67"/>
      <c r="RMV67"/>
      <c r="RMW67"/>
      <c r="RMX67"/>
      <c r="RMY67"/>
      <c r="RMZ67"/>
      <c r="RNA67"/>
      <c r="RNB67"/>
      <c r="RNC67"/>
      <c r="RND67"/>
      <c r="RNE67"/>
      <c r="RNF67"/>
      <c r="RNG67"/>
      <c r="RNH67"/>
      <c r="RNI67"/>
      <c r="RNJ67"/>
      <c r="RNK67"/>
      <c r="RNL67"/>
      <c r="RNM67"/>
      <c r="RNN67"/>
      <c r="RNO67"/>
      <c r="RNP67"/>
      <c r="RNQ67"/>
      <c r="RNR67"/>
      <c r="RNS67"/>
      <c r="RNT67"/>
      <c r="RNU67"/>
      <c r="RNV67"/>
      <c r="RNW67"/>
      <c r="RNX67"/>
      <c r="RNY67"/>
      <c r="RNZ67"/>
      <c r="ROA67"/>
      <c r="ROB67"/>
      <c r="ROC67"/>
      <c r="ROD67"/>
      <c r="ROE67"/>
      <c r="ROF67"/>
      <c r="ROG67"/>
      <c r="ROH67"/>
      <c r="ROI67"/>
      <c r="ROJ67"/>
      <c r="ROK67"/>
      <c r="ROL67"/>
      <c r="ROM67"/>
      <c r="RON67"/>
      <c r="ROO67"/>
      <c r="ROP67"/>
      <c r="ROQ67"/>
      <c r="ROR67"/>
      <c r="ROS67"/>
      <c r="ROT67"/>
      <c r="ROU67"/>
      <c r="ROV67"/>
      <c r="ROW67"/>
      <c r="ROX67"/>
      <c r="ROY67"/>
      <c r="ROZ67"/>
      <c r="RPA67"/>
      <c r="RPB67"/>
      <c r="RPC67"/>
      <c r="RPD67"/>
      <c r="RPE67"/>
      <c r="RPF67"/>
      <c r="RPG67"/>
      <c r="RPH67"/>
      <c r="RPI67"/>
      <c r="RPJ67"/>
      <c r="RPK67"/>
      <c r="RPL67"/>
      <c r="RPM67"/>
      <c r="RPN67"/>
      <c r="RPO67"/>
      <c r="RPP67"/>
      <c r="RPQ67"/>
      <c r="RPR67"/>
      <c r="RPS67"/>
      <c r="RPT67"/>
      <c r="RPU67"/>
      <c r="RPV67"/>
      <c r="RPW67"/>
      <c r="RPX67"/>
      <c r="RPY67"/>
      <c r="RPZ67"/>
      <c r="RQA67"/>
      <c r="RQB67"/>
      <c r="RQC67"/>
      <c r="RQD67"/>
      <c r="RQE67"/>
      <c r="RQF67"/>
      <c r="RQG67"/>
      <c r="RQH67"/>
      <c r="RQI67"/>
      <c r="RQJ67"/>
      <c r="RQK67"/>
      <c r="RQL67"/>
      <c r="RQM67"/>
      <c r="RQN67"/>
      <c r="RQO67"/>
      <c r="RQP67"/>
      <c r="RQQ67"/>
      <c r="RQR67"/>
      <c r="RQS67"/>
      <c r="RQT67"/>
      <c r="RQU67"/>
      <c r="RQV67"/>
      <c r="RQW67"/>
      <c r="RQX67"/>
      <c r="RQY67"/>
      <c r="RQZ67"/>
      <c r="RRA67"/>
      <c r="RRB67"/>
      <c r="RRC67"/>
      <c r="RRD67"/>
      <c r="RRE67"/>
      <c r="RRF67"/>
      <c r="RRG67"/>
      <c r="RRH67"/>
      <c r="RRI67"/>
      <c r="RRJ67"/>
      <c r="RRK67"/>
      <c r="RRL67"/>
      <c r="RRM67"/>
      <c r="RRN67"/>
      <c r="RRO67"/>
      <c r="RRP67"/>
      <c r="RRQ67"/>
      <c r="RRR67"/>
      <c r="RRS67"/>
      <c r="RRT67"/>
      <c r="RRU67"/>
      <c r="RRV67"/>
      <c r="RRW67"/>
      <c r="RRX67"/>
      <c r="RRY67"/>
      <c r="RRZ67"/>
      <c r="RSA67"/>
      <c r="RSB67"/>
      <c r="RSC67"/>
      <c r="RSD67"/>
      <c r="RSE67"/>
      <c r="RSF67"/>
      <c r="RSG67"/>
      <c r="RSH67"/>
      <c r="RSI67"/>
      <c r="RSJ67"/>
      <c r="RSK67"/>
      <c r="RSL67"/>
      <c r="RSM67"/>
      <c r="RSN67"/>
      <c r="RSO67"/>
      <c r="RSP67"/>
      <c r="RSQ67"/>
      <c r="RSR67"/>
      <c r="RSS67"/>
      <c r="RST67"/>
      <c r="RSU67"/>
      <c r="RSV67"/>
      <c r="RSW67"/>
      <c r="RSX67"/>
      <c r="RSY67"/>
      <c r="RSZ67"/>
      <c r="RTA67"/>
      <c r="RTB67"/>
      <c r="RTC67"/>
      <c r="RTD67"/>
      <c r="RTE67"/>
      <c r="RTF67"/>
      <c r="RTG67"/>
      <c r="RTH67"/>
      <c r="RTI67"/>
      <c r="RTJ67"/>
      <c r="RTK67"/>
      <c r="RTL67"/>
      <c r="RTM67"/>
      <c r="RTN67"/>
      <c r="RTO67"/>
      <c r="RTP67"/>
      <c r="RTQ67"/>
      <c r="RTR67"/>
      <c r="RTS67"/>
      <c r="RTT67"/>
      <c r="RTU67"/>
      <c r="RTV67"/>
      <c r="RTW67"/>
      <c r="RTX67"/>
      <c r="RTY67"/>
      <c r="RTZ67"/>
      <c r="RUA67"/>
      <c r="RUB67"/>
      <c r="RUC67"/>
      <c r="RUD67"/>
      <c r="RUE67"/>
      <c r="RUF67"/>
      <c r="RUG67"/>
      <c r="RUH67"/>
      <c r="RUI67"/>
      <c r="RUJ67"/>
      <c r="RUK67"/>
      <c r="RUL67"/>
      <c r="RUM67"/>
      <c r="RUN67"/>
      <c r="RUO67"/>
      <c r="RUP67"/>
      <c r="RUQ67"/>
      <c r="RUR67"/>
      <c r="RUS67"/>
      <c r="RUT67"/>
      <c r="RUU67"/>
      <c r="RUV67"/>
      <c r="RUW67"/>
      <c r="RUX67"/>
      <c r="RUY67"/>
      <c r="RUZ67"/>
      <c r="RVA67"/>
      <c r="RVB67"/>
      <c r="RVC67"/>
      <c r="RVD67"/>
      <c r="RVE67"/>
      <c r="RVF67"/>
      <c r="RVG67"/>
      <c r="RVH67"/>
      <c r="RVI67"/>
      <c r="RVJ67"/>
      <c r="RVK67"/>
      <c r="RVL67"/>
      <c r="RVM67"/>
      <c r="RVN67"/>
      <c r="RVO67"/>
      <c r="RVP67"/>
      <c r="RVQ67"/>
      <c r="RVR67"/>
      <c r="RVS67"/>
      <c r="RVT67"/>
      <c r="RVU67"/>
      <c r="RVV67"/>
      <c r="RVW67"/>
      <c r="RVX67"/>
      <c r="RVY67"/>
      <c r="RVZ67"/>
      <c r="RWA67"/>
      <c r="RWB67"/>
      <c r="RWC67"/>
      <c r="RWD67"/>
      <c r="RWE67"/>
      <c r="RWF67"/>
      <c r="RWG67"/>
      <c r="RWH67"/>
      <c r="RWI67"/>
      <c r="RWJ67"/>
      <c r="RWK67"/>
      <c r="RWL67"/>
      <c r="RWM67"/>
      <c r="RWN67"/>
      <c r="RWO67"/>
      <c r="RWP67"/>
      <c r="RWQ67"/>
      <c r="RWR67"/>
      <c r="RWS67"/>
      <c r="RWT67"/>
      <c r="RWU67"/>
      <c r="RWV67"/>
      <c r="RWW67"/>
      <c r="RWX67"/>
      <c r="RWY67"/>
      <c r="RWZ67"/>
      <c r="RXA67"/>
      <c r="RXB67"/>
      <c r="RXC67"/>
      <c r="RXD67"/>
      <c r="RXE67"/>
      <c r="RXF67"/>
      <c r="RXG67"/>
      <c r="RXH67"/>
      <c r="RXI67"/>
      <c r="RXJ67"/>
      <c r="RXK67"/>
      <c r="RXL67"/>
      <c r="RXM67"/>
      <c r="RXN67"/>
      <c r="RXO67"/>
      <c r="RXP67"/>
      <c r="RXQ67"/>
      <c r="RXR67"/>
      <c r="RXS67"/>
      <c r="RXT67"/>
      <c r="RXU67"/>
      <c r="RXV67"/>
      <c r="RXW67"/>
      <c r="RXX67"/>
      <c r="RXY67"/>
      <c r="RXZ67"/>
      <c r="RYA67"/>
      <c r="RYB67"/>
      <c r="RYC67"/>
      <c r="RYD67"/>
      <c r="RYE67"/>
      <c r="RYF67"/>
      <c r="RYG67"/>
      <c r="RYH67"/>
      <c r="RYI67"/>
      <c r="RYJ67"/>
      <c r="RYK67"/>
      <c r="RYL67"/>
      <c r="RYM67"/>
      <c r="RYN67"/>
      <c r="RYO67"/>
      <c r="RYP67"/>
      <c r="RYQ67"/>
      <c r="RYR67"/>
      <c r="RYS67"/>
      <c r="RYT67"/>
      <c r="RYU67"/>
      <c r="RYV67"/>
      <c r="RYW67"/>
      <c r="RYX67"/>
      <c r="RYY67"/>
      <c r="RYZ67"/>
      <c r="RZA67"/>
      <c r="RZB67"/>
      <c r="RZC67"/>
      <c r="RZD67"/>
      <c r="RZE67"/>
      <c r="RZF67"/>
      <c r="RZG67"/>
      <c r="RZH67"/>
      <c r="RZI67"/>
      <c r="RZJ67"/>
      <c r="RZK67"/>
      <c r="RZL67"/>
      <c r="RZM67"/>
      <c r="RZN67"/>
      <c r="RZO67"/>
      <c r="RZP67"/>
      <c r="RZQ67"/>
      <c r="RZR67"/>
      <c r="RZS67"/>
      <c r="RZT67"/>
      <c r="RZU67"/>
      <c r="RZV67"/>
      <c r="RZW67"/>
      <c r="RZX67"/>
      <c r="RZY67"/>
      <c r="RZZ67"/>
      <c r="SAA67"/>
      <c r="SAB67"/>
      <c r="SAC67"/>
      <c r="SAD67"/>
      <c r="SAE67"/>
      <c r="SAF67"/>
      <c r="SAG67"/>
      <c r="SAH67"/>
      <c r="SAI67"/>
      <c r="SAJ67"/>
      <c r="SAK67"/>
      <c r="SAL67"/>
      <c r="SAM67"/>
      <c r="SAN67"/>
      <c r="SAO67"/>
      <c r="SAP67"/>
      <c r="SAQ67"/>
      <c r="SAR67"/>
      <c r="SAS67"/>
      <c r="SAT67"/>
      <c r="SAU67"/>
      <c r="SAV67"/>
      <c r="SAW67"/>
      <c r="SAX67"/>
      <c r="SAY67"/>
      <c r="SAZ67"/>
      <c r="SBA67"/>
      <c r="SBB67"/>
      <c r="SBC67"/>
      <c r="SBD67"/>
      <c r="SBE67"/>
      <c r="SBF67"/>
      <c r="SBG67"/>
      <c r="SBH67"/>
      <c r="SBI67"/>
      <c r="SBJ67"/>
      <c r="SBK67"/>
      <c r="SBL67"/>
      <c r="SBM67"/>
      <c r="SBN67"/>
      <c r="SBO67"/>
      <c r="SBP67"/>
      <c r="SBQ67"/>
      <c r="SBR67"/>
      <c r="SBS67"/>
      <c r="SBT67"/>
      <c r="SBU67"/>
      <c r="SBV67"/>
      <c r="SBW67"/>
      <c r="SBX67"/>
      <c r="SBY67"/>
      <c r="SBZ67"/>
      <c r="SCA67"/>
      <c r="SCB67"/>
      <c r="SCC67"/>
      <c r="SCD67"/>
      <c r="SCE67"/>
      <c r="SCF67"/>
      <c r="SCG67"/>
      <c r="SCH67"/>
      <c r="SCI67"/>
      <c r="SCJ67"/>
      <c r="SCK67"/>
      <c r="SCL67"/>
      <c r="SCM67"/>
      <c r="SCN67"/>
      <c r="SCO67"/>
      <c r="SCP67"/>
      <c r="SCQ67"/>
      <c r="SCR67"/>
      <c r="SCS67"/>
      <c r="SCT67"/>
      <c r="SCU67"/>
      <c r="SCV67"/>
      <c r="SCW67"/>
      <c r="SCX67"/>
      <c r="SCY67"/>
      <c r="SCZ67"/>
      <c r="SDA67"/>
      <c r="SDB67"/>
      <c r="SDC67"/>
      <c r="SDD67"/>
      <c r="SDE67"/>
      <c r="SDF67"/>
      <c r="SDG67"/>
      <c r="SDH67"/>
      <c r="SDI67"/>
      <c r="SDJ67"/>
      <c r="SDK67"/>
      <c r="SDL67"/>
      <c r="SDM67"/>
      <c r="SDN67"/>
      <c r="SDO67"/>
      <c r="SDP67"/>
      <c r="SDQ67"/>
      <c r="SDR67"/>
      <c r="SDS67"/>
      <c r="SDT67"/>
      <c r="SDU67"/>
      <c r="SDV67"/>
      <c r="SDW67"/>
      <c r="SDX67"/>
      <c r="SDY67"/>
      <c r="SDZ67"/>
      <c r="SEA67"/>
      <c r="SEB67"/>
      <c r="SEC67"/>
      <c r="SED67"/>
      <c r="SEE67"/>
      <c r="SEF67"/>
      <c r="SEG67"/>
      <c r="SEH67"/>
      <c r="SEI67"/>
      <c r="SEJ67"/>
      <c r="SEK67"/>
      <c r="SEL67"/>
      <c r="SEM67"/>
      <c r="SEN67"/>
      <c r="SEO67"/>
      <c r="SEP67"/>
      <c r="SEQ67"/>
      <c r="SER67"/>
      <c r="SES67"/>
      <c r="SET67"/>
      <c r="SEU67"/>
      <c r="SEV67"/>
      <c r="SEW67"/>
      <c r="SEX67"/>
      <c r="SEY67"/>
      <c r="SEZ67"/>
      <c r="SFA67"/>
      <c r="SFB67"/>
      <c r="SFC67"/>
      <c r="SFD67"/>
      <c r="SFE67"/>
      <c r="SFF67"/>
      <c r="SFG67"/>
      <c r="SFH67"/>
      <c r="SFI67"/>
      <c r="SFJ67"/>
      <c r="SFK67"/>
      <c r="SFL67"/>
      <c r="SFM67"/>
      <c r="SFN67"/>
      <c r="SFO67"/>
      <c r="SFP67"/>
      <c r="SFQ67"/>
      <c r="SFR67"/>
      <c r="SFS67"/>
      <c r="SFT67"/>
      <c r="SFU67"/>
      <c r="SFV67"/>
      <c r="SFW67"/>
      <c r="SFX67"/>
      <c r="SFY67"/>
      <c r="SFZ67"/>
      <c r="SGA67"/>
      <c r="SGB67"/>
      <c r="SGC67"/>
      <c r="SGD67"/>
      <c r="SGE67"/>
      <c r="SGF67"/>
      <c r="SGG67"/>
      <c r="SGH67"/>
      <c r="SGI67"/>
      <c r="SGJ67"/>
      <c r="SGK67"/>
      <c r="SGL67"/>
      <c r="SGM67"/>
      <c r="SGN67"/>
      <c r="SGO67"/>
      <c r="SGP67"/>
      <c r="SGQ67"/>
      <c r="SGR67"/>
      <c r="SGS67"/>
      <c r="SGT67"/>
      <c r="SGU67"/>
      <c r="SGV67"/>
      <c r="SGW67"/>
      <c r="SGX67"/>
      <c r="SGY67"/>
      <c r="SGZ67"/>
      <c r="SHA67"/>
      <c r="SHB67"/>
      <c r="SHC67"/>
      <c r="SHD67"/>
      <c r="SHE67"/>
      <c r="SHF67"/>
      <c r="SHG67"/>
      <c r="SHH67"/>
      <c r="SHI67"/>
      <c r="SHJ67"/>
      <c r="SHK67"/>
      <c r="SHL67"/>
      <c r="SHM67"/>
      <c r="SHN67"/>
      <c r="SHO67"/>
      <c r="SHP67"/>
      <c r="SHQ67"/>
      <c r="SHR67"/>
      <c r="SHS67"/>
      <c r="SHT67"/>
      <c r="SHU67"/>
      <c r="SHV67"/>
      <c r="SHW67"/>
      <c r="SHX67"/>
      <c r="SHY67"/>
      <c r="SHZ67"/>
      <c r="SIA67"/>
      <c r="SIB67"/>
      <c r="SIC67"/>
      <c r="SID67"/>
      <c r="SIE67"/>
      <c r="SIF67"/>
      <c r="SIG67"/>
      <c r="SIH67"/>
      <c r="SII67"/>
      <c r="SIJ67"/>
      <c r="SIK67"/>
      <c r="SIL67"/>
      <c r="SIM67"/>
      <c r="SIN67"/>
      <c r="SIO67"/>
      <c r="SIP67"/>
      <c r="SIQ67"/>
      <c r="SIR67"/>
      <c r="SIS67"/>
      <c r="SIT67"/>
      <c r="SIU67"/>
      <c r="SIV67"/>
      <c r="SIW67"/>
      <c r="SIX67"/>
      <c r="SIY67"/>
      <c r="SIZ67"/>
      <c r="SJA67"/>
      <c r="SJB67"/>
      <c r="SJC67"/>
      <c r="SJD67"/>
      <c r="SJE67"/>
      <c r="SJF67"/>
      <c r="SJG67"/>
      <c r="SJH67"/>
      <c r="SJI67"/>
      <c r="SJJ67"/>
      <c r="SJK67"/>
      <c r="SJL67"/>
      <c r="SJM67"/>
      <c r="SJN67"/>
      <c r="SJO67"/>
      <c r="SJP67"/>
      <c r="SJQ67"/>
      <c r="SJR67"/>
      <c r="SJS67"/>
      <c r="SJT67"/>
      <c r="SJU67"/>
      <c r="SJV67"/>
      <c r="SJW67"/>
      <c r="SJX67"/>
      <c r="SJY67"/>
      <c r="SJZ67"/>
      <c r="SKA67"/>
      <c r="SKB67"/>
      <c r="SKC67"/>
      <c r="SKD67"/>
      <c r="SKE67"/>
      <c r="SKF67"/>
      <c r="SKG67"/>
      <c r="SKH67"/>
      <c r="SKI67"/>
      <c r="SKJ67"/>
      <c r="SKK67"/>
      <c r="SKL67"/>
      <c r="SKM67"/>
      <c r="SKN67"/>
      <c r="SKO67"/>
      <c r="SKP67"/>
      <c r="SKQ67"/>
      <c r="SKR67"/>
      <c r="SKS67"/>
      <c r="SKT67"/>
      <c r="SKU67"/>
      <c r="SKV67"/>
      <c r="SKW67"/>
      <c r="SKX67"/>
      <c r="SKY67"/>
      <c r="SKZ67"/>
      <c r="SLA67"/>
      <c r="SLB67"/>
      <c r="SLC67"/>
      <c r="SLD67"/>
      <c r="SLE67"/>
      <c r="SLF67"/>
      <c r="SLG67"/>
      <c r="SLH67"/>
      <c r="SLI67"/>
      <c r="SLJ67"/>
      <c r="SLK67"/>
      <c r="SLL67"/>
      <c r="SLM67"/>
      <c r="SLN67"/>
      <c r="SLO67"/>
      <c r="SLP67"/>
      <c r="SLQ67"/>
      <c r="SLR67"/>
      <c r="SLS67"/>
      <c r="SLT67"/>
      <c r="SLU67"/>
      <c r="SLV67"/>
      <c r="SLW67"/>
      <c r="SLX67"/>
      <c r="SLY67"/>
      <c r="SLZ67"/>
      <c r="SMA67"/>
      <c r="SMB67"/>
      <c r="SMC67"/>
      <c r="SMD67"/>
      <c r="SME67"/>
      <c r="SMF67"/>
      <c r="SMG67"/>
      <c r="SMH67"/>
      <c r="SMI67"/>
      <c r="SMJ67"/>
      <c r="SMK67"/>
      <c r="SML67"/>
      <c r="SMM67"/>
      <c r="SMN67"/>
      <c r="SMO67"/>
      <c r="SMP67"/>
      <c r="SMQ67"/>
      <c r="SMR67"/>
      <c r="SMS67"/>
      <c r="SMT67"/>
      <c r="SMU67"/>
      <c r="SMV67"/>
      <c r="SMW67"/>
      <c r="SMX67"/>
      <c r="SMY67"/>
      <c r="SMZ67"/>
      <c r="SNA67"/>
      <c r="SNB67"/>
      <c r="SNC67"/>
      <c r="SND67"/>
      <c r="SNE67"/>
      <c r="SNF67"/>
      <c r="SNG67"/>
      <c r="SNH67"/>
      <c r="SNI67"/>
      <c r="SNJ67"/>
      <c r="SNK67"/>
      <c r="SNL67"/>
      <c r="SNM67"/>
      <c r="SNN67"/>
      <c r="SNO67"/>
      <c r="SNP67"/>
      <c r="SNQ67"/>
      <c r="SNR67"/>
      <c r="SNS67"/>
      <c r="SNT67"/>
      <c r="SNU67"/>
      <c r="SNV67"/>
      <c r="SNW67"/>
      <c r="SNX67"/>
      <c r="SNY67"/>
      <c r="SNZ67"/>
      <c r="SOA67"/>
      <c r="SOB67"/>
      <c r="SOC67"/>
      <c r="SOD67"/>
      <c r="SOE67"/>
      <c r="SOF67"/>
      <c r="SOG67"/>
      <c r="SOH67"/>
      <c r="SOI67"/>
      <c r="SOJ67"/>
      <c r="SOK67"/>
      <c r="SOL67"/>
      <c r="SOM67"/>
      <c r="SON67"/>
      <c r="SOO67"/>
      <c r="SOP67"/>
      <c r="SOQ67"/>
      <c r="SOR67"/>
      <c r="SOS67"/>
      <c r="SOT67"/>
      <c r="SOU67"/>
      <c r="SOV67"/>
      <c r="SOW67"/>
      <c r="SOX67"/>
      <c r="SOY67"/>
      <c r="SOZ67"/>
      <c r="SPA67"/>
      <c r="SPB67"/>
      <c r="SPC67"/>
      <c r="SPD67"/>
      <c r="SPE67"/>
      <c r="SPF67"/>
      <c r="SPG67"/>
      <c r="SPH67"/>
      <c r="SPI67"/>
      <c r="SPJ67"/>
      <c r="SPK67"/>
      <c r="SPL67"/>
      <c r="SPM67"/>
      <c r="SPN67"/>
      <c r="SPO67"/>
      <c r="SPP67"/>
      <c r="SPQ67"/>
      <c r="SPR67"/>
      <c r="SPS67"/>
      <c r="SPT67"/>
      <c r="SPU67"/>
      <c r="SPV67"/>
      <c r="SPW67"/>
      <c r="SPX67"/>
      <c r="SPY67"/>
      <c r="SPZ67"/>
      <c r="SQA67"/>
      <c r="SQB67"/>
      <c r="SQC67"/>
      <c r="SQD67"/>
      <c r="SQE67"/>
      <c r="SQF67"/>
      <c r="SQG67"/>
      <c r="SQH67"/>
      <c r="SQI67"/>
      <c r="SQJ67"/>
      <c r="SQK67"/>
      <c r="SQL67"/>
      <c r="SQM67"/>
      <c r="SQN67"/>
      <c r="SQO67"/>
      <c r="SQP67"/>
      <c r="SQQ67"/>
      <c r="SQR67"/>
      <c r="SQS67"/>
      <c r="SQT67"/>
      <c r="SQU67"/>
      <c r="SQV67"/>
      <c r="SQW67"/>
      <c r="SQX67"/>
      <c r="SQY67"/>
      <c r="SQZ67"/>
      <c r="SRA67"/>
      <c r="SRB67"/>
      <c r="SRC67"/>
      <c r="SRD67"/>
      <c r="SRE67"/>
      <c r="SRF67"/>
      <c r="SRG67"/>
      <c r="SRH67"/>
      <c r="SRI67"/>
      <c r="SRJ67"/>
      <c r="SRK67"/>
      <c r="SRL67"/>
      <c r="SRM67"/>
      <c r="SRN67"/>
      <c r="SRO67"/>
      <c r="SRP67"/>
      <c r="SRQ67"/>
      <c r="SRR67"/>
      <c r="SRS67"/>
      <c r="SRT67"/>
      <c r="SRU67"/>
      <c r="SRV67"/>
      <c r="SRW67"/>
      <c r="SRX67"/>
      <c r="SRY67"/>
      <c r="SRZ67"/>
      <c r="SSA67"/>
      <c r="SSB67"/>
      <c r="SSC67"/>
      <c r="SSD67"/>
      <c r="SSE67"/>
      <c r="SSF67"/>
      <c r="SSG67"/>
      <c r="SSH67"/>
      <c r="SSI67"/>
      <c r="SSJ67"/>
      <c r="SSK67"/>
      <c r="SSL67"/>
      <c r="SSM67"/>
      <c r="SSN67"/>
      <c r="SSO67"/>
      <c r="SSP67"/>
      <c r="SSQ67"/>
      <c r="SSR67"/>
      <c r="SSS67"/>
      <c r="SST67"/>
      <c r="SSU67"/>
      <c r="SSV67"/>
      <c r="SSW67"/>
      <c r="SSX67"/>
      <c r="SSY67"/>
      <c r="SSZ67"/>
      <c r="STA67"/>
      <c r="STB67"/>
      <c r="STC67"/>
      <c r="STD67"/>
      <c r="STE67"/>
      <c r="STF67"/>
      <c r="STG67"/>
      <c r="STH67"/>
      <c r="STI67"/>
      <c r="STJ67"/>
      <c r="STK67"/>
      <c r="STL67"/>
      <c r="STM67"/>
      <c r="STN67"/>
      <c r="STO67"/>
      <c r="STP67"/>
      <c r="STQ67"/>
      <c r="STR67"/>
      <c r="STS67"/>
      <c r="STT67"/>
      <c r="STU67"/>
      <c r="STV67"/>
      <c r="STW67"/>
      <c r="STX67"/>
      <c r="STY67"/>
      <c r="STZ67"/>
      <c r="SUA67"/>
      <c r="SUB67"/>
      <c r="SUC67"/>
      <c r="SUD67"/>
      <c r="SUE67"/>
      <c r="SUF67"/>
      <c r="SUG67"/>
      <c r="SUH67"/>
      <c r="SUI67"/>
      <c r="SUJ67"/>
      <c r="SUK67"/>
      <c r="SUL67"/>
      <c r="SUM67"/>
      <c r="SUN67"/>
      <c r="SUO67"/>
      <c r="SUP67"/>
      <c r="SUQ67"/>
      <c r="SUR67"/>
      <c r="SUS67"/>
      <c r="SUT67"/>
      <c r="SUU67"/>
      <c r="SUV67"/>
      <c r="SUW67"/>
      <c r="SUX67"/>
      <c r="SUY67"/>
      <c r="SUZ67"/>
      <c r="SVA67"/>
      <c r="SVB67"/>
      <c r="SVC67"/>
      <c r="SVD67"/>
      <c r="SVE67"/>
      <c r="SVF67"/>
      <c r="SVG67"/>
      <c r="SVH67"/>
      <c r="SVI67"/>
      <c r="SVJ67"/>
      <c r="SVK67"/>
      <c r="SVL67"/>
      <c r="SVM67"/>
      <c r="SVN67"/>
      <c r="SVO67"/>
      <c r="SVP67"/>
      <c r="SVQ67"/>
      <c r="SVR67"/>
      <c r="SVS67"/>
      <c r="SVT67"/>
      <c r="SVU67"/>
      <c r="SVV67"/>
      <c r="SVW67"/>
      <c r="SVX67"/>
      <c r="SVY67"/>
      <c r="SVZ67"/>
      <c r="SWA67"/>
      <c r="SWB67"/>
      <c r="SWC67"/>
      <c r="SWD67"/>
      <c r="SWE67"/>
      <c r="SWF67"/>
      <c r="SWG67"/>
      <c r="SWH67"/>
      <c r="SWI67"/>
      <c r="SWJ67"/>
      <c r="SWK67"/>
      <c r="SWL67"/>
      <c r="SWM67"/>
      <c r="SWN67"/>
      <c r="SWO67"/>
      <c r="SWP67"/>
      <c r="SWQ67"/>
      <c r="SWR67"/>
      <c r="SWS67"/>
      <c r="SWT67"/>
      <c r="SWU67"/>
      <c r="SWV67"/>
      <c r="SWW67"/>
      <c r="SWX67"/>
      <c r="SWY67"/>
      <c r="SWZ67"/>
      <c r="SXA67"/>
      <c r="SXB67"/>
      <c r="SXC67"/>
      <c r="SXD67"/>
      <c r="SXE67"/>
      <c r="SXF67"/>
      <c r="SXG67"/>
      <c r="SXH67"/>
      <c r="SXI67"/>
      <c r="SXJ67"/>
      <c r="SXK67"/>
      <c r="SXL67"/>
      <c r="SXM67"/>
      <c r="SXN67"/>
      <c r="SXO67"/>
      <c r="SXP67"/>
      <c r="SXQ67"/>
      <c r="SXR67"/>
      <c r="SXS67"/>
      <c r="SXT67"/>
      <c r="SXU67"/>
      <c r="SXV67"/>
      <c r="SXW67"/>
      <c r="SXX67"/>
      <c r="SXY67"/>
      <c r="SXZ67"/>
      <c r="SYA67"/>
      <c r="SYB67"/>
      <c r="SYC67"/>
      <c r="SYD67"/>
      <c r="SYE67"/>
      <c r="SYF67"/>
      <c r="SYG67"/>
      <c r="SYH67"/>
      <c r="SYI67"/>
      <c r="SYJ67"/>
      <c r="SYK67"/>
      <c r="SYL67"/>
      <c r="SYM67"/>
      <c r="SYN67"/>
      <c r="SYO67"/>
      <c r="SYP67"/>
      <c r="SYQ67"/>
      <c r="SYR67"/>
      <c r="SYS67"/>
      <c r="SYT67"/>
      <c r="SYU67"/>
      <c r="SYV67"/>
      <c r="SYW67"/>
      <c r="SYX67"/>
      <c r="SYY67"/>
      <c r="SYZ67"/>
      <c r="SZA67"/>
      <c r="SZB67"/>
      <c r="SZC67"/>
      <c r="SZD67"/>
      <c r="SZE67"/>
      <c r="SZF67"/>
      <c r="SZG67"/>
      <c r="SZH67"/>
      <c r="SZI67"/>
      <c r="SZJ67"/>
      <c r="SZK67"/>
      <c r="SZL67"/>
      <c r="SZM67"/>
      <c r="SZN67"/>
      <c r="SZO67"/>
      <c r="SZP67"/>
      <c r="SZQ67"/>
      <c r="SZR67"/>
      <c r="SZS67"/>
      <c r="SZT67"/>
      <c r="SZU67"/>
      <c r="SZV67"/>
      <c r="SZW67"/>
      <c r="SZX67"/>
      <c r="SZY67"/>
      <c r="SZZ67"/>
      <c r="TAA67"/>
      <c r="TAB67"/>
      <c r="TAC67"/>
      <c r="TAD67"/>
      <c r="TAE67"/>
      <c r="TAF67"/>
      <c r="TAG67"/>
      <c r="TAH67"/>
      <c r="TAI67"/>
      <c r="TAJ67"/>
      <c r="TAK67"/>
      <c r="TAL67"/>
      <c r="TAM67"/>
      <c r="TAN67"/>
      <c r="TAO67"/>
      <c r="TAP67"/>
      <c r="TAQ67"/>
      <c r="TAR67"/>
      <c r="TAS67"/>
      <c r="TAT67"/>
      <c r="TAU67"/>
      <c r="TAV67"/>
      <c r="TAW67"/>
      <c r="TAX67"/>
      <c r="TAY67"/>
      <c r="TAZ67"/>
      <c r="TBA67"/>
      <c r="TBB67"/>
      <c r="TBC67"/>
      <c r="TBD67"/>
      <c r="TBE67"/>
      <c r="TBF67"/>
      <c r="TBG67"/>
      <c r="TBH67"/>
      <c r="TBI67"/>
      <c r="TBJ67"/>
      <c r="TBK67"/>
      <c r="TBL67"/>
      <c r="TBM67"/>
      <c r="TBN67"/>
      <c r="TBO67"/>
      <c r="TBP67"/>
      <c r="TBQ67"/>
      <c r="TBR67"/>
      <c r="TBS67"/>
      <c r="TBT67"/>
      <c r="TBU67"/>
      <c r="TBV67"/>
      <c r="TBW67"/>
      <c r="TBX67"/>
      <c r="TBY67"/>
      <c r="TBZ67"/>
      <c r="TCA67"/>
      <c r="TCB67"/>
      <c r="TCC67"/>
      <c r="TCD67"/>
      <c r="TCE67"/>
      <c r="TCF67"/>
      <c r="TCG67"/>
      <c r="TCH67"/>
      <c r="TCI67"/>
      <c r="TCJ67"/>
      <c r="TCK67"/>
      <c r="TCL67"/>
      <c r="TCM67"/>
      <c r="TCN67"/>
      <c r="TCO67"/>
      <c r="TCP67"/>
      <c r="TCQ67"/>
      <c r="TCR67"/>
      <c r="TCS67"/>
      <c r="TCT67"/>
      <c r="TCU67"/>
      <c r="TCV67"/>
      <c r="TCW67"/>
      <c r="TCX67"/>
      <c r="TCY67"/>
      <c r="TCZ67"/>
      <c r="TDA67"/>
      <c r="TDB67"/>
      <c r="TDC67"/>
      <c r="TDD67"/>
      <c r="TDE67"/>
      <c r="TDF67"/>
      <c r="TDG67"/>
      <c r="TDH67"/>
      <c r="TDI67"/>
      <c r="TDJ67"/>
      <c r="TDK67"/>
      <c r="TDL67"/>
      <c r="TDM67"/>
      <c r="TDN67"/>
      <c r="TDO67"/>
      <c r="TDP67"/>
      <c r="TDQ67"/>
      <c r="TDR67"/>
      <c r="TDS67"/>
      <c r="TDT67"/>
      <c r="TDU67"/>
      <c r="TDV67"/>
      <c r="TDW67"/>
      <c r="TDX67"/>
      <c r="TDY67"/>
      <c r="TDZ67"/>
      <c r="TEA67"/>
      <c r="TEB67"/>
      <c r="TEC67"/>
      <c r="TED67"/>
      <c r="TEE67"/>
      <c r="TEF67"/>
      <c r="TEG67"/>
      <c r="TEH67"/>
      <c r="TEI67"/>
      <c r="TEJ67"/>
      <c r="TEK67"/>
      <c r="TEL67"/>
      <c r="TEM67"/>
      <c r="TEN67"/>
      <c r="TEO67"/>
      <c r="TEP67"/>
      <c r="TEQ67"/>
      <c r="TER67"/>
      <c r="TES67"/>
      <c r="TET67"/>
      <c r="TEU67"/>
      <c r="TEV67"/>
      <c r="TEW67"/>
      <c r="TEX67"/>
      <c r="TEY67"/>
      <c r="TEZ67"/>
      <c r="TFA67"/>
      <c r="TFB67"/>
      <c r="TFC67"/>
      <c r="TFD67"/>
      <c r="TFE67"/>
      <c r="TFF67"/>
      <c r="TFG67"/>
      <c r="TFH67"/>
      <c r="TFI67"/>
      <c r="TFJ67"/>
      <c r="TFK67"/>
      <c r="TFL67"/>
      <c r="TFM67"/>
      <c r="TFN67"/>
      <c r="TFO67"/>
      <c r="TFP67"/>
      <c r="TFQ67"/>
      <c r="TFR67"/>
      <c r="TFS67"/>
      <c r="TFT67"/>
      <c r="TFU67"/>
      <c r="TFV67"/>
      <c r="TFW67"/>
      <c r="TFX67"/>
      <c r="TFY67"/>
      <c r="TFZ67"/>
      <c r="TGA67"/>
      <c r="TGB67"/>
      <c r="TGC67"/>
      <c r="TGD67"/>
      <c r="TGE67"/>
      <c r="TGF67"/>
      <c r="TGG67"/>
      <c r="TGH67"/>
      <c r="TGI67"/>
      <c r="TGJ67"/>
      <c r="TGK67"/>
      <c r="TGL67"/>
      <c r="TGM67"/>
      <c r="TGN67"/>
      <c r="TGO67"/>
      <c r="TGP67"/>
      <c r="TGQ67"/>
      <c r="TGR67"/>
      <c r="TGS67"/>
      <c r="TGT67"/>
      <c r="TGU67"/>
      <c r="TGV67"/>
      <c r="TGW67"/>
      <c r="TGX67"/>
      <c r="TGY67"/>
      <c r="TGZ67"/>
      <c r="THA67"/>
      <c r="THB67"/>
      <c r="THC67"/>
      <c r="THD67"/>
      <c r="THE67"/>
      <c r="THF67"/>
      <c r="THG67"/>
      <c r="THH67"/>
      <c r="THI67"/>
      <c r="THJ67"/>
      <c r="THK67"/>
      <c r="THL67"/>
      <c r="THM67"/>
      <c r="THN67"/>
      <c r="THO67"/>
      <c r="THP67"/>
      <c r="THQ67"/>
      <c r="THR67"/>
      <c r="THS67"/>
      <c r="THT67"/>
      <c r="THU67"/>
      <c r="THV67"/>
      <c r="THW67"/>
      <c r="THX67"/>
      <c r="THY67"/>
      <c r="THZ67"/>
      <c r="TIA67"/>
      <c r="TIB67"/>
      <c r="TIC67"/>
      <c r="TID67"/>
      <c r="TIE67"/>
      <c r="TIF67"/>
      <c r="TIG67"/>
      <c r="TIH67"/>
      <c r="TII67"/>
      <c r="TIJ67"/>
      <c r="TIK67"/>
      <c r="TIL67"/>
      <c r="TIM67"/>
      <c r="TIN67"/>
      <c r="TIO67"/>
      <c r="TIP67"/>
      <c r="TIQ67"/>
      <c r="TIR67"/>
      <c r="TIS67"/>
      <c r="TIT67"/>
      <c r="TIU67"/>
      <c r="TIV67"/>
      <c r="TIW67"/>
      <c r="TIX67"/>
      <c r="TIY67"/>
      <c r="TIZ67"/>
      <c r="TJA67"/>
      <c r="TJB67"/>
      <c r="TJC67"/>
      <c r="TJD67"/>
      <c r="TJE67"/>
      <c r="TJF67"/>
      <c r="TJG67"/>
      <c r="TJH67"/>
      <c r="TJI67"/>
      <c r="TJJ67"/>
      <c r="TJK67"/>
      <c r="TJL67"/>
      <c r="TJM67"/>
      <c r="TJN67"/>
      <c r="TJO67"/>
      <c r="TJP67"/>
      <c r="TJQ67"/>
      <c r="TJR67"/>
      <c r="TJS67"/>
      <c r="TJT67"/>
      <c r="TJU67"/>
      <c r="TJV67"/>
      <c r="TJW67"/>
      <c r="TJX67"/>
      <c r="TJY67"/>
      <c r="TJZ67"/>
      <c r="TKA67"/>
      <c r="TKB67"/>
      <c r="TKC67"/>
      <c r="TKD67"/>
      <c r="TKE67"/>
      <c r="TKF67"/>
      <c r="TKG67"/>
      <c r="TKH67"/>
      <c r="TKI67"/>
      <c r="TKJ67"/>
      <c r="TKK67"/>
      <c r="TKL67"/>
      <c r="TKM67"/>
      <c r="TKN67"/>
      <c r="TKO67"/>
      <c r="TKP67"/>
      <c r="TKQ67"/>
      <c r="TKR67"/>
      <c r="TKS67"/>
      <c r="TKT67"/>
      <c r="TKU67"/>
      <c r="TKV67"/>
      <c r="TKW67"/>
      <c r="TKX67"/>
      <c r="TKY67"/>
      <c r="TKZ67"/>
      <c r="TLA67"/>
      <c r="TLB67"/>
      <c r="TLC67"/>
      <c r="TLD67"/>
      <c r="TLE67"/>
      <c r="TLF67"/>
      <c r="TLG67"/>
      <c r="TLH67"/>
      <c r="TLI67"/>
      <c r="TLJ67"/>
      <c r="TLK67"/>
      <c r="TLL67"/>
      <c r="TLM67"/>
      <c r="TLN67"/>
      <c r="TLO67"/>
      <c r="TLP67"/>
      <c r="TLQ67"/>
      <c r="TLR67"/>
      <c r="TLS67"/>
      <c r="TLT67"/>
      <c r="TLU67"/>
      <c r="TLV67"/>
      <c r="TLW67"/>
      <c r="TLX67"/>
      <c r="TLY67"/>
      <c r="TLZ67"/>
      <c r="TMA67"/>
      <c r="TMB67"/>
      <c r="TMC67"/>
      <c r="TMD67"/>
      <c r="TME67"/>
      <c r="TMF67"/>
      <c r="TMG67"/>
      <c r="TMH67"/>
      <c r="TMI67"/>
      <c r="TMJ67"/>
      <c r="TMK67"/>
      <c r="TML67"/>
      <c r="TMM67"/>
      <c r="TMN67"/>
      <c r="TMO67"/>
      <c r="TMP67"/>
      <c r="TMQ67"/>
      <c r="TMR67"/>
      <c r="TMS67"/>
      <c r="TMT67"/>
      <c r="TMU67"/>
      <c r="TMV67"/>
      <c r="TMW67"/>
      <c r="TMX67"/>
      <c r="TMY67"/>
      <c r="TMZ67"/>
      <c r="TNA67"/>
      <c r="TNB67"/>
      <c r="TNC67"/>
      <c r="TND67"/>
      <c r="TNE67"/>
      <c r="TNF67"/>
      <c r="TNG67"/>
      <c r="TNH67"/>
      <c r="TNI67"/>
      <c r="TNJ67"/>
      <c r="TNK67"/>
      <c r="TNL67"/>
      <c r="TNM67"/>
      <c r="TNN67"/>
      <c r="TNO67"/>
      <c r="TNP67"/>
      <c r="TNQ67"/>
      <c r="TNR67"/>
      <c r="TNS67"/>
      <c r="TNT67"/>
      <c r="TNU67"/>
      <c r="TNV67"/>
      <c r="TNW67"/>
      <c r="TNX67"/>
      <c r="TNY67"/>
      <c r="TNZ67"/>
      <c r="TOA67"/>
      <c r="TOB67"/>
      <c r="TOC67"/>
      <c r="TOD67"/>
      <c r="TOE67"/>
      <c r="TOF67"/>
      <c r="TOG67"/>
      <c r="TOH67"/>
      <c r="TOI67"/>
      <c r="TOJ67"/>
      <c r="TOK67"/>
      <c r="TOL67"/>
      <c r="TOM67"/>
      <c r="TON67"/>
      <c r="TOO67"/>
      <c r="TOP67"/>
      <c r="TOQ67"/>
      <c r="TOR67"/>
      <c r="TOS67"/>
      <c r="TOT67"/>
      <c r="TOU67"/>
      <c r="TOV67"/>
      <c r="TOW67"/>
      <c r="TOX67"/>
      <c r="TOY67"/>
      <c r="TOZ67"/>
      <c r="TPA67"/>
      <c r="TPB67"/>
      <c r="TPC67"/>
      <c r="TPD67"/>
      <c r="TPE67"/>
      <c r="TPF67"/>
      <c r="TPG67"/>
      <c r="TPH67"/>
      <c r="TPI67"/>
      <c r="TPJ67"/>
      <c r="TPK67"/>
      <c r="TPL67"/>
      <c r="TPM67"/>
      <c r="TPN67"/>
      <c r="TPO67"/>
      <c r="TPP67"/>
      <c r="TPQ67"/>
      <c r="TPR67"/>
      <c r="TPS67"/>
      <c r="TPT67"/>
      <c r="TPU67"/>
      <c r="TPV67"/>
      <c r="TPW67"/>
      <c r="TPX67"/>
      <c r="TPY67"/>
      <c r="TPZ67"/>
      <c r="TQA67"/>
      <c r="TQB67"/>
      <c r="TQC67"/>
      <c r="TQD67"/>
      <c r="TQE67"/>
      <c r="TQF67"/>
      <c r="TQG67"/>
      <c r="TQH67"/>
      <c r="TQI67"/>
      <c r="TQJ67"/>
      <c r="TQK67"/>
      <c r="TQL67"/>
      <c r="TQM67"/>
      <c r="TQN67"/>
      <c r="TQO67"/>
      <c r="TQP67"/>
      <c r="TQQ67"/>
      <c r="TQR67"/>
      <c r="TQS67"/>
      <c r="TQT67"/>
      <c r="TQU67"/>
      <c r="TQV67"/>
      <c r="TQW67"/>
      <c r="TQX67"/>
      <c r="TQY67"/>
      <c r="TQZ67"/>
      <c r="TRA67"/>
      <c r="TRB67"/>
      <c r="TRC67"/>
      <c r="TRD67"/>
      <c r="TRE67"/>
      <c r="TRF67"/>
      <c r="TRG67"/>
      <c r="TRH67"/>
      <c r="TRI67"/>
      <c r="TRJ67"/>
      <c r="TRK67"/>
      <c r="TRL67"/>
      <c r="TRM67"/>
      <c r="TRN67"/>
      <c r="TRO67"/>
      <c r="TRP67"/>
      <c r="TRQ67"/>
      <c r="TRR67"/>
      <c r="TRS67"/>
      <c r="TRT67"/>
      <c r="TRU67"/>
      <c r="TRV67"/>
      <c r="TRW67"/>
      <c r="TRX67"/>
      <c r="TRY67"/>
      <c r="TRZ67"/>
      <c r="TSA67"/>
      <c r="TSB67"/>
      <c r="TSC67"/>
      <c r="TSD67"/>
      <c r="TSE67"/>
      <c r="TSF67"/>
      <c r="TSG67"/>
      <c r="TSH67"/>
      <c r="TSI67"/>
      <c r="TSJ67"/>
      <c r="TSK67"/>
      <c r="TSL67"/>
      <c r="TSM67"/>
      <c r="TSN67"/>
      <c r="TSO67"/>
      <c r="TSP67"/>
      <c r="TSQ67"/>
      <c r="TSR67"/>
      <c r="TSS67"/>
      <c r="TST67"/>
      <c r="TSU67"/>
      <c r="TSV67"/>
      <c r="TSW67"/>
      <c r="TSX67"/>
      <c r="TSY67"/>
      <c r="TSZ67"/>
      <c r="TTA67"/>
      <c r="TTB67"/>
      <c r="TTC67"/>
      <c r="TTD67"/>
      <c r="TTE67"/>
      <c r="TTF67"/>
      <c r="TTG67"/>
      <c r="TTH67"/>
      <c r="TTI67"/>
      <c r="TTJ67"/>
      <c r="TTK67"/>
      <c r="TTL67"/>
      <c r="TTM67"/>
      <c r="TTN67"/>
      <c r="TTO67"/>
      <c r="TTP67"/>
      <c r="TTQ67"/>
      <c r="TTR67"/>
      <c r="TTS67"/>
      <c r="TTT67"/>
      <c r="TTU67"/>
      <c r="TTV67"/>
      <c r="TTW67"/>
      <c r="TTX67"/>
      <c r="TTY67"/>
      <c r="TTZ67"/>
      <c r="TUA67"/>
      <c r="TUB67"/>
      <c r="TUC67"/>
      <c r="TUD67"/>
      <c r="TUE67"/>
      <c r="TUF67"/>
      <c r="TUG67"/>
      <c r="TUH67"/>
      <c r="TUI67"/>
      <c r="TUJ67"/>
      <c r="TUK67"/>
      <c r="TUL67"/>
      <c r="TUM67"/>
      <c r="TUN67"/>
      <c r="TUO67"/>
      <c r="TUP67"/>
      <c r="TUQ67"/>
      <c r="TUR67"/>
      <c r="TUS67"/>
      <c r="TUT67"/>
      <c r="TUU67"/>
      <c r="TUV67"/>
      <c r="TUW67"/>
      <c r="TUX67"/>
      <c r="TUY67"/>
      <c r="TUZ67"/>
      <c r="TVA67"/>
      <c r="TVB67"/>
      <c r="TVC67"/>
      <c r="TVD67"/>
      <c r="TVE67"/>
      <c r="TVF67"/>
      <c r="TVG67"/>
      <c r="TVH67"/>
      <c r="TVI67"/>
      <c r="TVJ67"/>
      <c r="TVK67"/>
      <c r="TVL67"/>
      <c r="TVM67"/>
      <c r="TVN67"/>
      <c r="TVO67"/>
      <c r="TVP67"/>
      <c r="TVQ67"/>
      <c r="TVR67"/>
      <c r="TVS67"/>
      <c r="TVT67"/>
      <c r="TVU67"/>
      <c r="TVV67"/>
      <c r="TVW67"/>
      <c r="TVX67"/>
      <c r="TVY67"/>
      <c r="TVZ67"/>
      <c r="TWA67"/>
      <c r="TWB67"/>
      <c r="TWC67"/>
      <c r="TWD67"/>
      <c r="TWE67"/>
      <c r="TWF67"/>
      <c r="TWG67"/>
      <c r="TWH67"/>
      <c r="TWI67"/>
      <c r="TWJ67"/>
      <c r="TWK67"/>
      <c r="TWL67"/>
      <c r="TWM67"/>
      <c r="TWN67"/>
      <c r="TWO67"/>
      <c r="TWP67"/>
      <c r="TWQ67"/>
      <c r="TWR67"/>
      <c r="TWS67"/>
      <c r="TWT67"/>
      <c r="TWU67"/>
      <c r="TWV67"/>
      <c r="TWW67"/>
      <c r="TWX67"/>
      <c r="TWY67"/>
      <c r="TWZ67"/>
      <c r="TXA67"/>
      <c r="TXB67"/>
      <c r="TXC67"/>
      <c r="TXD67"/>
      <c r="TXE67"/>
      <c r="TXF67"/>
      <c r="TXG67"/>
      <c r="TXH67"/>
      <c r="TXI67"/>
      <c r="TXJ67"/>
      <c r="TXK67"/>
      <c r="TXL67"/>
      <c r="TXM67"/>
      <c r="TXN67"/>
      <c r="TXO67"/>
      <c r="TXP67"/>
      <c r="TXQ67"/>
      <c r="TXR67"/>
      <c r="TXS67"/>
      <c r="TXT67"/>
      <c r="TXU67"/>
      <c r="TXV67"/>
      <c r="TXW67"/>
      <c r="TXX67"/>
      <c r="TXY67"/>
      <c r="TXZ67"/>
      <c r="TYA67"/>
      <c r="TYB67"/>
      <c r="TYC67"/>
      <c r="TYD67"/>
      <c r="TYE67"/>
      <c r="TYF67"/>
      <c r="TYG67"/>
      <c r="TYH67"/>
      <c r="TYI67"/>
      <c r="TYJ67"/>
      <c r="TYK67"/>
      <c r="TYL67"/>
      <c r="TYM67"/>
      <c r="TYN67"/>
      <c r="TYO67"/>
      <c r="TYP67"/>
      <c r="TYQ67"/>
      <c r="TYR67"/>
      <c r="TYS67"/>
      <c r="TYT67"/>
      <c r="TYU67"/>
      <c r="TYV67"/>
      <c r="TYW67"/>
      <c r="TYX67"/>
      <c r="TYY67"/>
      <c r="TYZ67"/>
      <c r="TZA67"/>
      <c r="TZB67"/>
      <c r="TZC67"/>
      <c r="TZD67"/>
      <c r="TZE67"/>
      <c r="TZF67"/>
      <c r="TZG67"/>
      <c r="TZH67"/>
      <c r="TZI67"/>
      <c r="TZJ67"/>
      <c r="TZK67"/>
      <c r="TZL67"/>
      <c r="TZM67"/>
      <c r="TZN67"/>
      <c r="TZO67"/>
      <c r="TZP67"/>
      <c r="TZQ67"/>
      <c r="TZR67"/>
      <c r="TZS67"/>
      <c r="TZT67"/>
      <c r="TZU67"/>
      <c r="TZV67"/>
      <c r="TZW67"/>
      <c r="TZX67"/>
      <c r="TZY67"/>
      <c r="TZZ67"/>
      <c r="UAA67"/>
      <c r="UAB67"/>
      <c r="UAC67"/>
      <c r="UAD67"/>
      <c r="UAE67"/>
      <c r="UAF67"/>
      <c r="UAG67"/>
      <c r="UAH67"/>
      <c r="UAI67"/>
      <c r="UAJ67"/>
      <c r="UAK67"/>
      <c r="UAL67"/>
      <c r="UAM67"/>
      <c r="UAN67"/>
      <c r="UAO67"/>
      <c r="UAP67"/>
      <c r="UAQ67"/>
      <c r="UAR67"/>
      <c r="UAS67"/>
      <c r="UAT67"/>
      <c r="UAU67"/>
      <c r="UAV67"/>
      <c r="UAW67"/>
      <c r="UAX67"/>
      <c r="UAY67"/>
      <c r="UAZ67"/>
      <c r="UBA67"/>
      <c r="UBB67"/>
      <c r="UBC67"/>
      <c r="UBD67"/>
      <c r="UBE67"/>
      <c r="UBF67"/>
      <c r="UBG67"/>
      <c r="UBH67"/>
      <c r="UBI67"/>
      <c r="UBJ67"/>
      <c r="UBK67"/>
      <c r="UBL67"/>
      <c r="UBM67"/>
      <c r="UBN67"/>
      <c r="UBO67"/>
      <c r="UBP67"/>
      <c r="UBQ67"/>
      <c r="UBR67"/>
      <c r="UBS67"/>
      <c r="UBT67"/>
      <c r="UBU67"/>
      <c r="UBV67"/>
      <c r="UBW67"/>
      <c r="UBX67"/>
      <c r="UBY67"/>
      <c r="UBZ67"/>
      <c r="UCA67"/>
      <c r="UCB67"/>
      <c r="UCC67"/>
      <c r="UCD67"/>
      <c r="UCE67"/>
      <c r="UCF67"/>
      <c r="UCG67"/>
      <c r="UCH67"/>
      <c r="UCI67"/>
      <c r="UCJ67"/>
      <c r="UCK67"/>
      <c r="UCL67"/>
      <c r="UCM67"/>
      <c r="UCN67"/>
      <c r="UCO67"/>
      <c r="UCP67"/>
      <c r="UCQ67"/>
      <c r="UCR67"/>
      <c r="UCS67"/>
      <c r="UCT67"/>
      <c r="UCU67"/>
      <c r="UCV67"/>
      <c r="UCW67"/>
      <c r="UCX67"/>
      <c r="UCY67"/>
      <c r="UCZ67"/>
      <c r="UDA67"/>
      <c r="UDB67"/>
      <c r="UDC67"/>
      <c r="UDD67"/>
      <c r="UDE67"/>
      <c r="UDF67"/>
      <c r="UDG67"/>
      <c r="UDH67"/>
      <c r="UDI67"/>
      <c r="UDJ67"/>
      <c r="UDK67"/>
      <c r="UDL67"/>
      <c r="UDM67"/>
      <c r="UDN67"/>
      <c r="UDO67"/>
      <c r="UDP67"/>
      <c r="UDQ67"/>
      <c r="UDR67"/>
      <c r="UDS67"/>
      <c r="UDT67"/>
      <c r="UDU67"/>
      <c r="UDV67"/>
      <c r="UDW67"/>
      <c r="UDX67"/>
      <c r="UDY67"/>
      <c r="UDZ67"/>
      <c r="UEA67"/>
      <c r="UEB67"/>
      <c r="UEC67"/>
      <c r="UED67"/>
      <c r="UEE67"/>
      <c r="UEF67"/>
      <c r="UEG67"/>
      <c r="UEH67"/>
      <c r="UEI67"/>
      <c r="UEJ67"/>
      <c r="UEK67"/>
      <c r="UEL67"/>
      <c r="UEM67"/>
      <c r="UEN67"/>
      <c r="UEO67"/>
      <c r="UEP67"/>
      <c r="UEQ67"/>
      <c r="UER67"/>
      <c r="UES67"/>
      <c r="UET67"/>
      <c r="UEU67"/>
      <c r="UEV67"/>
      <c r="UEW67"/>
      <c r="UEX67"/>
      <c r="UEY67"/>
      <c r="UEZ67"/>
      <c r="UFA67"/>
      <c r="UFB67"/>
      <c r="UFC67"/>
      <c r="UFD67"/>
      <c r="UFE67"/>
      <c r="UFF67"/>
      <c r="UFG67"/>
      <c r="UFH67"/>
      <c r="UFI67"/>
      <c r="UFJ67"/>
      <c r="UFK67"/>
      <c r="UFL67"/>
      <c r="UFM67"/>
      <c r="UFN67"/>
      <c r="UFO67"/>
      <c r="UFP67"/>
      <c r="UFQ67"/>
      <c r="UFR67"/>
      <c r="UFS67"/>
      <c r="UFT67"/>
      <c r="UFU67"/>
      <c r="UFV67"/>
      <c r="UFW67"/>
      <c r="UFX67"/>
      <c r="UFY67"/>
      <c r="UFZ67"/>
      <c r="UGA67"/>
      <c r="UGB67"/>
      <c r="UGC67"/>
      <c r="UGD67"/>
      <c r="UGE67"/>
      <c r="UGF67"/>
      <c r="UGG67"/>
      <c r="UGH67"/>
      <c r="UGI67"/>
      <c r="UGJ67"/>
      <c r="UGK67"/>
      <c r="UGL67"/>
      <c r="UGM67"/>
      <c r="UGN67"/>
      <c r="UGO67"/>
      <c r="UGP67"/>
      <c r="UGQ67"/>
      <c r="UGR67"/>
      <c r="UGS67"/>
      <c r="UGT67"/>
      <c r="UGU67"/>
      <c r="UGV67"/>
      <c r="UGW67"/>
      <c r="UGX67"/>
      <c r="UGY67"/>
      <c r="UGZ67"/>
      <c r="UHA67"/>
      <c r="UHB67"/>
      <c r="UHC67"/>
      <c r="UHD67"/>
      <c r="UHE67"/>
      <c r="UHF67"/>
      <c r="UHG67"/>
      <c r="UHH67"/>
      <c r="UHI67"/>
      <c r="UHJ67"/>
      <c r="UHK67"/>
      <c r="UHL67"/>
      <c r="UHM67"/>
      <c r="UHN67"/>
      <c r="UHO67"/>
      <c r="UHP67"/>
      <c r="UHQ67"/>
      <c r="UHR67"/>
      <c r="UHS67"/>
      <c r="UHT67"/>
      <c r="UHU67"/>
      <c r="UHV67"/>
      <c r="UHW67"/>
      <c r="UHX67"/>
      <c r="UHY67"/>
      <c r="UHZ67"/>
      <c r="UIA67"/>
      <c r="UIB67"/>
      <c r="UIC67"/>
      <c r="UID67"/>
      <c r="UIE67"/>
      <c r="UIF67"/>
      <c r="UIG67"/>
      <c r="UIH67"/>
      <c r="UII67"/>
      <c r="UIJ67"/>
      <c r="UIK67"/>
      <c r="UIL67"/>
      <c r="UIM67"/>
      <c r="UIN67"/>
      <c r="UIO67"/>
      <c r="UIP67"/>
      <c r="UIQ67"/>
      <c r="UIR67"/>
      <c r="UIS67"/>
      <c r="UIT67"/>
      <c r="UIU67"/>
      <c r="UIV67"/>
      <c r="UIW67"/>
      <c r="UIX67"/>
      <c r="UIY67"/>
      <c r="UIZ67"/>
      <c r="UJA67"/>
      <c r="UJB67"/>
      <c r="UJC67"/>
      <c r="UJD67"/>
      <c r="UJE67"/>
      <c r="UJF67"/>
      <c r="UJG67"/>
      <c r="UJH67"/>
      <c r="UJI67"/>
      <c r="UJJ67"/>
      <c r="UJK67"/>
      <c r="UJL67"/>
      <c r="UJM67"/>
      <c r="UJN67"/>
      <c r="UJO67"/>
      <c r="UJP67"/>
      <c r="UJQ67"/>
      <c r="UJR67"/>
      <c r="UJS67"/>
      <c r="UJT67"/>
      <c r="UJU67"/>
      <c r="UJV67"/>
      <c r="UJW67"/>
      <c r="UJX67"/>
      <c r="UJY67"/>
      <c r="UJZ67"/>
      <c r="UKA67"/>
      <c r="UKB67"/>
      <c r="UKC67"/>
      <c r="UKD67"/>
      <c r="UKE67"/>
      <c r="UKF67"/>
      <c r="UKG67"/>
      <c r="UKH67"/>
      <c r="UKI67"/>
      <c r="UKJ67"/>
      <c r="UKK67"/>
      <c r="UKL67"/>
      <c r="UKM67"/>
      <c r="UKN67"/>
      <c r="UKO67"/>
      <c r="UKP67"/>
      <c r="UKQ67"/>
      <c r="UKR67"/>
      <c r="UKS67"/>
      <c r="UKT67"/>
      <c r="UKU67"/>
      <c r="UKV67"/>
      <c r="UKW67"/>
      <c r="UKX67"/>
      <c r="UKY67"/>
      <c r="UKZ67"/>
      <c r="ULA67"/>
      <c r="ULB67"/>
      <c r="ULC67"/>
      <c r="ULD67"/>
      <c r="ULE67"/>
      <c r="ULF67"/>
      <c r="ULG67"/>
      <c r="ULH67"/>
      <c r="ULI67"/>
      <c r="ULJ67"/>
      <c r="ULK67"/>
      <c r="ULL67"/>
      <c r="ULM67"/>
      <c r="ULN67"/>
      <c r="ULO67"/>
      <c r="ULP67"/>
      <c r="ULQ67"/>
      <c r="ULR67"/>
      <c r="ULS67"/>
      <c r="ULT67"/>
      <c r="ULU67"/>
      <c r="ULV67"/>
      <c r="ULW67"/>
      <c r="ULX67"/>
      <c r="ULY67"/>
      <c r="ULZ67"/>
      <c r="UMA67"/>
      <c r="UMB67"/>
      <c r="UMC67"/>
      <c r="UMD67"/>
      <c r="UME67"/>
      <c r="UMF67"/>
      <c r="UMG67"/>
      <c r="UMH67"/>
      <c r="UMI67"/>
      <c r="UMJ67"/>
      <c r="UMK67"/>
      <c r="UML67"/>
      <c r="UMM67"/>
      <c r="UMN67"/>
      <c r="UMO67"/>
      <c r="UMP67"/>
      <c r="UMQ67"/>
      <c r="UMR67"/>
      <c r="UMS67"/>
      <c r="UMT67"/>
      <c r="UMU67"/>
      <c r="UMV67"/>
      <c r="UMW67"/>
      <c r="UMX67"/>
      <c r="UMY67"/>
      <c r="UMZ67"/>
      <c r="UNA67"/>
      <c r="UNB67"/>
      <c r="UNC67"/>
      <c r="UND67"/>
      <c r="UNE67"/>
      <c r="UNF67"/>
      <c r="UNG67"/>
      <c r="UNH67"/>
      <c r="UNI67"/>
      <c r="UNJ67"/>
      <c r="UNK67"/>
      <c r="UNL67"/>
      <c r="UNM67"/>
      <c r="UNN67"/>
      <c r="UNO67"/>
      <c r="UNP67"/>
      <c r="UNQ67"/>
      <c r="UNR67"/>
      <c r="UNS67"/>
      <c r="UNT67"/>
      <c r="UNU67"/>
      <c r="UNV67"/>
      <c r="UNW67"/>
      <c r="UNX67"/>
      <c r="UNY67"/>
      <c r="UNZ67"/>
      <c r="UOA67"/>
      <c r="UOB67"/>
      <c r="UOC67"/>
      <c r="UOD67"/>
      <c r="UOE67"/>
      <c r="UOF67"/>
      <c r="UOG67"/>
      <c r="UOH67"/>
      <c r="UOI67"/>
      <c r="UOJ67"/>
      <c r="UOK67"/>
      <c r="UOL67"/>
      <c r="UOM67"/>
      <c r="UON67"/>
      <c r="UOO67"/>
      <c r="UOP67"/>
      <c r="UOQ67"/>
      <c r="UOR67"/>
      <c r="UOS67"/>
      <c r="UOT67"/>
      <c r="UOU67"/>
      <c r="UOV67"/>
      <c r="UOW67"/>
      <c r="UOX67"/>
      <c r="UOY67"/>
      <c r="UOZ67"/>
      <c r="UPA67"/>
      <c r="UPB67"/>
      <c r="UPC67"/>
      <c r="UPD67"/>
      <c r="UPE67"/>
      <c r="UPF67"/>
      <c r="UPG67"/>
      <c r="UPH67"/>
      <c r="UPI67"/>
      <c r="UPJ67"/>
      <c r="UPK67"/>
      <c r="UPL67"/>
      <c r="UPM67"/>
      <c r="UPN67"/>
      <c r="UPO67"/>
      <c r="UPP67"/>
      <c r="UPQ67"/>
      <c r="UPR67"/>
      <c r="UPS67"/>
      <c r="UPT67"/>
      <c r="UPU67"/>
      <c r="UPV67"/>
      <c r="UPW67"/>
      <c r="UPX67"/>
      <c r="UPY67"/>
      <c r="UPZ67"/>
      <c r="UQA67"/>
      <c r="UQB67"/>
      <c r="UQC67"/>
      <c r="UQD67"/>
      <c r="UQE67"/>
      <c r="UQF67"/>
      <c r="UQG67"/>
      <c r="UQH67"/>
      <c r="UQI67"/>
      <c r="UQJ67"/>
      <c r="UQK67"/>
      <c r="UQL67"/>
      <c r="UQM67"/>
      <c r="UQN67"/>
      <c r="UQO67"/>
      <c r="UQP67"/>
      <c r="UQQ67"/>
      <c r="UQR67"/>
      <c r="UQS67"/>
      <c r="UQT67"/>
      <c r="UQU67"/>
      <c r="UQV67"/>
      <c r="UQW67"/>
      <c r="UQX67"/>
      <c r="UQY67"/>
      <c r="UQZ67"/>
      <c r="URA67"/>
      <c r="URB67"/>
      <c r="URC67"/>
      <c r="URD67"/>
      <c r="URE67"/>
      <c r="URF67"/>
      <c r="URG67"/>
      <c r="URH67"/>
      <c r="URI67"/>
      <c r="URJ67"/>
      <c r="URK67"/>
      <c r="URL67"/>
      <c r="URM67"/>
      <c r="URN67"/>
      <c r="URO67"/>
      <c r="URP67"/>
      <c r="URQ67"/>
      <c r="URR67"/>
      <c r="URS67"/>
      <c r="URT67"/>
      <c r="URU67"/>
      <c r="URV67"/>
      <c r="URW67"/>
      <c r="URX67"/>
      <c r="URY67"/>
      <c r="URZ67"/>
      <c r="USA67"/>
      <c r="USB67"/>
      <c r="USC67"/>
      <c r="USD67"/>
      <c r="USE67"/>
      <c r="USF67"/>
      <c r="USG67"/>
      <c r="USH67"/>
      <c r="USI67"/>
      <c r="USJ67"/>
      <c r="USK67"/>
      <c r="USL67"/>
      <c r="USM67"/>
      <c r="USN67"/>
      <c r="USO67"/>
      <c r="USP67"/>
      <c r="USQ67"/>
      <c r="USR67"/>
      <c r="USS67"/>
      <c r="UST67"/>
      <c r="USU67"/>
      <c r="USV67"/>
      <c r="USW67"/>
      <c r="USX67"/>
      <c r="USY67"/>
      <c r="USZ67"/>
      <c r="UTA67"/>
      <c r="UTB67"/>
      <c r="UTC67"/>
      <c r="UTD67"/>
      <c r="UTE67"/>
      <c r="UTF67"/>
      <c r="UTG67"/>
      <c r="UTH67"/>
      <c r="UTI67"/>
      <c r="UTJ67"/>
      <c r="UTK67"/>
      <c r="UTL67"/>
      <c r="UTM67"/>
      <c r="UTN67"/>
      <c r="UTO67"/>
      <c r="UTP67"/>
      <c r="UTQ67"/>
      <c r="UTR67"/>
      <c r="UTS67"/>
      <c r="UTT67"/>
      <c r="UTU67"/>
      <c r="UTV67"/>
      <c r="UTW67"/>
      <c r="UTX67"/>
      <c r="UTY67"/>
      <c r="UTZ67"/>
      <c r="UUA67"/>
      <c r="UUB67"/>
      <c r="UUC67"/>
      <c r="UUD67"/>
      <c r="UUE67"/>
      <c r="UUF67"/>
      <c r="UUG67"/>
      <c r="UUH67"/>
      <c r="UUI67"/>
      <c r="UUJ67"/>
      <c r="UUK67"/>
      <c r="UUL67"/>
      <c r="UUM67"/>
      <c r="UUN67"/>
      <c r="UUO67"/>
      <c r="UUP67"/>
      <c r="UUQ67"/>
      <c r="UUR67"/>
      <c r="UUS67"/>
      <c r="UUT67"/>
      <c r="UUU67"/>
      <c r="UUV67"/>
      <c r="UUW67"/>
      <c r="UUX67"/>
      <c r="UUY67"/>
      <c r="UUZ67"/>
      <c r="UVA67"/>
      <c r="UVB67"/>
      <c r="UVC67"/>
      <c r="UVD67"/>
      <c r="UVE67"/>
      <c r="UVF67"/>
      <c r="UVG67"/>
      <c r="UVH67"/>
      <c r="UVI67"/>
      <c r="UVJ67"/>
      <c r="UVK67"/>
      <c r="UVL67"/>
      <c r="UVM67"/>
      <c r="UVN67"/>
      <c r="UVO67"/>
      <c r="UVP67"/>
      <c r="UVQ67"/>
      <c r="UVR67"/>
      <c r="UVS67"/>
      <c r="UVT67"/>
      <c r="UVU67"/>
      <c r="UVV67"/>
      <c r="UVW67"/>
      <c r="UVX67"/>
      <c r="UVY67"/>
      <c r="UVZ67"/>
      <c r="UWA67"/>
      <c r="UWB67"/>
      <c r="UWC67"/>
      <c r="UWD67"/>
      <c r="UWE67"/>
      <c r="UWF67"/>
      <c r="UWG67"/>
      <c r="UWH67"/>
      <c r="UWI67"/>
      <c r="UWJ67"/>
      <c r="UWK67"/>
      <c r="UWL67"/>
      <c r="UWM67"/>
      <c r="UWN67"/>
      <c r="UWO67"/>
      <c r="UWP67"/>
      <c r="UWQ67"/>
      <c r="UWR67"/>
      <c r="UWS67"/>
      <c r="UWT67"/>
      <c r="UWU67"/>
      <c r="UWV67"/>
      <c r="UWW67"/>
      <c r="UWX67"/>
      <c r="UWY67"/>
      <c r="UWZ67"/>
      <c r="UXA67"/>
      <c r="UXB67"/>
      <c r="UXC67"/>
      <c r="UXD67"/>
      <c r="UXE67"/>
      <c r="UXF67"/>
      <c r="UXG67"/>
      <c r="UXH67"/>
      <c r="UXI67"/>
      <c r="UXJ67"/>
      <c r="UXK67"/>
      <c r="UXL67"/>
      <c r="UXM67"/>
      <c r="UXN67"/>
      <c r="UXO67"/>
      <c r="UXP67"/>
      <c r="UXQ67"/>
      <c r="UXR67"/>
      <c r="UXS67"/>
      <c r="UXT67"/>
      <c r="UXU67"/>
      <c r="UXV67"/>
      <c r="UXW67"/>
      <c r="UXX67"/>
      <c r="UXY67"/>
      <c r="UXZ67"/>
      <c r="UYA67"/>
      <c r="UYB67"/>
      <c r="UYC67"/>
      <c r="UYD67"/>
      <c r="UYE67"/>
      <c r="UYF67"/>
      <c r="UYG67"/>
      <c r="UYH67"/>
      <c r="UYI67"/>
      <c r="UYJ67"/>
      <c r="UYK67"/>
      <c r="UYL67"/>
      <c r="UYM67"/>
      <c r="UYN67"/>
      <c r="UYO67"/>
      <c r="UYP67"/>
      <c r="UYQ67"/>
      <c r="UYR67"/>
      <c r="UYS67"/>
      <c r="UYT67"/>
      <c r="UYU67"/>
      <c r="UYV67"/>
      <c r="UYW67"/>
      <c r="UYX67"/>
      <c r="UYY67"/>
      <c r="UYZ67"/>
      <c r="UZA67"/>
      <c r="UZB67"/>
      <c r="UZC67"/>
      <c r="UZD67"/>
      <c r="UZE67"/>
      <c r="UZF67"/>
      <c r="UZG67"/>
      <c r="UZH67"/>
      <c r="UZI67"/>
      <c r="UZJ67"/>
      <c r="UZK67"/>
      <c r="UZL67"/>
      <c r="UZM67"/>
      <c r="UZN67"/>
      <c r="UZO67"/>
      <c r="UZP67"/>
      <c r="UZQ67"/>
      <c r="UZR67"/>
      <c r="UZS67"/>
      <c r="UZT67"/>
      <c r="UZU67"/>
      <c r="UZV67"/>
      <c r="UZW67"/>
      <c r="UZX67"/>
      <c r="UZY67"/>
      <c r="UZZ67"/>
      <c r="VAA67"/>
      <c r="VAB67"/>
      <c r="VAC67"/>
      <c r="VAD67"/>
      <c r="VAE67"/>
      <c r="VAF67"/>
      <c r="VAG67"/>
      <c r="VAH67"/>
      <c r="VAI67"/>
      <c r="VAJ67"/>
      <c r="VAK67"/>
      <c r="VAL67"/>
      <c r="VAM67"/>
      <c r="VAN67"/>
      <c r="VAO67"/>
      <c r="VAP67"/>
      <c r="VAQ67"/>
      <c r="VAR67"/>
      <c r="VAS67"/>
      <c r="VAT67"/>
      <c r="VAU67"/>
      <c r="VAV67"/>
      <c r="VAW67"/>
      <c r="VAX67"/>
      <c r="VAY67"/>
      <c r="VAZ67"/>
      <c r="VBA67"/>
      <c r="VBB67"/>
      <c r="VBC67"/>
      <c r="VBD67"/>
      <c r="VBE67"/>
      <c r="VBF67"/>
      <c r="VBG67"/>
      <c r="VBH67"/>
      <c r="VBI67"/>
      <c r="VBJ67"/>
      <c r="VBK67"/>
      <c r="VBL67"/>
      <c r="VBM67"/>
      <c r="VBN67"/>
      <c r="VBO67"/>
      <c r="VBP67"/>
      <c r="VBQ67"/>
      <c r="VBR67"/>
      <c r="VBS67"/>
      <c r="VBT67"/>
      <c r="VBU67"/>
      <c r="VBV67"/>
      <c r="VBW67"/>
      <c r="VBX67"/>
      <c r="VBY67"/>
      <c r="VBZ67"/>
      <c r="VCA67"/>
      <c r="VCB67"/>
      <c r="VCC67"/>
      <c r="VCD67"/>
      <c r="VCE67"/>
      <c r="VCF67"/>
      <c r="VCG67"/>
      <c r="VCH67"/>
      <c r="VCI67"/>
      <c r="VCJ67"/>
      <c r="VCK67"/>
      <c r="VCL67"/>
      <c r="VCM67"/>
      <c r="VCN67"/>
      <c r="VCO67"/>
      <c r="VCP67"/>
      <c r="VCQ67"/>
      <c r="VCR67"/>
      <c r="VCS67"/>
      <c r="VCT67"/>
      <c r="VCU67"/>
      <c r="VCV67"/>
      <c r="VCW67"/>
      <c r="VCX67"/>
      <c r="VCY67"/>
      <c r="VCZ67"/>
      <c r="VDA67"/>
      <c r="VDB67"/>
      <c r="VDC67"/>
      <c r="VDD67"/>
      <c r="VDE67"/>
      <c r="VDF67"/>
      <c r="VDG67"/>
      <c r="VDH67"/>
      <c r="VDI67"/>
      <c r="VDJ67"/>
      <c r="VDK67"/>
      <c r="VDL67"/>
      <c r="VDM67"/>
      <c r="VDN67"/>
      <c r="VDO67"/>
      <c r="VDP67"/>
      <c r="VDQ67"/>
      <c r="VDR67"/>
      <c r="VDS67"/>
      <c r="VDT67"/>
      <c r="VDU67"/>
      <c r="VDV67"/>
      <c r="VDW67"/>
      <c r="VDX67"/>
      <c r="VDY67"/>
      <c r="VDZ67"/>
      <c r="VEA67"/>
      <c r="VEB67"/>
      <c r="VEC67"/>
      <c r="VED67"/>
      <c r="VEE67"/>
      <c r="VEF67"/>
      <c r="VEG67"/>
      <c r="VEH67"/>
      <c r="VEI67"/>
      <c r="VEJ67"/>
      <c r="VEK67"/>
      <c r="VEL67"/>
      <c r="VEM67"/>
      <c r="VEN67"/>
      <c r="VEO67"/>
      <c r="VEP67"/>
      <c r="VEQ67"/>
      <c r="VER67"/>
      <c r="VES67"/>
      <c r="VET67"/>
      <c r="VEU67"/>
      <c r="VEV67"/>
      <c r="VEW67"/>
      <c r="VEX67"/>
      <c r="VEY67"/>
      <c r="VEZ67"/>
      <c r="VFA67"/>
      <c r="VFB67"/>
      <c r="VFC67"/>
      <c r="VFD67"/>
      <c r="VFE67"/>
      <c r="VFF67"/>
      <c r="VFG67"/>
      <c r="VFH67"/>
      <c r="VFI67"/>
      <c r="VFJ67"/>
      <c r="VFK67"/>
      <c r="VFL67"/>
      <c r="VFM67"/>
      <c r="VFN67"/>
      <c r="VFO67"/>
      <c r="VFP67"/>
      <c r="VFQ67"/>
      <c r="VFR67"/>
      <c r="VFS67"/>
      <c r="VFT67"/>
      <c r="VFU67"/>
      <c r="VFV67"/>
      <c r="VFW67"/>
      <c r="VFX67"/>
      <c r="VFY67"/>
      <c r="VFZ67"/>
      <c r="VGA67"/>
      <c r="VGB67"/>
      <c r="VGC67"/>
      <c r="VGD67"/>
      <c r="VGE67"/>
      <c r="VGF67"/>
      <c r="VGG67"/>
      <c r="VGH67"/>
      <c r="VGI67"/>
      <c r="VGJ67"/>
      <c r="VGK67"/>
      <c r="VGL67"/>
      <c r="VGM67"/>
      <c r="VGN67"/>
      <c r="VGO67"/>
      <c r="VGP67"/>
      <c r="VGQ67"/>
      <c r="VGR67"/>
      <c r="VGS67"/>
      <c r="VGT67"/>
      <c r="VGU67"/>
      <c r="VGV67"/>
      <c r="VGW67"/>
      <c r="VGX67"/>
      <c r="VGY67"/>
      <c r="VGZ67"/>
      <c r="VHA67"/>
      <c r="VHB67"/>
      <c r="VHC67"/>
      <c r="VHD67"/>
      <c r="VHE67"/>
      <c r="VHF67"/>
      <c r="VHG67"/>
      <c r="VHH67"/>
      <c r="VHI67"/>
      <c r="VHJ67"/>
      <c r="VHK67"/>
      <c r="VHL67"/>
      <c r="VHM67"/>
      <c r="VHN67"/>
      <c r="VHO67"/>
      <c r="VHP67"/>
      <c r="VHQ67"/>
      <c r="VHR67"/>
      <c r="VHS67"/>
      <c r="VHT67"/>
      <c r="VHU67"/>
      <c r="VHV67"/>
      <c r="VHW67"/>
      <c r="VHX67"/>
      <c r="VHY67"/>
      <c r="VHZ67"/>
      <c r="VIA67"/>
      <c r="VIB67"/>
      <c r="VIC67"/>
      <c r="VID67"/>
      <c r="VIE67"/>
      <c r="VIF67"/>
      <c r="VIG67"/>
      <c r="VIH67"/>
      <c r="VII67"/>
      <c r="VIJ67"/>
      <c r="VIK67"/>
      <c r="VIL67"/>
      <c r="VIM67"/>
      <c r="VIN67"/>
      <c r="VIO67"/>
      <c r="VIP67"/>
      <c r="VIQ67"/>
      <c r="VIR67"/>
      <c r="VIS67"/>
      <c r="VIT67"/>
      <c r="VIU67"/>
      <c r="VIV67"/>
      <c r="VIW67"/>
      <c r="VIX67"/>
      <c r="VIY67"/>
      <c r="VIZ67"/>
      <c r="VJA67"/>
      <c r="VJB67"/>
      <c r="VJC67"/>
      <c r="VJD67"/>
      <c r="VJE67"/>
      <c r="VJF67"/>
      <c r="VJG67"/>
      <c r="VJH67"/>
      <c r="VJI67"/>
      <c r="VJJ67"/>
      <c r="VJK67"/>
      <c r="VJL67"/>
      <c r="VJM67"/>
      <c r="VJN67"/>
      <c r="VJO67"/>
      <c r="VJP67"/>
      <c r="VJQ67"/>
      <c r="VJR67"/>
      <c r="VJS67"/>
      <c r="VJT67"/>
      <c r="VJU67"/>
      <c r="VJV67"/>
      <c r="VJW67"/>
      <c r="VJX67"/>
      <c r="VJY67"/>
      <c r="VJZ67"/>
      <c r="VKA67"/>
      <c r="VKB67"/>
      <c r="VKC67"/>
      <c r="VKD67"/>
      <c r="VKE67"/>
      <c r="VKF67"/>
      <c r="VKG67"/>
      <c r="VKH67"/>
      <c r="VKI67"/>
      <c r="VKJ67"/>
      <c r="VKK67"/>
      <c r="VKL67"/>
      <c r="VKM67"/>
      <c r="VKN67"/>
      <c r="VKO67"/>
      <c r="VKP67"/>
      <c r="VKQ67"/>
      <c r="VKR67"/>
      <c r="VKS67"/>
      <c r="VKT67"/>
      <c r="VKU67"/>
      <c r="VKV67"/>
      <c r="VKW67"/>
      <c r="VKX67"/>
      <c r="VKY67"/>
      <c r="VKZ67"/>
      <c r="VLA67"/>
      <c r="VLB67"/>
      <c r="VLC67"/>
      <c r="VLD67"/>
      <c r="VLE67"/>
      <c r="VLF67"/>
      <c r="VLG67"/>
      <c r="VLH67"/>
      <c r="VLI67"/>
      <c r="VLJ67"/>
      <c r="VLK67"/>
      <c r="VLL67"/>
      <c r="VLM67"/>
      <c r="VLN67"/>
      <c r="VLO67"/>
      <c r="VLP67"/>
      <c r="VLQ67"/>
      <c r="VLR67"/>
      <c r="VLS67"/>
      <c r="VLT67"/>
      <c r="VLU67"/>
      <c r="VLV67"/>
      <c r="VLW67"/>
      <c r="VLX67"/>
      <c r="VLY67"/>
      <c r="VLZ67"/>
      <c r="VMA67"/>
      <c r="VMB67"/>
      <c r="VMC67"/>
      <c r="VMD67"/>
      <c r="VME67"/>
      <c r="VMF67"/>
      <c r="VMG67"/>
      <c r="VMH67"/>
      <c r="VMI67"/>
      <c r="VMJ67"/>
      <c r="VMK67"/>
      <c r="VML67"/>
      <c r="VMM67"/>
      <c r="VMN67"/>
      <c r="VMO67"/>
      <c r="VMP67"/>
      <c r="VMQ67"/>
      <c r="VMR67"/>
      <c r="VMS67"/>
      <c r="VMT67"/>
      <c r="VMU67"/>
      <c r="VMV67"/>
      <c r="VMW67"/>
      <c r="VMX67"/>
      <c r="VMY67"/>
      <c r="VMZ67"/>
      <c r="VNA67"/>
      <c r="VNB67"/>
      <c r="VNC67"/>
      <c r="VND67"/>
      <c r="VNE67"/>
      <c r="VNF67"/>
      <c r="VNG67"/>
      <c r="VNH67"/>
      <c r="VNI67"/>
      <c r="VNJ67"/>
      <c r="VNK67"/>
      <c r="VNL67"/>
      <c r="VNM67"/>
      <c r="VNN67"/>
      <c r="VNO67"/>
      <c r="VNP67"/>
      <c r="VNQ67"/>
      <c r="VNR67"/>
      <c r="VNS67"/>
      <c r="VNT67"/>
      <c r="VNU67"/>
      <c r="VNV67"/>
      <c r="VNW67"/>
      <c r="VNX67"/>
      <c r="VNY67"/>
      <c r="VNZ67"/>
      <c r="VOA67"/>
      <c r="VOB67"/>
      <c r="VOC67"/>
      <c r="VOD67"/>
      <c r="VOE67"/>
      <c r="VOF67"/>
      <c r="VOG67"/>
      <c r="VOH67"/>
      <c r="VOI67"/>
      <c r="VOJ67"/>
      <c r="VOK67"/>
      <c r="VOL67"/>
      <c r="VOM67"/>
      <c r="VON67"/>
      <c r="VOO67"/>
      <c r="VOP67"/>
      <c r="VOQ67"/>
      <c r="VOR67"/>
      <c r="VOS67"/>
      <c r="VOT67"/>
      <c r="VOU67"/>
      <c r="VOV67"/>
      <c r="VOW67"/>
      <c r="VOX67"/>
      <c r="VOY67"/>
      <c r="VOZ67"/>
      <c r="VPA67"/>
      <c r="VPB67"/>
      <c r="VPC67"/>
      <c r="VPD67"/>
      <c r="VPE67"/>
      <c r="VPF67"/>
      <c r="VPG67"/>
      <c r="VPH67"/>
      <c r="VPI67"/>
      <c r="VPJ67"/>
      <c r="VPK67"/>
      <c r="VPL67"/>
      <c r="VPM67"/>
      <c r="VPN67"/>
      <c r="VPO67"/>
      <c r="VPP67"/>
      <c r="VPQ67"/>
      <c r="VPR67"/>
      <c r="VPS67"/>
      <c r="VPT67"/>
      <c r="VPU67"/>
      <c r="VPV67"/>
      <c r="VPW67"/>
      <c r="VPX67"/>
      <c r="VPY67"/>
      <c r="VPZ67"/>
      <c r="VQA67"/>
      <c r="VQB67"/>
      <c r="VQC67"/>
      <c r="VQD67"/>
      <c r="VQE67"/>
      <c r="VQF67"/>
      <c r="VQG67"/>
      <c r="VQH67"/>
      <c r="VQI67"/>
      <c r="VQJ67"/>
      <c r="VQK67"/>
      <c r="VQL67"/>
      <c r="VQM67"/>
      <c r="VQN67"/>
      <c r="VQO67"/>
      <c r="VQP67"/>
      <c r="VQQ67"/>
      <c r="VQR67"/>
      <c r="VQS67"/>
      <c r="VQT67"/>
      <c r="VQU67"/>
      <c r="VQV67"/>
      <c r="VQW67"/>
      <c r="VQX67"/>
      <c r="VQY67"/>
      <c r="VQZ67"/>
      <c r="VRA67"/>
      <c r="VRB67"/>
      <c r="VRC67"/>
      <c r="VRD67"/>
      <c r="VRE67"/>
      <c r="VRF67"/>
      <c r="VRG67"/>
      <c r="VRH67"/>
      <c r="VRI67"/>
      <c r="VRJ67"/>
      <c r="VRK67"/>
      <c r="VRL67"/>
      <c r="VRM67"/>
      <c r="VRN67"/>
      <c r="VRO67"/>
      <c r="VRP67"/>
      <c r="VRQ67"/>
      <c r="VRR67"/>
      <c r="VRS67"/>
      <c r="VRT67"/>
      <c r="VRU67"/>
      <c r="VRV67"/>
      <c r="VRW67"/>
      <c r="VRX67"/>
      <c r="VRY67"/>
      <c r="VRZ67"/>
      <c r="VSA67"/>
      <c r="VSB67"/>
      <c r="VSC67"/>
      <c r="VSD67"/>
      <c r="VSE67"/>
      <c r="VSF67"/>
      <c r="VSG67"/>
      <c r="VSH67"/>
      <c r="VSI67"/>
      <c r="VSJ67"/>
      <c r="VSK67"/>
      <c r="VSL67"/>
      <c r="VSM67"/>
      <c r="VSN67"/>
      <c r="VSO67"/>
      <c r="VSP67"/>
      <c r="VSQ67"/>
      <c r="VSR67"/>
      <c r="VSS67"/>
      <c r="VST67"/>
      <c r="VSU67"/>
      <c r="VSV67"/>
      <c r="VSW67"/>
      <c r="VSX67"/>
      <c r="VSY67"/>
      <c r="VSZ67"/>
      <c r="VTA67"/>
      <c r="VTB67"/>
      <c r="VTC67"/>
      <c r="VTD67"/>
      <c r="VTE67"/>
      <c r="VTF67"/>
      <c r="VTG67"/>
      <c r="VTH67"/>
      <c r="VTI67"/>
      <c r="VTJ67"/>
      <c r="VTK67"/>
      <c r="VTL67"/>
      <c r="VTM67"/>
      <c r="VTN67"/>
      <c r="VTO67"/>
      <c r="VTP67"/>
      <c r="VTQ67"/>
      <c r="VTR67"/>
      <c r="VTS67"/>
      <c r="VTT67"/>
      <c r="VTU67"/>
      <c r="VTV67"/>
      <c r="VTW67"/>
      <c r="VTX67"/>
      <c r="VTY67"/>
      <c r="VTZ67"/>
      <c r="VUA67"/>
      <c r="VUB67"/>
      <c r="VUC67"/>
      <c r="VUD67"/>
      <c r="VUE67"/>
      <c r="VUF67"/>
      <c r="VUG67"/>
      <c r="VUH67"/>
      <c r="VUI67"/>
      <c r="VUJ67"/>
      <c r="VUK67"/>
      <c r="VUL67"/>
      <c r="VUM67"/>
      <c r="VUN67"/>
      <c r="VUO67"/>
      <c r="VUP67"/>
      <c r="VUQ67"/>
      <c r="VUR67"/>
      <c r="VUS67"/>
      <c r="VUT67"/>
      <c r="VUU67"/>
      <c r="VUV67"/>
      <c r="VUW67"/>
      <c r="VUX67"/>
      <c r="VUY67"/>
      <c r="VUZ67"/>
      <c r="VVA67"/>
      <c r="VVB67"/>
      <c r="VVC67"/>
      <c r="VVD67"/>
      <c r="VVE67"/>
      <c r="VVF67"/>
      <c r="VVG67"/>
      <c r="VVH67"/>
      <c r="VVI67"/>
      <c r="VVJ67"/>
      <c r="VVK67"/>
      <c r="VVL67"/>
      <c r="VVM67"/>
      <c r="VVN67"/>
      <c r="VVO67"/>
      <c r="VVP67"/>
      <c r="VVQ67"/>
      <c r="VVR67"/>
      <c r="VVS67"/>
      <c r="VVT67"/>
      <c r="VVU67"/>
      <c r="VVV67"/>
      <c r="VVW67"/>
      <c r="VVX67"/>
      <c r="VVY67"/>
      <c r="VVZ67"/>
      <c r="VWA67"/>
      <c r="VWB67"/>
      <c r="VWC67"/>
      <c r="VWD67"/>
      <c r="VWE67"/>
      <c r="VWF67"/>
      <c r="VWG67"/>
      <c r="VWH67"/>
      <c r="VWI67"/>
      <c r="VWJ67"/>
      <c r="VWK67"/>
      <c r="VWL67"/>
      <c r="VWM67"/>
      <c r="VWN67"/>
      <c r="VWO67"/>
      <c r="VWP67"/>
      <c r="VWQ67"/>
      <c r="VWR67"/>
      <c r="VWS67"/>
      <c r="VWT67"/>
      <c r="VWU67"/>
      <c r="VWV67"/>
      <c r="VWW67"/>
      <c r="VWX67"/>
      <c r="VWY67"/>
      <c r="VWZ67"/>
      <c r="VXA67"/>
      <c r="VXB67"/>
      <c r="VXC67"/>
      <c r="VXD67"/>
      <c r="VXE67"/>
      <c r="VXF67"/>
      <c r="VXG67"/>
      <c r="VXH67"/>
      <c r="VXI67"/>
      <c r="VXJ67"/>
      <c r="VXK67"/>
      <c r="VXL67"/>
      <c r="VXM67"/>
      <c r="VXN67"/>
      <c r="VXO67"/>
      <c r="VXP67"/>
      <c r="VXQ67"/>
      <c r="VXR67"/>
      <c r="VXS67"/>
      <c r="VXT67"/>
      <c r="VXU67"/>
      <c r="VXV67"/>
      <c r="VXW67"/>
      <c r="VXX67"/>
      <c r="VXY67"/>
      <c r="VXZ67"/>
      <c r="VYA67"/>
      <c r="VYB67"/>
      <c r="VYC67"/>
      <c r="VYD67"/>
      <c r="VYE67"/>
      <c r="VYF67"/>
      <c r="VYG67"/>
      <c r="VYH67"/>
      <c r="VYI67"/>
      <c r="VYJ67"/>
      <c r="VYK67"/>
      <c r="VYL67"/>
      <c r="VYM67"/>
      <c r="VYN67"/>
      <c r="VYO67"/>
      <c r="VYP67"/>
      <c r="VYQ67"/>
      <c r="VYR67"/>
      <c r="VYS67"/>
      <c r="VYT67"/>
      <c r="VYU67"/>
      <c r="VYV67"/>
      <c r="VYW67"/>
      <c r="VYX67"/>
      <c r="VYY67"/>
      <c r="VYZ67"/>
      <c r="VZA67"/>
      <c r="VZB67"/>
      <c r="VZC67"/>
      <c r="VZD67"/>
      <c r="VZE67"/>
      <c r="VZF67"/>
      <c r="VZG67"/>
      <c r="VZH67"/>
      <c r="VZI67"/>
      <c r="VZJ67"/>
      <c r="VZK67"/>
      <c r="VZL67"/>
      <c r="VZM67"/>
      <c r="VZN67"/>
      <c r="VZO67"/>
      <c r="VZP67"/>
      <c r="VZQ67"/>
      <c r="VZR67"/>
      <c r="VZS67"/>
      <c r="VZT67"/>
      <c r="VZU67"/>
      <c r="VZV67"/>
      <c r="VZW67"/>
      <c r="VZX67"/>
      <c r="VZY67"/>
      <c r="VZZ67"/>
      <c r="WAA67"/>
      <c r="WAB67"/>
      <c r="WAC67"/>
      <c r="WAD67"/>
      <c r="WAE67"/>
      <c r="WAF67"/>
      <c r="WAG67"/>
      <c r="WAH67"/>
      <c r="WAI67"/>
      <c r="WAJ67"/>
      <c r="WAK67"/>
      <c r="WAL67"/>
      <c r="WAM67"/>
      <c r="WAN67"/>
      <c r="WAO67"/>
      <c r="WAP67"/>
      <c r="WAQ67"/>
      <c r="WAR67"/>
      <c r="WAS67"/>
      <c r="WAT67"/>
      <c r="WAU67"/>
      <c r="WAV67"/>
      <c r="WAW67"/>
      <c r="WAX67"/>
      <c r="WAY67"/>
      <c r="WAZ67"/>
      <c r="WBA67"/>
      <c r="WBB67"/>
      <c r="WBC67"/>
      <c r="WBD67"/>
      <c r="WBE67"/>
      <c r="WBF67"/>
      <c r="WBG67"/>
      <c r="WBH67"/>
      <c r="WBI67"/>
      <c r="WBJ67"/>
      <c r="WBK67"/>
      <c r="WBL67"/>
      <c r="WBM67"/>
      <c r="WBN67"/>
      <c r="WBO67"/>
      <c r="WBP67"/>
      <c r="WBQ67"/>
      <c r="WBR67"/>
      <c r="WBS67"/>
      <c r="WBT67"/>
      <c r="WBU67"/>
      <c r="WBV67"/>
      <c r="WBW67"/>
      <c r="WBX67"/>
      <c r="WBY67"/>
      <c r="WBZ67"/>
      <c r="WCA67"/>
      <c r="WCB67"/>
      <c r="WCC67"/>
      <c r="WCD67"/>
      <c r="WCE67"/>
      <c r="WCF67"/>
      <c r="WCG67"/>
      <c r="WCH67"/>
      <c r="WCI67"/>
      <c r="WCJ67"/>
      <c r="WCK67"/>
      <c r="WCL67"/>
      <c r="WCM67"/>
      <c r="WCN67"/>
      <c r="WCO67"/>
      <c r="WCP67"/>
      <c r="WCQ67"/>
      <c r="WCR67"/>
      <c r="WCS67"/>
      <c r="WCT67"/>
      <c r="WCU67"/>
      <c r="WCV67"/>
      <c r="WCW67"/>
      <c r="WCX67"/>
      <c r="WCY67"/>
      <c r="WCZ67"/>
      <c r="WDA67"/>
      <c r="WDB67"/>
      <c r="WDC67"/>
      <c r="WDD67"/>
      <c r="WDE67"/>
      <c r="WDF67"/>
      <c r="WDG67"/>
      <c r="WDH67"/>
      <c r="WDI67"/>
      <c r="WDJ67"/>
      <c r="WDK67"/>
      <c r="WDL67"/>
      <c r="WDM67"/>
      <c r="WDN67"/>
      <c r="WDO67"/>
      <c r="WDP67"/>
      <c r="WDQ67"/>
      <c r="WDR67"/>
      <c r="WDS67"/>
      <c r="WDT67"/>
      <c r="WDU67"/>
      <c r="WDV67"/>
      <c r="WDW67"/>
      <c r="WDX67"/>
      <c r="WDY67"/>
      <c r="WDZ67"/>
      <c r="WEA67"/>
      <c r="WEB67"/>
      <c r="WEC67"/>
      <c r="WED67"/>
      <c r="WEE67"/>
      <c r="WEF67"/>
      <c r="WEG67"/>
      <c r="WEH67"/>
      <c r="WEI67"/>
      <c r="WEJ67"/>
      <c r="WEK67"/>
      <c r="WEL67"/>
      <c r="WEM67"/>
      <c r="WEN67"/>
      <c r="WEO67"/>
      <c r="WEP67"/>
      <c r="WEQ67"/>
      <c r="WER67"/>
      <c r="WES67"/>
      <c r="WET67"/>
      <c r="WEU67"/>
      <c r="WEV67"/>
      <c r="WEW67"/>
      <c r="WEX67"/>
      <c r="WEY67"/>
      <c r="WEZ67"/>
      <c r="WFA67"/>
      <c r="WFB67"/>
      <c r="WFC67"/>
      <c r="WFD67"/>
      <c r="WFE67"/>
      <c r="WFF67"/>
      <c r="WFG67"/>
      <c r="WFH67"/>
      <c r="WFI67"/>
      <c r="WFJ67"/>
      <c r="WFK67"/>
      <c r="WFL67"/>
      <c r="WFM67"/>
      <c r="WFN67"/>
      <c r="WFO67"/>
      <c r="WFP67"/>
      <c r="WFQ67"/>
      <c r="WFR67"/>
      <c r="WFS67"/>
      <c r="WFT67"/>
      <c r="WFU67"/>
      <c r="WFV67"/>
      <c r="WFW67"/>
      <c r="WFX67"/>
      <c r="WFY67"/>
      <c r="WFZ67"/>
      <c r="WGA67"/>
      <c r="WGB67"/>
      <c r="WGC67"/>
      <c r="WGD67"/>
      <c r="WGE67"/>
      <c r="WGF67"/>
      <c r="WGG67"/>
      <c r="WGH67"/>
      <c r="WGI67"/>
      <c r="WGJ67"/>
      <c r="WGK67"/>
      <c r="WGL67"/>
      <c r="WGM67"/>
      <c r="WGN67"/>
      <c r="WGO67"/>
      <c r="WGP67"/>
      <c r="WGQ67"/>
      <c r="WGR67"/>
      <c r="WGS67"/>
      <c r="WGT67"/>
      <c r="WGU67"/>
      <c r="WGV67"/>
      <c r="WGW67"/>
      <c r="WGX67"/>
      <c r="WGY67"/>
      <c r="WGZ67"/>
      <c r="WHA67"/>
      <c r="WHB67"/>
      <c r="WHC67"/>
      <c r="WHD67"/>
      <c r="WHE67"/>
      <c r="WHF67"/>
      <c r="WHG67"/>
      <c r="WHH67"/>
      <c r="WHI67"/>
      <c r="WHJ67"/>
      <c r="WHK67"/>
      <c r="WHL67"/>
      <c r="WHM67"/>
      <c r="WHN67"/>
      <c r="WHO67"/>
      <c r="WHP67"/>
      <c r="WHQ67"/>
      <c r="WHR67"/>
      <c r="WHS67"/>
      <c r="WHT67"/>
      <c r="WHU67"/>
      <c r="WHV67"/>
      <c r="WHW67"/>
      <c r="WHX67"/>
      <c r="WHY67"/>
      <c r="WHZ67"/>
      <c r="WIA67"/>
      <c r="WIB67"/>
      <c r="WIC67"/>
      <c r="WID67"/>
      <c r="WIE67"/>
      <c r="WIF67"/>
      <c r="WIG67"/>
      <c r="WIH67"/>
      <c r="WII67"/>
      <c r="WIJ67"/>
      <c r="WIK67"/>
      <c r="WIL67"/>
      <c r="WIM67"/>
      <c r="WIN67"/>
      <c r="WIO67"/>
      <c r="WIP67"/>
      <c r="WIQ67"/>
      <c r="WIR67"/>
      <c r="WIS67"/>
      <c r="WIT67"/>
      <c r="WIU67"/>
      <c r="WIV67"/>
      <c r="WIW67"/>
      <c r="WIX67"/>
      <c r="WIY67"/>
      <c r="WIZ67"/>
      <c r="WJA67"/>
      <c r="WJB67"/>
      <c r="WJC67"/>
      <c r="WJD67"/>
      <c r="WJE67"/>
      <c r="WJF67"/>
      <c r="WJG67"/>
      <c r="WJH67"/>
      <c r="WJI67"/>
      <c r="WJJ67"/>
      <c r="WJK67"/>
      <c r="WJL67"/>
      <c r="WJM67"/>
      <c r="WJN67"/>
      <c r="WJO67"/>
      <c r="WJP67"/>
      <c r="WJQ67"/>
      <c r="WJR67"/>
      <c r="WJS67"/>
      <c r="WJT67"/>
      <c r="WJU67"/>
      <c r="WJV67"/>
      <c r="WJW67"/>
      <c r="WJX67"/>
      <c r="WJY67"/>
      <c r="WJZ67"/>
      <c r="WKA67"/>
      <c r="WKB67"/>
      <c r="WKC67"/>
      <c r="WKD67"/>
      <c r="WKE67"/>
      <c r="WKF67"/>
      <c r="WKG67"/>
      <c r="WKH67"/>
      <c r="WKI67"/>
      <c r="WKJ67"/>
      <c r="WKK67"/>
      <c r="WKL67"/>
      <c r="WKM67"/>
      <c r="WKN67"/>
      <c r="WKO67"/>
      <c r="WKP67"/>
      <c r="WKQ67"/>
      <c r="WKR67"/>
      <c r="WKS67"/>
      <c r="WKT67"/>
      <c r="WKU67"/>
      <c r="WKV67"/>
      <c r="WKW67"/>
      <c r="WKX67"/>
      <c r="WKY67"/>
      <c r="WKZ67"/>
      <c r="WLA67"/>
      <c r="WLB67"/>
      <c r="WLC67"/>
      <c r="WLD67"/>
      <c r="WLE67"/>
      <c r="WLF67"/>
      <c r="WLG67"/>
      <c r="WLH67"/>
      <c r="WLI67"/>
      <c r="WLJ67"/>
      <c r="WLK67"/>
      <c r="WLL67"/>
      <c r="WLM67"/>
      <c r="WLN67"/>
      <c r="WLO67"/>
      <c r="WLP67"/>
      <c r="WLQ67"/>
      <c r="WLR67"/>
      <c r="WLS67"/>
      <c r="WLT67"/>
      <c r="WLU67"/>
      <c r="WLV67"/>
      <c r="WLW67"/>
      <c r="WLX67"/>
      <c r="WLY67"/>
      <c r="WLZ67"/>
      <c r="WMA67"/>
      <c r="WMB67"/>
      <c r="WMC67"/>
      <c r="WMD67"/>
      <c r="WME67"/>
      <c r="WMF67"/>
      <c r="WMG67"/>
      <c r="WMH67"/>
      <c r="WMI67"/>
      <c r="WMJ67"/>
      <c r="WMK67"/>
      <c r="WML67"/>
      <c r="WMM67"/>
      <c r="WMN67"/>
      <c r="WMO67"/>
      <c r="WMP67"/>
      <c r="WMQ67"/>
      <c r="WMR67"/>
      <c r="WMS67"/>
      <c r="WMT67"/>
      <c r="WMU67"/>
      <c r="WMV67"/>
      <c r="WMW67"/>
      <c r="WMX67"/>
      <c r="WMY67"/>
      <c r="WMZ67"/>
      <c r="WNA67"/>
      <c r="WNB67"/>
      <c r="WNC67"/>
      <c r="WND67"/>
      <c r="WNE67"/>
      <c r="WNF67"/>
      <c r="WNG67"/>
      <c r="WNH67"/>
      <c r="WNI67"/>
      <c r="WNJ67"/>
      <c r="WNK67"/>
      <c r="WNL67"/>
      <c r="WNM67"/>
      <c r="WNN67"/>
      <c r="WNO67"/>
      <c r="WNP67"/>
      <c r="WNQ67"/>
      <c r="WNR67"/>
      <c r="WNS67"/>
      <c r="WNT67"/>
      <c r="WNU67"/>
      <c r="WNV67"/>
      <c r="WNW67"/>
      <c r="WNX67"/>
      <c r="WNY67"/>
      <c r="WNZ67"/>
      <c r="WOA67"/>
      <c r="WOB67"/>
      <c r="WOC67"/>
      <c r="WOD67"/>
      <c r="WOE67"/>
      <c r="WOF67"/>
      <c r="WOG67"/>
      <c r="WOH67"/>
      <c r="WOI67"/>
      <c r="WOJ67"/>
      <c r="WOK67"/>
      <c r="WOL67"/>
      <c r="WOM67"/>
      <c r="WON67"/>
      <c r="WOO67"/>
      <c r="WOP67"/>
      <c r="WOQ67"/>
      <c r="WOR67"/>
      <c r="WOS67"/>
      <c r="WOT67"/>
      <c r="WOU67"/>
      <c r="WOV67"/>
      <c r="WOW67"/>
      <c r="WOX67"/>
      <c r="WOY67"/>
      <c r="WOZ67"/>
      <c r="WPA67"/>
      <c r="WPB67"/>
      <c r="WPC67"/>
      <c r="WPD67"/>
      <c r="WPE67"/>
      <c r="WPF67"/>
      <c r="WPG67"/>
      <c r="WPH67"/>
      <c r="WPI67"/>
      <c r="WPJ67"/>
      <c r="WPK67"/>
      <c r="WPL67"/>
      <c r="WPM67"/>
      <c r="WPN67"/>
      <c r="WPO67"/>
      <c r="WPP67"/>
      <c r="WPQ67"/>
      <c r="WPR67"/>
      <c r="WPS67"/>
      <c r="WPT67"/>
      <c r="WPU67"/>
      <c r="WPV67"/>
      <c r="WPW67"/>
      <c r="WPX67"/>
      <c r="WPY67"/>
      <c r="WPZ67"/>
      <c r="WQA67"/>
      <c r="WQB67"/>
      <c r="WQC67"/>
      <c r="WQD67"/>
      <c r="WQE67"/>
      <c r="WQF67"/>
      <c r="WQG67"/>
      <c r="WQH67"/>
      <c r="WQI67"/>
      <c r="WQJ67"/>
      <c r="WQK67"/>
      <c r="WQL67"/>
      <c r="WQM67"/>
      <c r="WQN67"/>
      <c r="WQO67"/>
      <c r="WQP67"/>
      <c r="WQQ67"/>
      <c r="WQR67"/>
      <c r="WQS67"/>
      <c r="WQT67"/>
      <c r="WQU67"/>
      <c r="WQV67"/>
      <c r="WQW67"/>
      <c r="WQX67"/>
      <c r="WQY67"/>
      <c r="WQZ67"/>
      <c r="WRA67"/>
      <c r="WRB67"/>
      <c r="WRC67"/>
      <c r="WRD67"/>
      <c r="WRE67"/>
      <c r="WRF67"/>
      <c r="WRG67"/>
      <c r="WRH67"/>
      <c r="WRI67"/>
      <c r="WRJ67"/>
      <c r="WRK67"/>
      <c r="WRL67"/>
      <c r="WRM67"/>
      <c r="WRN67"/>
      <c r="WRO67"/>
      <c r="WRP67"/>
      <c r="WRQ67"/>
      <c r="WRR67"/>
      <c r="WRS67"/>
      <c r="WRT67"/>
      <c r="WRU67"/>
      <c r="WRV67"/>
      <c r="WRW67"/>
      <c r="WRX67"/>
      <c r="WRY67"/>
      <c r="WRZ67"/>
      <c r="WSA67"/>
      <c r="WSB67"/>
      <c r="WSC67"/>
      <c r="WSD67"/>
      <c r="WSE67"/>
      <c r="WSF67"/>
      <c r="WSG67"/>
      <c r="WSH67"/>
      <c r="WSI67"/>
      <c r="WSJ67"/>
      <c r="WSK67"/>
      <c r="WSL67"/>
      <c r="WSM67"/>
      <c r="WSN67"/>
      <c r="WSO67"/>
      <c r="WSP67"/>
      <c r="WSQ67"/>
      <c r="WSR67"/>
      <c r="WSS67"/>
      <c r="WST67"/>
      <c r="WSU67"/>
      <c r="WSV67"/>
      <c r="WSW67"/>
      <c r="WSX67"/>
      <c r="WSY67"/>
      <c r="WSZ67"/>
      <c r="WTA67"/>
      <c r="WTB67"/>
      <c r="WTC67"/>
      <c r="WTD67"/>
      <c r="WTE67"/>
      <c r="WTF67"/>
      <c r="WTG67"/>
      <c r="WTH67"/>
      <c r="WTI67"/>
      <c r="WTJ67"/>
      <c r="WTK67"/>
      <c r="WTL67"/>
      <c r="WTM67"/>
      <c r="WTN67"/>
      <c r="WTO67"/>
      <c r="WTP67"/>
      <c r="WTQ67"/>
      <c r="WTR67"/>
      <c r="WTS67"/>
      <c r="WTT67"/>
      <c r="WTU67"/>
      <c r="WTV67"/>
      <c r="WTW67"/>
      <c r="WTX67"/>
      <c r="WTY67"/>
      <c r="WTZ67"/>
      <c r="WUA67"/>
      <c r="WUB67"/>
      <c r="WUC67"/>
      <c r="WUD67"/>
      <c r="WUE67"/>
      <c r="WUF67"/>
      <c r="WUG67"/>
      <c r="WUH67"/>
      <c r="WUI67"/>
      <c r="WUJ67"/>
      <c r="WUK67"/>
      <c r="WUL67"/>
      <c r="WUM67"/>
      <c r="WUN67"/>
      <c r="WUO67"/>
      <c r="WUP67"/>
      <c r="WUQ67"/>
      <c r="WUR67"/>
      <c r="WUS67"/>
      <c r="WUT67"/>
      <c r="WUU67"/>
      <c r="WUV67"/>
      <c r="WUW67"/>
      <c r="WUX67"/>
      <c r="WUY67"/>
      <c r="WUZ67"/>
      <c r="WVA67"/>
      <c r="WVB67"/>
      <c r="WVC67"/>
      <c r="WVD67"/>
      <c r="WVE67"/>
      <c r="WVF67"/>
      <c r="WVG67"/>
      <c r="WVH67"/>
      <c r="WVI67"/>
      <c r="WVJ67"/>
      <c r="WVK67"/>
      <c r="WVL67"/>
      <c r="WVM67"/>
      <c r="WVN67"/>
      <c r="WVO67"/>
      <c r="WVP67"/>
      <c r="WVQ67"/>
      <c r="WVR67"/>
      <c r="WVS67"/>
      <c r="WVT67"/>
      <c r="WVU67"/>
      <c r="WVV67"/>
      <c r="WVW67"/>
      <c r="WVX67"/>
      <c r="WVY67"/>
      <c r="WVZ67"/>
      <c r="WWA67"/>
      <c r="WWB67"/>
      <c r="WWC67"/>
      <c r="WWD67"/>
      <c r="WWE67"/>
      <c r="WWF67"/>
      <c r="WWG67"/>
      <c r="WWH67"/>
      <c r="WWI67"/>
      <c r="WWJ67"/>
      <c r="WWK67"/>
      <c r="WWL67"/>
      <c r="WWM67"/>
      <c r="WWN67"/>
      <c r="WWO67"/>
      <c r="WWP67"/>
      <c r="WWQ67"/>
      <c r="WWR67"/>
      <c r="WWS67"/>
      <c r="WWT67"/>
      <c r="WWU67"/>
      <c r="WWV67"/>
      <c r="WWW67"/>
      <c r="WWX67"/>
      <c r="WWY67"/>
      <c r="WWZ67"/>
      <c r="WXA67"/>
      <c r="WXB67"/>
      <c r="WXC67"/>
      <c r="WXD67"/>
      <c r="WXE67"/>
      <c r="WXF67"/>
      <c r="WXG67"/>
      <c r="WXH67"/>
      <c r="WXI67"/>
      <c r="WXJ67"/>
      <c r="WXK67"/>
      <c r="WXL67"/>
      <c r="WXM67"/>
      <c r="WXN67"/>
      <c r="WXO67"/>
      <c r="WXP67"/>
      <c r="WXQ67"/>
      <c r="WXR67"/>
      <c r="WXS67"/>
      <c r="WXT67"/>
      <c r="WXU67"/>
      <c r="WXV67"/>
      <c r="WXW67"/>
      <c r="WXX67"/>
      <c r="WXY67"/>
      <c r="WXZ67"/>
      <c r="WYA67"/>
      <c r="WYB67"/>
      <c r="WYC67"/>
      <c r="WYD67"/>
      <c r="WYE67"/>
      <c r="WYF67"/>
      <c r="WYG67"/>
      <c r="WYH67"/>
      <c r="WYI67"/>
      <c r="WYJ67"/>
      <c r="WYK67"/>
      <c r="WYL67"/>
      <c r="WYM67"/>
      <c r="WYN67"/>
      <c r="WYO67"/>
      <c r="WYP67"/>
      <c r="WYQ67"/>
      <c r="WYR67"/>
      <c r="WYS67"/>
      <c r="WYT67"/>
      <c r="WYU67"/>
      <c r="WYV67"/>
      <c r="WYW67"/>
      <c r="WYX67"/>
      <c r="WYY67"/>
      <c r="WYZ67"/>
      <c r="WZA67"/>
      <c r="WZB67"/>
      <c r="WZC67"/>
      <c r="WZD67"/>
      <c r="WZE67"/>
      <c r="WZF67"/>
      <c r="WZG67"/>
      <c r="WZH67"/>
      <c r="WZI67"/>
      <c r="WZJ67"/>
      <c r="WZK67"/>
      <c r="WZL67"/>
      <c r="WZM67"/>
      <c r="WZN67"/>
      <c r="WZO67"/>
      <c r="WZP67"/>
      <c r="WZQ67"/>
      <c r="WZR67"/>
      <c r="WZS67"/>
      <c r="WZT67"/>
      <c r="WZU67"/>
      <c r="WZV67"/>
      <c r="WZW67"/>
      <c r="WZX67"/>
      <c r="WZY67"/>
      <c r="WZZ67"/>
      <c r="XAA67"/>
      <c r="XAB67"/>
      <c r="XAC67"/>
      <c r="XAD67"/>
      <c r="XAE67"/>
      <c r="XAF67"/>
      <c r="XAG67"/>
      <c r="XAH67"/>
      <c r="XAI67"/>
      <c r="XAJ67"/>
      <c r="XAK67"/>
      <c r="XAL67"/>
      <c r="XAM67"/>
      <c r="XAN67"/>
      <c r="XAO67"/>
      <c r="XAP67"/>
      <c r="XAQ67"/>
      <c r="XAR67"/>
      <c r="XAS67"/>
      <c r="XAT67"/>
      <c r="XAU67"/>
      <c r="XAV67"/>
      <c r="XAW67"/>
      <c r="XAX67"/>
      <c r="XAY67"/>
      <c r="XAZ67"/>
      <c r="XBA67"/>
      <c r="XBB67"/>
      <c r="XBC67"/>
      <c r="XBD67"/>
      <c r="XBE67"/>
      <c r="XBF67"/>
      <c r="XBG67"/>
      <c r="XBH67"/>
      <c r="XBI67"/>
      <c r="XBJ67"/>
      <c r="XBK67"/>
      <c r="XBL67"/>
      <c r="XBM67"/>
      <c r="XBN67"/>
      <c r="XBO67"/>
      <c r="XBP67"/>
      <c r="XBQ67"/>
      <c r="XBR67"/>
      <c r="XBS67"/>
      <c r="XBT67"/>
      <c r="XBU67"/>
      <c r="XBV67"/>
      <c r="XBW67"/>
      <c r="XBX67"/>
      <c r="XBY67"/>
      <c r="XBZ67"/>
      <c r="XCA67"/>
      <c r="XCB67"/>
      <c r="XCC67"/>
      <c r="XCD67"/>
      <c r="XCE67"/>
      <c r="XCF67"/>
      <c r="XCG67"/>
      <c r="XCH67"/>
      <c r="XCI67"/>
      <c r="XCJ67"/>
      <c r="XCK67"/>
      <c r="XCL67"/>
      <c r="XCM67"/>
      <c r="XCN67"/>
      <c r="XCO67"/>
      <c r="XCP67"/>
      <c r="XCQ67"/>
      <c r="XCR67"/>
      <c r="XCS67"/>
      <c r="XCT67"/>
      <c r="XCU67"/>
      <c r="XCV67"/>
      <c r="XCW67"/>
      <c r="XCX67"/>
      <c r="XCY67"/>
      <c r="XCZ67"/>
      <c r="XDA67"/>
      <c r="XDB67"/>
      <c r="XDC67"/>
      <c r="XDD67"/>
      <c r="XDE67"/>
      <c r="XDF67"/>
      <c r="XDG67"/>
      <c r="XDH67"/>
      <c r="XDI67"/>
      <c r="XDJ67"/>
      <c r="XDK67"/>
      <c r="XDL67"/>
      <c r="XDM67"/>
      <c r="XDN67"/>
      <c r="XDO67"/>
      <c r="XDP67"/>
      <c r="XDQ67"/>
      <c r="XDR67"/>
      <c r="XDS67"/>
      <c r="XDT67"/>
      <c r="XDU67"/>
      <c r="XDV67"/>
      <c r="XDW67"/>
      <c r="XDX67"/>
      <c r="XDY67"/>
      <c r="XDZ67"/>
      <c r="XEA67"/>
      <c r="XEB67"/>
      <c r="XEC67"/>
      <c r="XED67"/>
      <c r="XEE67"/>
      <c r="XEF67"/>
      <c r="XEG67"/>
      <c r="XEH67"/>
      <c r="XEI67"/>
      <c r="XEJ67"/>
      <c r="XEK67"/>
      <c r="XEL67"/>
      <c r="XEM67"/>
      <c r="XEN67"/>
      <c r="XEO67"/>
      <c r="XEP67"/>
      <c r="XEQ67"/>
      <c r="XER67"/>
      <c r="XES67"/>
      <c r="XET67"/>
      <c r="XEU67"/>
      <c r="XEV67"/>
      <c r="XEW67"/>
      <c r="XEX67"/>
      <c r="XEY67"/>
      <c r="XEZ67"/>
      <c r="XFA67"/>
      <c r="XFB67"/>
      <c r="XFC67"/>
      <c r="XFD67"/>
    </row>
    <row r="68" spans="1:16384" x14ac:dyDescent="0.25">
      <c r="A68">
        <v>8</v>
      </c>
      <c r="B68" s="142" t="s">
        <v>140</v>
      </c>
      <c r="C68" s="150">
        <v>50</v>
      </c>
      <c r="D68" s="1"/>
      <c r="E68" s="1"/>
      <c r="F68" s="1"/>
      <c r="G68" s="1"/>
      <c r="H68" s="1"/>
      <c r="I68" s="1"/>
      <c r="J68" s="1"/>
      <c r="K68" s="1"/>
      <c r="L68" s="1"/>
      <c r="M68" s="1"/>
      <c r="N68" s="1"/>
      <c r="O68" s="1"/>
      <c r="P68" s="1"/>
      <c r="Q68" s="1"/>
      <c r="R68" s="1"/>
    </row>
    <row r="69" spans="1:16384" x14ac:dyDescent="0.25">
      <c r="A69" s="1"/>
      <c r="B69" s="142" t="s">
        <v>150</v>
      </c>
      <c r="C69" s="150">
        <v>30</v>
      </c>
      <c r="D69" s="1"/>
      <c r="E69" s="1"/>
      <c r="F69" s="1"/>
      <c r="G69" s="1"/>
      <c r="H69" s="1"/>
      <c r="I69" s="1"/>
      <c r="J69" s="1"/>
      <c r="K69" s="1"/>
      <c r="L69" s="1"/>
      <c r="M69" s="1"/>
      <c r="N69" s="1"/>
      <c r="O69" s="1"/>
      <c r="P69" s="1"/>
      <c r="Q69" s="1"/>
      <c r="R69" s="1"/>
    </row>
    <row r="70" spans="1:16384" x14ac:dyDescent="0.25">
      <c r="A70" s="1"/>
      <c r="B70" s="142" t="s">
        <v>151</v>
      </c>
      <c r="C70" s="150">
        <v>80</v>
      </c>
      <c r="D70" s="1"/>
      <c r="E70" s="1"/>
      <c r="F70" s="1"/>
      <c r="G70" s="1"/>
      <c r="H70" s="1"/>
      <c r="I70" s="1"/>
      <c r="J70" s="1"/>
      <c r="K70" s="1"/>
      <c r="L70" s="1"/>
      <c r="M70" s="1"/>
      <c r="N70" s="1"/>
      <c r="O70" s="1"/>
      <c r="P70" s="1"/>
      <c r="Q70" s="1"/>
      <c r="R70" s="1"/>
    </row>
  </sheetData>
  <sheetProtection selectLockedCells="1"/>
  <mergeCells count="9">
    <mergeCell ref="B44:G44"/>
    <mergeCell ref="B21:G21"/>
    <mergeCell ref="B9:G9"/>
    <mergeCell ref="B57:G57"/>
    <mergeCell ref="I22:R22"/>
    <mergeCell ref="B26:C26"/>
    <mergeCell ref="B35:C35"/>
    <mergeCell ref="B10:C10"/>
    <mergeCell ref="B22:C22"/>
  </mergeCells>
  <dataValidations disablePrompts="1" count="1">
    <dataValidation type="list" allowBlank="1" showInputMessage="1" showErrorMessage="1" sqref="C13:D14 C47:C48 C60:C61" xr:uid="{8C4402A3-7D82-4DD3-8786-4ED036BB7812}">
      <formula1>INDIRECT(C12)</formula1>
    </dataValidation>
  </dataValidations>
  <pageMargins left="0.36" right="0.48" top="0.48" bottom="0.75" header="0.3" footer="0.3"/>
  <pageSetup paperSize="9" scale="5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18" id="{888E8752-BD23-4BDE-B3F7-5805BC7E0DD8}">
            <xm:f>IF($C$7=Backend!$A$2,TRUE,FALSE)</xm:f>
            <x14:dxf>
              <font>
                <color theme="9" tint="0.79998168889431442"/>
              </font>
              <fill>
                <patternFill>
                  <bgColor theme="9" tint="0.79998168889431442"/>
                </patternFill>
              </fill>
              <border>
                <left/>
                <right/>
                <top/>
                <bottom/>
                <vertical/>
                <horizontal/>
              </border>
            </x14:dxf>
          </x14:cfRule>
          <xm:sqref>B21:B22 C23:D23 B27:D29 C30:D33 B33:D42 E34:G42 B43:G43 B24:C24 B25:E25 B56:G56 E55:G55 B45:G45 B44 I50:I56 I63:I67 B57</xm:sqref>
        </x14:conditionalFormatting>
        <x14:conditionalFormatting xmlns:xm="http://schemas.microsoft.com/office/excel/2006/main">
          <x14:cfRule type="expression" priority="17" id="{1FCE45F9-E29E-4EF9-9A10-36B4BE8C01C8}">
            <xm:f>IF($C$7=Backend!$A$3,TRUE,FALSE)</xm:f>
            <x14:dxf>
              <font>
                <color theme="9" tint="0.79998168889431442"/>
              </font>
              <fill>
                <patternFill>
                  <bgColor theme="9" tint="0.79998168889431442"/>
                </patternFill>
              </fill>
              <border>
                <left/>
                <right/>
                <top/>
                <bottom/>
                <vertical/>
                <horizontal/>
              </border>
            </x14:dxf>
          </x14:cfRule>
          <xm:sqref>B45:G45 B56:G56 E55:G55 B44 I50:I56 I63:I67 B57</xm:sqref>
        </x14:conditionalFormatting>
        <x14:conditionalFormatting xmlns:xm="http://schemas.microsoft.com/office/excel/2006/main">
          <x14:cfRule type="expression" priority="11" id="{2704E464-4FD6-4B85-9CEC-A0652FB0039B}">
            <xm:f>IF($C$7=Backend!$A$2,TRUE,FALSE)</xm:f>
            <x14:dxf>
              <font>
                <color theme="9" tint="0.79998168889431442"/>
              </font>
              <fill>
                <patternFill>
                  <bgColor theme="9" tint="0.79998168889431442"/>
                </patternFill>
              </fill>
              <border>
                <left/>
                <right/>
                <top/>
                <bottom/>
                <vertical/>
                <horizontal/>
              </border>
            </x14:dxf>
          </x14:cfRule>
          <xm:sqref>B36:C38</xm:sqref>
        </x14:conditionalFormatting>
        <x14:conditionalFormatting xmlns:xm="http://schemas.microsoft.com/office/excel/2006/main">
          <x14:cfRule type="expression" priority="10" id="{085D66F0-0B6E-4F9E-A757-4EE66206659D}">
            <xm:f>IF($C$7=Backend!$A$2,TRUE,FALSE)</xm:f>
            <x14:dxf>
              <font>
                <color theme="9" tint="0.79998168889431442"/>
              </font>
              <fill>
                <patternFill>
                  <bgColor theme="9" tint="0.79998168889431442"/>
                </patternFill>
              </fill>
              <border>
                <left/>
                <right/>
                <top/>
                <bottom/>
                <vertical/>
                <horizontal/>
              </border>
            </x14:dxf>
          </x14:cfRule>
          <xm:sqref>B54:G54</xm:sqref>
        </x14:conditionalFormatting>
        <x14:conditionalFormatting xmlns:xm="http://schemas.microsoft.com/office/excel/2006/main">
          <x14:cfRule type="expression" priority="9" id="{3978E898-FA30-4088-A6A4-4236B3C05F26}">
            <xm:f>IF($C$7=Backend!$A$3,TRUE,FALSE)</xm:f>
            <x14:dxf>
              <font>
                <color theme="9" tint="0.79998168889431442"/>
              </font>
              <fill>
                <patternFill>
                  <bgColor theme="9" tint="0.79998168889431442"/>
                </patternFill>
              </fill>
              <border>
                <left/>
                <right/>
                <top/>
                <bottom/>
                <vertical/>
                <horizontal/>
              </border>
            </x14:dxf>
          </x14:cfRule>
          <xm:sqref>B54:G54</xm:sqref>
        </x14:conditionalFormatting>
        <x14:conditionalFormatting xmlns:xm="http://schemas.microsoft.com/office/excel/2006/main">
          <x14:cfRule type="expression" priority="8" id="{36CE5C88-F40C-4163-8836-D34380EE8E4A}">
            <xm:f>IF($C$7=Backend!$A$2,TRUE,FALSE)</xm:f>
            <x14:dxf>
              <font>
                <color theme="9" tint="0.79998168889431442"/>
              </font>
              <fill>
                <patternFill>
                  <bgColor theme="9" tint="0.79998168889431442"/>
                </patternFill>
              </fill>
              <border>
                <left/>
                <right/>
                <top/>
                <bottom/>
                <vertical/>
                <horizontal/>
              </border>
            </x14:dxf>
          </x14:cfRule>
          <xm:sqref>B67:C67 E67:G67</xm:sqref>
        </x14:conditionalFormatting>
        <x14:conditionalFormatting xmlns:xm="http://schemas.microsoft.com/office/excel/2006/main">
          <x14:cfRule type="expression" priority="7" id="{CE72B77C-4126-40C0-95B0-B9BDB4483291}">
            <xm:f>IF($C$7=Backend!$A$3,TRUE,FALSE)</xm:f>
            <x14:dxf>
              <font>
                <color theme="9" tint="0.79998168889431442"/>
              </font>
              <fill>
                <patternFill>
                  <bgColor theme="9" tint="0.79998168889431442"/>
                </patternFill>
              </fill>
              <border>
                <left/>
                <right/>
                <top/>
                <bottom/>
                <vertical/>
                <horizontal/>
              </border>
            </x14:dxf>
          </x14:cfRule>
          <xm:sqref>B67:C67 E67:G67</xm:sqref>
        </x14:conditionalFormatting>
        <x14:conditionalFormatting xmlns:xm="http://schemas.microsoft.com/office/excel/2006/main">
          <x14:cfRule type="expression" priority="3" id="{FB12F346-9469-48B5-8191-E548D96A60BE}">
            <xm:f>IF($C$7=Backend!$A$3,TRUE,FALSE)</xm:f>
            <x14:dxf>
              <font>
                <color theme="9" tint="0.79998168889431442"/>
              </font>
              <fill>
                <patternFill>
                  <bgColor theme="9" tint="0.79998168889431442"/>
                </patternFill>
              </fill>
              <border>
                <left/>
                <right/>
                <top/>
                <bottom/>
                <vertical/>
                <horizontal/>
              </border>
            </x14:dxf>
          </x14:cfRule>
          <xm:sqref>B58:G58</xm:sqref>
        </x14:conditionalFormatting>
        <x14:conditionalFormatting xmlns:xm="http://schemas.microsoft.com/office/excel/2006/main">
          <x14:cfRule type="expression" priority="4" id="{FCF89D3B-D786-4ECD-8F45-6DF0F6325350}">
            <xm:f>IF($C$7=Backend!$A$2,TRUE,FALSE)</xm:f>
            <x14:dxf>
              <font>
                <color theme="9" tint="0.79998168889431442"/>
              </font>
              <fill>
                <patternFill>
                  <bgColor theme="9" tint="0.79998168889431442"/>
                </patternFill>
              </fill>
              <border>
                <left/>
                <right/>
                <top/>
                <bottom/>
                <vertical/>
                <horizontal/>
              </border>
            </x14:dxf>
          </x14:cfRule>
          <xm:sqref>B58:G58</xm:sqref>
        </x14:conditionalFormatting>
        <x14:conditionalFormatting xmlns:xm="http://schemas.microsoft.com/office/excel/2006/main">
          <x14:cfRule type="expression" priority="2" id="{8516539D-9782-4DAB-A4CC-DD58B82CCA8F}">
            <xm:f>IF($C$7=Backend!$A$2,TRUE,FALSE)</xm:f>
            <x14:dxf>
              <font>
                <color theme="9" tint="0.79998168889431442"/>
              </font>
              <fill>
                <patternFill>
                  <bgColor theme="9" tint="0.79998168889431442"/>
                </patternFill>
              </fill>
              <border>
                <left/>
                <right/>
                <top/>
                <bottom/>
                <vertical/>
                <horizontal/>
              </border>
            </x14:dxf>
          </x14:cfRule>
          <xm:sqref>D67</xm:sqref>
        </x14:conditionalFormatting>
        <x14:conditionalFormatting xmlns:xm="http://schemas.microsoft.com/office/excel/2006/main">
          <x14:cfRule type="expression" priority="1" id="{5F329F7F-9033-4EF8-9E4D-8309F9786D95}">
            <xm:f>IF($C$7=Backend!$A$3,TRUE,FALSE)</xm:f>
            <x14:dxf>
              <font>
                <color theme="9" tint="0.79998168889431442"/>
              </font>
              <fill>
                <patternFill>
                  <bgColor theme="9" tint="0.79998168889431442"/>
                </patternFill>
              </fill>
              <border>
                <left/>
                <right/>
                <top/>
                <bottom/>
                <vertical/>
                <horizontal/>
              </border>
            </x14:dxf>
          </x14:cfRule>
          <xm:sqref>D67</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r:uid="{382F2FAB-BD33-419D-A65B-357028C521E9}">
          <x14:formula1>
            <xm:f>meanT!$B$2:$D$2</xm:f>
          </x14:formula1>
          <xm:sqref>C11:D11</xm:sqref>
        </x14:dataValidation>
        <x14:dataValidation type="list" allowBlank="1" showInputMessage="1" showErrorMessage="1" xr:uid="{181E8B2D-5A2C-4CB2-AE69-D6C43B9A1008}">
          <x14:formula1>
            <xm:f>ListMembers!$A$7:$G$7</xm:f>
          </x14:formula1>
          <xm:sqref>C12:D12 C46 C59</xm:sqref>
        </x14:dataValidation>
        <x14:dataValidation type="list" allowBlank="1" showInputMessage="1" showErrorMessage="1" xr:uid="{816B3FFE-8CC4-4260-A531-C02DD0D4D894}">
          <x14:formula1>
            <xm:f>ListMembers!$M$8:$M$10</xm:f>
          </x14:formula1>
          <xm:sqref>F19 F53 F66</xm:sqref>
        </x14:dataValidation>
        <x14:dataValidation type="list" allowBlank="1" showInputMessage="1" showErrorMessage="1" xr:uid="{0275CAC4-2FB1-4B29-8E41-873323106A89}">
          <x14:formula1>
            <xm:f>ListMembers!$O$8:$O$10</xm:f>
          </x14:formula1>
          <xm:sqref>C7:D7</xm:sqref>
        </x14:dataValidation>
        <x14:dataValidation type="list" allowBlank="1" showInputMessage="1" showErrorMessage="1" xr:uid="{37FF4A2E-1FAF-47FA-A2D8-125A72929D07}">
          <x14:formula1>
            <xm:f>ListMembers!$J$8:$J$9</xm:f>
          </x14:formula1>
          <xm:sqref>F17 F51 F64</xm:sqref>
        </x14:dataValidation>
        <x14:dataValidation type="list" allowBlank="1" showInputMessage="1" showErrorMessage="1" xr:uid="{A48A0DB6-8BD6-4C95-A399-F9227ABC9F39}">
          <x14:formula1>
            <xm:f>ListMembers!$K$8:$K$13</xm:f>
          </x14:formula1>
          <xm:sqref>F18 F52 F65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45AA5-5CA9-4C85-A684-AC42CE87D1F5}">
  <sheetPr codeName="Sheet2"/>
  <dimension ref="A1:AH251"/>
  <sheetViews>
    <sheetView zoomScaleNormal="100" workbookViewId="0">
      <selection sqref="A1:A4"/>
    </sheetView>
  </sheetViews>
  <sheetFormatPr defaultRowHeight="15" x14ac:dyDescent="0.25"/>
  <cols>
    <col min="1" max="1" width="17" customWidth="1"/>
    <col min="2" max="3" width="18.7109375" customWidth="1"/>
    <col min="4" max="4" width="17.85546875" customWidth="1"/>
    <col min="5" max="5" width="16.28515625" customWidth="1"/>
    <col min="6" max="6" width="9.5703125" bestFit="1" customWidth="1"/>
    <col min="15" max="15" width="10.7109375" bestFit="1" customWidth="1"/>
    <col min="16" max="16" width="11.7109375" bestFit="1" customWidth="1"/>
    <col min="17" max="18" width="10.7109375" bestFit="1" customWidth="1"/>
    <col min="20" max="20" width="12" customWidth="1"/>
    <col min="22" max="22" width="15" customWidth="1"/>
    <col min="23" max="23" width="13.28515625" customWidth="1"/>
    <col min="24" max="24" width="14" customWidth="1"/>
    <col min="27" max="27" width="15.5703125" customWidth="1"/>
    <col min="28" max="28" width="10.7109375" bestFit="1" customWidth="1"/>
    <col min="29" max="29" width="16.7109375" bestFit="1" customWidth="1"/>
    <col min="30" max="30" width="13.85546875" customWidth="1"/>
    <col min="32" max="32" width="17.140625" customWidth="1"/>
    <col min="33" max="33" width="12.42578125" customWidth="1"/>
  </cols>
  <sheetData>
    <row r="1" spans="1:26" x14ac:dyDescent="0.25">
      <c r="A1" s="5" t="s">
        <v>11</v>
      </c>
      <c r="C1" s="5" t="s">
        <v>49</v>
      </c>
      <c r="J1" s="5"/>
    </row>
    <row r="2" spans="1:26" x14ac:dyDescent="0.25">
      <c r="A2" t="s">
        <v>10</v>
      </c>
      <c r="C2" t="s">
        <v>55</v>
      </c>
      <c r="J2" s="5"/>
    </row>
    <row r="3" spans="1:26" x14ac:dyDescent="0.25">
      <c r="A3" t="s">
        <v>12</v>
      </c>
      <c r="C3" t="s">
        <v>54</v>
      </c>
    </row>
    <row r="4" spans="1:26" x14ac:dyDescent="0.25">
      <c r="A4" t="s">
        <v>13</v>
      </c>
    </row>
    <row r="5" spans="1:26" x14ac:dyDescent="0.25">
      <c r="K5" s="13"/>
    </row>
    <row r="6" spans="1:26" x14ac:dyDescent="0.25">
      <c r="A6" s="5" t="s">
        <v>3</v>
      </c>
      <c r="C6" s="5" t="s">
        <v>50</v>
      </c>
      <c r="K6" s="13"/>
    </row>
    <row r="7" spans="1:26" x14ac:dyDescent="0.25">
      <c r="A7" t="s">
        <v>5</v>
      </c>
      <c r="C7" t="s">
        <v>51</v>
      </c>
      <c r="D7">
        <v>60</v>
      </c>
      <c r="E7" t="s">
        <v>52</v>
      </c>
    </row>
    <row r="8" spans="1:26" x14ac:dyDescent="0.25">
      <c r="A8" t="s">
        <v>79</v>
      </c>
      <c r="C8" t="s">
        <v>53</v>
      </c>
      <c r="D8">
        <v>30</v>
      </c>
      <c r="E8" t="s">
        <v>52</v>
      </c>
    </row>
    <row r="10" spans="1:26" x14ac:dyDescent="0.25">
      <c r="A10">
        <v>1</v>
      </c>
      <c r="B10">
        <v>2</v>
      </c>
      <c r="C10">
        <v>3</v>
      </c>
      <c r="D10">
        <v>4</v>
      </c>
      <c r="E10">
        <v>5</v>
      </c>
      <c r="F10">
        <v>6</v>
      </c>
      <c r="G10">
        <v>7</v>
      </c>
      <c r="H10">
        <v>8</v>
      </c>
      <c r="I10">
        <v>9</v>
      </c>
      <c r="J10">
        <v>10</v>
      </c>
      <c r="R10">
        <f>(ConceptDemo!$C$18-ConceptDemo!$C$17)/(ConceptDemo!$L$29+1)</f>
        <v>61</v>
      </c>
    </row>
    <row r="11" spans="1:26" ht="30" x14ac:dyDescent="0.25">
      <c r="A11" s="5" t="s">
        <v>1</v>
      </c>
      <c r="B11" s="4" t="s">
        <v>104</v>
      </c>
      <c r="C11" s="4" t="s">
        <v>81</v>
      </c>
      <c r="D11" s="4" t="s">
        <v>105</v>
      </c>
      <c r="E11" s="4" t="s">
        <v>82</v>
      </c>
      <c r="F11" s="4" t="s">
        <v>84</v>
      </c>
      <c r="G11" s="4" t="s">
        <v>89</v>
      </c>
      <c r="H11" s="20" t="s">
        <v>111</v>
      </c>
      <c r="I11" s="21" t="s">
        <v>61</v>
      </c>
      <c r="J11" s="21" t="s">
        <v>15</v>
      </c>
      <c r="M11" s="5" t="s">
        <v>67</v>
      </c>
      <c r="Q11" t="s">
        <v>71</v>
      </c>
      <c r="R11" t="s">
        <v>72</v>
      </c>
      <c r="S11" t="s">
        <v>56</v>
      </c>
      <c r="W11" t="s">
        <v>73</v>
      </c>
    </row>
    <row r="12" spans="1:26" x14ac:dyDescent="0.25">
      <c r="A12" t="s">
        <v>20</v>
      </c>
      <c r="B12" s="9" t="e">
        <f>IF(ConceptDemo!C7="1 (minimum)",75%,ConceptDemo!#REF!)</f>
        <v>#REF!</v>
      </c>
      <c r="C12" s="9">
        <v>0.98</v>
      </c>
      <c r="D12" s="9">
        <v>0.92</v>
      </c>
      <c r="E12" t="s">
        <v>83</v>
      </c>
      <c r="F12" t="s">
        <v>85</v>
      </c>
      <c r="G12">
        <v>3</v>
      </c>
      <c r="H12" s="19" t="e">
        <f>B56</f>
        <v>#REF!</v>
      </c>
      <c r="I12" s="15" t="e">
        <f>F58</f>
        <v>#REF!</v>
      </c>
      <c r="J12" s="15" t="e">
        <f>F59</f>
        <v>#REF!</v>
      </c>
      <c r="M12" t="s">
        <v>68</v>
      </c>
      <c r="Q12" s="9">
        <v>0.2</v>
      </c>
      <c r="R12" s="12">
        <f>ConceptDemo!$C$17+Backend!R10</f>
        <v>44515</v>
      </c>
      <c r="S12" s="10" t="e">
        <f>SUM(K21:L21)*0.1</f>
        <v>#REF!</v>
      </c>
      <c r="T12" s="10" t="e">
        <f>S12/$R$10</f>
        <v>#REF!</v>
      </c>
      <c r="V12">
        <v>1</v>
      </c>
      <c r="W12" s="12">
        <f>ROUND((R12-ConceptDemo!$C$17)/2+ConceptDemo!$C$17,0)</f>
        <v>44485</v>
      </c>
    </row>
    <row r="13" spans="1:26" x14ac:dyDescent="0.25">
      <c r="A13" t="s">
        <v>22</v>
      </c>
      <c r="B13" s="9">
        <v>0.8</v>
      </c>
      <c r="C13" s="9">
        <v>0.95</v>
      </c>
      <c r="D13" s="9">
        <v>0.9</v>
      </c>
      <c r="E13" t="s">
        <v>80</v>
      </c>
      <c r="F13" t="s">
        <v>5</v>
      </c>
      <c r="G13">
        <v>2</v>
      </c>
      <c r="H13" s="19" t="e">
        <f>B96</f>
        <v>#REF!</v>
      </c>
      <c r="I13" s="16" t="e">
        <f>F90</f>
        <v>#REF!</v>
      </c>
      <c r="J13" s="16" t="e">
        <f>F91</f>
        <v>#REF!</v>
      </c>
      <c r="M13" t="s">
        <v>69</v>
      </c>
      <c r="Q13" s="9">
        <v>0.4</v>
      </c>
      <c r="R13" s="12">
        <f>R12+$R$10</f>
        <v>44576</v>
      </c>
      <c r="S13" s="10" t="e">
        <f>SUM(K21:L21)*0.4</f>
        <v>#REF!</v>
      </c>
      <c r="T13" s="10" t="e">
        <f>S13/$R$10</f>
        <v>#REF!</v>
      </c>
      <c r="V13">
        <v>2</v>
      </c>
      <c r="W13" s="12" t="str">
        <f>IFERROR(ROUND(IF(ConceptDemo!$L$29&gt;=2,(Backend!R13-R12)/2+R12,""),0),"")</f>
        <v/>
      </c>
    </row>
    <row r="14" spans="1:26" x14ac:dyDescent="0.25">
      <c r="A14" t="s">
        <v>21</v>
      </c>
      <c r="B14" s="9">
        <v>0.95</v>
      </c>
      <c r="C14" s="9">
        <v>1</v>
      </c>
      <c r="D14" s="9">
        <v>0.95</v>
      </c>
      <c r="E14" t="s">
        <v>80</v>
      </c>
      <c r="F14" t="s">
        <v>5</v>
      </c>
      <c r="G14">
        <v>3</v>
      </c>
      <c r="H14" s="19" t="e">
        <f>B133</f>
        <v>#REF!</v>
      </c>
      <c r="I14" s="16" t="e">
        <f>$F$134</f>
        <v>#REF!</v>
      </c>
      <c r="J14" s="16" t="e">
        <f>$F$135</f>
        <v>#REF!</v>
      </c>
      <c r="M14" t="s">
        <v>117</v>
      </c>
      <c r="Q14" s="9">
        <v>0.6</v>
      </c>
      <c r="R14" s="12">
        <f>R13+$R$10</f>
        <v>44637</v>
      </c>
      <c r="S14" s="10" t="e">
        <f>SUM(K21:L21)*0.35</f>
        <v>#REF!</v>
      </c>
      <c r="T14" s="10" t="e">
        <f>S14/$R$10</f>
        <v>#REF!</v>
      </c>
      <c r="V14">
        <v>3</v>
      </c>
      <c r="W14" s="12" t="str">
        <f>IFERROR(ROUND(IF(ConceptDemo!$L$29&gt;2,(Backend!R14-R13)/3+R13,""),0),"")</f>
        <v/>
      </c>
    </row>
    <row r="15" spans="1:26" x14ac:dyDescent="0.25">
      <c r="A15" t="s">
        <v>48</v>
      </c>
      <c r="B15" s="9">
        <v>0.75</v>
      </c>
      <c r="C15" s="9">
        <v>0.8</v>
      </c>
      <c r="D15" s="9">
        <v>0.9</v>
      </c>
      <c r="E15" t="s">
        <v>83</v>
      </c>
      <c r="F15" t="s">
        <v>85</v>
      </c>
      <c r="G15">
        <v>3</v>
      </c>
      <c r="M15" t="s">
        <v>70</v>
      </c>
      <c r="Q15" s="9">
        <v>0.8</v>
      </c>
      <c r="R15" s="12">
        <f>R14+$R$10</f>
        <v>44698</v>
      </c>
      <c r="S15" s="10" t="e">
        <f>SUM(K21:L21)*0.15</f>
        <v>#REF!</v>
      </c>
      <c r="T15" s="10" t="e">
        <f>S15/$R$10</f>
        <v>#REF!</v>
      </c>
      <c r="V15">
        <v>4</v>
      </c>
      <c r="W15" s="12" t="str">
        <f>IFERROR(ROUND(IF(ConceptDemo!$L$29&gt;3,R14,""),0),"")</f>
        <v/>
      </c>
    </row>
    <row r="16" spans="1:26" x14ac:dyDescent="0.25">
      <c r="W16" s="9">
        <v>1</v>
      </c>
      <c r="X16" s="12">
        <f>R15+$R$10</f>
        <v>44759</v>
      </c>
      <c r="Y16" s="10" t="e">
        <f>$I$20*0.05</f>
        <v>#REF!</v>
      </c>
      <c r="Z16" s="10" t="e">
        <f>Y16/$R$10</f>
        <v>#REF!</v>
      </c>
    </row>
    <row r="17" spans="1:34" x14ac:dyDescent="0.25">
      <c r="A17" s="5" t="s">
        <v>2</v>
      </c>
      <c r="B17" t="s">
        <v>27</v>
      </c>
      <c r="C17" t="s">
        <v>28</v>
      </c>
      <c r="E17" s="5" t="s">
        <v>108</v>
      </c>
      <c r="AF17" t="s">
        <v>128</v>
      </c>
      <c r="AG17" t="s">
        <v>130</v>
      </c>
    </row>
    <row r="18" spans="1:34" x14ac:dyDescent="0.25">
      <c r="A18" t="s">
        <v>23</v>
      </c>
      <c r="B18" s="6">
        <v>1115.5999999999999</v>
      </c>
      <c r="C18" t="s">
        <v>41</v>
      </c>
      <c r="AE18" t="s">
        <v>10</v>
      </c>
      <c r="AF18" s="9">
        <v>0.15</v>
      </c>
      <c r="AG18" s="9">
        <v>0.3</v>
      </c>
    </row>
    <row r="19" spans="1:34" ht="45" x14ac:dyDescent="0.25">
      <c r="A19" t="s">
        <v>24</v>
      </c>
      <c r="B19" s="16">
        <v>1321.6</v>
      </c>
      <c r="C19" t="s">
        <v>40</v>
      </c>
      <c r="F19" s="21" t="s">
        <v>62</v>
      </c>
      <c r="G19" s="21" t="s">
        <v>57</v>
      </c>
      <c r="H19" s="22" t="s">
        <v>6</v>
      </c>
      <c r="I19" s="22" t="s">
        <v>59</v>
      </c>
      <c r="J19" s="21" t="s">
        <v>60</v>
      </c>
      <c r="K19" s="21" t="s">
        <v>61</v>
      </c>
      <c r="L19" s="21" t="s">
        <v>15</v>
      </c>
      <c r="P19" t="s">
        <v>131</v>
      </c>
      <c r="Q19" s="12">
        <f>SUMIFS($P$26:$P$251,$Q$26:$Q$251,$Q$24)-0.5</f>
        <v>2758038.5</v>
      </c>
      <c r="AE19" t="s">
        <v>12</v>
      </c>
      <c r="AF19" s="9">
        <v>0.1</v>
      </c>
      <c r="AG19" s="9">
        <v>0.2</v>
      </c>
    </row>
    <row r="20" spans="1:34" x14ac:dyDescent="0.25">
      <c r="A20" t="s">
        <v>25</v>
      </c>
      <c r="B20" s="17">
        <v>1249.8</v>
      </c>
      <c r="C20" t="s">
        <v>41</v>
      </c>
      <c r="E20" t="s">
        <v>0</v>
      </c>
      <c r="F20" s="19" t="e">
        <f>ConceptDemo!#REF!</f>
        <v>#REF!</v>
      </c>
      <c r="G20" s="19">
        <f>ConceptDemo!$C$50</f>
        <v>0</v>
      </c>
      <c r="H20" s="19">
        <f>ConceptDemo!$C$52</f>
        <v>0</v>
      </c>
      <c r="I20" s="19" t="e">
        <f>IF(ConceptDemo!L25&gt;0,ConceptDemo!L25,VLOOKUP(ConceptDemo!C13,A12:J15,H10,FALSE))</f>
        <v>#REF!</v>
      </c>
      <c r="J20" s="19"/>
      <c r="K20" s="19"/>
      <c r="L20" s="19"/>
      <c r="P20" s="10" t="e">
        <f>MAX(Q25:Q251)</f>
        <v>#REF!</v>
      </c>
      <c r="X20" s="12">
        <f>ConceptDemo!$C$17+E24-10</f>
        <v>44505</v>
      </c>
      <c r="Y20">
        <f>X20-P26</f>
        <v>61</v>
      </c>
      <c r="AE20" t="s">
        <v>13</v>
      </c>
      <c r="AF20" s="9">
        <v>0.05</v>
      </c>
      <c r="AG20" s="9">
        <v>0.1</v>
      </c>
    </row>
    <row r="21" spans="1:34" x14ac:dyDescent="0.25">
      <c r="A21" t="s">
        <v>26</v>
      </c>
      <c r="B21" s="16">
        <v>1538.5</v>
      </c>
      <c r="C21" t="s">
        <v>41</v>
      </c>
      <c r="E21" t="s">
        <v>58</v>
      </c>
      <c r="F21" s="19" t="e">
        <f>SUM(F20:I20)-SUM(J21:L21)</f>
        <v>#REF!</v>
      </c>
      <c r="G21" s="19"/>
      <c r="H21" s="19"/>
      <c r="I21" s="19"/>
      <c r="J21" s="19">
        <f>ConceptDemo!$A$53</f>
        <v>5</v>
      </c>
      <c r="K21" s="25" t="e">
        <f>VLOOKUP(ConceptDemo!C13,A12:J15,I10,FALSE)</f>
        <v>#REF!</v>
      </c>
      <c r="L21" s="19" t="e">
        <f>VLOOKUP(ConceptDemo!C13,A12:J15,J10,FALSE)</f>
        <v>#REF!</v>
      </c>
    </row>
    <row r="22" spans="1:34" x14ac:dyDescent="0.25">
      <c r="A22" t="s">
        <v>42</v>
      </c>
      <c r="B22" s="16">
        <v>905.2</v>
      </c>
      <c r="C22" t="s">
        <v>41</v>
      </c>
      <c r="E22" s="4"/>
      <c r="AE22" t="s">
        <v>129</v>
      </c>
      <c r="AF22" s="29">
        <f>VLOOKUP(ConceptDemo!$C$7,Backend!$AE$18:$AG$20,2,FALSE)</f>
        <v>0.05</v>
      </c>
      <c r="AG22" s="29">
        <f>IF(VLOOKUP(ConceptDemo!$C$7,Backend!$AE$18:$AG$20,3,FALSE)*((ConceptDemo!C18-ConceptDemo!C17)/90)&lt;AF22,AF22,IF((ConceptDemo!C18-ConceptDemo!C17)&gt;90,VLOOKUP(ConceptDemo!$C$7,Backend!$AE$18:$AG$20,3,FALSE),VLOOKUP(ConceptDemo!$C$7,Backend!$AE$18:$AG$20,3,FALSE)*((ConceptDemo!C18-ConceptDemo!C17)/90)))</f>
        <v>6.7777777777777784E-2</v>
      </c>
    </row>
    <row r="23" spans="1:34" x14ac:dyDescent="0.25">
      <c r="A23" t="s">
        <v>29</v>
      </c>
      <c r="B23" s="16">
        <v>1683.3</v>
      </c>
      <c r="C23" t="s">
        <v>41</v>
      </c>
      <c r="E23" t="s">
        <v>121</v>
      </c>
      <c r="Q23" t="s">
        <v>19</v>
      </c>
      <c r="W23" t="s">
        <v>119</v>
      </c>
    </row>
    <row r="24" spans="1:34" x14ac:dyDescent="0.25">
      <c r="A24" t="s">
        <v>30</v>
      </c>
      <c r="B24" s="16">
        <v>786.2</v>
      </c>
      <c r="C24" t="s">
        <v>41</v>
      </c>
      <c r="E24" s="19">
        <f>ConceptDemo!C18-ConceptDemo!C17</f>
        <v>61</v>
      </c>
      <c r="P24" s="5" t="s">
        <v>19</v>
      </c>
      <c r="Q24" s="19" t="e">
        <f>MAX(Q26:Q251)</f>
        <v>#REF!</v>
      </c>
      <c r="W24" s="18">
        <f t="shared" ref="W24:AB24" si="0">SUM(W26:W251)</f>
        <v>0</v>
      </c>
      <c r="X24" s="18">
        <f t="shared" si="0"/>
        <v>0</v>
      </c>
      <c r="Y24" s="18">
        <f t="shared" si="0"/>
        <v>0</v>
      </c>
      <c r="Z24" s="18">
        <f t="shared" si="0"/>
        <v>0</v>
      </c>
      <c r="AA24" s="18">
        <f t="shared" si="0"/>
        <v>0</v>
      </c>
      <c r="AB24" s="18">
        <f t="shared" si="0"/>
        <v>0</v>
      </c>
      <c r="AC24" s="18" t="e">
        <f>SUM(AC26:AC251)</f>
        <v>#REF!</v>
      </c>
      <c r="AD24" s="19" t="e">
        <f>V26+SUM(W24:AB24)-Q24-AC24</f>
        <v>#REF!</v>
      </c>
    </row>
    <row r="25" spans="1:34" ht="30" x14ac:dyDescent="0.25">
      <c r="A25" t="s">
        <v>31</v>
      </c>
      <c r="B25" s="16">
        <v>1163.2</v>
      </c>
      <c r="C25" t="s">
        <v>41</v>
      </c>
      <c r="E25" s="4" t="s">
        <v>120</v>
      </c>
      <c r="G25">
        <v>120</v>
      </c>
      <c r="H25">
        <v>120</v>
      </c>
      <c r="I25">
        <v>30</v>
      </c>
      <c r="J25">
        <f>E24</f>
        <v>61</v>
      </c>
      <c r="P25" s="5"/>
      <c r="Q25" t="s">
        <v>7</v>
      </c>
      <c r="R25" t="s">
        <v>63</v>
      </c>
      <c r="S25" t="s">
        <v>64</v>
      </c>
      <c r="T25" t="s">
        <v>65</v>
      </c>
      <c r="U25" t="s">
        <v>66</v>
      </c>
      <c r="V25" t="s">
        <v>62</v>
      </c>
      <c r="W25" s="21" t="s">
        <v>57</v>
      </c>
      <c r="X25" s="22" t="s">
        <v>6</v>
      </c>
      <c r="Y25" t="s">
        <v>63</v>
      </c>
      <c r="Z25" t="s">
        <v>64</v>
      </c>
      <c r="AA25" t="s">
        <v>65</v>
      </c>
      <c r="AB25" t="s">
        <v>66</v>
      </c>
      <c r="AC25" t="s">
        <v>60</v>
      </c>
      <c r="AD25" t="s">
        <v>124</v>
      </c>
      <c r="AE25" t="s">
        <v>125</v>
      </c>
      <c r="AF25" t="s">
        <v>126</v>
      </c>
      <c r="AG25" t="s">
        <v>127</v>
      </c>
      <c r="AH25" t="s">
        <v>132</v>
      </c>
    </row>
    <row r="26" spans="1:34" x14ac:dyDescent="0.25">
      <c r="A26" t="s">
        <v>32</v>
      </c>
      <c r="B26" s="16">
        <v>1010.3</v>
      </c>
      <c r="C26" t="s">
        <v>41</v>
      </c>
      <c r="E26" s="4" t="s">
        <v>123</v>
      </c>
      <c r="G26" s="10">
        <f>0.8*G20</f>
        <v>0</v>
      </c>
      <c r="H26" s="10">
        <f>0.8*H20</f>
        <v>0</v>
      </c>
      <c r="I26" s="19" t="e">
        <f>I20/ConceptDemo!L29</f>
        <v>#REF!</v>
      </c>
      <c r="J26" s="19">
        <f>J21</f>
        <v>5</v>
      </c>
      <c r="P26" s="12">
        <f>ConceptDemo!$C$17-10</f>
        <v>44444</v>
      </c>
      <c r="Q26">
        <f>IF(OR(P26&lt;ConceptDemo!$C$17,Backend!P26&gt;ConceptDemo!$C$18),0,IF(Backend!P26&lt;=Backend!$R$12,Backend!Q25+Backend!$T$12,IF(Backend!P26&lt;=Backend!$R$13,Backend!Q25+Backend!$T$13,IF(Backend!P26&lt;=Backend!$R$14,Backend!Q25+Backend!$T$14,IF(Backend!P26&lt;=Backend!$R$15,Backend!Q25+Backend!$T$15,IF(Backend!P26&lt;=Backend!$X$16,Backend!Q25+Backend!$Z$16))))))</f>
        <v>0</v>
      </c>
      <c r="R26" s="19" t="str">
        <f>IF(1&lt;=ConceptDemo!$L$29,IF(P26=$W$12,ConceptDemo!$L$27,""),"")</f>
        <v/>
      </c>
      <c r="S26" s="19" t="str">
        <f>IF(2&lt;=ConceptDemo!$L$29,IF(P26=$W$13,ConceptDemo!$L$27,""),"")</f>
        <v/>
      </c>
      <c r="T26" s="19" t="str">
        <f>IF(3&lt;=ConceptDemo!$L$29,IF(P26=$W$14,ConceptDemo!$L$27,""),"")</f>
        <v/>
      </c>
      <c r="U26" s="19" t="str">
        <f>IF(4&lt;=ConceptDemo!$L$29,IF(P26=$W$15,ConceptDemo!$L$27,""),"")</f>
        <v/>
      </c>
      <c r="V26" s="19" t="e">
        <f>F20</f>
        <v>#REF!</v>
      </c>
      <c r="W26" s="18">
        <f>IF($P26&lt;ConceptDemo!$C$17+$E$24-10,$G$27,0)</f>
        <v>0</v>
      </c>
      <c r="X26" s="18">
        <f>IF($P26&lt;ConceptDemo!$C$17+$E$24-10,$H$27,0)</f>
        <v>0</v>
      </c>
      <c r="Y26" s="10">
        <f>IFERROR(IF(AND($P26&gt;=$W$12,$P26&lt;$W$12+$I$25),$I$27,0),0)</f>
        <v>0</v>
      </c>
      <c r="Z26" s="10">
        <f>IFERROR(IF(AND($P26&gt;=$W$13,$P26&lt;$W$13+$I$25),$I$27,0),0)</f>
        <v>0</v>
      </c>
      <c r="AA26" s="10">
        <f>IFERROR(IF(AND($P26&gt;=$W$14,$P26&lt;$W$14+$I$25),$I$27,0),0)</f>
        <v>0</v>
      </c>
      <c r="AB26" s="10">
        <f>IFERROR(IF(AND($P26&gt;=$W$15,$P26&lt;$W$15+$I$25),$I$27,0),0)</f>
        <v>0</v>
      </c>
      <c r="AC26" s="18">
        <f>IF(Q26&gt;0,$J$27,0)</f>
        <v>0</v>
      </c>
      <c r="AD26" s="18" t="e">
        <f>IF(P26&lt;ConceptDemo!$C$18,$V$26+SUM(W26:AB26)-Q26,0)</f>
        <v>#REF!</v>
      </c>
      <c r="AE26" s="18" t="e">
        <f>IF(ConceptDemo!$C$7=Backend!$A$2,Backend!AD26,IF(P26=ConceptDemo!#REF!,ConceptDemo!#REF!,AD26))</f>
        <v>#REF!</v>
      </c>
      <c r="AF26" s="18" t="e">
        <f>AE26-(AE26*$AF$22)</f>
        <v>#REF!</v>
      </c>
      <c r="AG26" s="18" t="e">
        <f>AE26+(AE26*$AF$22)</f>
        <v>#REF!</v>
      </c>
      <c r="AH26" s="18" t="e">
        <f>AG26-AF26</f>
        <v>#REF!</v>
      </c>
    </row>
    <row r="27" spans="1:34" x14ac:dyDescent="0.25">
      <c r="A27" t="s">
        <v>33</v>
      </c>
      <c r="B27" s="16">
        <v>959.4</v>
      </c>
      <c r="C27" t="s">
        <v>41</v>
      </c>
      <c r="E27" s="4" t="s">
        <v>122</v>
      </c>
      <c r="G27" s="18">
        <f>G20/$E$24</f>
        <v>0</v>
      </c>
      <c r="H27" s="18">
        <f>H20/$E$24</f>
        <v>0</v>
      </c>
      <c r="I27" s="18" t="e">
        <f>I26/I25</f>
        <v>#REF!</v>
      </c>
      <c r="J27" s="18">
        <f>J26/E24</f>
        <v>8.1967213114754092E-2</v>
      </c>
      <c r="P27" s="12">
        <f>IFERROR(IF(P26+1=ConceptDemo!$C$18+10,"",Backend!P26+1),"")</f>
        <v>44445</v>
      </c>
      <c r="Q27">
        <f>IF(OR(P27&lt;ConceptDemo!$C$17,Backend!P27&gt;ConceptDemo!$C$18),0,IF(Backend!P27&lt;=Backend!$R$12,Backend!Q26+Backend!$T$12,IF(Backend!P27&lt;=Backend!$R$13,Backend!Q26+Backend!$T$13,IF(Backend!P27&lt;=Backend!$R$14,Backend!Q26+Backend!$T$14,IF(Backend!P27&lt;=Backend!$R$15,Backend!Q26+Backend!$T$15,IF(Backend!P27&lt;=Backend!$X$16,Backend!Q26+Backend!$Z$16))))))</f>
        <v>0</v>
      </c>
      <c r="R27" s="19" t="str">
        <f>IF(1&lt;=ConceptDemo!$L$29,IF(P27=$W$12,ConceptDemo!$L$27,""),"")</f>
        <v/>
      </c>
      <c r="S27" s="19" t="str">
        <f>IF(2&lt;=ConceptDemo!$L$29,IF(P27=$W$13,ConceptDemo!$L$27,""),"")</f>
        <v/>
      </c>
      <c r="T27" s="19" t="str">
        <f>IF(3&lt;=ConceptDemo!$L$29,IF(P27=$W$14,ConceptDemo!$L$27,""),"")</f>
        <v/>
      </c>
      <c r="U27" s="19" t="str">
        <f>IF(4&lt;=ConceptDemo!$L$29,IF(P27=$W$15,ConceptDemo!$L$27,""),"")</f>
        <v/>
      </c>
      <c r="W27" s="18">
        <f>IF($P27&lt;ConceptDemo!$C$17+$E$24-10,$G$27,0)</f>
        <v>0</v>
      </c>
      <c r="X27" s="18">
        <f>IF($P27&lt;ConceptDemo!$C$17+$E$24-10,$H$27,0)</f>
        <v>0</v>
      </c>
      <c r="Y27" s="10">
        <f t="shared" ref="Y27:Y90" si="1">IFERROR(IF(AND($P27&gt;=$W$12,$P27&lt;$W$12+$I$25),$I$27,0),0)</f>
        <v>0</v>
      </c>
      <c r="Z27" s="10">
        <f t="shared" ref="Z27:Z90" si="2">IFERROR(IF(AND($P27&gt;=$W$13,$P27&lt;$W$13+$I$25),$I$27,0),0)</f>
        <v>0</v>
      </c>
      <c r="AA27" s="10">
        <f t="shared" ref="AA27:AA90" si="3">IFERROR(IF(AND($P27&gt;=$W$14,$P27&lt;$W$14+$I$25),$I$27,0),0)</f>
        <v>0</v>
      </c>
      <c r="AB27" s="10">
        <f t="shared" ref="AB27:AB90" si="4">IFERROR(IF(AND($P27&gt;=$W$15,$P27&lt;$W$15+$I$25),$I$27,0),0)</f>
        <v>0</v>
      </c>
      <c r="AC27" s="18">
        <f t="shared" ref="AC27:AC90" si="5">IF(Q27&gt;0,$J$27,0)</f>
        <v>0</v>
      </c>
      <c r="AD27" s="18" t="e">
        <f>IF(P27&lt;=ConceptDemo!$C$18,AD26+SUM(W27:AB27)-(Q27-Q26)-AC27,0)</f>
        <v>#REF!</v>
      </c>
      <c r="AE27" s="18" t="e">
        <f>IF(ConceptDemo!$C$7=Backend!$A$2,AD27,IF(AE26&lt;&gt;AD26,IF(P27&lt;=ConceptDemo!$C$18,AE26+SUM(W27:AB27)-(Q27-Q26)-AC27,0),IF(P27=ConceptDemo!#REF!,ConceptDemo!#REF!,AD27)))</f>
        <v>#REF!</v>
      </c>
      <c r="AF27" s="18" t="e">
        <f>IF(AE27=0,0,IF(AE27-(AE27*($AF$22+0.1%))&gt;=AE27-(AE27*$AG$22),AE27-(AE27*$AG$22),AE27-(AE27*($AF$22+0.1%))))</f>
        <v>#REF!</v>
      </c>
      <c r="AG27" s="18" t="e">
        <f>IF(AE27=0,0,IF(AE27+(AE27*($AF$22+0.1%))&gt;=AE27+(AE27*$AG$22),AE27+(AE27*$AG$22),AE27+(AE27*($AF$22+0.1%))))</f>
        <v>#REF!</v>
      </c>
      <c r="AH27" s="18" t="e">
        <f t="shared" ref="AH27:AH90" si="6">AG27-AF27</f>
        <v>#REF!</v>
      </c>
    </row>
    <row r="28" spans="1:34" x14ac:dyDescent="0.25">
      <c r="A28" t="s">
        <v>34</v>
      </c>
      <c r="B28" s="16">
        <v>1463.2</v>
      </c>
      <c r="C28" t="s">
        <v>41</v>
      </c>
      <c r="P28" s="12">
        <f>IFERROR(IF(P27+1=ConceptDemo!$C$18+10,"",Backend!P27+1),"")</f>
        <v>44446</v>
      </c>
      <c r="Q28">
        <f>IF(OR(P28&lt;ConceptDemo!$C$17,Backend!P28&gt;ConceptDemo!$C$18),0,IF(Backend!P28&lt;=Backend!$R$12,Backend!Q27+Backend!$T$12,IF(Backend!P28&lt;=Backend!$R$13,Backend!Q27+Backend!$T$13,IF(Backend!P28&lt;=Backend!$R$14,Backend!Q27+Backend!$T$14,IF(Backend!P28&lt;=Backend!$R$15,Backend!Q27+Backend!$T$15,IF(Backend!P28&lt;=Backend!$X$16,Backend!Q27+Backend!$Z$16))))))</f>
        <v>0</v>
      </c>
      <c r="R28" s="19" t="str">
        <f>IF(1&lt;=ConceptDemo!$L$29,IF(P28=$W$12,ConceptDemo!$L$27,""),"")</f>
        <v/>
      </c>
      <c r="S28" s="19" t="str">
        <f>IF(2&lt;=ConceptDemo!$L$29,IF(P28=$W$13,ConceptDemo!$L$27,""),"")</f>
        <v/>
      </c>
      <c r="T28" s="19" t="str">
        <f>IF(3&lt;=ConceptDemo!$L$29,IF(P28=$W$14,ConceptDemo!$L$27,""),"")</f>
        <v/>
      </c>
      <c r="U28" s="19" t="str">
        <f>IF(4&lt;=ConceptDemo!$L$29,IF(P28=$W$15,ConceptDemo!$L$27,""),"")</f>
        <v/>
      </c>
      <c r="W28" s="18">
        <f>IF($P28&lt;ConceptDemo!$C$17+$E$24-10,$G$27,0)</f>
        <v>0</v>
      </c>
      <c r="X28" s="18">
        <f>IF($P28&lt;ConceptDemo!$C$17+$E$24-10,$H$27,0)</f>
        <v>0</v>
      </c>
      <c r="Y28" s="10">
        <f t="shared" si="1"/>
        <v>0</v>
      </c>
      <c r="Z28" s="10">
        <f t="shared" si="2"/>
        <v>0</v>
      </c>
      <c r="AA28" s="10">
        <f t="shared" si="3"/>
        <v>0</v>
      </c>
      <c r="AB28" s="10">
        <f t="shared" si="4"/>
        <v>0</v>
      </c>
      <c r="AC28" s="18">
        <f t="shared" si="5"/>
        <v>0</v>
      </c>
      <c r="AD28" s="18" t="e">
        <f>IF(P28&lt;=ConceptDemo!$C$18,AD27+SUM(W28:AB28)-(Q28-Q27)-AC28,0)</f>
        <v>#REF!</v>
      </c>
      <c r="AE28" s="18" t="e">
        <f>IF(ConceptDemo!$C$7=Backend!$A$2,AD28,IF(AE27&lt;&gt;AD27,IF(P28&lt;=ConceptDemo!$C$18,AE27+SUM(W28:AB28)-(Q28-Q27)-AC28,0),IF(P28=ConceptDemo!#REF!,ConceptDemo!#REF!,AD28)))</f>
        <v>#REF!</v>
      </c>
      <c r="AF28" s="18" t="e">
        <f t="shared" ref="AF28:AF91" si="7">IF(AE28=0,0,IF(AE28-(AE28*($AF$22+0.1%))&gt;=AE28-(AE28*$AG$22),AE28-(AE28*$AG$22),AE28-(AE28*($AF$22+0.1%))))</f>
        <v>#REF!</v>
      </c>
      <c r="AG28" s="18" t="e">
        <f t="shared" ref="AG28:AG91" si="8">IF(AE28=0,0,IF(AE28+(AE28*($AF$22+0.1%))&gt;=AE28+(AE28*$AG$22),AE28+(AE28*$AG$22),AE28+(AE28*($AF$22+0.1%))))</f>
        <v>#REF!</v>
      </c>
      <c r="AH28" s="18" t="e">
        <f t="shared" si="6"/>
        <v>#REF!</v>
      </c>
    </row>
    <row r="29" spans="1:34" x14ac:dyDescent="0.25">
      <c r="A29" t="s">
        <v>35</v>
      </c>
      <c r="B29" s="16">
        <v>681.3</v>
      </c>
      <c r="C29" t="s">
        <v>41</v>
      </c>
      <c r="P29" s="12">
        <f>IFERROR(IF(P28+1=ConceptDemo!$C$18+10,"",Backend!P28+1),"")</f>
        <v>44447</v>
      </c>
      <c r="Q29">
        <f>IF(OR(P29&lt;ConceptDemo!$C$17,Backend!P29&gt;ConceptDemo!$C$18),0,IF(Backend!P29&lt;=Backend!$R$12,Backend!Q28+Backend!$T$12,IF(Backend!P29&lt;=Backend!$R$13,Backend!Q28+Backend!$T$13,IF(Backend!P29&lt;=Backend!$R$14,Backend!Q28+Backend!$T$14,IF(Backend!P29&lt;=Backend!$R$15,Backend!Q28+Backend!$T$15,IF(Backend!P29&lt;=Backend!$X$16,Backend!Q28+Backend!$Z$16))))))</f>
        <v>0</v>
      </c>
      <c r="R29" s="19" t="str">
        <f>IF(1&lt;=ConceptDemo!$L$29,IF(P29=$W$12,ConceptDemo!$L$27,""),"")</f>
        <v/>
      </c>
      <c r="S29" s="19" t="str">
        <f>IF(2&lt;=ConceptDemo!$L$29,IF(P29=$W$13,ConceptDemo!$L$27,""),"")</f>
        <v/>
      </c>
      <c r="T29" s="19" t="str">
        <f>IF(3&lt;=ConceptDemo!$L$29,IF(P29=$W$14,ConceptDemo!$L$27,""),"")</f>
        <v/>
      </c>
      <c r="U29" s="19" t="str">
        <f>IF(4&lt;=ConceptDemo!$L$29,IF(P29=$W$15,ConceptDemo!$L$27,""),"")</f>
        <v/>
      </c>
      <c r="W29" s="18">
        <f>IF($P29&lt;ConceptDemo!$C$17+$E$24-10,$G$27,0)</f>
        <v>0</v>
      </c>
      <c r="X29" s="18">
        <f>IF($P29&lt;ConceptDemo!$C$17+$E$24-10,$H$27,0)</f>
        <v>0</v>
      </c>
      <c r="Y29" s="10">
        <f t="shared" si="1"/>
        <v>0</v>
      </c>
      <c r="Z29" s="10">
        <f t="shared" si="2"/>
        <v>0</v>
      </c>
      <c r="AA29" s="10">
        <f t="shared" si="3"/>
        <v>0</v>
      </c>
      <c r="AB29" s="10">
        <f t="shared" si="4"/>
        <v>0</v>
      </c>
      <c r="AC29" s="18">
        <f t="shared" si="5"/>
        <v>0</v>
      </c>
      <c r="AD29" s="18" t="e">
        <f>IF(P29&lt;=ConceptDemo!$C$18,AD28+SUM(W29:AB29)-(Q29-Q28)-AC29,0)</f>
        <v>#REF!</v>
      </c>
      <c r="AE29" s="18" t="e">
        <f>IF(ConceptDemo!$C$7=Backend!$A$2,AD29,IF(AE28&lt;&gt;AD28,IF(P29&lt;=ConceptDemo!$C$18,AE28+SUM(W29:AB29)-(Q29-Q28)-AC29,0),IF(P29=ConceptDemo!#REF!,ConceptDemo!#REF!,AD29)))</f>
        <v>#REF!</v>
      </c>
      <c r="AF29" s="18" t="e">
        <f t="shared" si="7"/>
        <v>#REF!</v>
      </c>
      <c r="AG29" s="18" t="e">
        <f t="shared" si="8"/>
        <v>#REF!</v>
      </c>
      <c r="AH29" s="18" t="e">
        <f t="shared" si="6"/>
        <v>#REF!</v>
      </c>
    </row>
    <row r="30" spans="1:34" x14ac:dyDescent="0.25">
      <c r="A30" t="s">
        <v>36</v>
      </c>
      <c r="B30" s="16">
        <v>2901.3</v>
      </c>
      <c r="C30" t="s">
        <v>41</v>
      </c>
      <c r="P30" s="12">
        <f>IFERROR(IF(P29+1=ConceptDemo!$C$18+10,"",Backend!P29+1),"")</f>
        <v>44448</v>
      </c>
      <c r="Q30">
        <f>IF(OR(P30&lt;ConceptDemo!$C$17,Backend!P30&gt;ConceptDemo!$C$18),0,IF(Backend!P30&lt;=Backend!$R$12,Backend!Q29+Backend!$T$12,IF(Backend!P30&lt;=Backend!$R$13,Backend!Q29+Backend!$T$13,IF(Backend!P30&lt;=Backend!$R$14,Backend!Q29+Backend!$T$14,IF(Backend!P30&lt;=Backend!$R$15,Backend!Q29+Backend!$T$15,IF(Backend!P30&lt;=Backend!$X$16,Backend!Q29+Backend!$Z$16))))))</f>
        <v>0</v>
      </c>
      <c r="R30" s="19" t="str">
        <f>IF(1&lt;=ConceptDemo!$L$29,IF(P30=$W$12,ConceptDemo!$L$27,""),"")</f>
        <v/>
      </c>
      <c r="S30" s="19" t="str">
        <f>IF(2&lt;=ConceptDemo!$L$29,IF(P30=$W$13,ConceptDemo!$L$27,""),"")</f>
        <v/>
      </c>
      <c r="T30" s="19" t="str">
        <f>IF(3&lt;=ConceptDemo!$L$29,IF(P30=$W$14,ConceptDemo!$L$27,""),"")</f>
        <v/>
      </c>
      <c r="U30" s="19" t="str">
        <f>IF(4&lt;=ConceptDemo!$L$29,IF(P30=$W$15,ConceptDemo!$L$27,""),"")</f>
        <v/>
      </c>
      <c r="W30" s="18">
        <f>IF($P30&lt;ConceptDemo!$C$17+$E$24-10,$G$27,0)</f>
        <v>0</v>
      </c>
      <c r="X30" s="18">
        <f>IF($P30&lt;ConceptDemo!$C$17+$E$24-10,$H$27,0)</f>
        <v>0</v>
      </c>
      <c r="Y30" s="10">
        <f t="shared" si="1"/>
        <v>0</v>
      </c>
      <c r="Z30" s="10">
        <f t="shared" si="2"/>
        <v>0</v>
      </c>
      <c r="AA30" s="10">
        <f t="shared" si="3"/>
        <v>0</v>
      </c>
      <c r="AB30" s="10">
        <f t="shared" si="4"/>
        <v>0</v>
      </c>
      <c r="AC30" s="18">
        <f t="shared" si="5"/>
        <v>0</v>
      </c>
      <c r="AD30" s="18" t="e">
        <f>IF(P30&lt;=ConceptDemo!$C$18,AD29+SUM(W30:AB30)-(Q30-Q29)-AC30,0)</f>
        <v>#REF!</v>
      </c>
      <c r="AE30" s="18" t="e">
        <f>IF(ConceptDemo!$C$7=Backend!$A$2,AD30,IF(AE29&lt;&gt;AD29,IF(P30&lt;=ConceptDemo!$C$18,AE29+SUM(W30:AB30)-(Q30-Q29)-AC30,0),IF(P30=ConceptDemo!#REF!,ConceptDemo!#REF!,AD30)))</f>
        <v>#REF!</v>
      </c>
      <c r="AF30" s="18" t="e">
        <f t="shared" si="7"/>
        <v>#REF!</v>
      </c>
      <c r="AG30" s="18" t="e">
        <f t="shared" si="8"/>
        <v>#REF!</v>
      </c>
      <c r="AH30" s="18" t="e">
        <f t="shared" si="6"/>
        <v>#REF!</v>
      </c>
    </row>
    <row r="31" spans="1:34" x14ac:dyDescent="0.25">
      <c r="A31" t="s">
        <v>38</v>
      </c>
      <c r="B31" s="16">
        <v>920.2</v>
      </c>
      <c r="C31" t="s">
        <v>41</v>
      </c>
      <c r="P31" s="12">
        <f>IFERROR(IF(P30+1=ConceptDemo!$C$18+10,"",Backend!P30+1),"")</f>
        <v>44449</v>
      </c>
      <c r="Q31">
        <f>IF(OR(P31&lt;ConceptDemo!$C$17,Backend!P31&gt;ConceptDemo!$C$18),0,IF(Backend!P31&lt;=Backend!$R$12,Backend!Q30+Backend!$T$12,IF(Backend!P31&lt;=Backend!$R$13,Backend!Q30+Backend!$T$13,IF(Backend!P31&lt;=Backend!$R$14,Backend!Q30+Backend!$T$14,IF(Backend!P31&lt;=Backend!$R$15,Backend!Q30+Backend!$T$15,IF(Backend!P31&lt;=Backend!$X$16,Backend!Q30+Backend!$Z$16))))))</f>
        <v>0</v>
      </c>
      <c r="R31" s="19" t="str">
        <f>IF(1&lt;=ConceptDemo!$L$29,IF(P31=$W$12,ConceptDemo!$L$27,""),"")</f>
        <v/>
      </c>
      <c r="S31" s="19" t="str">
        <f>IF(2&lt;=ConceptDemo!$L$29,IF(P31=$W$13,ConceptDemo!$L$27,""),"")</f>
        <v/>
      </c>
      <c r="T31" s="19" t="str">
        <f>IF(3&lt;=ConceptDemo!$L$29,IF(P31=$W$14,ConceptDemo!$L$27,""),"")</f>
        <v/>
      </c>
      <c r="U31" s="19" t="str">
        <f>IF(4&lt;=ConceptDemo!$L$29,IF(P31=$W$15,ConceptDemo!$L$27,""),"")</f>
        <v/>
      </c>
      <c r="W31" s="18">
        <f>IF($P31&lt;ConceptDemo!$C$17+$E$24-10,$G$27,0)</f>
        <v>0</v>
      </c>
      <c r="X31" s="18">
        <f>IF($P31&lt;ConceptDemo!$C$17+$E$24-10,$H$27,0)</f>
        <v>0</v>
      </c>
      <c r="Y31" s="10">
        <f t="shared" si="1"/>
        <v>0</v>
      </c>
      <c r="Z31" s="10">
        <f t="shared" si="2"/>
        <v>0</v>
      </c>
      <c r="AA31" s="10">
        <f t="shared" si="3"/>
        <v>0</v>
      </c>
      <c r="AB31" s="10">
        <f t="shared" si="4"/>
        <v>0</v>
      </c>
      <c r="AC31" s="18">
        <f t="shared" si="5"/>
        <v>0</v>
      </c>
      <c r="AD31" s="18" t="e">
        <f>IF(P31&lt;=ConceptDemo!$C$18,AD30+SUM(W31:AB31)-(Q31-Q30)-AC31,0)</f>
        <v>#REF!</v>
      </c>
      <c r="AE31" s="18" t="e">
        <f>IF(ConceptDemo!$C$7=Backend!$A$2,AD31,IF(AE30&lt;&gt;AD30,IF(P31&lt;=ConceptDemo!$C$18,AE30+SUM(W31:AB31)-(Q31-Q30)-AC31,0),IF(P31=ConceptDemo!#REF!,ConceptDemo!#REF!,AD31)))</f>
        <v>#REF!</v>
      </c>
      <c r="AF31" s="18" t="e">
        <f t="shared" si="7"/>
        <v>#REF!</v>
      </c>
      <c r="AG31" s="18" t="e">
        <f t="shared" si="8"/>
        <v>#REF!</v>
      </c>
      <c r="AH31" s="18" t="e">
        <f t="shared" si="6"/>
        <v>#REF!</v>
      </c>
    </row>
    <row r="32" spans="1:34" x14ac:dyDescent="0.25">
      <c r="A32" t="s">
        <v>37</v>
      </c>
      <c r="B32" s="16">
        <v>880</v>
      </c>
      <c r="C32" t="s">
        <v>41</v>
      </c>
      <c r="P32" s="12">
        <f>IFERROR(IF(P31+1=ConceptDemo!$C$18+10,"",Backend!P31+1),"")</f>
        <v>44450</v>
      </c>
      <c r="Q32">
        <f>IF(OR(P32&lt;ConceptDemo!$C$17,Backend!P32&gt;ConceptDemo!$C$18),0,IF(Backend!P32&lt;=Backend!$R$12,Backend!Q31+Backend!$T$12,IF(Backend!P32&lt;=Backend!$R$13,Backend!Q31+Backend!$T$13,IF(Backend!P32&lt;=Backend!$R$14,Backend!Q31+Backend!$T$14,IF(Backend!P32&lt;=Backend!$R$15,Backend!Q31+Backend!$T$15,IF(Backend!P32&lt;=Backend!$X$16,Backend!Q31+Backend!$Z$16))))))</f>
        <v>0</v>
      </c>
      <c r="R32" s="19" t="str">
        <f>IF(1&lt;=ConceptDemo!$L$29,IF(P32=$W$12,ConceptDemo!$L$27,""),"")</f>
        <v/>
      </c>
      <c r="S32" s="19" t="str">
        <f>IF(2&lt;=ConceptDemo!$L$29,IF(P32=$W$13,ConceptDemo!$L$27,""),"")</f>
        <v/>
      </c>
      <c r="T32" s="19" t="str">
        <f>IF(3&lt;=ConceptDemo!$L$29,IF(P32=$W$14,ConceptDemo!$L$27,""),"")</f>
        <v/>
      </c>
      <c r="U32" s="19" t="str">
        <f>IF(4&lt;=ConceptDemo!$L$29,IF(P32=$W$15,ConceptDemo!$L$27,""),"")</f>
        <v/>
      </c>
      <c r="W32" s="18">
        <f>IF($P32&lt;ConceptDemo!$C$17+$E$24-10,$G$27,0)</f>
        <v>0</v>
      </c>
      <c r="X32" s="18">
        <f>IF($P32&lt;ConceptDemo!$C$17+$E$24-10,$H$27,0)</f>
        <v>0</v>
      </c>
      <c r="Y32" s="10">
        <f t="shared" si="1"/>
        <v>0</v>
      </c>
      <c r="Z32" s="10">
        <f t="shared" si="2"/>
        <v>0</v>
      </c>
      <c r="AA32" s="10">
        <f t="shared" si="3"/>
        <v>0</v>
      </c>
      <c r="AB32" s="10">
        <f t="shared" si="4"/>
        <v>0</v>
      </c>
      <c r="AC32" s="18">
        <f t="shared" si="5"/>
        <v>0</v>
      </c>
      <c r="AD32" s="18" t="e">
        <f>IF(P32&lt;=ConceptDemo!$C$18,AD31+SUM(W32:AB32)-(Q32-Q31)-AC32,0)</f>
        <v>#REF!</v>
      </c>
      <c r="AE32" s="18" t="e">
        <f>IF(ConceptDemo!$C$7=Backend!$A$2,AD32,IF(AE31&lt;&gt;AD31,IF(P32&lt;=ConceptDemo!$C$18,AE31+SUM(W32:AB32)-(Q32-Q31)-AC32,0),IF(P32=ConceptDemo!#REF!,ConceptDemo!#REF!,AD32)))</f>
        <v>#REF!</v>
      </c>
      <c r="AF32" s="18" t="e">
        <f t="shared" si="7"/>
        <v>#REF!</v>
      </c>
      <c r="AG32" s="18" t="e">
        <f t="shared" si="8"/>
        <v>#REF!</v>
      </c>
      <c r="AH32" s="18" t="e">
        <f t="shared" si="6"/>
        <v>#REF!</v>
      </c>
    </row>
    <row r="33" spans="1:34" x14ac:dyDescent="0.25">
      <c r="A33" t="s">
        <v>39</v>
      </c>
      <c r="B33" s="16">
        <v>1148.8</v>
      </c>
      <c r="C33" t="s">
        <v>41</v>
      </c>
      <c r="P33" s="12">
        <f>IFERROR(IF(P32+1=ConceptDemo!$C$18+10,"",Backend!P32+1),"")</f>
        <v>44451</v>
      </c>
      <c r="Q33">
        <f>IF(OR(P33&lt;ConceptDemo!$C$17,Backend!P33&gt;ConceptDemo!$C$18),0,IF(Backend!P33&lt;=Backend!$R$12,Backend!Q32+Backend!$T$12,IF(Backend!P33&lt;=Backend!$R$13,Backend!Q32+Backend!$T$13,IF(Backend!P33&lt;=Backend!$R$14,Backend!Q32+Backend!$T$14,IF(Backend!P33&lt;=Backend!$R$15,Backend!Q32+Backend!$T$15,IF(Backend!P33&lt;=Backend!$X$16,Backend!Q32+Backend!$Z$16))))))</f>
        <v>0</v>
      </c>
      <c r="R33" s="19" t="str">
        <f>IF(1&lt;=ConceptDemo!$L$29,IF(P33=$W$12,ConceptDemo!$L$27,""),"")</f>
        <v/>
      </c>
      <c r="S33" s="19" t="str">
        <f>IF(2&lt;=ConceptDemo!$L$29,IF(P33=$W$13,ConceptDemo!$L$27,""),"")</f>
        <v/>
      </c>
      <c r="T33" s="19" t="str">
        <f>IF(3&lt;=ConceptDemo!$L$29,IF(P33=$W$14,ConceptDemo!$L$27,""),"")</f>
        <v/>
      </c>
      <c r="U33" s="19" t="str">
        <f>IF(4&lt;=ConceptDemo!$L$29,IF(P33=$W$15,ConceptDemo!$L$27,""),"")</f>
        <v/>
      </c>
      <c r="W33" s="18">
        <f>IF($P33&lt;ConceptDemo!$C$17+$E$24-10,$G$27,0)</f>
        <v>0</v>
      </c>
      <c r="X33" s="18">
        <f>IF($P33&lt;ConceptDemo!$C$17+$E$24-10,$H$27,0)</f>
        <v>0</v>
      </c>
      <c r="Y33" s="10">
        <f t="shared" si="1"/>
        <v>0</v>
      </c>
      <c r="Z33" s="10">
        <f t="shared" si="2"/>
        <v>0</v>
      </c>
      <c r="AA33" s="10">
        <f t="shared" si="3"/>
        <v>0</v>
      </c>
      <c r="AB33" s="10">
        <f t="shared" si="4"/>
        <v>0</v>
      </c>
      <c r="AC33" s="18">
        <f t="shared" si="5"/>
        <v>0</v>
      </c>
      <c r="AD33" s="18" t="e">
        <f>IF(P33&lt;=ConceptDemo!$C$18,AD32+SUM(W33:AB33)-(Q33-Q32)-AC33,0)</f>
        <v>#REF!</v>
      </c>
      <c r="AE33" s="18" t="e">
        <f>IF(ConceptDemo!$C$7=Backend!$A$2,AD33,IF(AE32&lt;&gt;AD32,IF(P33&lt;=ConceptDemo!$C$18,AE32+SUM(W33:AB33)-(Q33-Q32)-AC33,0),IF(P33=ConceptDemo!#REF!,ConceptDemo!#REF!,AD33)))</f>
        <v>#REF!</v>
      </c>
      <c r="AF33" s="18" t="e">
        <f t="shared" si="7"/>
        <v>#REF!</v>
      </c>
      <c r="AG33" s="18" t="e">
        <f t="shared" si="8"/>
        <v>#REF!</v>
      </c>
      <c r="AH33" s="18" t="e">
        <f t="shared" si="6"/>
        <v>#REF!</v>
      </c>
    </row>
    <row r="34" spans="1:34" x14ac:dyDescent="0.25">
      <c r="P34" s="12">
        <f>IFERROR(IF(P33+1=ConceptDemo!$C$18+10,"",Backend!P33+1),"")</f>
        <v>44452</v>
      </c>
      <c r="Q34">
        <f>IF(OR(P34&lt;ConceptDemo!$C$17,Backend!P34&gt;ConceptDemo!$C$18),0,IF(Backend!P34&lt;=Backend!$R$12,Backend!Q33+Backend!$T$12,IF(Backend!P34&lt;=Backend!$R$13,Backend!Q33+Backend!$T$13,IF(Backend!P34&lt;=Backend!$R$14,Backend!Q33+Backend!$T$14,IF(Backend!P34&lt;=Backend!$R$15,Backend!Q33+Backend!$T$15,IF(Backend!P34&lt;=Backend!$X$16,Backend!Q33+Backend!$Z$16))))))</f>
        <v>0</v>
      </c>
      <c r="R34" s="19" t="str">
        <f>IF(1&lt;=ConceptDemo!$L$29,IF(P34=$W$12,ConceptDemo!$L$27,""),"")</f>
        <v/>
      </c>
      <c r="S34" s="19" t="str">
        <f>IF(2&lt;=ConceptDemo!$L$29,IF(P34=$W$13,ConceptDemo!$L$27,""),"")</f>
        <v/>
      </c>
      <c r="T34" s="19" t="str">
        <f>IF(3&lt;=ConceptDemo!$L$29,IF(P34=$W$14,ConceptDemo!$L$27,""),"")</f>
        <v/>
      </c>
      <c r="U34" s="19" t="str">
        <f>IF(4&lt;=ConceptDemo!$L$29,IF(P34=$W$15,ConceptDemo!$L$27,""),"")</f>
        <v/>
      </c>
      <c r="W34" s="18">
        <f>IF($P34&lt;ConceptDemo!$C$17+$E$24-10,$G$27,0)</f>
        <v>0</v>
      </c>
      <c r="X34" s="18">
        <f>IF($P34&lt;ConceptDemo!$C$17+$E$24-10,$H$27,0)</f>
        <v>0</v>
      </c>
      <c r="Y34" s="10">
        <f t="shared" si="1"/>
        <v>0</v>
      </c>
      <c r="Z34" s="10">
        <f t="shared" si="2"/>
        <v>0</v>
      </c>
      <c r="AA34" s="10">
        <f t="shared" si="3"/>
        <v>0</v>
      </c>
      <c r="AB34" s="10">
        <f t="shared" si="4"/>
        <v>0</v>
      </c>
      <c r="AC34" s="18">
        <f t="shared" si="5"/>
        <v>0</v>
      </c>
      <c r="AD34" s="18" t="e">
        <f>IF(P34&lt;=ConceptDemo!$C$18,AD33+SUM(W34:AB34)-(Q34-Q33)-AC34,0)</f>
        <v>#REF!</v>
      </c>
      <c r="AE34" s="18" t="e">
        <f>IF(ConceptDemo!$C$7=Backend!$A$2,AD34,IF(AE33&lt;&gt;AD33,IF(P34&lt;=ConceptDemo!$C$18,AE33+SUM(W34:AB34)-(Q34-Q33)-AC34,0),IF(P34=ConceptDemo!#REF!,ConceptDemo!#REF!,AD34)))</f>
        <v>#REF!</v>
      </c>
      <c r="AF34" s="18" t="e">
        <f t="shared" si="7"/>
        <v>#REF!</v>
      </c>
      <c r="AG34" s="18" t="e">
        <f t="shared" si="8"/>
        <v>#REF!</v>
      </c>
      <c r="AH34" s="18" t="e">
        <f t="shared" si="6"/>
        <v>#REF!</v>
      </c>
    </row>
    <row r="35" spans="1:34" x14ac:dyDescent="0.25">
      <c r="P35" s="12">
        <f>IFERROR(IF(P34+1=ConceptDemo!$C$18+10,"",Backend!P34+1),"")</f>
        <v>44453</v>
      </c>
      <c r="Q35">
        <f>IF(OR(P35&lt;ConceptDemo!$C$17,Backend!P35&gt;ConceptDemo!$C$18),0,IF(Backend!P35&lt;=Backend!$R$12,Backend!Q34+Backend!$T$12,IF(Backend!P35&lt;=Backend!$R$13,Backend!Q34+Backend!$T$13,IF(Backend!P35&lt;=Backend!$R$14,Backend!Q34+Backend!$T$14,IF(Backend!P35&lt;=Backend!$R$15,Backend!Q34+Backend!$T$15,IF(Backend!P35&lt;=Backend!$X$16,Backend!Q34+Backend!$Z$16))))))</f>
        <v>0</v>
      </c>
      <c r="R35" s="19" t="str">
        <f>IF(1&lt;=ConceptDemo!$L$29,IF(P35=$W$12,ConceptDemo!$L$27,""),"")</f>
        <v/>
      </c>
      <c r="S35" s="19" t="str">
        <f>IF(2&lt;=ConceptDemo!$L$29,IF(P35=$W$13,ConceptDemo!$L$27,""),"")</f>
        <v/>
      </c>
      <c r="T35" s="19" t="str">
        <f>IF(3&lt;=ConceptDemo!$L$29,IF(P35=$W$14,ConceptDemo!$L$27,""),"")</f>
        <v/>
      </c>
      <c r="U35" s="19" t="str">
        <f>IF(4&lt;=ConceptDemo!$L$29,IF(P35=$W$15,ConceptDemo!$L$27,""),"")</f>
        <v/>
      </c>
      <c r="W35" s="18">
        <f>IF($P35&lt;ConceptDemo!$C$17+$E$24-10,$G$27,0)</f>
        <v>0</v>
      </c>
      <c r="X35" s="18">
        <f>IF($P35&lt;ConceptDemo!$C$17+$E$24-10,$H$27,0)</f>
        <v>0</v>
      </c>
      <c r="Y35" s="10">
        <f t="shared" si="1"/>
        <v>0</v>
      </c>
      <c r="Z35" s="10">
        <f t="shared" si="2"/>
        <v>0</v>
      </c>
      <c r="AA35" s="10">
        <f t="shared" si="3"/>
        <v>0</v>
      </c>
      <c r="AB35" s="10">
        <f t="shared" si="4"/>
        <v>0</v>
      </c>
      <c r="AC35" s="18">
        <f t="shared" si="5"/>
        <v>0</v>
      </c>
      <c r="AD35" s="18" t="e">
        <f>IF(P35&lt;=ConceptDemo!$C$18,AD34+SUM(W35:AB35)-(Q35-Q34)-AC35,0)</f>
        <v>#REF!</v>
      </c>
      <c r="AE35" s="18" t="e">
        <f>IF(ConceptDemo!$C$7=Backend!$A$2,AD35,IF(AE34&lt;&gt;AD34,IF(P35&lt;=ConceptDemo!$C$18,AE34+SUM(W35:AB35)-(Q35-Q34)-AC35,0),IF(P35=ConceptDemo!#REF!,ConceptDemo!#REF!,AD35)))</f>
        <v>#REF!</v>
      </c>
      <c r="AF35" s="18" t="e">
        <f t="shared" si="7"/>
        <v>#REF!</v>
      </c>
      <c r="AG35" s="18" t="e">
        <f t="shared" si="8"/>
        <v>#REF!</v>
      </c>
      <c r="AH35" s="18" t="e">
        <f t="shared" si="6"/>
        <v>#REF!</v>
      </c>
    </row>
    <row r="36" spans="1:34" x14ac:dyDescent="0.25">
      <c r="A36" s="5" t="s">
        <v>20</v>
      </c>
      <c r="P36" s="12">
        <f>IFERROR(IF(P35+1=ConceptDemo!$C$18+10,"",Backend!P35+1),"")</f>
        <v>44454</v>
      </c>
      <c r="Q36" s="10" t="e">
        <f>IF(OR(P36&lt;ConceptDemo!$C$17,Backend!P36&gt;ConceptDemo!$C$18),0,IF(Backend!P36&lt;=Backend!$R$12,Backend!Q35+Backend!$T$12,IF(Backend!P36&lt;=Backend!$R$13,Backend!Q35+Backend!$T$13,IF(Backend!P36&lt;=Backend!$R$14,Backend!Q35+Backend!$T$14,IF(Backend!P36&lt;=Backend!$R$15,Backend!Q35+Backend!$T$15,IF(Backend!P36&lt;=Backend!$X$16,Backend!Q35+Backend!$Z$16))))))</f>
        <v>#REF!</v>
      </c>
      <c r="R36" s="19" t="str">
        <f>IF(1&lt;=ConceptDemo!$L$29,IF(P36=$W$12,ConceptDemo!$L$27,""),"")</f>
        <v/>
      </c>
      <c r="S36" s="19" t="str">
        <f>IF(2&lt;=ConceptDemo!$L$29,IF(P36=$W$13,ConceptDemo!$L$27,""),"")</f>
        <v/>
      </c>
      <c r="T36" s="19" t="str">
        <f>IF(3&lt;=ConceptDemo!$L$29,IF(P36=$W$14,ConceptDemo!$L$27,""),"")</f>
        <v/>
      </c>
      <c r="U36" s="19" t="str">
        <f>IF(4&lt;=ConceptDemo!$L$29,IF(P36=$W$15,ConceptDemo!$L$27,""),"")</f>
        <v/>
      </c>
      <c r="W36" s="18">
        <f>IF($P36&lt;ConceptDemo!$C$17+$E$24-10,$G$27,0)</f>
        <v>0</v>
      </c>
      <c r="X36" s="18">
        <f>IF($P36&lt;ConceptDemo!$C$17+$E$24-10,$H$27,0)</f>
        <v>0</v>
      </c>
      <c r="Y36" s="10">
        <f t="shared" si="1"/>
        <v>0</v>
      </c>
      <c r="Z36" s="10">
        <f t="shared" si="2"/>
        <v>0</v>
      </c>
      <c r="AA36" s="10">
        <f t="shared" si="3"/>
        <v>0</v>
      </c>
      <c r="AB36" s="10">
        <f t="shared" si="4"/>
        <v>0</v>
      </c>
      <c r="AC36" s="18" t="e">
        <f t="shared" si="5"/>
        <v>#REF!</v>
      </c>
      <c r="AD36" s="18" t="e">
        <f>IF(P36&lt;=ConceptDemo!$C$18,AD35+SUM(W36:AB36)-(Q36-Q35)-AC36,0)</f>
        <v>#REF!</v>
      </c>
      <c r="AE36" s="18" t="e">
        <f>IF(ConceptDemo!$C$7=Backend!$A$2,AD36,IF(AE35&lt;&gt;AD35,IF(P36&lt;=ConceptDemo!$C$18,AE35+SUM(W36:AB36)-(Q36-Q35)-AC36,0),IF(P36=ConceptDemo!#REF!,ConceptDemo!#REF!,AD36)))</f>
        <v>#REF!</v>
      </c>
      <c r="AF36" s="18" t="e">
        <f t="shared" si="7"/>
        <v>#REF!</v>
      </c>
      <c r="AG36" s="18" t="e">
        <f t="shared" si="8"/>
        <v>#REF!</v>
      </c>
      <c r="AH36" s="18" t="e">
        <f t="shared" si="6"/>
        <v>#REF!</v>
      </c>
    </row>
    <row r="37" spans="1:34" x14ac:dyDescent="0.25">
      <c r="P37" s="12">
        <f>IFERROR(IF(P36+1=ConceptDemo!$C$18+10,"",Backend!P36+1),"")</f>
        <v>44455</v>
      </c>
      <c r="Q37" s="10" t="e">
        <f>IF(OR(P37&lt;ConceptDemo!$C$17,Backend!P37&gt;ConceptDemo!$C$18),0,IF(Backend!P37&lt;=Backend!$R$12,Backend!Q36+Backend!$T$12,IF(Backend!P37&lt;=Backend!$R$13,Backend!Q36+Backend!$T$13,IF(Backend!P37&lt;=Backend!$R$14,Backend!Q36+Backend!$T$14,IF(Backend!P37&lt;=Backend!$R$15,Backend!Q36+Backend!$T$15,IF(Backend!P37&lt;=Backend!$X$16,Backend!Q36+Backend!$Z$16))))))</f>
        <v>#REF!</v>
      </c>
      <c r="R37" s="19" t="str">
        <f>IF(1&lt;=ConceptDemo!$L$29,IF(P37=$W$12,ConceptDemo!$L$27,""),"")</f>
        <v/>
      </c>
      <c r="S37" s="19" t="str">
        <f>IF(2&lt;=ConceptDemo!$L$29,IF(P37=$W$13,ConceptDemo!$L$27,""),"")</f>
        <v/>
      </c>
      <c r="T37" s="19" t="str">
        <f>IF(3&lt;=ConceptDemo!$L$29,IF(P37=$W$14,ConceptDemo!$L$27,""),"")</f>
        <v/>
      </c>
      <c r="U37" s="19" t="str">
        <f>IF(4&lt;=ConceptDemo!$L$29,IF(P37=$W$15,ConceptDemo!$L$27,""),"")</f>
        <v/>
      </c>
      <c r="W37" s="18">
        <f>IF($P37&lt;ConceptDemo!$C$17+$E$24-10,$G$27,0)</f>
        <v>0</v>
      </c>
      <c r="X37" s="18">
        <f>IF($P37&lt;ConceptDemo!$C$17+$E$24-10,$H$27,0)</f>
        <v>0</v>
      </c>
      <c r="Y37" s="10">
        <f t="shared" si="1"/>
        <v>0</v>
      </c>
      <c r="Z37" s="10">
        <f t="shared" si="2"/>
        <v>0</v>
      </c>
      <c r="AA37" s="10">
        <f t="shared" si="3"/>
        <v>0</v>
      </c>
      <c r="AB37" s="10">
        <f t="shared" si="4"/>
        <v>0</v>
      </c>
      <c r="AC37" s="18" t="e">
        <f t="shared" si="5"/>
        <v>#REF!</v>
      </c>
      <c r="AD37" s="18" t="e">
        <f>IF(P37&lt;=ConceptDemo!$C$18,AD36+SUM(W37:AB37)-(Q37-Q36)-AC37,0)</f>
        <v>#REF!</v>
      </c>
      <c r="AE37" s="18" t="e">
        <f>IF(ConceptDemo!$C$7=Backend!$A$2,AD37,IF(AE36&lt;&gt;AD36,IF(P37&lt;=ConceptDemo!$C$18,AE36+SUM(W37:AB37)-(Q37-Q36)-AC37,0),IF(P37=ConceptDemo!#REF!,ConceptDemo!#REF!,AD37)))</f>
        <v>#REF!</v>
      </c>
      <c r="AF37" s="18" t="e">
        <f t="shared" si="7"/>
        <v>#REF!</v>
      </c>
      <c r="AG37" s="18" t="e">
        <f t="shared" si="8"/>
        <v>#REF!</v>
      </c>
      <c r="AH37" s="18" t="e">
        <f t="shared" si="6"/>
        <v>#REF!</v>
      </c>
    </row>
    <row r="38" spans="1:34" x14ac:dyDescent="0.25">
      <c r="A38" t="s">
        <v>86</v>
      </c>
      <c r="B38" s="14" t="e">
        <f>((ConceptDemo!#REF!*ConceptDemo!#REF!)/C12)/1000</f>
        <v>#REF!</v>
      </c>
      <c r="C38" t="s">
        <v>5</v>
      </c>
      <c r="P38" s="12">
        <f>IFERROR(IF(P37+1=ConceptDemo!$C$18+10,"",Backend!P37+1),"")</f>
        <v>44456</v>
      </c>
      <c r="Q38" s="10" t="e">
        <f>IF(OR(P38&lt;ConceptDemo!$C$17,Backend!P38&gt;ConceptDemo!$C$18),0,IF(Backend!P38&lt;=Backend!$R$12,Backend!Q37+Backend!$T$12,IF(Backend!P38&lt;=Backend!$R$13,Backend!Q37+Backend!$T$13,IF(Backend!P38&lt;=Backend!$R$14,Backend!Q37+Backend!$T$14,IF(Backend!P38&lt;=Backend!$R$15,Backend!Q37+Backend!$T$15,IF(Backend!P38&lt;=Backend!$X$16,Backend!Q37+Backend!$Z$16))))))</f>
        <v>#REF!</v>
      </c>
      <c r="R38" s="19" t="str">
        <f>IF(1&lt;=ConceptDemo!$L$29,IF(P38=$W$12,ConceptDemo!$L$27,""),"")</f>
        <v/>
      </c>
      <c r="S38" s="19" t="str">
        <f>IF(2&lt;=ConceptDemo!$L$29,IF(P38=$W$13,ConceptDemo!$L$27,""),"")</f>
        <v/>
      </c>
      <c r="T38" s="19" t="str">
        <f>IF(3&lt;=ConceptDemo!$L$29,IF(P38=$W$14,ConceptDemo!$L$27,""),"")</f>
        <v/>
      </c>
      <c r="U38" s="19" t="str">
        <f>IF(4&lt;=ConceptDemo!$L$29,IF(P38=$W$15,ConceptDemo!$L$27,""),"")</f>
        <v/>
      </c>
      <c r="W38" s="18">
        <f>IF($P38&lt;ConceptDemo!$C$17+$E$24-10,$G$27,0)</f>
        <v>0</v>
      </c>
      <c r="X38" s="18">
        <f>IF($P38&lt;ConceptDemo!$C$17+$E$24-10,$H$27,0)</f>
        <v>0</v>
      </c>
      <c r="Y38" s="10">
        <f t="shared" si="1"/>
        <v>0</v>
      </c>
      <c r="Z38" s="10">
        <f t="shared" si="2"/>
        <v>0</v>
      </c>
      <c r="AA38" s="10">
        <f t="shared" si="3"/>
        <v>0</v>
      </c>
      <c r="AB38" s="10">
        <f t="shared" si="4"/>
        <v>0</v>
      </c>
      <c r="AC38" s="18" t="e">
        <f t="shared" si="5"/>
        <v>#REF!</v>
      </c>
      <c r="AD38" s="18" t="e">
        <f>IF(P38&lt;=ConceptDemo!$C$18,AD37+SUM(W38:AB38)-(Q38-Q37)-AC38,0)</f>
        <v>#REF!</v>
      </c>
      <c r="AE38" s="18" t="e">
        <f>IF(ConceptDemo!$C$7=Backend!$A$2,AD38,IF(AE37&lt;&gt;AD37,IF(P38&lt;=ConceptDemo!$C$18,AE37+SUM(W38:AB38)-(Q38-Q37)-AC38,0),IF(P38=ConceptDemo!#REF!,ConceptDemo!#REF!,AD38)))</f>
        <v>#REF!</v>
      </c>
      <c r="AF38" s="18" t="e">
        <f t="shared" si="7"/>
        <v>#REF!</v>
      </c>
      <c r="AG38" s="18" t="e">
        <f t="shared" si="8"/>
        <v>#REF!</v>
      </c>
      <c r="AH38" s="18" t="e">
        <f t="shared" si="6"/>
        <v>#REF!</v>
      </c>
    </row>
    <row r="39" spans="1:34" x14ac:dyDescent="0.25">
      <c r="A39" t="s">
        <v>102</v>
      </c>
      <c r="B39" s="15" t="e">
        <f>B38*C12</f>
        <v>#REF!</v>
      </c>
      <c r="C39" t="s">
        <v>5</v>
      </c>
      <c r="P39" s="12">
        <f>IFERROR(IF(P38+1=ConceptDemo!$C$18+10,"",Backend!P38+1),"")</f>
        <v>44457</v>
      </c>
      <c r="Q39" s="10" t="e">
        <f>IF(OR(P39&lt;ConceptDemo!$C$17,Backend!P39&gt;ConceptDemo!$C$18),0,IF(Backend!P39&lt;=Backend!$R$12,Backend!Q38+Backend!$T$12,IF(Backend!P39&lt;=Backend!$R$13,Backend!Q38+Backend!$T$13,IF(Backend!P39&lt;=Backend!$R$14,Backend!Q38+Backend!$T$14,IF(Backend!P39&lt;=Backend!$R$15,Backend!Q38+Backend!$T$15,IF(Backend!P39&lt;=Backend!$X$16,Backend!Q38+Backend!$Z$16))))))</f>
        <v>#REF!</v>
      </c>
      <c r="R39" s="19" t="str">
        <f>IF(1&lt;=ConceptDemo!$L$29,IF(P39=$W$12,ConceptDemo!$L$27,""),"")</f>
        <v/>
      </c>
      <c r="S39" s="19" t="str">
        <f>IF(2&lt;=ConceptDemo!$L$29,IF(P39=$W$13,ConceptDemo!$L$27,""),"")</f>
        <v/>
      </c>
      <c r="T39" s="19" t="str">
        <f>IF(3&lt;=ConceptDemo!$L$29,IF(P39=$W$14,ConceptDemo!$L$27,""),"")</f>
        <v/>
      </c>
      <c r="U39" s="19" t="str">
        <f>IF(4&lt;=ConceptDemo!$L$29,IF(P39=$W$15,ConceptDemo!$L$27,""),"")</f>
        <v/>
      </c>
      <c r="W39" s="18">
        <f>IF($P39&lt;ConceptDemo!$C$17+$E$24-10,$G$27,0)</f>
        <v>0</v>
      </c>
      <c r="X39" s="18">
        <f>IF($P39&lt;ConceptDemo!$C$17+$E$24-10,$H$27,0)</f>
        <v>0</v>
      </c>
      <c r="Y39" s="10">
        <f t="shared" si="1"/>
        <v>0</v>
      </c>
      <c r="Z39" s="10">
        <f t="shared" si="2"/>
        <v>0</v>
      </c>
      <c r="AA39" s="10">
        <f t="shared" si="3"/>
        <v>0</v>
      </c>
      <c r="AB39" s="10">
        <f t="shared" si="4"/>
        <v>0</v>
      </c>
      <c r="AC39" s="18" t="e">
        <f t="shared" si="5"/>
        <v>#REF!</v>
      </c>
      <c r="AD39" s="18" t="e">
        <f>IF(P39&lt;=ConceptDemo!$C$18,AD38+SUM(W39:AB39)-(Q39-Q38)-AC39,0)</f>
        <v>#REF!</v>
      </c>
      <c r="AE39" s="18" t="e">
        <f>IF(ConceptDemo!$C$7=Backend!$A$2,AD39,IF(AE38&lt;&gt;AD38,IF(P39&lt;=ConceptDemo!$C$18,AE38+SUM(W39:AB39)-(Q39-Q38)-AC39,0),IF(P39=ConceptDemo!#REF!,ConceptDemo!#REF!,AD39)))</f>
        <v>#REF!</v>
      </c>
      <c r="AF39" s="18" t="e">
        <f t="shared" si="7"/>
        <v>#REF!</v>
      </c>
      <c r="AG39" s="18" t="e">
        <f t="shared" si="8"/>
        <v>#REF!</v>
      </c>
      <c r="AH39" s="18" t="e">
        <f t="shared" si="6"/>
        <v>#REF!</v>
      </c>
    </row>
    <row r="40" spans="1:34" x14ac:dyDescent="0.25">
      <c r="A40" t="s">
        <v>101</v>
      </c>
      <c r="B40" s="15" t="e">
        <f>B39*B12</f>
        <v>#REF!</v>
      </c>
      <c r="C40" t="s">
        <v>5</v>
      </c>
      <c r="P40" s="12">
        <f>IFERROR(IF(P39+1=ConceptDemo!$C$18+10,"",Backend!P39+1),"")</f>
        <v>44458</v>
      </c>
      <c r="Q40" s="10" t="e">
        <f>IF(OR(P40&lt;ConceptDemo!$C$17,Backend!P40&gt;ConceptDemo!$C$18),0,IF(Backend!P40&lt;=Backend!$R$12,Backend!Q39+Backend!$T$12,IF(Backend!P40&lt;=Backend!$R$13,Backend!Q39+Backend!$T$13,IF(Backend!P40&lt;=Backend!$R$14,Backend!Q39+Backend!$T$14,IF(Backend!P40&lt;=Backend!$R$15,Backend!Q39+Backend!$T$15,IF(Backend!P40&lt;=Backend!$X$16,Backend!Q39+Backend!$Z$16))))))</f>
        <v>#REF!</v>
      </c>
      <c r="R40" s="19" t="str">
        <f>IF(1&lt;=ConceptDemo!$L$29,IF(P40=$W$12,ConceptDemo!$L$27,""),"")</f>
        <v/>
      </c>
      <c r="S40" s="19" t="str">
        <f>IF(2&lt;=ConceptDemo!$L$29,IF(P40=$W$13,ConceptDemo!$L$27,""),"")</f>
        <v/>
      </c>
      <c r="T40" s="19" t="str">
        <f>IF(3&lt;=ConceptDemo!$L$29,IF(P40=$W$14,ConceptDemo!$L$27,""),"")</f>
        <v/>
      </c>
      <c r="U40" s="19" t="str">
        <f>IF(4&lt;=ConceptDemo!$L$29,IF(P40=$W$15,ConceptDemo!$L$27,""),"")</f>
        <v/>
      </c>
      <c r="W40" s="18">
        <f>IF($P40&lt;ConceptDemo!$C$17+$E$24-10,$G$27,0)</f>
        <v>0</v>
      </c>
      <c r="X40" s="18">
        <f>IF($P40&lt;ConceptDemo!$C$17+$E$24-10,$H$27,0)</f>
        <v>0</v>
      </c>
      <c r="Y40" s="10">
        <f t="shared" si="1"/>
        <v>0</v>
      </c>
      <c r="Z40" s="10">
        <f t="shared" si="2"/>
        <v>0</v>
      </c>
      <c r="AA40" s="10">
        <f t="shared" si="3"/>
        <v>0</v>
      </c>
      <c r="AB40" s="10">
        <f t="shared" si="4"/>
        <v>0</v>
      </c>
      <c r="AC40" s="18" t="e">
        <f t="shared" si="5"/>
        <v>#REF!</v>
      </c>
      <c r="AD40" s="18" t="e">
        <f>IF(P40&lt;=ConceptDemo!$C$18,AD39+SUM(W40:AB40)-(Q40-Q39)-AC40,0)</f>
        <v>#REF!</v>
      </c>
      <c r="AE40" s="18" t="e">
        <f>IF(ConceptDemo!$C$7=Backend!$A$2,AD40,IF(AE39&lt;&gt;AD39,IF(P40&lt;=ConceptDemo!$C$18,AE39+SUM(W40:AB40)-(Q40-Q39)-AC40,0),IF(P40=ConceptDemo!#REF!,ConceptDemo!#REF!,AD40)))</f>
        <v>#REF!</v>
      </c>
      <c r="AF40" s="18" t="e">
        <f t="shared" si="7"/>
        <v>#REF!</v>
      </c>
      <c r="AG40" s="18" t="e">
        <f t="shared" si="8"/>
        <v>#REF!</v>
      </c>
      <c r="AH40" s="18" t="e">
        <f t="shared" si="6"/>
        <v>#REF!</v>
      </c>
    </row>
    <row r="41" spans="1:34" x14ac:dyDescent="0.25">
      <c r="A41" t="s">
        <v>103</v>
      </c>
      <c r="B41" s="15" t="e">
        <f>B40*D12</f>
        <v>#REF!</v>
      </c>
      <c r="C41" t="s">
        <v>5</v>
      </c>
      <c r="P41" s="12">
        <f>IFERROR(IF(P40+1=ConceptDemo!$C$18+10,"",Backend!P40+1),"")</f>
        <v>44459</v>
      </c>
      <c r="Q41" s="10" t="e">
        <f>IF(OR(P41&lt;ConceptDemo!$C$17,Backend!P41&gt;ConceptDemo!$C$18),0,IF(Backend!P41&lt;=Backend!$R$12,Backend!Q40+Backend!$T$12,IF(Backend!P41&lt;=Backend!$R$13,Backend!Q40+Backend!$T$13,IF(Backend!P41&lt;=Backend!$R$14,Backend!Q40+Backend!$T$14,IF(Backend!P41&lt;=Backend!$R$15,Backend!Q40+Backend!$T$15,IF(Backend!P41&lt;=Backend!$X$16,Backend!Q40+Backend!$Z$16))))))</f>
        <v>#REF!</v>
      </c>
      <c r="R41" s="19" t="str">
        <f>IF(1&lt;=ConceptDemo!$L$29,IF(P41=$W$12,ConceptDemo!$L$27,""),"")</f>
        <v/>
      </c>
      <c r="S41" s="19" t="str">
        <f>IF(2&lt;=ConceptDemo!$L$29,IF(P41=$W$13,ConceptDemo!$L$27,""),"")</f>
        <v/>
      </c>
      <c r="T41" s="19" t="str">
        <f>IF(3&lt;=ConceptDemo!$L$29,IF(P41=$W$14,ConceptDemo!$L$27,""),"")</f>
        <v/>
      </c>
      <c r="U41" s="19" t="str">
        <f>IF(4&lt;=ConceptDemo!$L$29,IF(P41=$W$15,ConceptDemo!$L$27,""),"")</f>
        <v/>
      </c>
      <c r="W41" s="18">
        <f>IF($P41&lt;ConceptDemo!$C$17+$E$24-10,$G$27,0)</f>
        <v>0</v>
      </c>
      <c r="X41" s="18">
        <f>IF($P41&lt;ConceptDemo!$C$17+$E$24-10,$H$27,0)</f>
        <v>0</v>
      </c>
      <c r="Y41" s="10">
        <f t="shared" si="1"/>
        <v>0</v>
      </c>
      <c r="Z41" s="10">
        <f t="shared" si="2"/>
        <v>0</v>
      </c>
      <c r="AA41" s="10">
        <f t="shared" si="3"/>
        <v>0</v>
      </c>
      <c r="AB41" s="10">
        <f t="shared" si="4"/>
        <v>0</v>
      </c>
      <c r="AC41" s="18" t="e">
        <f t="shared" si="5"/>
        <v>#REF!</v>
      </c>
      <c r="AD41" s="18" t="e">
        <f>IF(P41&lt;=ConceptDemo!$C$18,AD40+SUM(W41:AB41)-(Q41-Q40)-AC41,0)</f>
        <v>#REF!</v>
      </c>
      <c r="AE41" s="18" t="e">
        <f>IF(ConceptDemo!$C$7=Backend!$A$2,AD41,IF(AE40&lt;&gt;AD40,IF(P41&lt;=ConceptDemo!$C$18,AE40+SUM(W41:AB41)-(Q41-Q40)-AC41,0),IF(P41=ConceptDemo!#REF!,ConceptDemo!#REF!,AD41)))</f>
        <v>#REF!</v>
      </c>
      <c r="AF41" s="18" t="e">
        <f t="shared" si="7"/>
        <v>#REF!</v>
      </c>
      <c r="AG41" s="18" t="e">
        <f t="shared" si="8"/>
        <v>#REF!</v>
      </c>
      <c r="AH41" s="18" t="e">
        <f t="shared" si="6"/>
        <v>#REF!</v>
      </c>
    </row>
    <row r="42" spans="1:34" x14ac:dyDescent="0.25">
      <c r="P42" s="12">
        <f>IFERROR(IF(P41+1=ConceptDemo!$C$18+10,"",Backend!P41+1),"")</f>
        <v>44460</v>
      </c>
      <c r="Q42" s="10" t="e">
        <f>IF(OR(P42&lt;ConceptDemo!$C$17,Backend!P42&gt;ConceptDemo!$C$18),0,IF(Backend!P42&lt;=Backend!$R$12,Backend!Q41+Backend!$T$12,IF(Backend!P42&lt;=Backend!$R$13,Backend!Q41+Backend!$T$13,IF(Backend!P42&lt;=Backend!$R$14,Backend!Q41+Backend!$T$14,IF(Backend!P42&lt;=Backend!$R$15,Backend!Q41+Backend!$T$15,IF(Backend!P42&lt;=Backend!$X$16,Backend!Q41+Backend!$Z$16))))))</f>
        <v>#REF!</v>
      </c>
      <c r="R42" s="19" t="str">
        <f>IF(1&lt;=ConceptDemo!$L$29,IF(P42=$W$12,ConceptDemo!$L$27,""),"")</f>
        <v/>
      </c>
      <c r="S42" s="19" t="str">
        <f>IF(2&lt;=ConceptDemo!$L$29,IF(P42=$W$13,ConceptDemo!$L$27,""),"")</f>
        <v/>
      </c>
      <c r="T42" s="19" t="str">
        <f>IF(3&lt;=ConceptDemo!$L$29,IF(P42=$W$14,ConceptDemo!$L$27,""),"")</f>
        <v/>
      </c>
      <c r="U42" s="19" t="str">
        <f>IF(4&lt;=ConceptDemo!$L$29,IF(P42=$W$15,ConceptDemo!$L$27,""),"")</f>
        <v/>
      </c>
      <c r="W42" s="18">
        <f>IF($P42&lt;ConceptDemo!$C$17+$E$24-10,$G$27,0)</f>
        <v>0</v>
      </c>
      <c r="X42" s="18">
        <f>IF($P42&lt;ConceptDemo!$C$17+$E$24-10,$H$27,0)</f>
        <v>0</v>
      </c>
      <c r="Y42" s="10">
        <f t="shared" si="1"/>
        <v>0</v>
      </c>
      <c r="Z42" s="10">
        <f t="shared" si="2"/>
        <v>0</v>
      </c>
      <c r="AA42" s="10">
        <f t="shared" si="3"/>
        <v>0</v>
      </c>
      <c r="AB42" s="10">
        <f t="shared" si="4"/>
        <v>0</v>
      </c>
      <c r="AC42" s="18" t="e">
        <f t="shared" si="5"/>
        <v>#REF!</v>
      </c>
      <c r="AD42" s="18" t="e">
        <f>IF(P42&lt;=ConceptDemo!$C$18,AD41+SUM(W42:AB42)-(Q42-Q41)-AC42,0)</f>
        <v>#REF!</v>
      </c>
      <c r="AE42" s="18" t="e">
        <f>IF(ConceptDemo!$C$7=Backend!$A$2,AD42,IF(AE41&lt;&gt;AD41,IF(P42&lt;=ConceptDemo!$C$18,AE41+SUM(W42:AB42)-(Q42-Q41)-AC42,0),IF(P42=ConceptDemo!#REF!,ConceptDemo!#REF!,AD42)))</f>
        <v>#REF!</v>
      </c>
      <c r="AF42" s="18" t="e">
        <f t="shared" si="7"/>
        <v>#REF!</v>
      </c>
      <c r="AG42" s="18" t="e">
        <f t="shared" si="8"/>
        <v>#REF!</v>
      </c>
      <c r="AH42" s="18" t="e">
        <f t="shared" si="6"/>
        <v>#REF!</v>
      </c>
    </row>
    <row r="43" spans="1:34" x14ac:dyDescent="0.25">
      <c r="A43" t="s">
        <v>59</v>
      </c>
      <c r="E43" t="s">
        <v>75</v>
      </c>
      <c r="P43" s="12">
        <f>IFERROR(IF(P42+1=ConceptDemo!$C$18+10,"",Backend!P42+1),"")</f>
        <v>44461</v>
      </c>
      <c r="Q43" s="10" t="e">
        <f>IF(OR(P43&lt;ConceptDemo!$C$17,Backend!P43&gt;ConceptDemo!$C$18),0,IF(Backend!P43&lt;=Backend!$R$12,Backend!Q42+Backend!$T$12,IF(Backend!P43&lt;=Backend!$R$13,Backend!Q42+Backend!$T$13,IF(Backend!P43&lt;=Backend!$R$14,Backend!Q42+Backend!$T$14,IF(Backend!P43&lt;=Backend!$R$15,Backend!Q42+Backend!$T$15,IF(Backend!P43&lt;=Backend!$X$16,Backend!Q42+Backend!$Z$16))))))</f>
        <v>#REF!</v>
      </c>
      <c r="R43" s="19" t="str">
        <f>IF(1&lt;=ConceptDemo!$L$29,IF(P43=$W$12,ConceptDemo!$L$27,""),"")</f>
        <v/>
      </c>
      <c r="S43" s="19" t="str">
        <f>IF(2&lt;=ConceptDemo!$L$29,IF(P43=$W$13,ConceptDemo!$L$27,""),"")</f>
        <v/>
      </c>
      <c r="T43" s="19" t="str">
        <f>IF(3&lt;=ConceptDemo!$L$29,IF(P43=$W$14,ConceptDemo!$L$27,""),"")</f>
        <v/>
      </c>
      <c r="U43" s="19" t="str">
        <f>IF(4&lt;=ConceptDemo!$L$29,IF(P43=$W$15,ConceptDemo!$L$27,""),"")</f>
        <v/>
      </c>
      <c r="W43" s="18">
        <f>IF($P43&lt;ConceptDemo!$C$17+$E$24-10,$G$27,0)</f>
        <v>0</v>
      </c>
      <c r="X43" s="18">
        <f>IF($P43&lt;ConceptDemo!$C$17+$E$24-10,$H$27,0)</f>
        <v>0</v>
      </c>
      <c r="Y43" s="10">
        <f t="shared" si="1"/>
        <v>0</v>
      </c>
      <c r="Z43" s="10">
        <f t="shared" si="2"/>
        <v>0</v>
      </c>
      <c r="AA43" s="10">
        <f t="shared" si="3"/>
        <v>0</v>
      </c>
      <c r="AB43" s="10">
        <f t="shared" si="4"/>
        <v>0</v>
      </c>
      <c r="AC43" s="18" t="e">
        <f t="shared" si="5"/>
        <v>#REF!</v>
      </c>
      <c r="AD43" s="18" t="e">
        <f>IF(P43&lt;=ConceptDemo!$C$18,AD42+SUM(W43:AB43)-(Q43-Q42)-AC43,0)</f>
        <v>#REF!</v>
      </c>
      <c r="AE43" s="18" t="e">
        <f>IF(ConceptDemo!$C$7=Backend!$A$2,AD43,IF(AE42&lt;&gt;AD42,IF(P43&lt;=ConceptDemo!$C$18,AE42+SUM(W43:AB43)-(Q43-Q42)-AC43,0),IF(P43=ConceptDemo!#REF!,ConceptDemo!#REF!,AD43)))</f>
        <v>#REF!</v>
      </c>
      <c r="AF43" s="18" t="e">
        <f t="shared" si="7"/>
        <v>#REF!</v>
      </c>
      <c r="AG43" s="18" t="e">
        <f t="shared" si="8"/>
        <v>#REF!</v>
      </c>
      <c r="AH43" s="18" t="e">
        <f t="shared" si="6"/>
        <v>#REF!</v>
      </c>
    </row>
    <row r="44" spans="1:34" x14ac:dyDescent="0.25">
      <c r="A44" t="s">
        <v>76</v>
      </c>
      <c r="P44" s="12">
        <f>IFERROR(IF(P43+1=ConceptDemo!$C$18+10,"",Backend!P43+1),"")</f>
        <v>44462</v>
      </c>
      <c r="Q44" s="10" t="e">
        <f>IF(OR(P44&lt;ConceptDemo!$C$17,Backend!P44&gt;ConceptDemo!$C$18),0,IF(Backend!P44&lt;=Backend!$R$12,Backend!Q43+Backend!$T$12,IF(Backend!P44&lt;=Backend!$R$13,Backend!Q43+Backend!$T$13,IF(Backend!P44&lt;=Backend!$R$14,Backend!Q43+Backend!$T$14,IF(Backend!P44&lt;=Backend!$R$15,Backend!Q43+Backend!$T$15,IF(Backend!P44&lt;=Backend!$X$16,Backend!Q43+Backend!$Z$16))))))</f>
        <v>#REF!</v>
      </c>
      <c r="R44" s="19" t="str">
        <f>IF(1&lt;=ConceptDemo!$L$29,IF(P44=$W$12,ConceptDemo!$L$27,""),"")</f>
        <v/>
      </c>
      <c r="S44" s="19" t="str">
        <f>IF(2&lt;=ConceptDemo!$L$29,IF(P44=$W$13,ConceptDemo!$L$27,""),"")</f>
        <v/>
      </c>
      <c r="T44" s="19" t="str">
        <f>IF(3&lt;=ConceptDemo!$L$29,IF(P44=$W$14,ConceptDemo!$L$27,""),"")</f>
        <v/>
      </c>
      <c r="U44" s="19" t="str">
        <f>IF(4&lt;=ConceptDemo!$L$29,IF(P44=$W$15,ConceptDemo!$L$27,""),"")</f>
        <v/>
      </c>
      <c r="W44" s="18">
        <f>IF($P44&lt;ConceptDemo!$C$17+$E$24-10,$G$27,0)</f>
        <v>0</v>
      </c>
      <c r="X44" s="18">
        <f>IF($P44&lt;ConceptDemo!$C$17+$E$24-10,$H$27,0)</f>
        <v>0</v>
      </c>
      <c r="Y44" s="10">
        <f t="shared" si="1"/>
        <v>0</v>
      </c>
      <c r="Z44" s="10">
        <f t="shared" si="2"/>
        <v>0</v>
      </c>
      <c r="AA44" s="10">
        <f t="shared" si="3"/>
        <v>0</v>
      </c>
      <c r="AB44" s="10">
        <f t="shared" si="4"/>
        <v>0</v>
      </c>
      <c r="AC44" s="18" t="e">
        <f t="shared" si="5"/>
        <v>#REF!</v>
      </c>
      <c r="AD44" s="18" t="e">
        <f>IF(P44&lt;=ConceptDemo!$C$18,AD43+SUM(W44:AB44)-(Q44-Q43)-AC44,0)</f>
        <v>#REF!</v>
      </c>
      <c r="AE44" s="18" t="e">
        <f>IF(ConceptDemo!$C$7=Backend!$A$2,AD44,IF(AE43&lt;&gt;AD43,IF(P44&lt;=ConceptDemo!$C$18,AE43+SUM(W44:AB44)-(Q44-Q43)-AC44,0),IF(P44=ConceptDemo!#REF!,ConceptDemo!#REF!,AD44)))</f>
        <v>#REF!</v>
      </c>
      <c r="AF44" s="18" t="e">
        <f t="shared" si="7"/>
        <v>#REF!</v>
      </c>
      <c r="AG44" s="18" t="e">
        <f t="shared" si="8"/>
        <v>#REF!</v>
      </c>
      <c r="AH44" s="18" t="e">
        <f t="shared" si="6"/>
        <v>#REF!</v>
      </c>
    </row>
    <row r="45" spans="1:34" x14ac:dyDescent="0.25">
      <c r="A45" t="s">
        <v>75</v>
      </c>
      <c r="B45">
        <v>30</v>
      </c>
      <c r="C45" t="s">
        <v>5</v>
      </c>
      <c r="E45" t="s">
        <v>90</v>
      </c>
      <c r="P45" s="12">
        <f>IFERROR(IF(P44+1=ConceptDemo!$C$18+10,"",Backend!P44+1),"")</f>
        <v>44463</v>
      </c>
      <c r="Q45" s="10" t="e">
        <f>IF(OR(P45&lt;ConceptDemo!$C$17,Backend!P45&gt;ConceptDemo!$C$18),0,IF(Backend!P45&lt;=Backend!$R$12,Backend!Q44+Backend!$T$12,IF(Backend!P45&lt;=Backend!$R$13,Backend!Q44+Backend!$T$13,IF(Backend!P45&lt;=Backend!$R$14,Backend!Q44+Backend!$T$14,IF(Backend!P45&lt;=Backend!$R$15,Backend!Q44+Backend!$T$15,IF(Backend!P45&lt;=Backend!$X$16,Backend!Q44+Backend!$Z$16))))))</f>
        <v>#REF!</v>
      </c>
      <c r="R45" s="19" t="str">
        <f>IF(1&lt;=ConceptDemo!$L$29,IF(P45=$W$12,ConceptDemo!$L$27,""),"")</f>
        <v/>
      </c>
      <c r="S45" s="19" t="str">
        <f>IF(2&lt;=ConceptDemo!$L$29,IF(P45=$W$13,ConceptDemo!$L$27,""),"")</f>
        <v/>
      </c>
      <c r="T45" s="19" t="str">
        <f>IF(3&lt;=ConceptDemo!$L$29,IF(P45=$W$14,ConceptDemo!$L$27,""),"")</f>
        <v/>
      </c>
      <c r="U45" s="19" t="str">
        <f>IF(4&lt;=ConceptDemo!$L$29,IF(P45=$W$15,ConceptDemo!$L$27,""),"")</f>
        <v/>
      </c>
      <c r="W45" s="18">
        <f>IF($P45&lt;ConceptDemo!$C$17+$E$24-10,$G$27,0)</f>
        <v>0</v>
      </c>
      <c r="X45" s="18">
        <f>IF($P45&lt;ConceptDemo!$C$17+$E$24-10,$H$27,0)</f>
        <v>0</v>
      </c>
      <c r="Y45" s="10">
        <f t="shared" si="1"/>
        <v>0</v>
      </c>
      <c r="Z45" s="10">
        <f t="shared" si="2"/>
        <v>0</v>
      </c>
      <c r="AA45" s="10">
        <f t="shared" si="3"/>
        <v>0</v>
      </c>
      <c r="AB45" s="10">
        <f t="shared" si="4"/>
        <v>0</v>
      </c>
      <c r="AC45" s="18" t="e">
        <f t="shared" si="5"/>
        <v>#REF!</v>
      </c>
      <c r="AD45" s="18" t="e">
        <f>IF(P45&lt;=ConceptDemo!$C$18,AD44+SUM(W45:AB45)-(Q45-Q44)-AC45,0)</f>
        <v>#REF!</v>
      </c>
      <c r="AE45" s="18" t="e">
        <f>IF(ConceptDemo!$C$7=Backend!$A$2,AD45,IF(AE44&lt;&gt;AD44,IF(P45&lt;=ConceptDemo!$C$18,AE44+SUM(W45:AB45)-(Q45-Q44)-AC45,0),IF(P45=ConceptDemo!#REF!,ConceptDemo!#REF!,AD45)))</f>
        <v>#REF!</v>
      </c>
      <c r="AF45" s="18" t="e">
        <f t="shared" si="7"/>
        <v>#REF!</v>
      </c>
      <c r="AG45" s="18" t="e">
        <f t="shared" si="8"/>
        <v>#REF!</v>
      </c>
      <c r="AH45" s="18" t="e">
        <f t="shared" si="6"/>
        <v>#REF!</v>
      </c>
    </row>
    <row r="46" spans="1:34" x14ac:dyDescent="0.25">
      <c r="A46" t="s">
        <v>77</v>
      </c>
      <c r="B46" s="18" t="e">
        <f>B38/B45</f>
        <v>#REF!</v>
      </c>
      <c r="C46" t="s">
        <v>78</v>
      </c>
      <c r="F46" s="23" t="s">
        <v>91</v>
      </c>
      <c r="P46" s="12">
        <f>IFERROR(IF(P45+1=ConceptDemo!$C$18+10,"",Backend!P45+1),"")</f>
        <v>44464</v>
      </c>
      <c r="Q46" s="10" t="e">
        <f>IF(OR(P46&lt;ConceptDemo!$C$17,Backend!P46&gt;ConceptDemo!$C$18),0,IF(Backend!P46&lt;=Backend!$R$12,Backend!Q45+Backend!$T$12,IF(Backend!P46&lt;=Backend!$R$13,Backend!Q45+Backend!$T$13,IF(Backend!P46&lt;=Backend!$R$14,Backend!Q45+Backend!$T$14,IF(Backend!P46&lt;=Backend!$R$15,Backend!Q45+Backend!$T$15,IF(Backend!P46&lt;=Backend!$X$16,Backend!Q45+Backend!$Z$16))))))</f>
        <v>#REF!</v>
      </c>
      <c r="R46" s="19" t="str">
        <f>IF(1&lt;=ConceptDemo!$L$29,IF(P46=$W$12,ConceptDemo!$L$27,""),"")</f>
        <v/>
      </c>
      <c r="S46" s="19" t="str">
        <f>IF(2&lt;=ConceptDemo!$L$29,IF(P46=$W$13,ConceptDemo!$L$27,""),"")</f>
        <v/>
      </c>
      <c r="T46" s="19" t="str">
        <f>IF(3&lt;=ConceptDemo!$L$29,IF(P46=$W$14,ConceptDemo!$L$27,""),"")</f>
        <v/>
      </c>
      <c r="U46" s="19" t="str">
        <f>IF(4&lt;=ConceptDemo!$L$29,IF(P46=$W$15,ConceptDemo!$L$27,""),"")</f>
        <v/>
      </c>
      <c r="W46" s="18">
        <f>IF($P46&lt;ConceptDemo!$C$17+$E$24-10,$G$27,0)</f>
        <v>0</v>
      </c>
      <c r="X46" s="18">
        <f>IF($P46&lt;ConceptDemo!$C$17+$E$24-10,$H$27,0)</f>
        <v>0</v>
      </c>
      <c r="Y46" s="10">
        <f t="shared" si="1"/>
        <v>0</v>
      </c>
      <c r="Z46" s="10">
        <f t="shared" si="2"/>
        <v>0</v>
      </c>
      <c r="AA46" s="10">
        <f t="shared" si="3"/>
        <v>0</v>
      </c>
      <c r="AB46" s="10">
        <f t="shared" si="4"/>
        <v>0</v>
      </c>
      <c r="AC46" s="18" t="e">
        <f t="shared" si="5"/>
        <v>#REF!</v>
      </c>
      <c r="AD46" s="18" t="e">
        <f>IF(P46&lt;=ConceptDemo!$C$18,AD45+SUM(W46:AB46)-(Q46-Q45)-AC46,0)</f>
        <v>#REF!</v>
      </c>
      <c r="AE46" s="18" t="e">
        <f>IF(ConceptDemo!$C$7=Backend!$A$2,AD46,IF(AE45&lt;&gt;AD45,IF(P46&lt;=ConceptDemo!$C$18,AE45+SUM(W46:AB46)-(Q46-Q45)-AC46,0),IF(P46=ConceptDemo!#REF!,ConceptDemo!#REF!,AD46)))</f>
        <v>#REF!</v>
      </c>
      <c r="AF46" s="18" t="e">
        <f t="shared" si="7"/>
        <v>#REF!</v>
      </c>
      <c r="AG46" s="18" t="e">
        <f t="shared" si="8"/>
        <v>#REF!</v>
      </c>
      <c r="AH46" s="18" t="e">
        <f t="shared" si="6"/>
        <v>#REF!</v>
      </c>
    </row>
    <row r="47" spans="1:34" x14ac:dyDescent="0.25">
      <c r="A47">
        <v>20</v>
      </c>
      <c r="B47">
        <v>120</v>
      </c>
      <c r="E47" t="s">
        <v>92</v>
      </c>
      <c r="F47">
        <v>2.4</v>
      </c>
      <c r="P47" s="12">
        <f>IFERROR(IF(P46+1=ConceptDemo!$C$18+10,"",Backend!P46+1),"")</f>
        <v>44465</v>
      </c>
      <c r="Q47" s="10" t="e">
        <f>IF(OR(P47&lt;ConceptDemo!$C$17,Backend!P47&gt;ConceptDemo!$C$18),0,IF(Backend!P47&lt;=Backend!$R$12,Backend!Q46+Backend!$T$12,IF(Backend!P47&lt;=Backend!$R$13,Backend!Q46+Backend!$T$13,IF(Backend!P47&lt;=Backend!$R$14,Backend!Q46+Backend!$T$14,IF(Backend!P47&lt;=Backend!$R$15,Backend!Q46+Backend!$T$15,IF(Backend!P47&lt;=Backend!$X$16,Backend!Q46+Backend!$Z$16))))))</f>
        <v>#REF!</v>
      </c>
      <c r="R47" s="19" t="str">
        <f>IF(1&lt;=ConceptDemo!$L$29,IF(P47=$W$12,ConceptDemo!$L$27,""),"")</f>
        <v/>
      </c>
      <c r="S47" s="19" t="str">
        <f>IF(2&lt;=ConceptDemo!$L$29,IF(P47=$W$13,ConceptDemo!$L$27,""),"")</f>
        <v/>
      </c>
      <c r="T47" s="19" t="str">
        <f>IF(3&lt;=ConceptDemo!$L$29,IF(P47=$W$14,ConceptDemo!$L$27,""),"")</f>
        <v/>
      </c>
      <c r="U47" s="19" t="str">
        <f>IF(4&lt;=ConceptDemo!$L$29,IF(P47=$W$15,ConceptDemo!$L$27,""),"")</f>
        <v/>
      </c>
      <c r="W47" s="18">
        <f>IF($P47&lt;ConceptDemo!$C$17+$E$24-10,$G$27,0)</f>
        <v>0</v>
      </c>
      <c r="X47" s="18">
        <f>IF($P47&lt;ConceptDemo!$C$17+$E$24-10,$H$27,0)</f>
        <v>0</v>
      </c>
      <c r="Y47" s="10">
        <f t="shared" si="1"/>
        <v>0</v>
      </c>
      <c r="Z47" s="10">
        <f t="shared" si="2"/>
        <v>0</v>
      </c>
      <c r="AA47" s="10">
        <f t="shared" si="3"/>
        <v>0</v>
      </c>
      <c r="AB47" s="10">
        <f t="shared" si="4"/>
        <v>0</v>
      </c>
      <c r="AC47" s="18" t="e">
        <f t="shared" si="5"/>
        <v>#REF!</v>
      </c>
      <c r="AD47" s="18" t="e">
        <f>IF(P47&lt;=ConceptDemo!$C$18,AD46+SUM(W47:AB47)-(Q47-Q46)-AC47,0)</f>
        <v>#REF!</v>
      </c>
      <c r="AE47" s="18" t="e">
        <f>IF(ConceptDemo!$C$7=Backend!$A$2,AD47,IF(AE46&lt;&gt;AD46,IF(P47&lt;=ConceptDemo!$C$18,AE46+SUM(W47:AB47)-(Q47-Q46)-AC47,0),IF(P47=ConceptDemo!#REF!,ConceptDemo!#REF!,AD47)))</f>
        <v>#REF!</v>
      </c>
      <c r="AF47" s="18" t="e">
        <f t="shared" si="7"/>
        <v>#REF!</v>
      </c>
      <c r="AG47" s="18" t="e">
        <f t="shared" si="8"/>
        <v>#REF!</v>
      </c>
      <c r="AH47" s="18" t="e">
        <f t="shared" si="6"/>
        <v>#REF!</v>
      </c>
    </row>
    <row r="48" spans="1:34" x14ac:dyDescent="0.25">
      <c r="A48">
        <v>40</v>
      </c>
      <c r="B48">
        <v>100</v>
      </c>
      <c r="P48" s="12">
        <f>IFERROR(IF(P47+1=ConceptDemo!$C$18+10,"",Backend!P47+1),"")</f>
        <v>44466</v>
      </c>
      <c r="Q48" s="10" t="e">
        <f>IF(OR(P48&lt;ConceptDemo!$C$17,Backend!P48&gt;ConceptDemo!$C$18),0,IF(Backend!P48&lt;=Backend!$R$12,Backend!Q47+Backend!$T$12,IF(Backend!P48&lt;=Backend!$R$13,Backend!Q47+Backend!$T$13,IF(Backend!P48&lt;=Backend!$R$14,Backend!Q47+Backend!$T$14,IF(Backend!P48&lt;=Backend!$R$15,Backend!Q47+Backend!$T$15,IF(Backend!P48&lt;=Backend!$X$16,Backend!Q47+Backend!$Z$16))))))</f>
        <v>#REF!</v>
      </c>
      <c r="R48" s="19" t="str">
        <f>IF(1&lt;=ConceptDemo!$L$29,IF(P48=$W$12,ConceptDemo!$L$27,""),"")</f>
        <v/>
      </c>
      <c r="S48" s="19" t="str">
        <f>IF(2&lt;=ConceptDemo!$L$29,IF(P48=$W$13,ConceptDemo!$L$27,""),"")</f>
        <v/>
      </c>
      <c r="T48" s="19" t="str">
        <f>IF(3&lt;=ConceptDemo!$L$29,IF(P48=$W$14,ConceptDemo!$L$27,""),"")</f>
        <v/>
      </c>
      <c r="U48" s="19" t="str">
        <f>IF(4&lt;=ConceptDemo!$L$29,IF(P48=$W$15,ConceptDemo!$L$27,""),"")</f>
        <v/>
      </c>
      <c r="W48" s="18">
        <f>IF($P48&lt;ConceptDemo!$C$17+$E$24-10,$G$27,0)</f>
        <v>0</v>
      </c>
      <c r="X48" s="18">
        <f>IF($P48&lt;ConceptDemo!$C$17+$E$24-10,$H$27,0)</f>
        <v>0</v>
      </c>
      <c r="Y48" s="10">
        <f t="shared" si="1"/>
        <v>0</v>
      </c>
      <c r="Z48" s="10">
        <f t="shared" si="2"/>
        <v>0</v>
      </c>
      <c r="AA48" s="10">
        <f t="shared" si="3"/>
        <v>0</v>
      </c>
      <c r="AB48" s="10">
        <f t="shared" si="4"/>
        <v>0</v>
      </c>
      <c r="AC48" s="18" t="e">
        <f t="shared" si="5"/>
        <v>#REF!</v>
      </c>
      <c r="AD48" s="18" t="e">
        <f>IF(P48&lt;=ConceptDemo!$C$18,AD47+SUM(W48:AB48)-(Q48-Q47)-AC48,0)</f>
        <v>#REF!</v>
      </c>
      <c r="AE48" s="18" t="e">
        <f>IF(ConceptDemo!$C$7=Backend!$A$2,AD48,IF(AE47&lt;&gt;AD47,IF(P48&lt;=ConceptDemo!$C$18,AE47+SUM(W48:AB48)-(Q48-Q47)-AC48,0),IF(P48=ConceptDemo!#REF!,ConceptDemo!#REF!,AD48)))</f>
        <v>#REF!</v>
      </c>
      <c r="AF48" s="18" t="e">
        <f t="shared" si="7"/>
        <v>#REF!</v>
      </c>
      <c r="AG48" s="18" t="e">
        <f t="shared" si="8"/>
        <v>#REF!</v>
      </c>
      <c r="AH48" s="18" t="e">
        <f t="shared" si="6"/>
        <v>#REF!</v>
      </c>
    </row>
    <row r="49" spans="1:34" x14ac:dyDescent="0.25">
      <c r="A49">
        <v>60</v>
      </c>
      <c r="B49">
        <v>80</v>
      </c>
      <c r="E49" t="s">
        <v>93</v>
      </c>
      <c r="P49" s="12">
        <f>IFERROR(IF(P48+1=ConceptDemo!$C$18+10,"",Backend!P48+1),"")</f>
        <v>44467</v>
      </c>
      <c r="Q49" s="10" t="e">
        <f>IF(OR(P49&lt;ConceptDemo!$C$17,Backend!P49&gt;ConceptDemo!$C$18),0,IF(Backend!P49&lt;=Backend!$R$12,Backend!Q48+Backend!$T$12,IF(Backend!P49&lt;=Backend!$R$13,Backend!Q48+Backend!$T$13,IF(Backend!P49&lt;=Backend!$R$14,Backend!Q48+Backend!$T$14,IF(Backend!P49&lt;=Backend!$R$15,Backend!Q48+Backend!$T$15,IF(Backend!P49&lt;=Backend!$X$16,Backend!Q48+Backend!$Z$16))))))</f>
        <v>#REF!</v>
      </c>
      <c r="R49" s="19" t="str">
        <f>IF(1&lt;=ConceptDemo!$L$29,IF(P49=$W$12,ConceptDemo!$L$27,""),"")</f>
        <v/>
      </c>
      <c r="S49" s="19" t="str">
        <f>IF(2&lt;=ConceptDemo!$L$29,IF(P49=$W$13,ConceptDemo!$L$27,""),"")</f>
        <v/>
      </c>
      <c r="T49" s="19" t="str">
        <f>IF(3&lt;=ConceptDemo!$L$29,IF(P49=$W$14,ConceptDemo!$L$27,""),"")</f>
        <v/>
      </c>
      <c r="U49" s="19" t="str">
        <f>IF(4&lt;=ConceptDemo!$L$29,IF(P49=$W$15,ConceptDemo!$L$27,""),"")</f>
        <v/>
      </c>
      <c r="W49" s="18">
        <f>IF($P49&lt;ConceptDemo!$C$17+$E$24-10,$G$27,0)</f>
        <v>0</v>
      </c>
      <c r="X49" s="18">
        <f>IF($P49&lt;ConceptDemo!$C$17+$E$24-10,$H$27,0)</f>
        <v>0</v>
      </c>
      <c r="Y49" s="10">
        <f t="shared" si="1"/>
        <v>0</v>
      </c>
      <c r="Z49" s="10">
        <f t="shared" si="2"/>
        <v>0</v>
      </c>
      <c r="AA49" s="10">
        <f t="shared" si="3"/>
        <v>0</v>
      </c>
      <c r="AB49" s="10">
        <f t="shared" si="4"/>
        <v>0</v>
      </c>
      <c r="AC49" s="18" t="e">
        <f t="shared" si="5"/>
        <v>#REF!</v>
      </c>
      <c r="AD49" s="18" t="e">
        <f>IF(P49&lt;=ConceptDemo!$C$18,AD48+SUM(W49:AB49)-(Q49-Q48)-AC49,0)</f>
        <v>#REF!</v>
      </c>
      <c r="AE49" s="18" t="e">
        <f>IF(ConceptDemo!$C$7=Backend!$A$2,AD49,IF(AE48&lt;&gt;AD48,IF(P49&lt;=ConceptDemo!$C$18,AE48+SUM(W49:AB49)-(Q49-Q48)-AC49,0),IF(P49=ConceptDemo!#REF!,ConceptDemo!#REF!,AD49)))</f>
        <v>#REF!</v>
      </c>
      <c r="AF49" s="18" t="e">
        <f t="shared" si="7"/>
        <v>#REF!</v>
      </c>
      <c r="AG49" s="18" t="e">
        <f t="shared" si="8"/>
        <v>#REF!</v>
      </c>
      <c r="AH49" s="18" t="e">
        <f t="shared" si="6"/>
        <v>#REF!</v>
      </c>
    </row>
    <row r="50" spans="1:34" ht="45" x14ac:dyDescent="0.25">
      <c r="A50">
        <v>80</v>
      </c>
      <c r="B50">
        <v>60</v>
      </c>
      <c r="E50" s="21" t="s">
        <v>94</v>
      </c>
      <c r="F50" s="21" t="s">
        <v>95</v>
      </c>
      <c r="G50" s="21" t="s">
        <v>96</v>
      </c>
      <c r="H50" s="21" t="s">
        <v>97</v>
      </c>
      <c r="I50" s="21" t="s">
        <v>98</v>
      </c>
      <c r="P50" s="12">
        <f>IFERROR(IF(P49+1=ConceptDemo!$C$18+10,"",Backend!P49+1),"")</f>
        <v>44468</v>
      </c>
      <c r="Q50" s="10" t="e">
        <f>IF(OR(P50&lt;ConceptDemo!$C$17,Backend!P50&gt;ConceptDemo!$C$18),0,IF(Backend!P50&lt;=Backend!$R$12,Backend!Q49+Backend!$T$12,IF(Backend!P50&lt;=Backend!$R$13,Backend!Q49+Backend!$T$13,IF(Backend!P50&lt;=Backend!$R$14,Backend!Q49+Backend!$T$14,IF(Backend!P50&lt;=Backend!$R$15,Backend!Q49+Backend!$T$15,IF(Backend!P50&lt;=Backend!$X$16,Backend!Q49+Backend!$Z$16))))))</f>
        <v>#REF!</v>
      </c>
      <c r="R50" s="19" t="str">
        <f>IF(1&lt;=ConceptDemo!$L$29,IF(P50=$W$12,ConceptDemo!$L$27,""),"")</f>
        <v/>
      </c>
      <c r="S50" s="19" t="str">
        <f>IF(2&lt;=ConceptDemo!$L$29,IF(P50=$W$13,ConceptDemo!$L$27,""),"")</f>
        <v/>
      </c>
      <c r="T50" s="19" t="str">
        <f>IF(3&lt;=ConceptDemo!$L$29,IF(P50=$W$14,ConceptDemo!$L$27,""),"")</f>
        <v/>
      </c>
      <c r="U50" s="19" t="str">
        <f>IF(4&lt;=ConceptDemo!$L$29,IF(P50=$W$15,ConceptDemo!$L$27,""),"")</f>
        <v/>
      </c>
      <c r="W50" s="18">
        <f>IF($P50&lt;ConceptDemo!$C$17+$E$24-10,$G$27,0)</f>
        <v>0</v>
      </c>
      <c r="X50" s="18">
        <f>IF($P50&lt;ConceptDemo!$C$17+$E$24-10,$H$27,0)</f>
        <v>0</v>
      </c>
      <c r="Y50" s="10">
        <f t="shared" si="1"/>
        <v>0</v>
      </c>
      <c r="Z50" s="10">
        <f t="shared" si="2"/>
        <v>0</v>
      </c>
      <c r="AA50" s="10">
        <f t="shared" si="3"/>
        <v>0</v>
      </c>
      <c r="AB50" s="10">
        <f t="shared" si="4"/>
        <v>0</v>
      </c>
      <c r="AC50" s="18" t="e">
        <f t="shared" si="5"/>
        <v>#REF!</v>
      </c>
      <c r="AD50" s="18" t="e">
        <f>IF(P50&lt;=ConceptDemo!$C$18,AD49+SUM(W50:AB50)-(Q50-Q49)-AC50,0)</f>
        <v>#REF!</v>
      </c>
      <c r="AE50" s="18" t="e">
        <f>IF(ConceptDemo!$C$7=Backend!$A$2,AD50,IF(AE49&lt;&gt;AD49,IF(P50&lt;=ConceptDemo!$C$18,AE49+SUM(W50:AB50)-(Q50-Q49)-AC50,0),IF(P50=ConceptDemo!#REF!,ConceptDemo!#REF!,AD50)))</f>
        <v>#REF!</v>
      </c>
      <c r="AF50" s="18" t="e">
        <f t="shared" si="7"/>
        <v>#REF!</v>
      </c>
      <c r="AG50" s="18" t="e">
        <f t="shared" si="8"/>
        <v>#REF!</v>
      </c>
      <c r="AH50" s="18" t="e">
        <f t="shared" si="6"/>
        <v>#REF!</v>
      </c>
    </row>
    <row r="51" spans="1:34" x14ac:dyDescent="0.25">
      <c r="A51">
        <v>100</v>
      </c>
      <c r="B51">
        <v>40</v>
      </c>
      <c r="E51">
        <v>0.3</v>
      </c>
      <c r="F51">
        <v>4</v>
      </c>
      <c r="G51" s="8">
        <f>E51/F51</f>
        <v>7.4999999999999997E-2</v>
      </c>
      <c r="H51">
        <v>6.1</v>
      </c>
      <c r="I51" s="24">
        <f>G51*H51/100</f>
        <v>4.5749999999999992E-3</v>
      </c>
      <c r="P51" s="12">
        <f>IFERROR(IF(P50+1=ConceptDemo!$C$18+10,"",Backend!P50+1),"")</f>
        <v>44469</v>
      </c>
      <c r="Q51" s="10" t="e">
        <f>IF(OR(P51&lt;ConceptDemo!$C$17,Backend!P51&gt;ConceptDemo!$C$18),0,IF(Backend!P51&lt;=Backend!$R$12,Backend!Q50+Backend!$T$12,IF(Backend!P51&lt;=Backend!$R$13,Backend!Q50+Backend!$T$13,IF(Backend!P51&lt;=Backend!$R$14,Backend!Q50+Backend!$T$14,IF(Backend!P51&lt;=Backend!$R$15,Backend!Q50+Backend!$T$15,IF(Backend!P51&lt;=Backend!$X$16,Backend!Q50+Backend!$Z$16))))))</f>
        <v>#REF!</v>
      </c>
      <c r="R51" s="19" t="str">
        <f>IF(1&lt;=ConceptDemo!$L$29,IF(P51=$W$12,ConceptDemo!$L$27,""),"")</f>
        <v/>
      </c>
      <c r="S51" s="19" t="str">
        <f>IF(2&lt;=ConceptDemo!$L$29,IF(P51=$W$13,ConceptDemo!$L$27,""),"")</f>
        <v/>
      </c>
      <c r="T51" s="19" t="str">
        <f>IF(3&lt;=ConceptDemo!$L$29,IF(P51=$W$14,ConceptDemo!$L$27,""),"")</f>
        <v/>
      </c>
      <c r="U51" s="19" t="str">
        <f>IF(4&lt;=ConceptDemo!$L$29,IF(P51=$W$15,ConceptDemo!$L$27,""),"")</f>
        <v/>
      </c>
      <c r="W51" s="18">
        <f>IF($P51&lt;ConceptDemo!$C$17+$E$24-10,$G$27,0)</f>
        <v>0</v>
      </c>
      <c r="X51" s="18">
        <f>IF($P51&lt;ConceptDemo!$C$17+$E$24-10,$H$27,0)</f>
        <v>0</v>
      </c>
      <c r="Y51" s="10">
        <f t="shared" si="1"/>
        <v>0</v>
      </c>
      <c r="Z51" s="10">
        <f t="shared" si="2"/>
        <v>0</v>
      </c>
      <c r="AA51" s="10">
        <f t="shared" si="3"/>
        <v>0</v>
      </c>
      <c r="AB51" s="10">
        <f t="shared" si="4"/>
        <v>0</v>
      </c>
      <c r="AC51" s="18" t="e">
        <f t="shared" si="5"/>
        <v>#REF!</v>
      </c>
      <c r="AD51" s="18" t="e">
        <f>IF(P51&lt;=ConceptDemo!$C$18,AD50+SUM(W51:AB51)-(Q51-Q50)-AC51,0)</f>
        <v>#REF!</v>
      </c>
      <c r="AE51" s="18" t="e">
        <f>IF(ConceptDemo!$C$7=Backend!$A$2,AD51,IF(AE50&lt;&gt;AD50,IF(P51&lt;=ConceptDemo!$C$18,AE50+SUM(W51:AB51)-(Q51-Q50)-AC51,0),IF(P51=ConceptDemo!#REF!,ConceptDemo!#REF!,AD51)))</f>
        <v>#REF!</v>
      </c>
      <c r="AF51" s="18" t="e">
        <f t="shared" si="7"/>
        <v>#REF!</v>
      </c>
      <c r="AG51" s="18" t="e">
        <f t="shared" si="8"/>
        <v>#REF!</v>
      </c>
      <c r="AH51" s="18" t="e">
        <f t="shared" si="6"/>
        <v>#REF!</v>
      </c>
    </row>
    <row r="52" spans="1:34" x14ac:dyDescent="0.25">
      <c r="A52">
        <v>120</v>
      </c>
      <c r="B52">
        <v>20</v>
      </c>
      <c r="E52">
        <v>4.4000000000000004</v>
      </c>
      <c r="F52">
        <v>66</v>
      </c>
      <c r="G52" s="8">
        <f t="shared" ref="G52:G53" si="9">E52/F52</f>
        <v>6.6666666666666666E-2</v>
      </c>
      <c r="H52">
        <v>5</v>
      </c>
      <c r="I52" s="24">
        <f t="shared" ref="I52:I53" si="10">G52*H52/100</f>
        <v>3.3333333333333331E-3</v>
      </c>
      <c r="P52" s="12">
        <f>IFERROR(IF(P51+1=ConceptDemo!$C$18+10,"",Backend!P51+1),"")</f>
        <v>44470</v>
      </c>
      <c r="Q52" s="10" t="e">
        <f>IF(OR(P52&lt;ConceptDemo!$C$17,Backend!P52&gt;ConceptDemo!$C$18),0,IF(Backend!P52&lt;=Backend!$R$12,Backend!Q51+Backend!$T$12,IF(Backend!P52&lt;=Backend!$R$13,Backend!Q51+Backend!$T$13,IF(Backend!P52&lt;=Backend!$R$14,Backend!Q51+Backend!$T$14,IF(Backend!P52&lt;=Backend!$R$15,Backend!Q51+Backend!$T$15,IF(Backend!P52&lt;=Backend!$X$16,Backend!Q51+Backend!$Z$16))))))</f>
        <v>#REF!</v>
      </c>
      <c r="R52" s="19" t="str">
        <f>IF(1&lt;=ConceptDemo!$L$29,IF(P52=$W$12,ConceptDemo!$L$27,""),"")</f>
        <v/>
      </c>
      <c r="S52" s="19" t="str">
        <f>IF(2&lt;=ConceptDemo!$L$29,IF(P52=$W$13,ConceptDemo!$L$27,""),"")</f>
        <v/>
      </c>
      <c r="T52" s="19" t="str">
        <f>IF(3&lt;=ConceptDemo!$L$29,IF(P52=$W$14,ConceptDemo!$L$27,""),"")</f>
        <v/>
      </c>
      <c r="U52" s="19" t="str">
        <f>IF(4&lt;=ConceptDemo!$L$29,IF(P52=$W$15,ConceptDemo!$L$27,""),"")</f>
        <v/>
      </c>
      <c r="W52" s="18">
        <f>IF($P52&lt;ConceptDemo!$C$17+$E$24-10,$G$27,0)</f>
        <v>0</v>
      </c>
      <c r="X52" s="18">
        <f>IF($P52&lt;ConceptDemo!$C$17+$E$24-10,$H$27,0)</f>
        <v>0</v>
      </c>
      <c r="Y52" s="10">
        <f t="shared" si="1"/>
        <v>0</v>
      </c>
      <c r="Z52" s="10">
        <f t="shared" si="2"/>
        <v>0</v>
      </c>
      <c r="AA52" s="10">
        <f t="shared" si="3"/>
        <v>0</v>
      </c>
      <c r="AB52" s="10">
        <f t="shared" si="4"/>
        <v>0</v>
      </c>
      <c r="AC52" s="18" t="e">
        <f t="shared" si="5"/>
        <v>#REF!</v>
      </c>
      <c r="AD52" s="18" t="e">
        <f>IF(P52&lt;=ConceptDemo!$C$18,AD51+SUM(W52:AB52)-(Q52-Q51)-AC52,0)</f>
        <v>#REF!</v>
      </c>
      <c r="AE52" s="18" t="e">
        <f>IF(ConceptDemo!$C$7=Backend!$A$2,AD52,IF(AE51&lt;&gt;AD51,IF(P52&lt;=ConceptDemo!$C$18,AE51+SUM(W52:AB52)-(Q52-Q51)-AC52,0),IF(P52=ConceptDemo!#REF!,ConceptDemo!#REF!,AD52)))</f>
        <v>#REF!</v>
      </c>
      <c r="AF52" s="18" t="e">
        <f t="shared" si="7"/>
        <v>#REF!</v>
      </c>
      <c r="AG52" s="18" t="e">
        <f t="shared" si="8"/>
        <v>#REF!</v>
      </c>
      <c r="AH52" s="18" t="e">
        <f t="shared" si="6"/>
        <v>#REF!</v>
      </c>
    </row>
    <row r="53" spans="1:34" x14ac:dyDescent="0.25">
      <c r="A53">
        <v>140</v>
      </c>
      <c r="B53">
        <v>0</v>
      </c>
      <c r="E53">
        <v>23</v>
      </c>
      <c r="F53">
        <v>334</v>
      </c>
      <c r="G53" s="8">
        <f t="shared" si="9"/>
        <v>6.8862275449101798E-2</v>
      </c>
      <c r="H53">
        <v>3.4</v>
      </c>
      <c r="I53" s="24">
        <f t="shared" si="10"/>
        <v>2.3413173652694613E-3</v>
      </c>
      <c r="P53" s="12">
        <f>IFERROR(IF(P52+1=ConceptDemo!$C$18+10,"",Backend!P52+1),"")</f>
        <v>44471</v>
      </c>
      <c r="Q53" s="10" t="e">
        <f>IF(OR(P53&lt;ConceptDemo!$C$17,Backend!P53&gt;ConceptDemo!$C$18),0,IF(Backend!P53&lt;=Backend!$R$12,Backend!Q52+Backend!$T$12,IF(Backend!P53&lt;=Backend!$R$13,Backend!Q52+Backend!$T$13,IF(Backend!P53&lt;=Backend!$R$14,Backend!Q52+Backend!$T$14,IF(Backend!P53&lt;=Backend!$R$15,Backend!Q52+Backend!$T$15,IF(Backend!P53&lt;=Backend!$X$16,Backend!Q52+Backend!$Z$16))))))</f>
        <v>#REF!</v>
      </c>
      <c r="R53" s="19" t="str">
        <f>IF(1&lt;=ConceptDemo!$L$29,IF(P53=$W$12,ConceptDemo!$L$27,""),"")</f>
        <v/>
      </c>
      <c r="S53" s="19" t="str">
        <f>IF(2&lt;=ConceptDemo!$L$29,IF(P53=$W$13,ConceptDemo!$L$27,""),"")</f>
        <v/>
      </c>
      <c r="T53" s="19" t="str">
        <f>IF(3&lt;=ConceptDemo!$L$29,IF(P53=$W$14,ConceptDemo!$L$27,""),"")</f>
        <v/>
      </c>
      <c r="U53" s="19" t="str">
        <f>IF(4&lt;=ConceptDemo!$L$29,IF(P53=$W$15,ConceptDemo!$L$27,""),"")</f>
        <v/>
      </c>
      <c r="W53" s="18">
        <f>IF($P53&lt;ConceptDemo!$C$17+$E$24-10,$G$27,0)</f>
        <v>0</v>
      </c>
      <c r="X53" s="18">
        <f>IF($P53&lt;ConceptDemo!$C$17+$E$24-10,$H$27,0)</f>
        <v>0</v>
      </c>
      <c r="Y53" s="10">
        <f t="shared" si="1"/>
        <v>0</v>
      </c>
      <c r="Z53" s="10">
        <f t="shared" si="2"/>
        <v>0</v>
      </c>
      <c r="AA53" s="10">
        <f t="shared" si="3"/>
        <v>0</v>
      </c>
      <c r="AB53" s="10">
        <f t="shared" si="4"/>
        <v>0</v>
      </c>
      <c r="AC53" s="18" t="e">
        <f t="shared" si="5"/>
        <v>#REF!</v>
      </c>
      <c r="AD53" s="18" t="e">
        <f>IF(P53&lt;=ConceptDemo!$C$18,AD52+SUM(W53:AB53)-(Q53-Q52)-AC53,0)</f>
        <v>#REF!</v>
      </c>
      <c r="AE53" s="18" t="e">
        <f>IF(ConceptDemo!$C$7=Backend!$A$2,AD53,IF(AE52&lt;&gt;AD52,IF(P53&lt;=ConceptDemo!$C$18,AE52+SUM(W53:AB53)-(Q53-Q52)-AC53,0),IF(P53=ConceptDemo!#REF!,ConceptDemo!#REF!,AD53)))</f>
        <v>#REF!</v>
      </c>
      <c r="AF53" s="18" t="e">
        <f t="shared" si="7"/>
        <v>#REF!</v>
      </c>
      <c r="AG53" s="18" t="e">
        <f t="shared" si="8"/>
        <v>#REF!</v>
      </c>
      <c r="AH53" s="18" t="e">
        <f t="shared" si="6"/>
        <v>#REF!</v>
      </c>
    </row>
    <row r="54" spans="1:34" x14ac:dyDescent="0.25">
      <c r="P54" s="12">
        <f>IFERROR(IF(P53+1=ConceptDemo!$C$18+10,"",Backend!P53+1),"")</f>
        <v>44472</v>
      </c>
      <c r="Q54" s="10" t="e">
        <f>IF(OR(P54&lt;ConceptDemo!$C$17,Backend!P54&gt;ConceptDemo!$C$18),0,IF(Backend!P54&lt;=Backend!$R$12,Backend!Q53+Backend!$T$12,IF(Backend!P54&lt;=Backend!$R$13,Backend!Q53+Backend!$T$13,IF(Backend!P54&lt;=Backend!$R$14,Backend!Q53+Backend!$T$14,IF(Backend!P54&lt;=Backend!$R$15,Backend!Q53+Backend!$T$15,IF(Backend!P54&lt;=Backend!$X$16,Backend!Q53+Backend!$Z$16))))))</f>
        <v>#REF!</v>
      </c>
      <c r="R54" s="19" t="str">
        <f>IF(1&lt;=ConceptDemo!$L$29,IF(P54=$W$12,ConceptDemo!$L$27,""),"")</f>
        <v/>
      </c>
      <c r="S54" s="19" t="str">
        <f>IF(2&lt;=ConceptDemo!$L$29,IF(P54=$W$13,ConceptDemo!$L$27,""),"")</f>
        <v/>
      </c>
      <c r="T54" s="19" t="str">
        <f>IF(3&lt;=ConceptDemo!$L$29,IF(P54=$W$14,ConceptDemo!$L$27,""),"")</f>
        <v/>
      </c>
      <c r="U54" s="19" t="str">
        <f>IF(4&lt;=ConceptDemo!$L$29,IF(P54=$W$15,ConceptDemo!$L$27,""),"")</f>
        <v/>
      </c>
      <c r="W54" s="18">
        <f>IF($P54&lt;ConceptDemo!$C$17+$E$24-10,$G$27,0)</f>
        <v>0</v>
      </c>
      <c r="X54" s="18">
        <f>IF($P54&lt;ConceptDemo!$C$17+$E$24-10,$H$27,0)</f>
        <v>0</v>
      </c>
      <c r="Y54" s="10">
        <f t="shared" si="1"/>
        <v>0</v>
      </c>
      <c r="Z54" s="10">
        <f t="shared" si="2"/>
        <v>0</v>
      </c>
      <c r="AA54" s="10">
        <f t="shared" si="3"/>
        <v>0</v>
      </c>
      <c r="AB54" s="10">
        <f t="shared" si="4"/>
        <v>0</v>
      </c>
      <c r="AC54" s="18" t="e">
        <f t="shared" si="5"/>
        <v>#REF!</v>
      </c>
      <c r="AD54" s="18" t="e">
        <f>IF(P54&lt;=ConceptDemo!$C$18,AD53+SUM(W54:AB54)-(Q54-Q53)-AC54,0)</f>
        <v>#REF!</v>
      </c>
      <c r="AE54" s="18" t="e">
        <f>IF(ConceptDemo!$C$7=Backend!$A$2,AD54,IF(AE53&lt;&gt;AD53,IF(P54&lt;=ConceptDemo!$C$18,AE53+SUM(W54:AB54)-(Q54-Q53)-AC54,0),IF(P54=ConceptDemo!#REF!,ConceptDemo!#REF!,AD54)))</f>
        <v>#REF!</v>
      </c>
      <c r="AF54" s="18" t="e">
        <f t="shared" si="7"/>
        <v>#REF!</v>
      </c>
      <c r="AG54" s="18" t="e">
        <f t="shared" si="8"/>
        <v>#REF!</v>
      </c>
      <c r="AH54" s="18" t="e">
        <f t="shared" si="6"/>
        <v>#REF!</v>
      </c>
    </row>
    <row r="55" spans="1:34" x14ac:dyDescent="0.25">
      <c r="F55" s="24"/>
      <c r="P55" s="12">
        <f>IFERROR(IF(P54+1=ConceptDemo!$C$18+10,"",Backend!P54+1),"")</f>
        <v>44473</v>
      </c>
      <c r="Q55" s="10" t="e">
        <f>IF(OR(P55&lt;ConceptDemo!$C$17,Backend!P55&gt;ConceptDemo!$C$18),0,IF(Backend!P55&lt;=Backend!$R$12,Backend!Q54+Backend!$T$12,IF(Backend!P55&lt;=Backend!$R$13,Backend!Q54+Backend!$T$13,IF(Backend!P55&lt;=Backend!$R$14,Backend!Q54+Backend!$T$14,IF(Backend!P55&lt;=Backend!$R$15,Backend!Q54+Backend!$T$15,IF(Backend!P55&lt;=Backend!$X$16,Backend!Q54+Backend!$Z$16))))))</f>
        <v>#REF!</v>
      </c>
      <c r="R55" s="19" t="str">
        <f>IF(1&lt;=ConceptDemo!$L$29,IF(P55=$W$12,ConceptDemo!$L$27,""),"")</f>
        <v/>
      </c>
      <c r="S55" s="19" t="str">
        <f>IF(2&lt;=ConceptDemo!$L$29,IF(P55=$W$13,ConceptDemo!$L$27,""),"")</f>
        <v/>
      </c>
      <c r="T55" s="19" t="str">
        <f>IF(3&lt;=ConceptDemo!$L$29,IF(P55=$W$14,ConceptDemo!$L$27,""),"")</f>
        <v/>
      </c>
      <c r="U55" s="19" t="str">
        <f>IF(4&lt;=ConceptDemo!$L$29,IF(P55=$W$15,ConceptDemo!$L$27,""),"")</f>
        <v/>
      </c>
      <c r="W55" s="18">
        <f>IF($P55&lt;ConceptDemo!$C$17+$E$24-10,$G$27,0)</f>
        <v>0</v>
      </c>
      <c r="X55" s="18">
        <f>IF($P55&lt;ConceptDemo!$C$17+$E$24-10,$H$27,0)</f>
        <v>0</v>
      </c>
      <c r="Y55" s="10">
        <f t="shared" si="1"/>
        <v>0</v>
      </c>
      <c r="Z55" s="10">
        <f t="shared" si="2"/>
        <v>0</v>
      </c>
      <c r="AA55" s="10">
        <f t="shared" si="3"/>
        <v>0</v>
      </c>
      <c r="AB55" s="10">
        <f t="shared" si="4"/>
        <v>0</v>
      </c>
      <c r="AC55" s="18" t="e">
        <f t="shared" si="5"/>
        <v>#REF!</v>
      </c>
      <c r="AD55" s="18" t="e">
        <f>IF(P55&lt;=ConceptDemo!$C$18,AD54+SUM(W55:AB55)-(Q55-Q54)-AC55,0)</f>
        <v>#REF!</v>
      </c>
      <c r="AE55" s="18" t="e">
        <f>IF(ConceptDemo!$C$7=Backend!$A$2,AD55,IF(AE54&lt;&gt;AD54,IF(P55&lt;=ConceptDemo!$C$18,AE54+SUM(W55:AB55)-(Q55-Q54)-AC55,0),IF(P55=ConceptDemo!#REF!,ConceptDemo!#REF!,AD55)))</f>
        <v>#REF!</v>
      </c>
      <c r="AF55" s="18" t="e">
        <f t="shared" si="7"/>
        <v>#REF!</v>
      </c>
      <c r="AG55" s="18" t="e">
        <f t="shared" si="8"/>
        <v>#REF!</v>
      </c>
      <c r="AH55" s="18" t="e">
        <f t="shared" si="6"/>
        <v>#REF!</v>
      </c>
    </row>
    <row r="56" spans="1:34" x14ac:dyDescent="0.25">
      <c r="A56" t="s">
        <v>87</v>
      </c>
      <c r="B56" s="19" t="e">
        <f>(-ConceptDemo!#REF!+140)*B46</f>
        <v>#REF!</v>
      </c>
      <c r="C56" t="s">
        <v>88</v>
      </c>
      <c r="E56" t="s">
        <v>100</v>
      </c>
      <c r="F56" s="24" t="e">
        <f>0.0058*(ConceptDemo!#REF!*1000)^-0.147</f>
        <v>#REF!</v>
      </c>
      <c r="P56" s="12">
        <f>IFERROR(IF(P55+1=ConceptDemo!$C$18+10,"",Backend!P55+1),"")</f>
        <v>44474</v>
      </c>
      <c r="Q56" s="10" t="e">
        <f>IF(OR(P56&lt;ConceptDemo!$C$17,Backend!P56&gt;ConceptDemo!$C$18),0,IF(Backend!P56&lt;=Backend!$R$12,Backend!Q55+Backend!$T$12,IF(Backend!P56&lt;=Backend!$R$13,Backend!Q55+Backend!$T$13,IF(Backend!P56&lt;=Backend!$R$14,Backend!Q55+Backend!$T$14,IF(Backend!P56&lt;=Backend!$R$15,Backend!Q55+Backend!$T$15,IF(Backend!P56&lt;=Backend!$X$16,Backend!Q55+Backend!$Z$16))))))</f>
        <v>#REF!</v>
      </c>
      <c r="R56" s="19" t="str">
        <f>IF(1&lt;=ConceptDemo!$L$29,IF(P56=$W$12,ConceptDemo!$L$27,""),"")</f>
        <v/>
      </c>
      <c r="S56" s="19" t="str">
        <f>IF(2&lt;=ConceptDemo!$L$29,IF(P56=$W$13,ConceptDemo!$L$27,""),"")</f>
        <v/>
      </c>
      <c r="T56" s="19" t="str">
        <f>IF(3&lt;=ConceptDemo!$L$29,IF(P56=$W$14,ConceptDemo!$L$27,""),"")</f>
        <v/>
      </c>
      <c r="U56" s="19" t="str">
        <f>IF(4&lt;=ConceptDemo!$L$29,IF(P56=$W$15,ConceptDemo!$L$27,""),"")</f>
        <v/>
      </c>
      <c r="W56" s="18">
        <f>IF($P56&lt;ConceptDemo!$C$17+$E$24-10,$G$27,0)</f>
        <v>0</v>
      </c>
      <c r="X56" s="18">
        <f>IF($P56&lt;ConceptDemo!$C$17+$E$24-10,$H$27,0)</f>
        <v>0</v>
      </c>
      <c r="Y56" s="10">
        <f t="shared" si="1"/>
        <v>0</v>
      </c>
      <c r="Z56" s="10">
        <f t="shared" si="2"/>
        <v>0</v>
      </c>
      <c r="AA56" s="10">
        <f t="shared" si="3"/>
        <v>0</v>
      </c>
      <c r="AB56" s="10">
        <f t="shared" si="4"/>
        <v>0</v>
      </c>
      <c r="AC56" s="18" t="e">
        <f t="shared" si="5"/>
        <v>#REF!</v>
      </c>
      <c r="AD56" s="18" t="e">
        <f>IF(P56&lt;=ConceptDemo!$C$18,AD55+SUM(W56:AB56)-(Q56-Q55)-AC56,0)</f>
        <v>#REF!</v>
      </c>
      <c r="AE56" s="18" t="e">
        <f>IF(ConceptDemo!$C$7=Backend!$A$2,AD56,IF(AE55&lt;&gt;AD55,IF(P56&lt;=ConceptDemo!$C$18,AE55+SUM(W56:AB56)-(Q56-Q55)-AC56,0),IF(P56=ConceptDemo!#REF!,ConceptDemo!#REF!,AD56)))</f>
        <v>#REF!</v>
      </c>
      <c r="AF56" s="18" t="e">
        <f t="shared" si="7"/>
        <v>#REF!</v>
      </c>
      <c r="AG56" s="18" t="e">
        <f t="shared" si="8"/>
        <v>#REF!</v>
      </c>
      <c r="AH56" s="18" t="e">
        <f t="shared" si="6"/>
        <v>#REF!</v>
      </c>
    </row>
    <row r="57" spans="1:34" x14ac:dyDescent="0.25">
      <c r="E57" s="4" t="s">
        <v>99</v>
      </c>
      <c r="F57" s="15" t="e">
        <f>F56*B38*1000</f>
        <v>#REF!</v>
      </c>
      <c r="G57" t="s">
        <v>88</v>
      </c>
      <c r="P57" s="12">
        <f>IFERROR(IF(P56+1=ConceptDemo!$C$18+10,"",Backend!P56+1),"")</f>
        <v>44475</v>
      </c>
      <c r="Q57" s="10" t="e">
        <f>IF(OR(P57&lt;ConceptDemo!$C$17,Backend!P57&gt;ConceptDemo!$C$18),0,IF(Backend!P57&lt;=Backend!$R$12,Backend!Q56+Backend!$T$12,IF(Backend!P57&lt;=Backend!$R$13,Backend!Q56+Backend!$T$13,IF(Backend!P57&lt;=Backend!$R$14,Backend!Q56+Backend!$T$14,IF(Backend!P57&lt;=Backend!$R$15,Backend!Q56+Backend!$T$15,IF(Backend!P57&lt;=Backend!$X$16,Backend!Q56+Backend!$Z$16))))))</f>
        <v>#REF!</v>
      </c>
      <c r="R57" s="19" t="str">
        <f>IF(1&lt;=ConceptDemo!$L$29,IF(P57=$W$12,ConceptDemo!$L$27,""),"")</f>
        <v/>
      </c>
      <c r="S57" s="19" t="str">
        <f>IF(2&lt;=ConceptDemo!$L$29,IF(P57=$W$13,ConceptDemo!$L$27,""),"")</f>
        <v/>
      </c>
      <c r="T57" s="19" t="str">
        <f>IF(3&lt;=ConceptDemo!$L$29,IF(P57=$W$14,ConceptDemo!$L$27,""),"")</f>
        <v/>
      </c>
      <c r="U57" s="19" t="str">
        <f>IF(4&lt;=ConceptDemo!$L$29,IF(P57=$W$15,ConceptDemo!$L$27,""),"")</f>
        <v/>
      </c>
      <c r="W57" s="18">
        <f>IF($P57&lt;ConceptDemo!$C$17+$E$24-10,$G$27,0)</f>
        <v>0</v>
      </c>
      <c r="X57" s="18">
        <f>IF($P57&lt;ConceptDemo!$C$17+$E$24-10,$H$27,0)</f>
        <v>0</v>
      </c>
      <c r="Y57" s="10">
        <f t="shared" si="1"/>
        <v>0</v>
      </c>
      <c r="Z57" s="10">
        <f t="shared" si="2"/>
        <v>0</v>
      </c>
      <c r="AA57" s="10">
        <f t="shared" si="3"/>
        <v>0</v>
      </c>
      <c r="AB57" s="10">
        <f t="shared" si="4"/>
        <v>0</v>
      </c>
      <c r="AC57" s="18" t="e">
        <f t="shared" si="5"/>
        <v>#REF!</v>
      </c>
      <c r="AD57" s="18" t="e">
        <f>IF(P57&lt;=ConceptDemo!$C$18,AD56+SUM(W57:AB57)-(Q57-Q56)-AC57,0)</f>
        <v>#REF!</v>
      </c>
      <c r="AE57" s="18" t="e">
        <f>IF(ConceptDemo!$C$7=Backend!$A$2,AD57,IF(AE56&lt;&gt;AD56,IF(P57&lt;=ConceptDemo!$C$18,AE56+SUM(W57:AB57)-(Q57-Q56)-AC57,0),IF(P57=ConceptDemo!#REF!,ConceptDemo!#REF!,AD57)))</f>
        <v>#REF!</v>
      </c>
      <c r="AF57" s="18" t="e">
        <f t="shared" si="7"/>
        <v>#REF!</v>
      </c>
      <c r="AG57" s="18" t="e">
        <f t="shared" si="8"/>
        <v>#REF!</v>
      </c>
      <c r="AH57" s="18" t="e">
        <f t="shared" si="6"/>
        <v>#REF!</v>
      </c>
    </row>
    <row r="58" spans="1:34" x14ac:dyDescent="0.25">
      <c r="E58" t="s">
        <v>106</v>
      </c>
      <c r="F58" s="15" t="e">
        <f>F56*B40*1000</f>
        <v>#REF!</v>
      </c>
      <c r="G58" t="s">
        <v>88</v>
      </c>
      <c r="P58" s="12">
        <f>IFERROR(IF(P57+1=ConceptDemo!$C$18+10,"",Backend!P57+1),"")</f>
        <v>44476</v>
      </c>
      <c r="Q58" s="10" t="e">
        <f>IF(OR(P58&lt;ConceptDemo!$C$17,Backend!P58&gt;ConceptDemo!$C$18),0,IF(Backend!P58&lt;=Backend!$R$12,Backend!Q57+Backend!$T$12,IF(Backend!P58&lt;=Backend!$R$13,Backend!Q57+Backend!$T$13,IF(Backend!P58&lt;=Backend!$R$14,Backend!Q57+Backend!$T$14,IF(Backend!P58&lt;=Backend!$R$15,Backend!Q57+Backend!$T$15,IF(Backend!P58&lt;=Backend!$X$16,Backend!Q57+Backend!$Z$16))))))</f>
        <v>#REF!</v>
      </c>
      <c r="R58" s="19" t="str">
        <f>IF(1&lt;=ConceptDemo!$L$29,IF(P58=$W$12,ConceptDemo!$L$27,""),"")</f>
        <v/>
      </c>
      <c r="S58" s="19" t="str">
        <f>IF(2&lt;=ConceptDemo!$L$29,IF(P58=$W$13,ConceptDemo!$L$27,""),"")</f>
        <v/>
      </c>
      <c r="T58" s="19" t="str">
        <f>IF(3&lt;=ConceptDemo!$L$29,IF(P58=$W$14,ConceptDemo!$L$27,""),"")</f>
        <v/>
      </c>
      <c r="U58" s="19" t="str">
        <f>IF(4&lt;=ConceptDemo!$L$29,IF(P58=$W$15,ConceptDemo!$L$27,""),"")</f>
        <v/>
      </c>
      <c r="W58" s="18">
        <f>IF($P58&lt;ConceptDemo!$C$17+$E$24-10,$G$27,0)</f>
        <v>0</v>
      </c>
      <c r="X58" s="18">
        <f>IF($P58&lt;ConceptDemo!$C$17+$E$24-10,$H$27,0)</f>
        <v>0</v>
      </c>
      <c r="Y58" s="10">
        <f t="shared" si="1"/>
        <v>0</v>
      </c>
      <c r="Z58" s="10">
        <f t="shared" si="2"/>
        <v>0</v>
      </c>
      <c r="AA58" s="10">
        <f t="shared" si="3"/>
        <v>0</v>
      </c>
      <c r="AB58" s="10">
        <f t="shared" si="4"/>
        <v>0</v>
      </c>
      <c r="AC58" s="18" t="e">
        <f t="shared" si="5"/>
        <v>#REF!</v>
      </c>
      <c r="AD58" s="18" t="e">
        <f>IF(P58&lt;=ConceptDemo!$C$18,AD57+SUM(W58:AB58)-(Q58-Q57)-AC58,0)</f>
        <v>#REF!</v>
      </c>
      <c r="AE58" s="18" t="e">
        <f>IF(ConceptDemo!$C$7=Backend!$A$2,AD58,IF(AE57&lt;&gt;AD57,IF(P58&lt;=ConceptDemo!$C$18,AE57+SUM(W58:AB58)-(Q58-Q57)-AC58,0),IF(P58=ConceptDemo!#REF!,ConceptDemo!#REF!,AD58)))</f>
        <v>#REF!</v>
      </c>
      <c r="AF58" s="18" t="e">
        <f t="shared" si="7"/>
        <v>#REF!</v>
      </c>
      <c r="AG58" s="18" t="e">
        <f t="shared" si="8"/>
        <v>#REF!</v>
      </c>
      <c r="AH58" s="18" t="e">
        <f t="shared" si="6"/>
        <v>#REF!</v>
      </c>
    </row>
    <row r="59" spans="1:34" x14ac:dyDescent="0.25">
      <c r="E59" t="s">
        <v>107</v>
      </c>
      <c r="F59" s="15" t="e">
        <f>F57-F58</f>
        <v>#REF!</v>
      </c>
      <c r="G59" t="s">
        <v>88</v>
      </c>
      <c r="P59" s="12">
        <f>IFERROR(IF(P58+1=ConceptDemo!$C$18+10,"",Backend!P58+1),"")</f>
        <v>44477</v>
      </c>
      <c r="Q59" s="10" t="e">
        <f>IF(OR(P59&lt;ConceptDemo!$C$17,Backend!P59&gt;ConceptDemo!$C$18),0,IF(Backend!P59&lt;=Backend!$R$12,Backend!Q58+Backend!$T$12,IF(Backend!P59&lt;=Backend!$R$13,Backend!Q58+Backend!$T$13,IF(Backend!P59&lt;=Backend!$R$14,Backend!Q58+Backend!$T$14,IF(Backend!P59&lt;=Backend!$R$15,Backend!Q58+Backend!$T$15,IF(Backend!P59&lt;=Backend!$X$16,Backend!Q58+Backend!$Z$16))))))</f>
        <v>#REF!</v>
      </c>
      <c r="R59" s="19" t="str">
        <f>IF(1&lt;=ConceptDemo!$L$29,IF(P59=$W$12,ConceptDemo!$L$27,""),"")</f>
        <v/>
      </c>
      <c r="S59" s="19" t="str">
        <f>IF(2&lt;=ConceptDemo!$L$29,IF(P59=$W$13,ConceptDemo!$L$27,""),"")</f>
        <v/>
      </c>
      <c r="T59" s="19" t="str">
        <f>IF(3&lt;=ConceptDemo!$L$29,IF(P59=$W$14,ConceptDemo!$L$27,""),"")</f>
        <v/>
      </c>
      <c r="U59" s="19" t="str">
        <f>IF(4&lt;=ConceptDemo!$L$29,IF(P59=$W$15,ConceptDemo!$L$27,""),"")</f>
        <v/>
      </c>
      <c r="W59" s="18">
        <f>IF($P59&lt;ConceptDemo!$C$17+$E$24-10,$G$27,0)</f>
        <v>0</v>
      </c>
      <c r="X59" s="18">
        <f>IF($P59&lt;ConceptDemo!$C$17+$E$24-10,$H$27,0)</f>
        <v>0</v>
      </c>
      <c r="Y59" s="10">
        <f t="shared" si="1"/>
        <v>0</v>
      </c>
      <c r="Z59" s="10">
        <f t="shared" si="2"/>
        <v>0</v>
      </c>
      <c r="AA59" s="10">
        <f t="shared" si="3"/>
        <v>0</v>
      </c>
      <c r="AB59" s="10">
        <f t="shared" si="4"/>
        <v>0</v>
      </c>
      <c r="AC59" s="18" t="e">
        <f t="shared" si="5"/>
        <v>#REF!</v>
      </c>
      <c r="AD59" s="18" t="e">
        <f>IF(P59&lt;=ConceptDemo!$C$18,AD58+SUM(W59:AB59)-(Q59-Q58)-AC59,0)</f>
        <v>#REF!</v>
      </c>
      <c r="AE59" s="18" t="e">
        <f>IF(ConceptDemo!$C$7=Backend!$A$2,AD59,IF(AE58&lt;&gt;AD58,IF(P59&lt;=ConceptDemo!$C$18,AE58+SUM(W59:AB59)-(Q59-Q58)-AC59,0),IF(P59=ConceptDemo!#REF!,ConceptDemo!#REF!,AD59)))</f>
        <v>#REF!</v>
      </c>
      <c r="AF59" s="18" t="e">
        <f t="shared" si="7"/>
        <v>#REF!</v>
      </c>
      <c r="AG59" s="18" t="e">
        <f t="shared" si="8"/>
        <v>#REF!</v>
      </c>
      <c r="AH59" s="18" t="e">
        <f t="shared" si="6"/>
        <v>#REF!</v>
      </c>
    </row>
    <row r="60" spans="1:34" x14ac:dyDescent="0.25">
      <c r="P60" s="12">
        <f>IFERROR(IF(P59+1=ConceptDemo!$C$18+10,"",Backend!P59+1),"")</f>
        <v>44478</v>
      </c>
      <c r="Q60" s="10" t="e">
        <f>IF(OR(P60&lt;ConceptDemo!$C$17,Backend!P60&gt;ConceptDemo!$C$18),0,IF(Backend!P60&lt;=Backend!$R$12,Backend!Q59+Backend!$T$12,IF(Backend!P60&lt;=Backend!$R$13,Backend!Q59+Backend!$T$13,IF(Backend!P60&lt;=Backend!$R$14,Backend!Q59+Backend!$T$14,IF(Backend!P60&lt;=Backend!$R$15,Backend!Q59+Backend!$T$15,IF(Backend!P60&lt;=Backend!$X$16,Backend!Q59+Backend!$Z$16))))))</f>
        <v>#REF!</v>
      </c>
      <c r="R60" s="19" t="str">
        <f>IF(1&lt;=ConceptDemo!$L$29,IF(P60=$W$12,ConceptDemo!$L$27,""),"")</f>
        <v/>
      </c>
      <c r="S60" s="19" t="str">
        <f>IF(2&lt;=ConceptDemo!$L$29,IF(P60=$W$13,ConceptDemo!$L$27,""),"")</f>
        <v/>
      </c>
      <c r="T60" s="19" t="str">
        <f>IF(3&lt;=ConceptDemo!$L$29,IF(P60=$W$14,ConceptDemo!$L$27,""),"")</f>
        <v/>
      </c>
      <c r="U60" s="19" t="str">
        <f>IF(4&lt;=ConceptDemo!$L$29,IF(P60=$W$15,ConceptDemo!$L$27,""),"")</f>
        <v/>
      </c>
      <c r="W60" s="18">
        <f>IF($P60&lt;ConceptDemo!$C$17+$E$24-10,$G$27,0)</f>
        <v>0</v>
      </c>
      <c r="X60" s="18">
        <f>IF($P60&lt;ConceptDemo!$C$17+$E$24-10,$H$27,0)</f>
        <v>0</v>
      </c>
      <c r="Y60" s="10">
        <f t="shared" si="1"/>
        <v>0</v>
      </c>
      <c r="Z60" s="10">
        <f t="shared" si="2"/>
        <v>0</v>
      </c>
      <c r="AA60" s="10">
        <f t="shared" si="3"/>
        <v>0</v>
      </c>
      <c r="AB60" s="10">
        <f t="shared" si="4"/>
        <v>0</v>
      </c>
      <c r="AC60" s="18" t="e">
        <f t="shared" si="5"/>
        <v>#REF!</v>
      </c>
      <c r="AD60" s="18" t="e">
        <f>IF(P60&lt;=ConceptDemo!$C$18,AD59+SUM(W60:AB60)-(Q60-Q59)-AC60,0)</f>
        <v>#REF!</v>
      </c>
      <c r="AE60" s="18" t="e">
        <f>IF(ConceptDemo!$C$7=Backend!$A$2,AD60,IF(AE59&lt;&gt;AD59,IF(P60&lt;=ConceptDemo!$C$18,AE59+SUM(W60:AB60)-(Q60-Q59)-AC60,0),IF(P60=ConceptDemo!#REF!,ConceptDemo!#REF!,AD60)))</f>
        <v>#REF!</v>
      </c>
      <c r="AF60" s="18" t="e">
        <f t="shared" si="7"/>
        <v>#REF!</v>
      </c>
      <c r="AG60" s="18" t="e">
        <f t="shared" si="8"/>
        <v>#REF!</v>
      </c>
      <c r="AH60" s="18" t="e">
        <f t="shared" si="6"/>
        <v>#REF!</v>
      </c>
    </row>
    <row r="61" spans="1:34" x14ac:dyDescent="0.25">
      <c r="P61" s="12">
        <f>IFERROR(IF(P60+1=ConceptDemo!$C$18+10,"",Backend!P60+1),"")</f>
        <v>44479</v>
      </c>
      <c r="Q61" s="10" t="e">
        <f>IF(OR(P61&lt;ConceptDemo!$C$17,Backend!P61&gt;ConceptDemo!$C$18),0,IF(Backend!P61&lt;=Backend!$R$12,Backend!Q60+Backend!$T$12,IF(Backend!P61&lt;=Backend!$R$13,Backend!Q60+Backend!$T$13,IF(Backend!P61&lt;=Backend!$R$14,Backend!Q60+Backend!$T$14,IF(Backend!P61&lt;=Backend!$R$15,Backend!Q60+Backend!$T$15,IF(Backend!P61&lt;=Backend!$X$16,Backend!Q60+Backend!$Z$16))))))</f>
        <v>#REF!</v>
      </c>
      <c r="R61" s="19" t="str">
        <f>IF(1&lt;=ConceptDemo!$L$29,IF(P61=$W$12,ConceptDemo!$L$27,""),"")</f>
        <v/>
      </c>
      <c r="S61" s="19" t="str">
        <f>IF(2&lt;=ConceptDemo!$L$29,IF(P61=$W$13,ConceptDemo!$L$27,""),"")</f>
        <v/>
      </c>
      <c r="T61" s="19" t="str">
        <f>IF(3&lt;=ConceptDemo!$L$29,IF(P61=$W$14,ConceptDemo!$L$27,""),"")</f>
        <v/>
      </c>
      <c r="U61" s="19" t="str">
        <f>IF(4&lt;=ConceptDemo!$L$29,IF(P61=$W$15,ConceptDemo!$L$27,""),"")</f>
        <v/>
      </c>
      <c r="W61" s="18">
        <f>IF($P61&lt;ConceptDemo!$C$17+$E$24-10,$G$27,0)</f>
        <v>0</v>
      </c>
      <c r="X61" s="18">
        <f>IF($P61&lt;ConceptDemo!$C$17+$E$24-10,$H$27,0)</f>
        <v>0</v>
      </c>
      <c r="Y61" s="10">
        <f t="shared" si="1"/>
        <v>0</v>
      </c>
      <c r="Z61" s="10">
        <f t="shared" si="2"/>
        <v>0</v>
      </c>
      <c r="AA61" s="10">
        <f t="shared" si="3"/>
        <v>0</v>
      </c>
      <c r="AB61" s="10">
        <f t="shared" si="4"/>
        <v>0</v>
      </c>
      <c r="AC61" s="18" t="e">
        <f t="shared" si="5"/>
        <v>#REF!</v>
      </c>
      <c r="AD61" s="18" t="e">
        <f>IF(P61&lt;=ConceptDemo!$C$18,AD60+SUM(W61:AB61)-(Q61-Q60)-AC61,0)</f>
        <v>#REF!</v>
      </c>
      <c r="AE61" s="18" t="e">
        <f>IF(ConceptDemo!$C$7=Backend!$A$2,AD61,IF(AE60&lt;&gt;AD60,IF(P61&lt;=ConceptDemo!$C$18,AE60+SUM(W61:AB61)-(Q61-Q60)-AC61,0),IF(P61=ConceptDemo!#REF!,ConceptDemo!#REF!,AD61)))</f>
        <v>#REF!</v>
      </c>
      <c r="AF61" s="18" t="e">
        <f t="shared" si="7"/>
        <v>#REF!</v>
      </c>
      <c r="AG61" s="18" t="e">
        <f t="shared" si="8"/>
        <v>#REF!</v>
      </c>
      <c r="AH61" s="18" t="e">
        <f t="shared" si="6"/>
        <v>#REF!</v>
      </c>
    </row>
    <row r="62" spans="1:34" x14ac:dyDescent="0.25">
      <c r="P62" s="12">
        <f>IFERROR(IF(P61+1=ConceptDemo!$C$18+10,"",Backend!P61+1),"")</f>
        <v>44480</v>
      </c>
      <c r="Q62" s="10" t="e">
        <f>IF(OR(P62&lt;ConceptDemo!$C$17,Backend!P62&gt;ConceptDemo!$C$18),0,IF(Backend!P62&lt;=Backend!$R$12,Backend!Q61+Backend!$T$12,IF(Backend!P62&lt;=Backend!$R$13,Backend!Q61+Backend!$T$13,IF(Backend!P62&lt;=Backend!$R$14,Backend!Q61+Backend!$T$14,IF(Backend!P62&lt;=Backend!$R$15,Backend!Q61+Backend!$T$15,IF(Backend!P62&lt;=Backend!$X$16,Backend!Q61+Backend!$Z$16))))))</f>
        <v>#REF!</v>
      </c>
      <c r="R62" s="19" t="str">
        <f>IF(1&lt;=ConceptDemo!$L$29,IF(P62=$W$12,ConceptDemo!$L$27,""),"")</f>
        <v/>
      </c>
      <c r="S62" s="19" t="str">
        <f>IF(2&lt;=ConceptDemo!$L$29,IF(P62=$W$13,ConceptDemo!$L$27,""),"")</f>
        <v/>
      </c>
      <c r="T62" s="19" t="str">
        <f>IF(3&lt;=ConceptDemo!$L$29,IF(P62=$W$14,ConceptDemo!$L$27,""),"")</f>
        <v/>
      </c>
      <c r="U62" s="19" t="str">
        <f>IF(4&lt;=ConceptDemo!$L$29,IF(P62=$W$15,ConceptDemo!$L$27,""),"")</f>
        <v/>
      </c>
      <c r="W62" s="18">
        <f>IF($P62&lt;ConceptDemo!$C$17+$E$24-10,$G$27,0)</f>
        <v>0</v>
      </c>
      <c r="X62" s="18">
        <f>IF($P62&lt;ConceptDemo!$C$17+$E$24-10,$H$27,0)</f>
        <v>0</v>
      </c>
      <c r="Y62" s="10">
        <f t="shared" si="1"/>
        <v>0</v>
      </c>
      <c r="Z62" s="10">
        <f t="shared" si="2"/>
        <v>0</v>
      </c>
      <c r="AA62" s="10">
        <f t="shared" si="3"/>
        <v>0</v>
      </c>
      <c r="AB62" s="10">
        <f t="shared" si="4"/>
        <v>0</v>
      </c>
      <c r="AC62" s="18" t="e">
        <f t="shared" si="5"/>
        <v>#REF!</v>
      </c>
      <c r="AD62" s="18" t="e">
        <f>IF(P62&lt;=ConceptDemo!$C$18,AD61+SUM(W62:AB62)-(Q62-Q61)-AC62,0)</f>
        <v>#REF!</v>
      </c>
      <c r="AE62" s="18" t="e">
        <f>IF(ConceptDemo!$C$7=Backend!$A$2,AD62,IF(AE61&lt;&gt;AD61,IF(P62&lt;=ConceptDemo!$C$18,AE61+SUM(W62:AB62)-(Q62-Q61)-AC62,0),IF(P62=ConceptDemo!#REF!,ConceptDemo!#REF!,AD62)))</f>
        <v>#REF!</v>
      </c>
      <c r="AF62" s="18" t="e">
        <f t="shared" si="7"/>
        <v>#REF!</v>
      </c>
      <c r="AG62" s="18" t="e">
        <f t="shared" si="8"/>
        <v>#REF!</v>
      </c>
      <c r="AH62" s="18" t="e">
        <f t="shared" si="6"/>
        <v>#REF!</v>
      </c>
    </row>
    <row r="63" spans="1:34" x14ac:dyDescent="0.25">
      <c r="P63" s="12">
        <f>IFERROR(IF(P62+1=ConceptDemo!$C$18+10,"",Backend!P62+1),"")</f>
        <v>44481</v>
      </c>
      <c r="Q63" s="10" t="e">
        <f>IF(OR(P63&lt;ConceptDemo!$C$17,Backend!P63&gt;ConceptDemo!$C$18),0,IF(Backend!P63&lt;=Backend!$R$12,Backend!Q62+Backend!$T$12,IF(Backend!P63&lt;=Backend!$R$13,Backend!Q62+Backend!$T$13,IF(Backend!P63&lt;=Backend!$R$14,Backend!Q62+Backend!$T$14,IF(Backend!P63&lt;=Backend!$R$15,Backend!Q62+Backend!$T$15,IF(Backend!P63&lt;=Backend!$X$16,Backend!Q62+Backend!$Z$16))))))</f>
        <v>#REF!</v>
      </c>
      <c r="R63" s="19" t="str">
        <f>IF(1&lt;=ConceptDemo!$L$29,IF(P63=$W$12,ConceptDemo!$L$27,""),"")</f>
        <v/>
      </c>
      <c r="S63" s="19" t="str">
        <f>IF(2&lt;=ConceptDemo!$L$29,IF(P63=$W$13,ConceptDemo!$L$27,""),"")</f>
        <v/>
      </c>
      <c r="T63" s="19" t="str">
        <f>IF(3&lt;=ConceptDemo!$L$29,IF(P63=$W$14,ConceptDemo!$L$27,""),"")</f>
        <v/>
      </c>
      <c r="U63" s="19" t="str">
        <f>IF(4&lt;=ConceptDemo!$L$29,IF(P63=$W$15,ConceptDemo!$L$27,""),"")</f>
        <v/>
      </c>
      <c r="W63" s="18">
        <f>IF($P63&lt;ConceptDemo!$C$17+$E$24-10,$G$27,0)</f>
        <v>0</v>
      </c>
      <c r="X63" s="18">
        <f>IF($P63&lt;ConceptDemo!$C$17+$E$24-10,$H$27,0)</f>
        <v>0</v>
      </c>
      <c r="Y63" s="10">
        <f t="shared" si="1"/>
        <v>0</v>
      </c>
      <c r="Z63" s="10">
        <f t="shared" si="2"/>
        <v>0</v>
      </c>
      <c r="AA63" s="10">
        <f t="shared" si="3"/>
        <v>0</v>
      </c>
      <c r="AB63" s="10">
        <f t="shared" si="4"/>
        <v>0</v>
      </c>
      <c r="AC63" s="18" t="e">
        <f t="shared" si="5"/>
        <v>#REF!</v>
      </c>
      <c r="AD63" s="18" t="e">
        <f>IF(P63&lt;=ConceptDemo!$C$18,AD62+SUM(W63:AB63)-(Q63-Q62)-AC63,0)</f>
        <v>#REF!</v>
      </c>
      <c r="AE63" s="18" t="e">
        <f>IF(ConceptDemo!$C$7=Backend!$A$2,AD63,IF(AE62&lt;&gt;AD62,IF(P63&lt;=ConceptDemo!$C$18,AE62+SUM(W63:AB63)-(Q63-Q62)-AC63,0),IF(P63=ConceptDemo!#REF!,ConceptDemo!#REF!,AD63)))</f>
        <v>#REF!</v>
      </c>
      <c r="AF63" s="18" t="e">
        <f t="shared" si="7"/>
        <v>#REF!</v>
      </c>
      <c r="AG63" s="18" t="e">
        <f t="shared" si="8"/>
        <v>#REF!</v>
      </c>
      <c r="AH63" s="18" t="e">
        <f t="shared" si="6"/>
        <v>#REF!</v>
      </c>
    </row>
    <row r="64" spans="1:34" x14ac:dyDescent="0.25">
      <c r="P64" s="12">
        <f>IFERROR(IF(P63+1=ConceptDemo!$C$18+10,"",Backend!P63+1),"")</f>
        <v>44482</v>
      </c>
      <c r="Q64" s="10" t="e">
        <f>IF(OR(P64&lt;ConceptDemo!$C$17,Backend!P64&gt;ConceptDemo!$C$18),0,IF(Backend!P64&lt;=Backend!$R$12,Backend!Q63+Backend!$T$12,IF(Backend!P64&lt;=Backend!$R$13,Backend!Q63+Backend!$T$13,IF(Backend!P64&lt;=Backend!$R$14,Backend!Q63+Backend!$T$14,IF(Backend!P64&lt;=Backend!$R$15,Backend!Q63+Backend!$T$15,IF(Backend!P64&lt;=Backend!$X$16,Backend!Q63+Backend!$Z$16))))))</f>
        <v>#REF!</v>
      </c>
      <c r="R64" s="19" t="str">
        <f>IF(1&lt;=ConceptDemo!$L$29,IF(P64=$W$12,ConceptDemo!$L$27,""),"")</f>
        <v/>
      </c>
      <c r="S64" s="19" t="str">
        <f>IF(2&lt;=ConceptDemo!$L$29,IF(P64=$W$13,ConceptDemo!$L$27,""),"")</f>
        <v/>
      </c>
      <c r="T64" s="19" t="str">
        <f>IF(3&lt;=ConceptDemo!$L$29,IF(P64=$W$14,ConceptDemo!$L$27,""),"")</f>
        <v/>
      </c>
      <c r="U64" s="19" t="str">
        <f>IF(4&lt;=ConceptDemo!$L$29,IF(P64=$W$15,ConceptDemo!$L$27,""),"")</f>
        <v/>
      </c>
      <c r="W64" s="18">
        <f>IF($P64&lt;ConceptDemo!$C$17+$E$24-10,$G$27,0)</f>
        <v>0</v>
      </c>
      <c r="X64" s="18">
        <f>IF($P64&lt;ConceptDemo!$C$17+$E$24-10,$H$27,0)</f>
        <v>0</v>
      </c>
      <c r="Y64" s="10">
        <f t="shared" si="1"/>
        <v>0</v>
      </c>
      <c r="Z64" s="10">
        <f t="shared" si="2"/>
        <v>0</v>
      </c>
      <c r="AA64" s="10">
        <f t="shared" si="3"/>
        <v>0</v>
      </c>
      <c r="AB64" s="10">
        <f t="shared" si="4"/>
        <v>0</v>
      </c>
      <c r="AC64" s="18" t="e">
        <f t="shared" si="5"/>
        <v>#REF!</v>
      </c>
      <c r="AD64" s="18" t="e">
        <f>IF(P64&lt;=ConceptDemo!$C$18,AD63+SUM(W64:AB64)-(Q64-Q63)-AC64,0)</f>
        <v>#REF!</v>
      </c>
      <c r="AE64" s="18" t="e">
        <f>IF(ConceptDemo!$C$7=Backend!$A$2,AD64,IF(AE63&lt;&gt;AD63,IF(P64&lt;=ConceptDemo!$C$18,AE63+SUM(W64:AB64)-(Q64-Q63)-AC64,0),IF(P64=ConceptDemo!#REF!,ConceptDemo!#REF!,AD64)))</f>
        <v>#REF!</v>
      </c>
      <c r="AF64" s="18" t="e">
        <f t="shared" si="7"/>
        <v>#REF!</v>
      </c>
      <c r="AG64" s="18" t="e">
        <f t="shared" si="8"/>
        <v>#REF!</v>
      </c>
      <c r="AH64" s="18" t="e">
        <f t="shared" si="6"/>
        <v>#REF!</v>
      </c>
    </row>
    <row r="65" spans="1:34" x14ac:dyDescent="0.25">
      <c r="P65" s="12">
        <f>IFERROR(IF(P64+1=ConceptDemo!$C$18+10,"",Backend!P64+1),"")</f>
        <v>44483</v>
      </c>
      <c r="Q65" s="10" t="e">
        <f>IF(OR(P65&lt;ConceptDemo!$C$17,Backend!P65&gt;ConceptDemo!$C$18),0,IF(Backend!P65&lt;=Backend!$R$12,Backend!Q64+Backend!$T$12,IF(Backend!P65&lt;=Backend!$R$13,Backend!Q64+Backend!$T$13,IF(Backend!P65&lt;=Backend!$R$14,Backend!Q64+Backend!$T$14,IF(Backend!P65&lt;=Backend!$R$15,Backend!Q64+Backend!$T$15,IF(Backend!P65&lt;=Backend!$X$16,Backend!Q64+Backend!$Z$16))))))</f>
        <v>#REF!</v>
      </c>
      <c r="R65" s="19" t="str">
        <f>IF(1&lt;=ConceptDemo!$L$29,IF(P65=$W$12,ConceptDemo!$L$27,""),"")</f>
        <v/>
      </c>
      <c r="S65" s="19" t="str">
        <f>IF(2&lt;=ConceptDemo!$L$29,IF(P65=$W$13,ConceptDemo!$L$27,""),"")</f>
        <v/>
      </c>
      <c r="T65" s="19" t="str">
        <f>IF(3&lt;=ConceptDemo!$L$29,IF(P65=$W$14,ConceptDemo!$L$27,""),"")</f>
        <v/>
      </c>
      <c r="U65" s="19" t="str">
        <f>IF(4&lt;=ConceptDemo!$L$29,IF(P65=$W$15,ConceptDemo!$L$27,""),"")</f>
        <v/>
      </c>
      <c r="W65" s="18">
        <f>IF($P65&lt;ConceptDemo!$C$17+$E$24-10,$G$27,0)</f>
        <v>0</v>
      </c>
      <c r="X65" s="18">
        <f>IF($P65&lt;ConceptDemo!$C$17+$E$24-10,$H$27,0)</f>
        <v>0</v>
      </c>
      <c r="Y65" s="10">
        <f t="shared" si="1"/>
        <v>0</v>
      </c>
      <c r="Z65" s="10">
        <f t="shared" si="2"/>
        <v>0</v>
      </c>
      <c r="AA65" s="10">
        <f t="shared" si="3"/>
        <v>0</v>
      </c>
      <c r="AB65" s="10">
        <f t="shared" si="4"/>
        <v>0</v>
      </c>
      <c r="AC65" s="18" t="e">
        <f t="shared" si="5"/>
        <v>#REF!</v>
      </c>
      <c r="AD65" s="18" t="e">
        <f>IF(P65&lt;=ConceptDemo!$C$18,AD64+SUM(W65:AB65)-(Q65-Q64)-AC65,0)</f>
        <v>#REF!</v>
      </c>
      <c r="AE65" s="18" t="e">
        <f>IF(ConceptDemo!$C$7=Backend!$A$2,AD65,IF(AE64&lt;&gt;AD64,IF(P65&lt;=ConceptDemo!$C$18,AE64+SUM(W65:AB65)-(Q65-Q64)-AC65,0),IF(P65=ConceptDemo!#REF!,ConceptDemo!#REF!,AD65)))</f>
        <v>#REF!</v>
      </c>
      <c r="AF65" s="18" t="e">
        <f t="shared" si="7"/>
        <v>#REF!</v>
      </c>
      <c r="AG65" s="18" t="e">
        <f t="shared" si="8"/>
        <v>#REF!</v>
      </c>
      <c r="AH65" s="18" t="e">
        <f t="shared" si="6"/>
        <v>#REF!</v>
      </c>
    </row>
    <row r="66" spans="1:34" x14ac:dyDescent="0.25">
      <c r="P66" s="12">
        <f>IFERROR(IF(P65+1=ConceptDemo!$C$18+10,"",Backend!P65+1),"")</f>
        <v>44484</v>
      </c>
      <c r="Q66" s="10" t="e">
        <f>IF(OR(P66&lt;ConceptDemo!$C$17,Backend!P66&gt;ConceptDemo!$C$18),0,IF(Backend!P66&lt;=Backend!$R$12,Backend!Q65+Backend!$T$12,IF(Backend!P66&lt;=Backend!$R$13,Backend!Q65+Backend!$T$13,IF(Backend!P66&lt;=Backend!$R$14,Backend!Q65+Backend!$T$14,IF(Backend!P66&lt;=Backend!$R$15,Backend!Q65+Backend!$T$15,IF(Backend!P66&lt;=Backend!$X$16,Backend!Q65+Backend!$Z$16))))))</f>
        <v>#REF!</v>
      </c>
      <c r="R66" s="19" t="str">
        <f>IF(1&lt;=ConceptDemo!$L$29,IF(P66=$W$12,ConceptDemo!$L$27,""),"")</f>
        <v/>
      </c>
      <c r="S66" s="19" t="str">
        <f>IF(2&lt;=ConceptDemo!$L$29,IF(P66=$W$13,ConceptDemo!$L$27,""),"")</f>
        <v/>
      </c>
      <c r="T66" s="19" t="str">
        <f>IF(3&lt;=ConceptDemo!$L$29,IF(P66=$W$14,ConceptDemo!$L$27,""),"")</f>
        <v/>
      </c>
      <c r="U66" s="19" t="str">
        <f>IF(4&lt;=ConceptDemo!$L$29,IF(P66=$W$15,ConceptDemo!$L$27,""),"")</f>
        <v/>
      </c>
      <c r="W66" s="18">
        <f>IF($P66&lt;ConceptDemo!$C$17+$E$24-10,$G$27,0)</f>
        <v>0</v>
      </c>
      <c r="X66" s="18">
        <f>IF($P66&lt;ConceptDemo!$C$17+$E$24-10,$H$27,0)</f>
        <v>0</v>
      </c>
      <c r="Y66" s="10">
        <f t="shared" si="1"/>
        <v>0</v>
      </c>
      <c r="Z66" s="10">
        <f t="shared" si="2"/>
        <v>0</v>
      </c>
      <c r="AA66" s="10">
        <f t="shared" si="3"/>
        <v>0</v>
      </c>
      <c r="AB66" s="10">
        <f t="shared" si="4"/>
        <v>0</v>
      </c>
      <c r="AC66" s="18" t="e">
        <f t="shared" si="5"/>
        <v>#REF!</v>
      </c>
      <c r="AD66" s="18" t="e">
        <f>IF(P66&lt;=ConceptDemo!$C$18,AD65+SUM(W66:AB66)-(Q66-Q65)-AC66,0)</f>
        <v>#REF!</v>
      </c>
      <c r="AE66" s="18" t="e">
        <f>IF(ConceptDemo!$C$7=Backend!$A$2,AD66,IF(AE65&lt;&gt;AD65,IF(P66&lt;=ConceptDemo!$C$18,AE65+SUM(W66:AB66)-(Q66-Q65)-AC66,0),IF(P66=ConceptDemo!#REF!,ConceptDemo!#REF!,AD66)))</f>
        <v>#REF!</v>
      </c>
      <c r="AF66" s="18" t="e">
        <f t="shared" si="7"/>
        <v>#REF!</v>
      </c>
      <c r="AG66" s="18" t="e">
        <f t="shared" si="8"/>
        <v>#REF!</v>
      </c>
      <c r="AH66" s="18" t="e">
        <f t="shared" si="6"/>
        <v>#REF!</v>
      </c>
    </row>
    <row r="67" spans="1:34" x14ac:dyDescent="0.25">
      <c r="P67" s="12">
        <f>IFERROR(IF(P66+1=ConceptDemo!$C$18+10,"",Backend!P66+1),"")</f>
        <v>44485</v>
      </c>
      <c r="Q67" s="10" t="e">
        <f>IF(OR(P67&lt;ConceptDemo!$C$17,Backend!P67&gt;ConceptDemo!$C$18),0,IF(Backend!P67&lt;=Backend!$R$12,Backend!Q66+Backend!$T$12,IF(Backend!P67&lt;=Backend!$R$13,Backend!Q66+Backend!$T$13,IF(Backend!P67&lt;=Backend!$R$14,Backend!Q66+Backend!$T$14,IF(Backend!P67&lt;=Backend!$R$15,Backend!Q66+Backend!$T$15,IF(Backend!P67&lt;=Backend!$X$16,Backend!Q66+Backend!$Z$16))))))</f>
        <v>#REF!</v>
      </c>
      <c r="R67" s="19" t="str">
        <f>IF(1&lt;=ConceptDemo!$L$29,IF(P67=$W$12,ConceptDemo!$L$27,""),"")</f>
        <v/>
      </c>
      <c r="S67" s="19" t="str">
        <f>IF(2&lt;=ConceptDemo!$L$29,IF(P67=$W$13,ConceptDemo!$L$27,""),"")</f>
        <v/>
      </c>
      <c r="T67" s="19" t="str">
        <f>IF(3&lt;=ConceptDemo!$L$29,IF(P67=$W$14,ConceptDemo!$L$27,""),"")</f>
        <v/>
      </c>
      <c r="U67" s="19" t="str">
        <f>IF(4&lt;=ConceptDemo!$L$29,IF(P67=$W$15,ConceptDemo!$L$27,""),"")</f>
        <v/>
      </c>
      <c r="W67" s="18">
        <f>IF($P67&lt;ConceptDemo!$C$17+$E$24-10,$G$27,0)</f>
        <v>0</v>
      </c>
      <c r="X67" s="18">
        <f>IF($P67&lt;ConceptDemo!$C$17+$E$24-10,$H$27,0)</f>
        <v>0</v>
      </c>
      <c r="Y67" s="10">
        <f t="shared" si="1"/>
        <v>0</v>
      </c>
      <c r="Z67" s="10">
        <f t="shared" si="2"/>
        <v>0</v>
      </c>
      <c r="AA67" s="10">
        <f t="shared" si="3"/>
        <v>0</v>
      </c>
      <c r="AB67" s="10">
        <f t="shared" si="4"/>
        <v>0</v>
      </c>
      <c r="AC67" s="18" t="e">
        <f t="shared" si="5"/>
        <v>#REF!</v>
      </c>
      <c r="AD67" s="18" t="e">
        <f>IF(P67&lt;=ConceptDemo!$C$18,AD66+SUM(W67:AB67)-(Q67-Q66)-AC67,0)</f>
        <v>#REF!</v>
      </c>
      <c r="AE67" s="18" t="e">
        <f>IF(ConceptDemo!$C$7=Backend!$A$2,AD67,IF(AE66&lt;&gt;AD66,IF(P67&lt;=ConceptDemo!$C$18,AE66+SUM(W67:AB67)-(Q67-Q66)-AC67,0),IF(P67=ConceptDemo!#REF!,ConceptDemo!#REF!,AD67)))</f>
        <v>#REF!</v>
      </c>
      <c r="AF67" s="18" t="e">
        <f t="shared" si="7"/>
        <v>#REF!</v>
      </c>
      <c r="AG67" s="18" t="e">
        <f t="shared" si="8"/>
        <v>#REF!</v>
      </c>
      <c r="AH67" s="18" t="e">
        <f t="shared" si="6"/>
        <v>#REF!</v>
      </c>
    </row>
    <row r="68" spans="1:34" x14ac:dyDescent="0.25">
      <c r="P68" s="12">
        <f>IFERROR(IF(P67+1=ConceptDemo!$C$18+10,"",Backend!P67+1),"")</f>
        <v>44486</v>
      </c>
      <c r="Q68" s="10" t="e">
        <f>IF(OR(P68&lt;ConceptDemo!$C$17,Backend!P68&gt;ConceptDemo!$C$18),0,IF(Backend!P68&lt;=Backend!$R$12,Backend!Q67+Backend!$T$12,IF(Backend!P68&lt;=Backend!$R$13,Backend!Q67+Backend!$T$13,IF(Backend!P68&lt;=Backend!$R$14,Backend!Q67+Backend!$T$14,IF(Backend!P68&lt;=Backend!$R$15,Backend!Q67+Backend!$T$15,IF(Backend!P68&lt;=Backend!$X$16,Backend!Q67+Backend!$Z$16))))))</f>
        <v>#REF!</v>
      </c>
      <c r="R68" s="19" t="str">
        <f>IF(1&lt;=ConceptDemo!$L$29,IF(P68=$W$12,ConceptDemo!$L$27,""),"")</f>
        <v/>
      </c>
      <c r="S68" s="19" t="str">
        <f>IF(2&lt;=ConceptDemo!$L$29,IF(P68=$W$13,ConceptDemo!$L$27,""),"")</f>
        <v/>
      </c>
      <c r="T68" s="19" t="str">
        <f>IF(3&lt;=ConceptDemo!$L$29,IF(P68=$W$14,ConceptDemo!$L$27,""),"")</f>
        <v/>
      </c>
      <c r="U68" s="19" t="str">
        <f>IF(4&lt;=ConceptDemo!$L$29,IF(P68=$W$15,ConceptDemo!$L$27,""),"")</f>
        <v/>
      </c>
      <c r="W68" s="18">
        <f>IF($P68&lt;ConceptDemo!$C$17+$E$24-10,$G$27,0)</f>
        <v>0</v>
      </c>
      <c r="X68" s="18">
        <f>IF($P68&lt;ConceptDemo!$C$17+$E$24-10,$H$27,0)</f>
        <v>0</v>
      </c>
      <c r="Y68" s="10">
        <f t="shared" si="1"/>
        <v>0</v>
      </c>
      <c r="Z68" s="10">
        <f t="shared" si="2"/>
        <v>0</v>
      </c>
      <c r="AA68" s="10">
        <f t="shared" si="3"/>
        <v>0</v>
      </c>
      <c r="AB68" s="10">
        <f t="shared" si="4"/>
        <v>0</v>
      </c>
      <c r="AC68" s="18" t="e">
        <f t="shared" si="5"/>
        <v>#REF!</v>
      </c>
      <c r="AD68" s="18" t="e">
        <f>IF(P68&lt;=ConceptDemo!$C$18,AD67+SUM(W68:AB68)-(Q68-Q67)-AC68,0)</f>
        <v>#REF!</v>
      </c>
      <c r="AE68" s="18" t="e">
        <f>IF(ConceptDemo!$C$7=Backend!$A$2,AD68,IF(AE67&lt;&gt;AD67,IF(P68&lt;=ConceptDemo!$C$18,AE67+SUM(W68:AB68)-(Q68-Q67)-AC68,0),IF(P68=ConceptDemo!#REF!,ConceptDemo!#REF!,AD68)))</f>
        <v>#REF!</v>
      </c>
      <c r="AF68" s="18" t="e">
        <f t="shared" si="7"/>
        <v>#REF!</v>
      </c>
      <c r="AG68" s="18" t="e">
        <f t="shared" si="8"/>
        <v>#REF!</v>
      </c>
      <c r="AH68" s="18" t="e">
        <f t="shared" si="6"/>
        <v>#REF!</v>
      </c>
    </row>
    <row r="69" spans="1:34" x14ac:dyDescent="0.25">
      <c r="P69" s="12">
        <f>IFERROR(IF(P68+1=ConceptDemo!$C$18+10,"",Backend!P68+1),"")</f>
        <v>44487</v>
      </c>
      <c r="Q69" s="10" t="e">
        <f>IF(OR(P69&lt;ConceptDemo!$C$17,Backend!P69&gt;ConceptDemo!$C$18),0,IF(Backend!P69&lt;=Backend!$R$12,Backend!Q68+Backend!$T$12,IF(Backend!P69&lt;=Backend!$R$13,Backend!Q68+Backend!$T$13,IF(Backend!P69&lt;=Backend!$R$14,Backend!Q68+Backend!$T$14,IF(Backend!P69&lt;=Backend!$R$15,Backend!Q68+Backend!$T$15,IF(Backend!P69&lt;=Backend!$X$16,Backend!Q68+Backend!$Z$16))))))</f>
        <v>#REF!</v>
      </c>
      <c r="R69" s="19" t="str">
        <f>IF(1&lt;=ConceptDemo!$L$29,IF(P69=$W$12,ConceptDemo!$L$27,""),"")</f>
        <v/>
      </c>
      <c r="S69" s="19" t="str">
        <f>IF(2&lt;=ConceptDemo!$L$29,IF(P69=$W$13,ConceptDemo!$L$27,""),"")</f>
        <v/>
      </c>
      <c r="T69" s="19" t="str">
        <f>IF(3&lt;=ConceptDemo!$L$29,IF(P69=$W$14,ConceptDemo!$L$27,""),"")</f>
        <v/>
      </c>
      <c r="U69" s="19" t="str">
        <f>IF(4&lt;=ConceptDemo!$L$29,IF(P69=$W$15,ConceptDemo!$L$27,""),"")</f>
        <v/>
      </c>
      <c r="W69" s="18">
        <f>IF($P69&lt;ConceptDemo!$C$17+$E$24-10,$G$27,0)</f>
        <v>0</v>
      </c>
      <c r="X69" s="18">
        <f>IF($P69&lt;ConceptDemo!$C$17+$E$24-10,$H$27,0)</f>
        <v>0</v>
      </c>
      <c r="Y69" s="10">
        <f t="shared" si="1"/>
        <v>0</v>
      </c>
      <c r="Z69" s="10">
        <f t="shared" si="2"/>
        <v>0</v>
      </c>
      <c r="AA69" s="10">
        <f t="shared" si="3"/>
        <v>0</v>
      </c>
      <c r="AB69" s="10">
        <f t="shared" si="4"/>
        <v>0</v>
      </c>
      <c r="AC69" s="18" t="e">
        <f t="shared" si="5"/>
        <v>#REF!</v>
      </c>
      <c r="AD69" s="18" t="e">
        <f>IF(P69&lt;=ConceptDemo!$C$18,AD68+SUM(W69:AB69)-(Q69-Q68)-AC69,0)</f>
        <v>#REF!</v>
      </c>
      <c r="AE69" s="18" t="e">
        <f>IF(ConceptDemo!$C$7=Backend!$A$2,AD69,IF(AE68&lt;&gt;AD68,IF(P69&lt;=ConceptDemo!$C$18,AE68+SUM(W69:AB69)-(Q69-Q68)-AC69,0),IF(P69=ConceptDemo!#REF!,ConceptDemo!#REF!,AD69)))</f>
        <v>#REF!</v>
      </c>
      <c r="AF69" s="18" t="e">
        <f t="shared" si="7"/>
        <v>#REF!</v>
      </c>
      <c r="AG69" s="18" t="e">
        <f t="shared" si="8"/>
        <v>#REF!</v>
      </c>
      <c r="AH69" s="18" t="e">
        <f t="shared" si="6"/>
        <v>#REF!</v>
      </c>
    </row>
    <row r="70" spans="1:34" x14ac:dyDescent="0.25">
      <c r="P70" s="12">
        <f>IFERROR(IF(P69+1=ConceptDemo!$C$18+10,"",Backend!P69+1),"")</f>
        <v>44488</v>
      </c>
      <c r="Q70" s="10" t="e">
        <f>IF(OR(P70&lt;ConceptDemo!$C$17,Backend!P70&gt;ConceptDemo!$C$18),0,IF(Backend!P70&lt;=Backend!$R$12,Backend!Q69+Backend!$T$12,IF(Backend!P70&lt;=Backend!$R$13,Backend!Q69+Backend!$T$13,IF(Backend!P70&lt;=Backend!$R$14,Backend!Q69+Backend!$T$14,IF(Backend!P70&lt;=Backend!$R$15,Backend!Q69+Backend!$T$15,IF(Backend!P70&lt;=Backend!$X$16,Backend!Q69+Backend!$Z$16))))))</f>
        <v>#REF!</v>
      </c>
      <c r="R70" s="19" t="str">
        <f>IF(1&lt;=ConceptDemo!$L$29,IF(P70=$W$12,ConceptDemo!$L$27,""),"")</f>
        <v/>
      </c>
      <c r="S70" s="19" t="str">
        <f>IF(2&lt;=ConceptDemo!$L$29,IF(P70=$W$13,ConceptDemo!$L$27,""),"")</f>
        <v/>
      </c>
      <c r="T70" s="19" t="str">
        <f>IF(3&lt;=ConceptDemo!$L$29,IF(P70=$W$14,ConceptDemo!$L$27,""),"")</f>
        <v/>
      </c>
      <c r="U70" s="19" t="str">
        <f>IF(4&lt;=ConceptDemo!$L$29,IF(P70=$W$15,ConceptDemo!$L$27,""),"")</f>
        <v/>
      </c>
      <c r="W70" s="18">
        <f>IF($P70&lt;ConceptDemo!$C$17+$E$24-10,$G$27,0)</f>
        <v>0</v>
      </c>
      <c r="X70" s="18">
        <f>IF($P70&lt;ConceptDemo!$C$17+$E$24-10,$H$27,0)</f>
        <v>0</v>
      </c>
      <c r="Y70" s="10">
        <f t="shared" si="1"/>
        <v>0</v>
      </c>
      <c r="Z70" s="10">
        <f t="shared" si="2"/>
        <v>0</v>
      </c>
      <c r="AA70" s="10">
        <f t="shared" si="3"/>
        <v>0</v>
      </c>
      <c r="AB70" s="10">
        <f t="shared" si="4"/>
        <v>0</v>
      </c>
      <c r="AC70" s="18" t="e">
        <f t="shared" si="5"/>
        <v>#REF!</v>
      </c>
      <c r="AD70" s="18" t="e">
        <f>IF(P70&lt;=ConceptDemo!$C$18,AD69+SUM(W70:AB70)-(Q70-Q69)-AC70,0)</f>
        <v>#REF!</v>
      </c>
      <c r="AE70" s="18" t="e">
        <f>IF(ConceptDemo!$C$7=Backend!$A$2,AD70,IF(AE69&lt;&gt;AD69,IF(P70&lt;=ConceptDemo!$C$18,AE69+SUM(W70:AB70)-(Q70-Q69)-AC70,0),IF(P70=ConceptDemo!#REF!,ConceptDemo!#REF!,AD70)))</f>
        <v>#REF!</v>
      </c>
      <c r="AF70" s="18" t="e">
        <f t="shared" si="7"/>
        <v>#REF!</v>
      </c>
      <c r="AG70" s="18" t="e">
        <f t="shared" si="8"/>
        <v>#REF!</v>
      </c>
      <c r="AH70" s="18" t="e">
        <f t="shared" si="6"/>
        <v>#REF!</v>
      </c>
    </row>
    <row r="71" spans="1:34" x14ac:dyDescent="0.25">
      <c r="P71" s="12">
        <f>IFERROR(IF(P70+1=ConceptDemo!$C$18+10,"",Backend!P70+1),"")</f>
        <v>44489</v>
      </c>
      <c r="Q71" s="10" t="e">
        <f>IF(OR(P71&lt;ConceptDemo!$C$17,Backend!P71&gt;ConceptDemo!$C$18),0,IF(Backend!P71&lt;=Backend!$R$12,Backend!Q70+Backend!$T$12,IF(Backend!P71&lt;=Backend!$R$13,Backend!Q70+Backend!$T$13,IF(Backend!P71&lt;=Backend!$R$14,Backend!Q70+Backend!$T$14,IF(Backend!P71&lt;=Backend!$R$15,Backend!Q70+Backend!$T$15,IF(Backend!P71&lt;=Backend!$X$16,Backend!Q70+Backend!$Z$16))))))</f>
        <v>#REF!</v>
      </c>
      <c r="R71" s="19" t="str">
        <f>IF(1&lt;=ConceptDemo!$L$29,IF(P71=$W$12,ConceptDemo!$L$27,""),"")</f>
        <v/>
      </c>
      <c r="S71" s="19" t="str">
        <f>IF(2&lt;=ConceptDemo!$L$29,IF(P71=$W$13,ConceptDemo!$L$27,""),"")</f>
        <v/>
      </c>
      <c r="T71" s="19" t="str">
        <f>IF(3&lt;=ConceptDemo!$L$29,IF(P71=$W$14,ConceptDemo!$L$27,""),"")</f>
        <v/>
      </c>
      <c r="U71" s="19" t="str">
        <f>IF(4&lt;=ConceptDemo!$L$29,IF(P71=$W$15,ConceptDemo!$L$27,""),"")</f>
        <v/>
      </c>
      <c r="W71" s="18">
        <f>IF($P71&lt;ConceptDemo!$C$17+$E$24-10,$G$27,0)</f>
        <v>0</v>
      </c>
      <c r="X71" s="18">
        <f>IF($P71&lt;ConceptDemo!$C$17+$E$24-10,$H$27,0)</f>
        <v>0</v>
      </c>
      <c r="Y71" s="10">
        <f t="shared" si="1"/>
        <v>0</v>
      </c>
      <c r="Z71" s="10">
        <f t="shared" si="2"/>
        <v>0</v>
      </c>
      <c r="AA71" s="10">
        <f t="shared" si="3"/>
        <v>0</v>
      </c>
      <c r="AB71" s="10">
        <f t="shared" si="4"/>
        <v>0</v>
      </c>
      <c r="AC71" s="18" t="e">
        <f t="shared" si="5"/>
        <v>#REF!</v>
      </c>
      <c r="AD71" s="18" t="e">
        <f>IF(P71&lt;=ConceptDemo!$C$18,AD70+SUM(W71:AB71)-(Q71-Q70)-AC71,0)</f>
        <v>#REF!</v>
      </c>
      <c r="AE71" s="18" t="e">
        <f>IF(ConceptDemo!$C$7=Backend!$A$2,AD71,IF(AE70&lt;&gt;AD70,IF(P71&lt;=ConceptDemo!$C$18,AE70+SUM(W71:AB71)-(Q71-Q70)-AC71,0),IF(P71=ConceptDemo!#REF!,ConceptDemo!#REF!,AD71)))</f>
        <v>#REF!</v>
      </c>
      <c r="AF71" s="18" t="e">
        <f t="shared" si="7"/>
        <v>#REF!</v>
      </c>
      <c r="AG71" s="18" t="e">
        <f t="shared" si="8"/>
        <v>#REF!</v>
      </c>
      <c r="AH71" s="18" t="e">
        <f t="shared" si="6"/>
        <v>#REF!</v>
      </c>
    </row>
    <row r="72" spans="1:34" x14ac:dyDescent="0.25">
      <c r="P72" s="12">
        <f>IFERROR(IF(P71+1=ConceptDemo!$C$18+10,"",Backend!P71+1),"")</f>
        <v>44490</v>
      </c>
      <c r="Q72" s="10" t="e">
        <f>IF(OR(P72&lt;ConceptDemo!$C$17,Backend!P72&gt;ConceptDemo!$C$18),0,IF(Backend!P72&lt;=Backend!$R$12,Backend!Q71+Backend!$T$12,IF(Backend!P72&lt;=Backend!$R$13,Backend!Q71+Backend!$T$13,IF(Backend!P72&lt;=Backend!$R$14,Backend!Q71+Backend!$T$14,IF(Backend!P72&lt;=Backend!$R$15,Backend!Q71+Backend!$T$15,IF(Backend!P72&lt;=Backend!$X$16,Backend!Q71+Backend!$Z$16))))))</f>
        <v>#REF!</v>
      </c>
      <c r="R72" s="19" t="str">
        <f>IF(1&lt;=ConceptDemo!$L$29,IF(P72=$W$12,ConceptDemo!$L$27,""),"")</f>
        <v/>
      </c>
      <c r="S72" s="19" t="str">
        <f>IF(2&lt;=ConceptDemo!$L$29,IF(P72=$W$13,ConceptDemo!$L$27,""),"")</f>
        <v/>
      </c>
      <c r="T72" s="19" t="str">
        <f>IF(3&lt;=ConceptDemo!$L$29,IF(P72=$W$14,ConceptDemo!$L$27,""),"")</f>
        <v/>
      </c>
      <c r="U72" s="19" t="str">
        <f>IF(4&lt;=ConceptDemo!$L$29,IF(P72=$W$15,ConceptDemo!$L$27,""),"")</f>
        <v/>
      </c>
      <c r="W72" s="18">
        <f>IF($P72&lt;ConceptDemo!$C$17+$E$24-10,$G$27,0)</f>
        <v>0</v>
      </c>
      <c r="X72" s="18">
        <f>IF($P72&lt;ConceptDemo!$C$17+$E$24-10,$H$27,0)</f>
        <v>0</v>
      </c>
      <c r="Y72" s="10">
        <f t="shared" si="1"/>
        <v>0</v>
      </c>
      <c r="Z72" s="10">
        <f t="shared" si="2"/>
        <v>0</v>
      </c>
      <c r="AA72" s="10">
        <f t="shared" si="3"/>
        <v>0</v>
      </c>
      <c r="AB72" s="10">
        <f t="shared" si="4"/>
        <v>0</v>
      </c>
      <c r="AC72" s="18" t="e">
        <f t="shared" si="5"/>
        <v>#REF!</v>
      </c>
      <c r="AD72" s="18" t="e">
        <f>IF(P72&lt;=ConceptDemo!$C$18,AD71+SUM(W72:AB72)-(Q72-Q71)-AC72,0)</f>
        <v>#REF!</v>
      </c>
      <c r="AE72" s="18" t="e">
        <f>IF(ConceptDemo!$C$7=Backend!$A$2,AD72,IF(AE71&lt;&gt;AD71,IF(P72&lt;=ConceptDemo!$C$18,AE71+SUM(W72:AB72)-(Q72-Q71)-AC72,0),IF(P72=ConceptDemo!#REF!,ConceptDemo!#REF!,AD72)))</f>
        <v>#REF!</v>
      </c>
      <c r="AF72" s="18" t="e">
        <f t="shared" si="7"/>
        <v>#REF!</v>
      </c>
      <c r="AG72" s="18" t="e">
        <f t="shared" si="8"/>
        <v>#REF!</v>
      </c>
      <c r="AH72" s="18" t="e">
        <f t="shared" si="6"/>
        <v>#REF!</v>
      </c>
    </row>
    <row r="73" spans="1:34" x14ac:dyDescent="0.25">
      <c r="P73" s="12">
        <f>IFERROR(IF(P72+1=ConceptDemo!$C$18+10,"",Backend!P72+1),"")</f>
        <v>44491</v>
      </c>
      <c r="Q73" s="10" t="e">
        <f>IF(OR(P73&lt;ConceptDemo!$C$17,Backend!P73&gt;ConceptDemo!$C$18),0,IF(Backend!P73&lt;=Backend!$R$12,Backend!Q72+Backend!$T$12,IF(Backend!P73&lt;=Backend!$R$13,Backend!Q72+Backend!$T$13,IF(Backend!P73&lt;=Backend!$R$14,Backend!Q72+Backend!$T$14,IF(Backend!P73&lt;=Backend!$R$15,Backend!Q72+Backend!$T$15,IF(Backend!P73&lt;=Backend!$X$16,Backend!Q72+Backend!$Z$16))))))</f>
        <v>#REF!</v>
      </c>
      <c r="R73" s="19" t="str">
        <f>IF(1&lt;=ConceptDemo!$L$29,IF(P73=$W$12,ConceptDemo!$L$27,""),"")</f>
        <v/>
      </c>
      <c r="S73" s="19" t="str">
        <f>IF(2&lt;=ConceptDemo!$L$29,IF(P73=$W$13,ConceptDemo!$L$27,""),"")</f>
        <v/>
      </c>
      <c r="T73" s="19" t="str">
        <f>IF(3&lt;=ConceptDemo!$L$29,IF(P73=$W$14,ConceptDemo!$L$27,""),"")</f>
        <v/>
      </c>
      <c r="U73" s="19" t="str">
        <f>IF(4&lt;=ConceptDemo!$L$29,IF(P73=$W$15,ConceptDemo!$L$27,""),"")</f>
        <v/>
      </c>
      <c r="W73" s="18">
        <f>IF($P73&lt;ConceptDemo!$C$17+$E$24-10,$G$27,0)</f>
        <v>0</v>
      </c>
      <c r="X73" s="18">
        <f>IF($P73&lt;ConceptDemo!$C$17+$E$24-10,$H$27,0)</f>
        <v>0</v>
      </c>
      <c r="Y73" s="10">
        <f t="shared" si="1"/>
        <v>0</v>
      </c>
      <c r="Z73" s="10">
        <f t="shared" si="2"/>
        <v>0</v>
      </c>
      <c r="AA73" s="10">
        <f t="shared" si="3"/>
        <v>0</v>
      </c>
      <c r="AB73" s="10">
        <f t="shared" si="4"/>
        <v>0</v>
      </c>
      <c r="AC73" s="18" t="e">
        <f t="shared" si="5"/>
        <v>#REF!</v>
      </c>
      <c r="AD73" s="18" t="e">
        <f>IF(P73&lt;=ConceptDemo!$C$18,AD72+SUM(W73:AB73)-(Q73-Q72)-AC73,0)</f>
        <v>#REF!</v>
      </c>
      <c r="AE73" s="18" t="e">
        <f>IF(ConceptDemo!$C$7=Backend!$A$2,AD73,IF(AE72&lt;&gt;AD72,IF(P73&lt;=ConceptDemo!$C$18,AE72+SUM(W73:AB73)-(Q73-Q72)-AC73,0),IF(P73=ConceptDemo!#REF!,ConceptDemo!#REF!,AD73)))</f>
        <v>#REF!</v>
      </c>
      <c r="AF73" s="18" t="e">
        <f t="shared" si="7"/>
        <v>#REF!</v>
      </c>
      <c r="AG73" s="18" t="e">
        <f t="shared" si="8"/>
        <v>#REF!</v>
      </c>
      <c r="AH73" s="18" t="e">
        <f t="shared" si="6"/>
        <v>#REF!</v>
      </c>
    </row>
    <row r="74" spans="1:34" x14ac:dyDescent="0.25">
      <c r="P74" s="12">
        <f>IFERROR(IF(P73+1=ConceptDemo!$C$18+10,"",Backend!P73+1),"")</f>
        <v>44492</v>
      </c>
      <c r="Q74" s="10" t="e">
        <f>IF(OR(P74&lt;ConceptDemo!$C$17,Backend!P74&gt;ConceptDemo!$C$18),0,IF(Backend!P74&lt;=Backend!$R$12,Backend!Q73+Backend!$T$12,IF(Backend!P74&lt;=Backend!$R$13,Backend!Q73+Backend!$T$13,IF(Backend!P74&lt;=Backend!$R$14,Backend!Q73+Backend!$T$14,IF(Backend!P74&lt;=Backend!$R$15,Backend!Q73+Backend!$T$15,IF(Backend!P74&lt;=Backend!$X$16,Backend!Q73+Backend!$Z$16))))))</f>
        <v>#REF!</v>
      </c>
      <c r="R74" s="19" t="str">
        <f>IF(1&lt;=ConceptDemo!$L$29,IF(P74=$W$12,ConceptDemo!$L$27,""),"")</f>
        <v/>
      </c>
      <c r="S74" s="19" t="str">
        <f>IF(2&lt;=ConceptDemo!$L$29,IF(P74=$W$13,ConceptDemo!$L$27,""),"")</f>
        <v/>
      </c>
      <c r="T74" s="19" t="str">
        <f>IF(3&lt;=ConceptDemo!$L$29,IF(P74=$W$14,ConceptDemo!$L$27,""),"")</f>
        <v/>
      </c>
      <c r="U74" s="19" t="str">
        <f>IF(4&lt;=ConceptDemo!$L$29,IF(P74=$W$15,ConceptDemo!$L$27,""),"")</f>
        <v/>
      </c>
      <c r="W74" s="18">
        <f>IF($P74&lt;ConceptDemo!$C$17+$E$24-10,$G$27,0)</f>
        <v>0</v>
      </c>
      <c r="X74" s="18">
        <f>IF($P74&lt;ConceptDemo!$C$17+$E$24-10,$H$27,0)</f>
        <v>0</v>
      </c>
      <c r="Y74" s="10">
        <f t="shared" si="1"/>
        <v>0</v>
      </c>
      <c r="Z74" s="10">
        <f t="shared" si="2"/>
        <v>0</v>
      </c>
      <c r="AA74" s="10">
        <f t="shared" si="3"/>
        <v>0</v>
      </c>
      <c r="AB74" s="10">
        <f t="shared" si="4"/>
        <v>0</v>
      </c>
      <c r="AC74" s="18" t="e">
        <f t="shared" si="5"/>
        <v>#REF!</v>
      </c>
      <c r="AD74" s="18" t="e">
        <f>IF(P74&lt;=ConceptDemo!$C$18,AD73+SUM(W74:AB74)-(Q74-Q73)-AC74,0)</f>
        <v>#REF!</v>
      </c>
      <c r="AE74" s="18" t="e">
        <f>IF(ConceptDemo!$C$7=Backend!$A$2,AD74,IF(AE73&lt;&gt;AD73,IF(P74&lt;=ConceptDemo!$C$18,AE73+SUM(W74:AB74)-(Q74-Q73)-AC74,0),IF(P74=ConceptDemo!#REF!,ConceptDemo!#REF!,AD74)))</f>
        <v>#REF!</v>
      </c>
      <c r="AF74" s="18" t="e">
        <f t="shared" si="7"/>
        <v>#REF!</v>
      </c>
      <c r="AG74" s="18" t="e">
        <f t="shared" si="8"/>
        <v>#REF!</v>
      </c>
      <c r="AH74" s="18" t="e">
        <f t="shared" si="6"/>
        <v>#REF!</v>
      </c>
    </row>
    <row r="75" spans="1:34" x14ac:dyDescent="0.25">
      <c r="A75" s="5" t="s">
        <v>22</v>
      </c>
      <c r="P75" s="12">
        <f>IFERROR(IF(P74+1=ConceptDemo!$C$18+10,"",Backend!P74+1),"")</f>
        <v>44493</v>
      </c>
      <c r="Q75" s="10" t="e">
        <f>IF(OR(P75&lt;ConceptDemo!$C$17,Backend!P75&gt;ConceptDemo!$C$18),0,IF(Backend!P75&lt;=Backend!$R$12,Backend!Q74+Backend!$T$12,IF(Backend!P75&lt;=Backend!$R$13,Backend!Q74+Backend!$T$13,IF(Backend!P75&lt;=Backend!$R$14,Backend!Q74+Backend!$T$14,IF(Backend!P75&lt;=Backend!$R$15,Backend!Q74+Backend!$T$15,IF(Backend!P75&lt;=Backend!$X$16,Backend!Q74+Backend!$Z$16))))))</f>
        <v>#REF!</v>
      </c>
      <c r="R75" s="19" t="str">
        <f>IF(1&lt;=ConceptDemo!$L$29,IF(P75=$W$12,ConceptDemo!$L$27,""),"")</f>
        <v/>
      </c>
      <c r="S75" s="19" t="str">
        <f>IF(2&lt;=ConceptDemo!$L$29,IF(P75=$W$13,ConceptDemo!$L$27,""),"")</f>
        <v/>
      </c>
      <c r="T75" s="19" t="str">
        <f>IF(3&lt;=ConceptDemo!$L$29,IF(P75=$W$14,ConceptDemo!$L$27,""),"")</f>
        <v/>
      </c>
      <c r="U75" s="19" t="str">
        <f>IF(4&lt;=ConceptDemo!$L$29,IF(P75=$W$15,ConceptDemo!$L$27,""),"")</f>
        <v/>
      </c>
      <c r="W75" s="18">
        <f>IF($P75&lt;ConceptDemo!$C$17+$E$24-10,$G$27,0)</f>
        <v>0</v>
      </c>
      <c r="X75" s="18">
        <f>IF($P75&lt;ConceptDemo!$C$17+$E$24-10,$H$27,0)</f>
        <v>0</v>
      </c>
      <c r="Y75" s="10">
        <f t="shared" si="1"/>
        <v>0</v>
      </c>
      <c r="Z75" s="10">
        <f t="shared" si="2"/>
        <v>0</v>
      </c>
      <c r="AA75" s="10">
        <f t="shared" si="3"/>
        <v>0</v>
      </c>
      <c r="AB75" s="10">
        <f t="shared" si="4"/>
        <v>0</v>
      </c>
      <c r="AC75" s="18" t="e">
        <f t="shared" si="5"/>
        <v>#REF!</v>
      </c>
      <c r="AD75" s="18" t="e">
        <f>IF(P75&lt;=ConceptDemo!$C$18,AD74+SUM(W75:AB75)-(Q75-Q74)-AC75,0)</f>
        <v>#REF!</v>
      </c>
      <c r="AE75" s="18" t="e">
        <f>IF(ConceptDemo!$C$7=Backend!$A$2,AD75,IF(AE74&lt;&gt;AD74,IF(P75&lt;=ConceptDemo!$C$18,AE74+SUM(W75:AB75)-(Q75-Q74)-AC75,0),IF(P75=ConceptDemo!#REF!,ConceptDemo!#REF!,AD75)))</f>
        <v>#REF!</v>
      </c>
      <c r="AF75" s="18" t="e">
        <f t="shared" si="7"/>
        <v>#REF!</v>
      </c>
      <c r="AG75" s="18" t="e">
        <f t="shared" si="8"/>
        <v>#REF!</v>
      </c>
      <c r="AH75" s="18" t="e">
        <f t="shared" si="6"/>
        <v>#REF!</v>
      </c>
    </row>
    <row r="76" spans="1:34" x14ac:dyDescent="0.25">
      <c r="P76" s="12">
        <f>IFERROR(IF(P75+1=ConceptDemo!$C$18+10,"",Backend!P75+1),"")</f>
        <v>44494</v>
      </c>
      <c r="Q76" s="10" t="e">
        <f>IF(OR(P76&lt;ConceptDemo!$C$17,Backend!P76&gt;ConceptDemo!$C$18),0,IF(Backend!P76&lt;=Backend!$R$12,Backend!Q75+Backend!$T$12,IF(Backend!P76&lt;=Backend!$R$13,Backend!Q75+Backend!$T$13,IF(Backend!P76&lt;=Backend!$R$14,Backend!Q75+Backend!$T$14,IF(Backend!P76&lt;=Backend!$R$15,Backend!Q75+Backend!$T$15,IF(Backend!P76&lt;=Backend!$X$16,Backend!Q75+Backend!$Z$16))))))</f>
        <v>#REF!</v>
      </c>
      <c r="R76" s="19" t="str">
        <f>IF(1&lt;=ConceptDemo!$L$29,IF(P76=$W$12,ConceptDemo!$L$27,""),"")</f>
        <v/>
      </c>
      <c r="S76" s="19" t="str">
        <f>IF(2&lt;=ConceptDemo!$L$29,IF(P76=$W$13,ConceptDemo!$L$27,""),"")</f>
        <v/>
      </c>
      <c r="T76" s="19" t="str">
        <f>IF(3&lt;=ConceptDemo!$L$29,IF(P76=$W$14,ConceptDemo!$L$27,""),"")</f>
        <v/>
      </c>
      <c r="U76" s="19" t="str">
        <f>IF(4&lt;=ConceptDemo!$L$29,IF(P76=$W$15,ConceptDemo!$L$27,""),"")</f>
        <v/>
      </c>
      <c r="W76" s="18">
        <f>IF($P76&lt;ConceptDemo!$C$17+$E$24-10,$G$27,0)</f>
        <v>0</v>
      </c>
      <c r="X76" s="18">
        <f>IF($P76&lt;ConceptDemo!$C$17+$E$24-10,$H$27,0)</f>
        <v>0</v>
      </c>
      <c r="Y76" s="10">
        <f t="shared" si="1"/>
        <v>0</v>
      </c>
      <c r="Z76" s="10">
        <f t="shared" si="2"/>
        <v>0</v>
      </c>
      <c r="AA76" s="10">
        <f t="shared" si="3"/>
        <v>0</v>
      </c>
      <c r="AB76" s="10">
        <f t="shared" si="4"/>
        <v>0</v>
      </c>
      <c r="AC76" s="18" t="e">
        <f t="shared" si="5"/>
        <v>#REF!</v>
      </c>
      <c r="AD76" s="18" t="e">
        <f>IF(P76&lt;=ConceptDemo!$C$18,AD75+SUM(W76:AB76)-(Q76-Q75)-AC76,0)</f>
        <v>#REF!</v>
      </c>
      <c r="AE76" s="18" t="e">
        <f>IF(ConceptDemo!$C$7=Backend!$A$2,AD76,IF(AE75&lt;&gt;AD75,IF(P76&lt;=ConceptDemo!$C$18,AE75+SUM(W76:AB76)-(Q76-Q75)-AC76,0),IF(P76=ConceptDemo!#REF!,ConceptDemo!#REF!,AD76)))</f>
        <v>#REF!</v>
      </c>
      <c r="AF76" s="18" t="e">
        <f t="shared" si="7"/>
        <v>#REF!</v>
      </c>
      <c r="AG76" s="18" t="e">
        <f t="shared" si="8"/>
        <v>#REF!</v>
      </c>
      <c r="AH76" s="18" t="e">
        <f t="shared" si="6"/>
        <v>#REF!</v>
      </c>
    </row>
    <row r="77" spans="1:34" x14ac:dyDescent="0.25">
      <c r="A77" t="s">
        <v>86</v>
      </c>
      <c r="B77" s="14" t="e">
        <f>ConceptDemo!#REF!/C13</f>
        <v>#REF!</v>
      </c>
      <c r="C77" t="s">
        <v>5</v>
      </c>
      <c r="P77" s="12">
        <f>IFERROR(IF(P76+1=ConceptDemo!$C$18+10,"",Backend!P76+1),"")</f>
        <v>44495</v>
      </c>
      <c r="Q77" s="10" t="e">
        <f>IF(OR(P77&lt;ConceptDemo!$C$17,Backend!P77&gt;ConceptDemo!$C$18),0,IF(Backend!P77&lt;=Backend!$R$12,Backend!Q76+Backend!$T$12,IF(Backend!P77&lt;=Backend!$R$13,Backend!Q76+Backend!$T$13,IF(Backend!P77&lt;=Backend!$R$14,Backend!Q76+Backend!$T$14,IF(Backend!P77&lt;=Backend!$R$15,Backend!Q76+Backend!$T$15,IF(Backend!P77&lt;=Backend!$X$16,Backend!Q76+Backend!$Z$16))))))</f>
        <v>#REF!</v>
      </c>
      <c r="R77" s="19" t="str">
        <f>IF(1&lt;=ConceptDemo!$L$29,IF(P77=$W$12,ConceptDemo!$L$27,""),"")</f>
        <v/>
      </c>
      <c r="S77" s="19" t="str">
        <f>IF(2&lt;=ConceptDemo!$L$29,IF(P77=$W$13,ConceptDemo!$L$27,""),"")</f>
        <v/>
      </c>
      <c r="T77" s="19" t="str">
        <f>IF(3&lt;=ConceptDemo!$L$29,IF(P77=$W$14,ConceptDemo!$L$27,""),"")</f>
        <v/>
      </c>
      <c r="U77" s="19" t="str">
        <f>IF(4&lt;=ConceptDemo!$L$29,IF(P77=$W$15,ConceptDemo!$L$27,""),"")</f>
        <v/>
      </c>
      <c r="W77" s="18">
        <f>IF($P77&lt;ConceptDemo!$C$17+$E$24-10,$G$27,0)</f>
        <v>0</v>
      </c>
      <c r="X77" s="18">
        <f>IF($P77&lt;ConceptDemo!$C$17+$E$24-10,$H$27,0)</f>
        <v>0</v>
      </c>
      <c r="Y77" s="10">
        <f t="shared" si="1"/>
        <v>0</v>
      </c>
      <c r="Z77" s="10">
        <f t="shared" si="2"/>
        <v>0</v>
      </c>
      <c r="AA77" s="10">
        <f t="shared" si="3"/>
        <v>0</v>
      </c>
      <c r="AB77" s="10">
        <f t="shared" si="4"/>
        <v>0</v>
      </c>
      <c r="AC77" s="18" t="e">
        <f t="shared" si="5"/>
        <v>#REF!</v>
      </c>
      <c r="AD77" s="18" t="e">
        <f>IF(P77&lt;=ConceptDemo!$C$18,AD76+SUM(W77:AB77)-(Q77-Q76)-AC77,0)</f>
        <v>#REF!</v>
      </c>
      <c r="AE77" s="18" t="e">
        <f>IF(ConceptDemo!$C$7=Backend!$A$2,AD77,IF(AE76&lt;&gt;AD76,IF(P77&lt;=ConceptDemo!$C$18,AE76+SUM(W77:AB77)-(Q77-Q76)-AC77,0),IF(P77=ConceptDemo!#REF!,ConceptDemo!#REF!,AD77)))</f>
        <v>#REF!</v>
      </c>
      <c r="AF77" s="18" t="e">
        <f t="shared" si="7"/>
        <v>#REF!</v>
      </c>
      <c r="AG77" s="18" t="e">
        <f t="shared" si="8"/>
        <v>#REF!</v>
      </c>
      <c r="AH77" s="18" t="e">
        <f t="shared" si="6"/>
        <v>#REF!</v>
      </c>
    </row>
    <row r="78" spans="1:34" x14ac:dyDescent="0.25">
      <c r="A78" t="s">
        <v>102</v>
      </c>
      <c r="B78" s="15" t="e">
        <f>B77*C13</f>
        <v>#REF!</v>
      </c>
      <c r="C78" t="s">
        <v>5</v>
      </c>
      <c r="P78" s="12">
        <f>IFERROR(IF(P77+1=ConceptDemo!$C$18+10,"",Backend!P77+1),"")</f>
        <v>44496</v>
      </c>
      <c r="Q78" s="10" t="e">
        <f>IF(OR(P78&lt;ConceptDemo!$C$17,Backend!P78&gt;ConceptDemo!$C$18),0,IF(Backend!P78&lt;=Backend!$R$12,Backend!Q77+Backend!$T$12,IF(Backend!P78&lt;=Backend!$R$13,Backend!Q77+Backend!$T$13,IF(Backend!P78&lt;=Backend!$R$14,Backend!Q77+Backend!$T$14,IF(Backend!P78&lt;=Backend!$R$15,Backend!Q77+Backend!$T$15,IF(Backend!P78&lt;=Backend!$X$16,Backend!Q77+Backend!$Z$16))))))</f>
        <v>#REF!</v>
      </c>
      <c r="R78" s="19" t="str">
        <f>IF(1&lt;=ConceptDemo!$L$29,IF(P78=$W$12,ConceptDemo!$L$27,""),"")</f>
        <v/>
      </c>
      <c r="S78" s="19" t="str">
        <f>IF(2&lt;=ConceptDemo!$L$29,IF(P78=$W$13,ConceptDemo!$L$27,""),"")</f>
        <v/>
      </c>
      <c r="T78" s="19" t="str">
        <f>IF(3&lt;=ConceptDemo!$L$29,IF(P78=$W$14,ConceptDemo!$L$27,""),"")</f>
        <v/>
      </c>
      <c r="U78" s="19" t="str">
        <f>IF(4&lt;=ConceptDemo!$L$29,IF(P78=$W$15,ConceptDemo!$L$27,""),"")</f>
        <v/>
      </c>
      <c r="W78" s="18">
        <f>IF($P78&lt;ConceptDemo!$C$17+$E$24-10,$G$27,0)</f>
        <v>0</v>
      </c>
      <c r="X78" s="18">
        <f>IF($P78&lt;ConceptDemo!$C$17+$E$24-10,$H$27,0)</f>
        <v>0</v>
      </c>
      <c r="Y78" s="10">
        <f t="shared" si="1"/>
        <v>0</v>
      </c>
      <c r="Z78" s="10">
        <f t="shared" si="2"/>
        <v>0</v>
      </c>
      <c r="AA78" s="10">
        <f t="shared" si="3"/>
        <v>0</v>
      </c>
      <c r="AB78" s="10">
        <f t="shared" si="4"/>
        <v>0</v>
      </c>
      <c r="AC78" s="18" t="e">
        <f t="shared" si="5"/>
        <v>#REF!</v>
      </c>
      <c r="AD78" s="18" t="e">
        <f>IF(P78&lt;=ConceptDemo!$C$18,AD77+SUM(W78:AB78)-(Q78-Q77)-AC78,0)</f>
        <v>#REF!</v>
      </c>
      <c r="AE78" s="18" t="e">
        <f>IF(ConceptDemo!$C$7=Backend!$A$2,AD78,IF(AE77&lt;&gt;AD77,IF(P78&lt;=ConceptDemo!$C$18,AE77+SUM(W78:AB78)-(Q78-Q77)-AC78,0),IF(P78=ConceptDemo!#REF!,ConceptDemo!#REF!,AD78)))</f>
        <v>#REF!</v>
      </c>
      <c r="AF78" s="18" t="e">
        <f t="shared" si="7"/>
        <v>#REF!</v>
      </c>
      <c r="AG78" s="18" t="e">
        <f t="shared" si="8"/>
        <v>#REF!</v>
      </c>
      <c r="AH78" s="18" t="e">
        <f t="shared" si="6"/>
        <v>#REF!</v>
      </c>
    </row>
    <row r="79" spans="1:34" x14ac:dyDescent="0.25">
      <c r="A79" t="s">
        <v>101</v>
      </c>
      <c r="B79" s="15" t="e">
        <f>B78*B13</f>
        <v>#REF!</v>
      </c>
      <c r="C79" t="s">
        <v>5</v>
      </c>
      <c r="P79" s="12">
        <f>IFERROR(IF(P78+1=ConceptDemo!$C$18+10,"",Backend!P78+1),"")</f>
        <v>44497</v>
      </c>
      <c r="Q79" s="10" t="e">
        <f>IF(OR(P79&lt;ConceptDemo!$C$17,Backend!P79&gt;ConceptDemo!$C$18),0,IF(Backend!P79&lt;=Backend!$R$12,Backend!Q78+Backend!$T$12,IF(Backend!P79&lt;=Backend!$R$13,Backend!Q78+Backend!$T$13,IF(Backend!P79&lt;=Backend!$R$14,Backend!Q78+Backend!$T$14,IF(Backend!P79&lt;=Backend!$R$15,Backend!Q78+Backend!$T$15,IF(Backend!P79&lt;=Backend!$X$16,Backend!Q78+Backend!$Z$16))))))</f>
        <v>#REF!</v>
      </c>
      <c r="R79" s="19" t="str">
        <f>IF(1&lt;=ConceptDemo!$L$29,IF(P79=$W$12,ConceptDemo!$L$27,""),"")</f>
        <v/>
      </c>
      <c r="S79" s="19" t="str">
        <f>IF(2&lt;=ConceptDemo!$L$29,IF(P79=$W$13,ConceptDemo!$L$27,""),"")</f>
        <v/>
      </c>
      <c r="T79" s="19" t="str">
        <f>IF(3&lt;=ConceptDemo!$L$29,IF(P79=$W$14,ConceptDemo!$L$27,""),"")</f>
        <v/>
      </c>
      <c r="U79" s="19" t="str">
        <f>IF(4&lt;=ConceptDemo!$L$29,IF(P79=$W$15,ConceptDemo!$L$27,""),"")</f>
        <v/>
      </c>
      <c r="W79" s="18">
        <f>IF($P79&lt;ConceptDemo!$C$17+$E$24-10,$G$27,0)</f>
        <v>0</v>
      </c>
      <c r="X79" s="18">
        <f>IF($P79&lt;ConceptDemo!$C$17+$E$24-10,$H$27,0)</f>
        <v>0</v>
      </c>
      <c r="Y79" s="10">
        <f t="shared" si="1"/>
        <v>0</v>
      </c>
      <c r="Z79" s="10">
        <f t="shared" si="2"/>
        <v>0</v>
      </c>
      <c r="AA79" s="10">
        <f t="shared" si="3"/>
        <v>0</v>
      </c>
      <c r="AB79" s="10">
        <f t="shared" si="4"/>
        <v>0</v>
      </c>
      <c r="AC79" s="18" t="e">
        <f t="shared" si="5"/>
        <v>#REF!</v>
      </c>
      <c r="AD79" s="18" t="e">
        <f>IF(P79&lt;=ConceptDemo!$C$18,AD78+SUM(W79:AB79)-(Q79-Q78)-AC79,0)</f>
        <v>#REF!</v>
      </c>
      <c r="AE79" s="18" t="e">
        <f>IF(ConceptDemo!$C$7=Backend!$A$2,AD79,IF(AE78&lt;&gt;AD78,IF(P79&lt;=ConceptDemo!$C$18,AE78+SUM(W79:AB79)-(Q79-Q78)-AC79,0),IF(P79=ConceptDemo!#REF!,ConceptDemo!#REF!,AD79)))</f>
        <v>#REF!</v>
      </c>
      <c r="AF79" s="18" t="e">
        <f t="shared" si="7"/>
        <v>#REF!</v>
      </c>
      <c r="AG79" s="18" t="e">
        <f t="shared" si="8"/>
        <v>#REF!</v>
      </c>
      <c r="AH79" s="18" t="e">
        <f t="shared" si="6"/>
        <v>#REF!</v>
      </c>
    </row>
    <row r="80" spans="1:34" x14ac:dyDescent="0.25">
      <c r="A80" t="s">
        <v>103</v>
      </c>
      <c r="B80" s="15" t="e">
        <f>B79*D13</f>
        <v>#REF!</v>
      </c>
      <c r="C80" t="s">
        <v>5</v>
      </c>
      <c r="P80" s="12">
        <f>IFERROR(IF(P79+1=ConceptDemo!$C$18+10,"",Backend!P79+1),"")</f>
        <v>44498</v>
      </c>
      <c r="Q80" s="10" t="e">
        <f>IF(OR(P80&lt;ConceptDemo!$C$17,Backend!P80&gt;ConceptDemo!$C$18),0,IF(Backend!P80&lt;=Backend!$R$12,Backend!Q79+Backend!$T$12,IF(Backend!P80&lt;=Backend!$R$13,Backend!Q79+Backend!$T$13,IF(Backend!P80&lt;=Backend!$R$14,Backend!Q79+Backend!$T$14,IF(Backend!P80&lt;=Backend!$R$15,Backend!Q79+Backend!$T$15,IF(Backend!P80&lt;=Backend!$X$16,Backend!Q79+Backend!$Z$16))))))</f>
        <v>#REF!</v>
      </c>
      <c r="R80" s="19" t="str">
        <f>IF(1&lt;=ConceptDemo!$L$29,IF(P80=$W$12,ConceptDemo!$L$27,""),"")</f>
        <v/>
      </c>
      <c r="S80" s="19" t="str">
        <f>IF(2&lt;=ConceptDemo!$L$29,IF(P80=$W$13,ConceptDemo!$L$27,""),"")</f>
        <v/>
      </c>
      <c r="T80" s="19" t="str">
        <f>IF(3&lt;=ConceptDemo!$L$29,IF(P80=$W$14,ConceptDemo!$L$27,""),"")</f>
        <v/>
      </c>
      <c r="U80" s="19" t="str">
        <f>IF(4&lt;=ConceptDemo!$L$29,IF(P80=$W$15,ConceptDemo!$L$27,""),"")</f>
        <v/>
      </c>
      <c r="W80" s="18">
        <f>IF($P80&lt;ConceptDemo!$C$17+$E$24-10,$G$27,0)</f>
        <v>0</v>
      </c>
      <c r="X80" s="18">
        <f>IF($P80&lt;ConceptDemo!$C$17+$E$24-10,$H$27,0)</f>
        <v>0</v>
      </c>
      <c r="Y80" s="10">
        <f t="shared" si="1"/>
        <v>0</v>
      </c>
      <c r="Z80" s="10">
        <f t="shared" si="2"/>
        <v>0</v>
      </c>
      <c r="AA80" s="10">
        <f t="shared" si="3"/>
        <v>0</v>
      </c>
      <c r="AB80" s="10">
        <f t="shared" si="4"/>
        <v>0</v>
      </c>
      <c r="AC80" s="18" t="e">
        <f t="shared" si="5"/>
        <v>#REF!</v>
      </c>
      <c r="AD80" s="18" t="e">
        <f>IF(P80&lt;=ConceptDemo!$C$18,AD79+SUM(W80:AB80)-(Q80-Q79)-AC80,0)</f>
        <v>#REF!</v>
      </c>
      <c r="AE80" s="18" t="e">
        <f>IF(ConceptDemo!$C$7=Backend!$A$2,AD80,IF(AE79&lt;&gt;AD79,IF(P80&lt;=ConceptDemo!$C$18,AE79+SUM(W80:AB80)-(Q80-Q79)-AC80,0),IF(P80=ConceptDemo!#REF!,ConceptDemo!#REF!,AD80)))</f>
        <v>#REF!</v>
      </c>
      <c r="AF80" s="18" t="e">
        <f t="shared" si="7"/>
        <v>#REF!</v>
      </c>
      <c r="AG80" s="18" t="e">
        <f t="shared" si="8"/>
        <v>#REF!</v>
      </c>
      <c r="AH80" s="18" t="e">
        <f t="shared" si="6"/>
        <v>#REF!</v>
      </c>
    </row>
    <row r="81" spans="1:34" x14ac:dyDescent="0.25">
      <c r="P81" s="12">
        <f>IFERROR(IF(P80+1=ConceptDemo!$C$18+10,"",Backend!P80+1),"")</f>
        <v>44499</v>
      </c>
      <c r="Q81" s="10" t="e">
        <f>IF(OR(P81&lt;ConceptDemo!$C$17,Backend!P81&gt;ConceptDemo!$C$18),0,IF(Backend!P81&lt;=Backend!$R$12,Backend!Q80+Backend!$T$12,IF(Backend!P81&lt;=Backend!$R$13,Backend!Q80+Backend!$T$13,IF(Backend!P81&lt;=Backend!$R$14,Backend!Q80+Backend!$T$14,IF(Backend!P81&lt;=Backend!$R$15,Backend!Q80+Backend!$T$15,IF(Backend!P81&lt;=Backend!$X$16,Backend!Q80+Backend!$Z$16))))))</f>
        <v>#REF!</v>
      </c>
      <c r="R81" s="19" t="str">
        <f>IF(1&lt;=ConceptDemo!$L$29,IF(P81=$W$12,ConceptDemo!$L$27,""),"")</f>
        <v/>
      </c>
      <c r="S81" s="19" t="str">
        <f>IF(2&lt;=ConceptDemo!$L$29,IF(P81=$W$13,ConceptDemo!$L$27,""),"")</f>
        <v/>
      </c>
      <c r="T81" s="19" t="str">
        <f>IF(3&lt;=ConceptDemo!$L$29,IF(P81=$W$14,ConceptDemo!$L$27,""),"")</f>
        <v/>
      </c>
      <c r="U81" s="19" t="str">
        <f>IF(4&lt;=ConceptDemo!$L$29,IF(P81=$W$15,ConceptDemo!$L$27,""),"")</f>
        <v/>
      </c>
      <c r="W81" s="18">
        <f>IF($P81&lt;ConceptDemo!$C$17+$E$24-10,$G$27,0)</f>
        <v>0</v>
      </c>
      <c r="X81" s="18">
        <f>IF($P81&lt;ConceptDemo!$C$17+$E$24-10,$H$27,0)</f>
        <v>0</v>
      </c>
      <c r="Y81" s="10">
        <f t="shared" si="1"/>
        <v>0</v>
      </c>
      <c r="Z81" s="10">
        <f t="shared" si="2"/>
        <v>0</v>
      </c>
      <c r="AA81" s="10">
        <f t="shared" si="3"/>
        <v>0</v>
      </c>
      <c r="AB81" s="10">
        <f t="shared" si="4"/>
        <v>0</v>
      </c>
      <c r="AC81" s="18" t="e">
        <f t="shared" si="5"/>
        <v>#REF!</v>
      </c>
      <c r="AD81" s="18" t="e">
        <f>IF(P81&lt;=ConceptDemo!$C$18,AD80+SUM(W81:AB81)-(Q81-Q80)-AC81,0)</f>
        <v>#REF!</v>
      </c>
      <c r="AE81" s="18" t="e">
        <f>IF(ConceptDemo!$C$7=Backend!$A$2,AD81,IF(AE80&lt;&gt;AD80,IF(P81&lt;=ConceptDemo!$C$18,AE80+SUM(W81:AB81)-(Q81-Q80)-AC81,0),IF(P81=ConceptDemo!#REF!,ConceptDemo!#REF!,AD81)))</f>
        <v>#REF!</v>
      </c>
      <c r="AF81" s="18" t="e">
        <f t="shared" si="7"/>
        <v>#REF!</v>
      </c>
      <c r="AG81" s="18" t="e">
        <f t="shared" si="8"/>
        <v>#REF!</v>
      </c>
      <c r="AH81" s="18" t="e">
        <f t="shared" si="6"/>
        <v>#REF!</v>
      </c>
    </row>
    <row r="82" spans="1:34" x14ac:dyDescent="0.25">
      <c r="A82" t="s">
        <v>59</v>
      </c>
      <c r="E82" t="s">
        <v>22</v>
      </c>
      <c r="P82" s="12">
        <f>IFERROR(IF(P81+1=ConceptDemo!$C$18+10,"",Backend!P81+1),"")</f>
        <v>44500</v>
      </c>
      <c r="Q82" s="10" t="e">
        <f>IF(OR(P82&lt;ConceptDemo!$C$17,Backend!P82&gt;ConceptDemo!$C$18),0,IF(Backend!P82&lt;=Backend!$R$12,Backend!Q81+Backend!$T$12,IF(Backend!P82&lt;=Backend!$R$13,Backend!Q81+Backend!$T$13,IF(Backend!P82&lt;=Backend!$R$14,Backend!Q81+Backend!$T$14,IF(Backend!P82&lt;=Backend!$R$15,Backend!Q81+Backend!$T$15,IF(Backend!P82&lt;=Backend!$X$16,Backend!Q81+Backend!$Z$16))))))</f>
        <v>#REF!</v>
      </c>
      <c r="R82" s="19" t="str">
        <f>IF(1&lt;=ConceptDemo!$L$29,IF(P82=$W$12,ConceptDemo!$L$27,""),"")</f>
        <v/>
      </c>
      <c r="S82" s="19" t="str">
        <f>IF(2&lt;=ConceptDemo!$L$29,IF(P82=$W$13,ConceptDemo!$L$27,""),"")</f>
        <v/>
      </c>
      <c r="T82" s="19" t="str">
        <f>IF(3&lt;=ConceptDemo!$L$29,IF(P82=$W$14,ConceptDemo!$L$27,""),"")</f>
        <v/>
      </c>
      <c r="U82" s="19" t="str">
        <f>IF(4&lt;=ConceptDemo!$L$29,IF(P82=$W$15,ConceptDemo!$L$27,""),"")</f>
        <v/>
      </c>
      <c r="W82" s="18">
        <f>IF($P82&lt;ConceptDemo!$C$17+$E$24-10,$G$27,0)</f>
        <v>0</v>
      </c>
      <c r="X82" s="18">
        <f>IF($P82&lt;ConceptDemo!$C$17+$E$24-10,$H$27,0)</f>
        <v>0</v>
      </c>
      <c r="Y82" s="10">
        <f t="shared" si="1"/>
        <v>0</v>
      </c>
      <c r="Z82" s="10">
        <f t="shared" si="2"/>
        <v>0</v>
      </c>
      <c r="AA82" s="10">
        <f t="shared" si="3"/>
        <v>0</v>
      </c>
      <c r="AB82" s="10">
        <f t="shared" si="4"/>
        <v>0</v>
      </c>
      <c r="AC82" s="18" t="e">
        <f t="shared" si="5"/>
        <v>#REF!</v>
      </c>
      <c r="AD82" s="18" t="e">
        <f>IF(P82&lt;=ConceptDemo!$C$18,AD81+SUM(W82:AB82)-(Q82-Q81)-AC82,0)</f>
        <v>#REF!</v>
      </c>
      <c r="AE82" s="18" t="e">
        <f>IF(ConceptDemo!$C$7=Backend!$A$2,AD82,IF(AE81&lt;&gt;AD81,IF(P82&lt;=ConceptDemo!$C$18,AE81+SUM(W82:AB82)-(Q82-Q81)-AC82,0),IF(P82=ConceptDemo!#REF!,ConceptDemo!#REF!,AD82)))</f>
        <v>#REF!</v>
      </c>
      <c r="AF82" s="18" t="e">
        <f t="shared" si="7"/>
        <v>#REF!</v>
      </c>
      <c r="AG82" s="18" t="e">
        <f t="shared" si="8"/>
        <v>#REF!</v>
      </c>
      <c r="AH82" s="18" t="e">
        <f t="shared" si="6"/>
        <v>#REF!</v>
      </c>
    </row>
    <row r="83" spans="1:34" x14ac:dyDescent="0.25">
      <c r="A83" t="s">
        <v>110</v>
      </c>
      <c r="P83" s="12">
        <f>IFERROR(IF(P82+1=ConceptDemo!$C$18+10,"",Backend!P82+1),"")</f>
        <v>44501</v>
      </c>
      <c r="Q83" s="10" t="e">
        <f>IF(OR(P83&lt;ConceptDemo!$C$17,Backend!P83&gt;ConceptDemo!$C$18),0,IF(Backend!P83&lt;=Backend!$R$12,Backend!Q82+Backend!$T$12,IF(Backend!P83&lt;=Backend!$R$13,Backend!Q82+Backend!$T$13,IF(Backend!P83&lt;=Backend!$R$14,Backend!Q82+Backend!$T$14,IF(Backend!P83&lt;=Backend!$R$15,Backend!Q82+Backend!$T$15,IF(Backend!P83&lt;=Backend!$X$16,Backend!Q82+Backend!$Z$16))))))</f>
        <v>#REF!</v>
      </c>
      <c r="R83" s="19" t="str">
        <f>IF(1&lt;=ConceptDemo!$L$29,IF(P83=$W$12,ConceptDemo!$L$27,""),"")</f>
        <v/>
      </c>
      <c r="S83" s="19" t="str">
        <f>IF(2&lt;=ConceptDemo!$L$29,IF(P83=$W$13,ConceptDemo!$L$27,""),"")</f>
        <v/>
      </c>
      <c r="T83" s="19" t="str">
        <f>IF(3&lt;=ConceptDemo!$L$29,IF(P83=$W$14,ConceptDemo!$L$27,""),"")</f>
        <v/>
      </c>
      <c r="U83" s="19" t="str">
        <f>IF(4&lt;=ConceptDemo!$L$29,IF(P83=$W$15,ConceptDemo!$L$27,""),"")</f>
        <v/>
      </c>
      <c r="W83" s="18">
        <f>IF($P83&lt;ConceptDemo!$C$17+$E$24-10,$G$27,0)</f>
        <v>0</v>
      </c>
      <c r="X83" s="18">
        <f>IF($P83&lt;ConceptDemo!$C$17+$E$24-10,$H$27,0)</f>
        <v>0</v>
      </c>
      <c r="Y83" s="10">
        <f t="shared" si="1"/>
        <v>0</v>
      </c>
      <c r="Z83" s="10">
        <f t="shared" si="2"/>
        <v>0</v>
      </c>
      <c r="AA83" s="10">
        <f t="shared" si="3"/>
        <v>0</v>
      </c>
      <c r="AB83" s="10">
        <f t="shared" si="4"/>
        <v>0</v>
      </c>
      <c r="AC83" s="18" t="e">
        <f t="shared" si="5"/>
        <v>#REF!</v>
      </c>
      <c r="AD83" s="18" t="e">
        <f>IF(P83&lt;=ConceptDemo!$C$18,AD82+SUM(W83:AB83)-(Q83-Q82)-AC83,0)</f>
        <v>#REF!</v>
      </c>
      <c r="AE83" s="18" t="e">
        <f>IF(ConceptDemo!$C$7=Backend!$A$2,AD83,IF(AE82&lt;&gt;AD82,IF(P83&lt;=ConceptDemo!$C$18,AE82+SUM(W83:AB83)-(Q83-Q82)-AC83,0),IF(P83=ConceptDemo!#REF!,ConceptDemo!#REF!,AD83)))</f>
        <v>#REF!</v>
      </c>
      <c r="AF83" s="18" t="e">
        <f t="shared" si="7"/>
        <v>#REF!</v>
      </c>
      <c r="AG83" s="18" t="e">
        <f t="shared" si="8"/>
        <v>#REF!</v>
      </c>
      <c r="AH83" s="18" t="e">
        <f t="shared" si="6"/>
        <v>#REF!</v>
      </c>
    </row>
    <row r="84" spans="1:34" x14ac:dyDescent="0.25">
      <c r="A84" t="s">
        <v>22</v>
      </c>
      <c r="B84">
        <v>100</v>
      </c>
      <c r="C84" t="s">
        <v>5</v>
      </c>
      <c r="E84" t="s">
        <v>112</v>
      </c>
      <c r="P84" s="12">
        <f>IFERROR(IF(P83+1=ConceptDemo!$C$18+10,"",Backend!P83+1),"")</f>
        <v>44502</v>
      </c>
      <c r="Q84" s="10" t="e">
        <f>IF(OR(P84&lt;ConceptDemo!$C$17,Backend!P84&gt;ConceptDemo!$C$18),0,IF(Backend!P84&lt;=Backend!$R$12,Backend!Q83+Backend!$T$12,IF(Backend!P84&lt;=Backend!$R$13,Backend!Q83+Backend!$T$13,IF(Backend!P84&lt;=Backend!$R$14,Backend!Q83+Backend!$T$14,IF(Backend!P84&lt;=Backend!$R$15,Backend!Q83+Backend!$T$15,IF(Backend!P84&lt;=Backend!$X$16,Backend!Q83+Backend!$Z$16))))))</f>
        <v>#REF!</v>
      </c>
      <c r="R84" s="19" t="str">
        <f>IF(1&lt;=ConceptDemo!$L$29,IF(P84=$W$12,ConceptDemo!$L$27,""),"")</f>
        <v/>
      </c>
      <c r="S84" s="19" t="str">
        <f>IF(2&lt;=ConceptDemo!$L$29,IF(P84=$W$13,ConceptDemo!$L$27,""),"")</f>
        <v/>
      </c>
      <c r="T84" s="19" t="str">
        <f>IF(3&lt;=ConceptDemo!$L$29,IF(P84=$W$14,ConceptDemo!$L$27,""),"")</f>
        <v/>
      </c>
      <c r="U84" s="19" t="str">
        <f>IF(4&lt;=ConceptDemo!$L$29,IF(P84=$W$15,ConceptDemo!$L$27,""),"")</f>
        <v/>
      </c>
      <c r="W84" s="18">
        <f>IF($P84&lt;ConceptDemo!$C$17+$E$24-10,$G$27,0)</f>
        <v>0</v>
      </c>
      <c r="X84" s="18">
        <f>IF($P84&lt;ConceptDemo!$C$17+$E$24-10,$H$27,0)</f>
        <v>0</v>
      </c>
      <c r="Y84" s="10">
        <f t="shared" si="1"/>
        <v>0</v>
      </c>
      <c r="Z84" s="10">
        <f t="shared" si="2"/>
        <v>0</v>
      </c>
      <c r="AA84" s="10">
        <f t="shared" si="3"/>
        <v>0</v>
      </c>
      <c r="AB84" s="10">
        <f t="shared" si="4"/>
        <v>0</v>
      </c>
      <c r="AC84" s="18" t="e">
        <f t="shared" si="5"/>
        <v>#REF!</v>
      </c>
      <c r="AD84" s="18" t="e">
        <f>IF(P84&lt;=ConceptDemo!$C$18,AD83+SUM(W84:AB84)-(Q84-Q83)-AC84,0)</f>
        <v>#REF!</v>
      </c>
      <c r="AE84" s="18" t="e">
        <f>IF(ConceptDemo!$C$7=Backend!$A$2,AD84,IF(AE83&lt;&gt;AD83,IF(P84&lt;=ConceptDemo!$C$18,AE83+SUM(W84:AB84)-(Q84-Q83)-AC84,0),IF(P84=ConceptDemo!#REF!,ConceptDemo!#REF!,AD84)))</f>
        <v>#REF!</v>
      </c>
      <c r="AF84" s="18" t="e">
        <f t="shared" si="7"/>
        <v>#REF!</v>
      </c>
      <c r="AG84" s="18" t="e">
        <f t="shared" si="8"/>
        <v>#REF!</v>
      </c>
      <c r="AH84" s="18" t="e">
        <f t="shared" si="6"/>
        <v>#REF!</v>
      </c>
    </row>
    <row r="85" spans="1:34" x14ac:dyDescent="0.25">
      <c r="A85" t="s">
        <v>77</v>
      </c>
      <c r="B85" s="18" t="e">
        <f>B77/B84</f>
        <v>#REF!</v>
      </c>
      <c r="C85" t="s">
        <v>78</v>
      </c>
      <c r="E85" t="s">
        <v>113</v>
      </c>
      <c r="F85" s="26" t="e">
        <f>B77/77</f>
        <v>#REF!</v>
      </c>
      <c r="P85" s="12">
        <f>IFERROR(IF(P84+1=ConceptDemo!$C$18+10,"",Backend!P84+1),"")</f>
        <v>44503</v>
      </c>
      <c r="Q85" s="10" t="e">
        <f>IF(OR(P85&lt;ConceptDemo!$C$17,Backend!P85&gt;ConceptDemo!$C$18),0,IF(Backend!P85&lt;=Backend!$R$12,Backend!Q84+Backend!$T$12,IF(Backend!P85&lt;=Backend!$R$13,Backend!Q84+Backend!$T$13,IF(Backend!P85&lt;=Backend!$R$14,Backend!Q84+Backend!$T$14,IF(Backend!P85&lt;=Backend!$R$15,Backend!Q84+Backend!$T$15,IF(Backend!P85&lt;=Backend!$X$16,Backend!Q84+Backend!$Z$16))))))</f>
        <v>#REF!</v>
      </c>
      <c r="R85" s="19" t="str">
        <f>IF(1&lt;=ConceptDemo!$L$29,IF(P85=$W$12,ConceptDemo!$L$27,""),"")</f>
        <v/>
      </c>
      <c r="S85" s="19" t="str">
        <f>IF(2&lt;=ConceptDemo!$L$29,IF(P85=$W$13,ConceptDemo!$L$27,""),"")</f>
        <v/>
      </c>
      <c r="T85" s="19" t="str">
        <f>IF(3&lt;=ConceptDemo!$L$29,IF(P85=$W$14,ConceptDemo!$L$27,""),"")</f>
        <v/>
      </c>
      <c r="U85" s="19" t="str">
        <f>IF(4&lt;=ConceptDemo!$L$29,IF(P85=$W$15,ConceptDemo!$L$27,""),"")</f>
        <v/>
      </c>
      <c r="W85" s="18">
        <f>IF($P85&lt;ConceptDemo!$C$17+$E$24-10,$G$27,0)</f>
        <v>0</v>
      </c>
      <c r="X85" s="18">
        <f>IF($P85&lt;ConceptDemo!$C$17+$E$24-10,$H$27,0)</f>
        <v>0</v>
      </c>
      <c r="Y85" s="10">
        <f t="shared" si="1"/>
        <v>0</v>
      </c>
      <c r="Z85" s="10">
        <f t="shared" si="2"/>
        <v>0</v>
      </c>
      <c r="AA85" s="10">
        <f t="shared" si="3"/>
        <v>0</v>
      </c>
      <c r="AB85" s="10">
        <f t="shared" si="4"/>
        <v>0</v>
      </c>
      <c r="AC85" s="18" t="e">
        <f t="shared" si="5"/>
        <v>#REF!</v>
      </c>
      <c r="AD85" s="18" t="e">
        <f>IF(P85&lt;=ConceptDemo!$C$18,AD84+SUM(W85:AB85)-(Q85-Q84)-AC85,0)</f>
        <v>#REF!</v>
      </c>
      <c r="AE85" s="18" t="e">
        <f>IF(ConceptDemo!$C$7=Backend!$A$2,AD85,IF(AE84&lt;&gt;AD84,IF(P85&lt;=ConceptDemo!$C$18,AE84+SUM(W85:AB85)-(Q85-Q84)-AC85,0),IF(P85=ConceptDemo!#REF!,ConceptDemo!#REF!,AD85)))</f>
        <v>#REF!</v>
      </c>
      <c r="AF85" s="18" t="e">
        <f t="shared" si="7"/>
        <v>#REF!</v>
      </c>
      <c r="AG85" s="18" t="e">
        <f t="shared" si="8"/>
        <v>#REF!</v>
      </c>
      <c r="AH85" s="18" t="e">
        <f t="shared" si="6"/>
        <v>#REF!</v>
      </c>
    </row>
    <row r="86" spans="1:34" x14ac:dyDescent="0.25">
      <c r="A86">
        <v>50</v>
      </c>
      <c r="B86">
        <v>225</v>
      </c>
      <c r="F86" s="23" t="s">
        <v>91</v>
      </c>
      <c r="P86" s="12">
        <f>IFERROR(IF(P85+1=ConceptDemo!$C$18+10,"",Backend!P85+1),"")</f>
        <v>44504</v>
      </c>
      <c r="Q86" s="10" t="e">
        <f>IF(OR(P86&lt;ConceptDemo!$C$17,Backend!P86&gt;ConceptDemo!$C$18),0,IF(Backend!P86&lt;=Backend!$R$12,Backend!Q85+Backend!$T$12,IF(Backend!P86&lt;=Backend!$R$13,Backend!Q85+Backend!$T$13,IF(Backend!P86&lt;=Backend!$R$14,Backend!Q85+Backend!$T$14,IF(Backend!P86&lt;=Backend!$R$15,Backend!Q85+Backend!$T$15,IF(Backend!P86&lt;=Backend!$X$16,Backend!Q85+Backend!$Z$16))))))</f>
        <v>#REF!</v>
      </c>
      <c r="R86" s="19" t="str">
        <f>IF(1&lt;=ConceptDemo!$L$29,IF(P86=$W$12,ConceptDemo!$L$27,""),"")</f>
        <v/>
      </c>
      <c r="S86" s="19" t="str">
        <f>IF(2&lt;=ConceptDemo!$L$29,IF(P86=$W$13,ConceptDemo!$L$27,""),"")</f>
        <v/>
      </c>
      <c r="T86" s="19" t="str">
        <f>IF(3&lt;=ConceptDemo!$L$29,IF(P86=$W$14,ConceptDemo!$L$27,""),"")</f>
        <v/>
      </c>
      <c r="U86" s="19" t="str">
        <f>IF(4&lt;=ConceptDemo!$L$29,IF(P86=$W$15,ConceptDemo!$L$27,""),"")</f>
        <v/>
      </c>
      <c r="W86" s="18">
        <f>IF($P86&lt;ConceptDemo!$C$17+$E$24-10,$G$27,0)</f>
        <v>0</v>
      </c>
      <c r="X86" s="18">
        <f>IF($P86&lt;ConceptDemo!$C$17+$E$24-10,$H$27,0)</f>
        <v>0</v>
      </c>
      <c r="Y86" s="10">
        <f t="shared" si="1"/>
        <v>0</v>
      </c>
      <c r="Z86" s="10">
        <f t="shared" si="2"/>
        <v>0</v>
      </c>
      <c r="AA86" s="10">
        <f t="shared" si="3"/>
        <v>0</v>
      </c>
      <c r="AB86" s="10">
        <f t="shared" si="4"/>
        <v>0</v>
      </c>
      <c r="AC86" s="18" t="e">
        <f t="shared" si="5"/>
        <v>#REF!</v>
      </c>
      <c r="AD86" s="18" t="e">
        <f>IF(P86&lt;=ConceptDemo!$C$18,AD85+SUM(W86:AB86)-(Q86-Q85)-AC86,0)</f>
        <v>#REF!</v>
      </c>
      <c r="AE86" s="18" t="e">
        <f>IF(ConceptDemo!$C$7=Backend!$A$2,AD86,IF(AE85&lt;&gt;AD85,IF(P86&lt;=ConceptDemo!$C$18,AE85+SUM(W86:AB86)-(Q86-Q85)-AC86,0),IF(P86=ConceptDemo!#REF!,ConceptDemo!#REF!,AD86)))</f>
        <v>#REF!</v>
      </c>
      <c r="AF86" s="18" t="e">
        <f t="shared" si="7"/>
        <v>#REF!</v>
      </c>
      <c r="AG86" s="18" t="e">
        <f t="shared" si="8"/>
        <v>#REF!</v>
      </c>
      <c r="AH86" s="18" t="e">
        <f t="shared" si="6"/>
        <v>#REF!</v>
      </c>
    </row>
    <row r="87" spans="1:34" x14ac:dyDescent="0.25">
      <c r="A87">
        <v>100</v>
      </c>
      <c r="B87">
        <v>200</v>
      </c>
      <c r="E87" t="s">
        <v>92</v>
      </c>
      <c r="F87">
        <v>3.4</v>
      </c>
      <c r="P87" s="12">
        <f>IFERROR(IF(P86+1=ConceptDemo!$C$18+10,"",Backend!P86+1),"")</f>
        <v>44505</v>
      </c>
      <c r="Q87" s="10" t="e">
        <f>IF(OR(P87&lt;ConceptDemo!$C$17,Backend!P87&gt;ConceptDemo!$C$18),0,IF(Backend!P87&lt;=Backend!$R$12,Backend!Q86+Backend!$T$12,IF(Backend!P87&lt;=Backend!$R$13,Backend!Q86+Backend!$T$13,IF(Backend!P87&lt;=Backend!$R$14,Backend!Q86+Backend!$T$14,IF(Backend!P87&lt;=Backend!$R$15,Backend!Q86+Backend!$T$15,IF(Backend!P87&lt;=Backend!$X$16,Backend!Q86+Backend!$Z$16))))))</f>
        <v>#REF!</v>
      </c>
      <c r="R87" s="19" t="str">
        <f>IF(1&lt;=ConceptDemo!$L$29,IF(P87=$W$12,ConceptDemo!$L$27,""),"")</f>
        <v/>
      </c>
      <c r="S87" s="19" t="str">
        <f>IF(2&lt;=ConceptDemo!$L$29,IF(P87=$W$13,ConceptDemo!$L$27,""),"")</f>
        <v/>
      </c>
      <c r="T87" s="19" t="str">
        <f>IF(3&lt;=ConceptDemo!$L$29,IF(P87=$W$14,ConceptDemo!$L$27,""),"")</f>
        <v/>
      </c>
      <c r="U87" s="19" t="str">
        <f>IF(4&lt;=ConceptDemo!$L$29,IF(P87=$W$15,ConceptDemo!$L$27,""),"")</f>
        <v/>
      </c>
      <c r="W87" s="18">
        <f>IF($P87&lt;ConceptDemo!$C$17+$E$24-10,$G$27,0)</f>
        <v>0</v>
      </c>
      <c r="X87" s="18">
        <f>IF($P87&lt;ConceptDemo!$C$17+$E$24-10,$H$27,0)</f>
        <v>0</v>
      </c>
      <c r="Y87" s="10">
        <f t="shared" si="1"/>
        <v>0</v>
      </c>
      <c r="Z87" s="10">
        <f t="shared" si="2"/>
        <v>0</v>
      </c>
      <c r="AA87" s="10">
        <f t="shared" si="3"/>
        <v>0</v>
      </c>
      <c r="AB87" s="10">
        <f t="shared" si="4"/>
        <v>0</v>
      </c>
      <c r="AC87" s="18" t="e">
        <f t="shared" si="5"/>
        <v>#REF!</v>
      </c>
      <c r="AD87" s="18" t="e">
        <f>IF(P87&lt;=ConceptDemo!$C$18,AD86+SUM(W87:AB87)-(Q87-Q86)-AC87,0)</f>
        <v>#REF!</v>
      </c>
      <c r="AE87" s="18" t="e">
        <f>IF(ConceptDemo!$C$7=Backend!$A$2,AD87,IF(AE86&lt;&gt;AD86,IF(P87&lt;=ConceptDemo!$C$18,AE86+SUM(W87:AB87)-(Q87-Q86)-AC87,0),IF(P87=ConceptDemo!#REF!,ConceptDemo!#REF!,AD87)))</f>
        <v>#REF!</v>
      </c>
      <c r="AF87" s="18" t="e">
        <f t="shared" si="7"/>
        <v>#REF!</v>
      </c>
      <c r="AG87" s="18" t="e">
        <f t="shared" si="8"/>
        <v>#REF!</v>
      </c>
      <c r="AH87" s="18" t="e">
        <f t="shared" si="6"/>
        <v>#REF!</v>
      </c>
    </row>
    <row r="88" spans="1:34" x14ac:dyDescent="0.25">
      <c r="A88">
        <v>150</v>
      </c>
      <c r="B88">
        <v>150</v>
      </c>
      <c r="P88" s="12">
        <f>IFERROR(IF(P87+1=ConceptDemo!$C$18+10,"",Backend!P87+1),"")</f>
        <v>44506</v>
      </c>
      <c r="Q88" s="10" t="e">
        <f>IF(OR(P88&lt;ConceptDemo!$C$17,Backend!P88&gt;ConceptDemo!$C$18),0,IF(Backend!P88&lt;=Backend!$R$12,Backend!Q87+Backend!$T$12,IF(Backend!P88&lt;=Backend!$R$13,Backend!Q87+Backend!$T$13,IF(Backend!P88&lt;=Backend!$R$14,Backend!Q87+Backend!$T$14,IF(Backend!P88&lt;=Backend!$R$15,Backend!Q87+Backend!$T$15,IF(Backend!P88&lt;=Backend!$X$16,Backend!Q87+Backend!$Z$16))))))</f>
        <v>#REF!</v>
      </c>
      <c r="R88" s="19" t="str">
        <f>IF(1&lt;=ConceptDemo!$L$29,IF(P88=$W$12,ConceptDemo!$L$27,""),"")</f>
        <v/>
      </c>
      <c r="S88" s="19" t="str">
        <f>IF(2&lt;=ConceptDemo!$L$29,IF(P88=$W$13,ConceptDemo!$L$27,""),"")</f>
        <v/>
      </c>
      <c r="T88" s="19" t="str">
        <f>IF(3&lt;=ConceptDemo!$L$29,IF(P88=$W$14,ConceptDemo!$L$27,""),"")</f>
        <v/>
      </c>
      <c r="U88" s="19" t="str">
        <f>IF(4&lt;=ConceptDemo!$L$29,IF(P88=$W$15,ConceptDemo!$L$27,""),"")</f>
        <v/>
      </c>
      <c r="W88" s="18">
        <f>IF($P88&lt;ConceptDemo!$C$17+$E$24-10,$G$27,0)</f>
        <v>0</v>
      </c>
      <c r="X88" s="18">
        <f>IF($P88&lt;ConceptDemo!$C$17+$E$24-10,$H$27,0)</f>
        <v>0</v>
      </c>
      <c r="Y88" s="10">
        <f t="shared" si="1"/>
        <v>0</v>
      </c>
      <c r="Z88" s="10">
        <f t="shared" si="2"/>
        <v>0</v>
      </c>
      <c r="AA88" s="10">
        <f t="shared" si="3"/>
        <v>0</v>
      </c>
      <c r="AB88" s="10">
        <f t="shared" si="4"/>
        <v>0</v>
      </c>
      <c r="AC88" s="18" t="e">
        <f t="shared" si="5"/>
        <v>#REF!</v>
      </c>
      <c r="AD88" s="18" t="e">
        <f>IF(P88&lt;=ConceptDemo!$C$18,AD87+SUM(W88:AB88)-(Q88-Q87)-AC88,0)</f>
        <v>#REF!</v>
      </c>
      <c r="AE88" s="18" t="e">
        <f>IF(ConceptDemo!$C$7=Backend!$A$2,AD88,IF(AE87&lt;&gt;AD87,IF(P88&lt;=ConceptDemo!$C$18,AE87+SUM(W88:AB88)-(Q88-Q87)-AC88,0),IF(P88=ConceptDemo!#REF!,ConceptDemo!#REF!,AD88)))</f>
        <v>#REF!</v>
      </c>
      <c r="AF88" s="18" t="e">
        <f t="shared" si="7"/>
        <v>#REF!</v>
      </c>
      <c r="AG88" s="18" t="e">
        <f t="shared" si="8"/>
        <v>#REF!</v>
      </c>
      <c r="AH88" s="18" t="e">
        <f t="shared" si="6"/>
        <v>#REF!</v>
      </c>
    </row>
    <row r="89" spans="1:34" x14ac:dyDescent="0.25">
      <c r="A89">
        <v>200</v>
      </c>
      <c r="B89">
        <v>125</v>
      </c>
      <c r="E89" s="4" t="s">
        <v>99</v>
      </c>
      <c r="F89" s="16" t="e">
        <f>SUM(F90:F91)</f>
        <v>#REF!</v>
      </c>
      <c r="G89" t="s">
        <v>88</v>
      </c>
      <c r="H89" s="21"/>
      <c r="I89" s="21"/>
      <c r="P89" s="12">
        <f>IFERROR(IF(P88+1=ConceptDemo!$C$18+10,"",Backend!P88+1),"")</f>
        <v>44507</v>
      </c>
      <c r="Q89" s="10" t="e">
        <f>IF(OR(P89&lt;ConceptDemo!$C$17,Backend!P89&gt;ConceptDemo!$C$18),0,IF(Backend!P89&lt;=Backend!$R$12,Backend!Q88+Backend!$T$12,IF(Backend!P89&lt;=Backend!$R$13,Backend!Q88+Backend!$T$13,IF(Backend!P89&lt;=Backend!$R$14,Backend!Q88+Backend!$T$14,IF(Backend!P89&lt;=Backend!$R$15,Backend!Q88+Backend!$T$15,IF(Backend!P89&lt;=Backend!$X$16,Backend!Q88+Backend!$Z$16))))))</f>
        <v>#REF!</v>
      </c>
      <c r="R89" s="19" t="str">
        <f>IF(1&lt;=ConceptDemo!$L$29,IF(P89=$W$12,ConceptDemo!$L$27,""),"")</f>
        <v/>
      </c>
      <c r="S89" s="19" t="str">
        <f>IF(2&lt;=ConceptDemo!$L$29,IF(P89=$W$13,ConceptDemo!$L$27,""),"")</f>
        <v/>
      </c>
      <c r="T89" s="19" t="str">
        <f>IF(3&lt;=ConceptDemo!$L$29,IF(P89=$W$14,ConceptDemo!$L$27,""),"")</f>
        <v/>
      </c>
      <c r="U89" s="19" t="str">
        <f>IF(4&lt;=ConceptDemo!$L$29,IF(P89=$W$15,ConceptDemo!$L$27,""),"")</f>
        <v/>
      </c>
      <c r="W89" s="18">
        <f>IF($P89&lt;ConceptDemo!$C$17+$E$24-10,$G$27,0)</f>
        <v>0</v>
      </c>
      <c r="X89" s="18">
        <f>IF($P89&lt;ConceptDemo!$C$17+$E$24-10,$H$27,0)</f>
        <v>0</v>
      </c>
      <c r="Y89" s="10">
        <f t="shared" si="1"/>
        <v>0</v>
      </c>
      <c r="Z89" s="10">
        <f t="shared" si="2"/>
        <v>0</v>
      </c>
      <c r="AA89" s="10">
        <f t="shared" si="3"/>
        <v>0</v>
      </c>
      <c r="AB89" s="10">
        <f t="shared" si="4"/>
        <v>0</v>
      </c>
      <c r="AC89" s="18" t="e">
        <f t="shared" si="5"/>
        <v>#REF!</v>
      </c>
      <c r="AD89" s="18" t="e">
        <f>IF(P89&lt;=ConceptDemo!$C$18,AD88+SUM(W89:AB89)-(Q89-Q88)-AC89,0)</f>
        <v>#REF!</v>
      </c>
      <c r="AE89" s="18" t="e">
        <f>IF(ConceptDemo!$C$7=Backend!$A$2,AD89,IF(AE88&lt;&gt;AD88,IF(P89&lt;=ConceptDemo!$C$18,AE88+SUM(W89:AB89)-(Q89-Q88)-AC89,0),IF(P89=ConceptDemo!#REF!,ConceptDemo!#REF!,AD89)))</f>
        <v>#REF!</v>
      </c>
      <c r="AF89" s="18" t="e">
        <f t="shared" si="7"/>
        <v>#REF!</v>
      </c>
      <c r="AG89" s="18" t="e">
        <f t="shared" si="8"/>
        <v>#REF!</v>
      </c>
      <c r="AH89" s="18" t="e">
        <f t="shared" si="6"/>
        <v>#REF!</v>
      </c>
    </row>
    <row r="90" spans="1:34" x14ac:dyDescent="0.25">
      <c r="A90">
        <v>250</v>
      </c>
      <c r="B90">
        <v>75</v>
      </c>
      <c r="E90" t="s">
        <v>106</v>
      </c>
      <c r="F90" s="16" t="e">
        <f>B79*F87</f>
        <v>#REF!</v>
      </c>
      <c r="G90" t="s">
        <v>88</v>
      </c>
      <c r="I90" s="24"/>
      <c r="P90" s="12">
        <f>IFERROR(IF(P89+1=ConceptDemo!$C$18+10,"",Backend!P89+1),"")</f>
        <v>44508</v>
      </c>
      <c r="Q90" s="10" t="e">
        <f>IF(OR(P90&lt;ConceptDemo!$C$17,Backend!P90&gt;ConceptDemo!$C$18),0,IF(Backend!P90&lt;=Backend!$R$12,Backend!Q89+Backend!$T$12,IF(Backend!P90&lt;=Backend!$R$13,Backend!Q89+Backend!$T$13,IF(Backend!P90&lt;=Backend!$R$14,Backend!Q89+Backend!$T$14,IF(Backend!P90&lt;=Backend!$R$15,Backend!Q89+Backend!$T$15,IF(Backend!P90&lt;=Backend!$X$16,Backend!Q89+Backend!$Z$16))))))</f>
        <v>#REF!</v>
      </c>
      <c r="R90" s="19" t="str">
        <f>IF(1&lt;=ConceptDemo!$L$29,IF(P90=$W$12,ConceptDemo!$L$27,""),"")</f>
        <v/>
      </c>
      <c r="S90" s="19" t="str">
        <f>IF(2&lt;=ConceptDemo!$L$29,IF(P90=$W$13,ConceptDemo!$L$27,""),"")</f>
        <v/>
      </c>
      <c r="T90" s="19" t="str">
        <f>IF(3&lt;=ConceptDemo!$L$29,IF(P90=$W$14,ConceptDemo!$L$27,""),"")</f>
        <v/>
      </c>
      <c r="U90" s="19" t="str">
        <f>IF(4&lt;=ConceptDemo!$L$29,IF(P90=$W$15,ConceptDemo!$L$27,""),"")</f>
        <v/>
      </c>
      <c r="W90" s="18">
        <f>IF($P90&lt;ConceptDemo!$C$17+$E$24-10,$G$27,0)</f>
        <v>0</v>
      </c>
      <c r="X90" s="18">
        <f>IF($P90&lt;ConceptDemo!$C$17+$E$24-10,$H$27,0)</f>
        <v>0</v>
      </c>
      <c r="Y90" s="10">
        <f t="shared" si="1"/>
        <v>0</v>
      </c>
      <c r="Z90" s="10">
        <f t="shared" si="2"/>
        <v>0</v>
      </c>
      <c r="AA90" s="10">
        <f t="shared" si="3"/>
        <v>0</v>
      </c>
      <c r="AB90" s="10">
        <f t="shared" si="4"/>
        <v>0</v>
      </c>
      <c r="AC90" s="18" t="e">
        <f t="shared" si="5"/>
        <v>#REF!</v>
      </c>
      <c r="AD90" s="18" t="e">
        <f>IF(P90&lt;=ConceptDemo!$C$18,AD89+SUM(W90:AB90)-(Q90-Q89)-AC90,0)</f>
        <v>#REF!</v>
      </c>
      <c r="AE90" s="18" t="e">
        <f>IF(ConceptDemo!$C$7=Backend!$A$2,AD90,IF(AE89&lt;&gt;AD89,IF(P90&lt;=ConceptDemo!$C$18,AE89+SUM(W90:AB90)-(Q90-Q89)-AC90,0),IF(P90=ConceptDemo!#REF!,ConceptDemo!#REF!,AD90)))</f>
        <v>#REF!</v>
      </c>
      <c r="AF90" s="18" t="e">
        <f t="shared" si="7"/>
        <v>#REF!</v>
      </c>
      <c r="AG90" s="18" t="e">
        <f t="shared" si="8"/>
        <v>#REF!</v>
      </c>
      <c r="AH90" s="18" t="e">
        <f t="shared" si="6"/>
        <v>#REF!</v>
      </c>
    </row>
    <row r="91" spans="1:34" x14ac:dyDescent="0.25">
      <c r="A91">
        <v>300</v>
      </c>
      <c r="B91">
        <v>50</v>
      </c>
      <c r="E91" t="s">
        <v>107</v>
      </c>
      <c r="F91" s="16" t="e">
        <f>112.4*F85+(B78-B79)*F87</f>
        <v>#REF!</v>
      </c>
      <c r="G91" t="s">
        <v>88</v>
      </c>
      <c r="I91" s="24"/>
      <c r="P91" s="12">
        <f>IFERROR(IF(P90+1=ConceptDemo!$C$18+10,"",Backend!P90+1),"")</f>
        <v>44509</v>
      </c>
      <c r="Q91" s="10" t="e">
        <f>IF(OR(P91&lt;ConceptDemo!$C$17,Backend!P91&gt;ConceptDemo!$C$18),0,IF(Backend!P91&lt;=Backend!$R$12,Backend!Q90+Backend!$T$12,IF(Backend!P91&lt;=Backend!$R$13,Backend!Q90+Backend!$T$13,IF(Backend!P91&lt;=Backend!$R$14,Backend!Q90+Backend!$T$14,IF(Backend!P91&lt;=Backend!$R$15,Backend!Q90+Backend!$T$15,IF(Backend!P91&lt;=Backend!$X$16,Backend!Q90+Backend!$Z$16))))))</f>
        <v>#REF!</v>
      </c>
      <c r="R91" s="19" t="str">
        <f>IF(1&lt;=ConceptDemo!$L$29,IF(P91=$W$12,ConceptDemo!$L$27,""),"")</f>
        <v/>
      </c>
      <c r="S91" s="19" t="str">
        <f>IF(2&lt;=ConceptDemo!$L$29,IF(P91=$W$13,ConceptDemo!$L$27,""),"")</f>
        <v/>
      </c>
      <c r="T91" s="19" t="str">
        <f>IF(3&lt;=ConceptDemo!$L$29,IF(P91=$W$14,ConceptDemo!$L$27,""),"")</f>
        <v/>
      </c>
      <c r="U91" s="19" t="str">
        <f>IF(4&lt;=ConceptDemo!$L$29,IF(P91=$W$15,ConceptDemo!$L$27,""),"")</f>
        <v/>
      </c>
      <c r="W91" s="18">
        <f>IF($P91&lt;ConceptDemo!$C$17+$E$24-10,$G$27,0)</f>
        <v>0</v>
      </c>
      <c r="X91" s="18">
        <f>IF($P91&lt;ConceptDemo!$C$17+$E$24-10,$H$27,0)</f>
        <v>0</v>
      </c>
      <c r="Y91" s="10">
        <f t="shared" ref="Y91:Y154" si="11">IFERROR(IF(AND($P91&gt;=$W$12,$P91&lt;$W$12+$I$25),$I$27,0),0)</f>
        <v>0</v>
      </c>
      <c r="Z91" s="10">
        <f t="shared" ref="Z91:Z154" si="12">IFERROR(IF(AND($P91&gt;=$W$13,$P91&lt;$W$13+$I$25),$I$27,0),0)</f>
        <v>0</v>
      </c>
      <c r="AA91" s="10">
        <f t="shared" ref="AA91:AA154" si="13">IFERROR(IF(AND($P91&gt;=$W$14,$P91&lt;$W$14+$I$25),$I$27,0),0)</f>
        <v>0</v>
      </c>
      <c r="AB91" s="10">
        <f t="shared" ref="AB91:AB154" si="14">IFERROR(IF(AND($P91&gt;=$W$15,$P91&lt;$W$15+$I$25),$I$27,0),0)</f>
        <v>0</v>
      </c>
      <c r="AC91" s="18" t="e">
        <f t="shared" ref="AC91:AC154" si="15">IF(Q91&gt;0,$J$27,0)</f>
        <v>#REF!</v>
      </c>
      <c r="AD91" s="18" t="e">
        <f>IF(P91&lt;=ConceptDemo!$C$18,AD90+SUM(W91:AB91)-(Q91-Q90)-AC91,0)</f>
        <v>#REF!</v>
      </c>
      <c r="AE91" s="18" t="e">
        <f>IF(ConceptDemo!$C$7=Backend!$A$2,AD91,IF(AE90&lt;&gt;AD90,IF(P91&lt;=ConceptDemo!$C$18,AE90+SUM(W91:AB91)-(Q91-Q90)-AC91,0),IF(P91=ConceptDemo!#REF!,ConceptDemo!#REF!,AD91)))</f>
        <v>#REF!</v>
      </c>
      <c r="AF91" s="18" t="e">
        <f t="shared" si="7"/>
        <v>#REF!</v>
      </c>
      <c r="AG91" s="18" t="e">
        <f t="shared" si="8"/>
        <v>#REF!</v>
      </c>
      <c r="AH91" s="18" t="e">
        <f t="shared" ref="AH91:AH154" si="16">AG91-AF91</f>
        <v>#REF!</v>
      </c>
    </row>
    <row r="92" spans="1:34" x14ac:dyDescent="0.25">
      <c r="A92">
        <v>350</v>
      </c>
      <c r="B92">
        <v>25</v>
      </c>
      <c r="G92" s="8"/>
      <c r="I92" s="24"/>
      <c r="P92" s="12">
        <f>IFERROR(IF(P91+1=ConceptDemo!$C$18+10,"",Backend!P91+1),"")</f>
        <v>44510</v>
      </c>
      <c r="Q92" s="10" t="e">
        <f>IF(OR(P92&lt;ConceptDemo!$C$17,Backend!P92&gt;ConceptDemo!$C$18),0,IF(Backend!P92&lt;=Backend!$R$12,Backend!Q91+Backend!$T$12,IF(Backend!P92&lt;=Backend!$R$13,Backend!Q91+Backend!$T$13,IF(Backend!P92&lt;=Backend!$R$14,Backend!Q91+Backend!$T$14,IF(Backend!P92&lt;=Backend!$R$15,Backend!Q91+Backend!$T$15,IF(Backend!P92&lt;=Backend!$X$16,Backend!Q91+Backend!$Z$16))))))</f>
        <v>#REF!</v>
      </c>
      <c r="R92" s="19" t="str">
        <f>IF(1&lt;=ConceptDemo!$L$29,IF(P92=$W$12,ConceptDemo!$L$27,""),"")</f>
        <v/>
      </c>
      <c r="S92" s="19" t="str">
        <f>IF(2&lt;=ConceptDemo!$L$29,IF(P92=$W$13,ConceptDemo!$L$27,""),"")</f>
        <v/>
      </c>
      <c r="T92" s="19" t="str">
        <f>IF(3&lt;=ConceptDemo!$L$29,IF(P92=$W$14,ConceptDemo!$L$27,""),"")</f>
        <v/>
      </c>
      <c r="U92" s="19" t="str">
        <f>IF(4&lt;=ConceptDemo!$L$29,IF(P92=$W$15,ConceptDemo!$L$27,""),"")</f>
        <v/>
      </c>
      <c r="W92" s="18">
        <f>IF($P92&lt;ConceptDemo!$C$17+$E$24-10,$G$27,0)</f>
        <v>0</v>
      </c>
      <c r="X92" s="18">
        <f>IF($P92&lt;ConceptDemo!$C$17+$E$24-10,$H$27,0)</f>
        <v>0</v>
      </c>
      <c r="Y92" s="10">
        <f t="shared" si="11"/>
        <v>0</v>
      </c>
      <c r="Z92" s="10">
        <f t="shared" si="12"/>
        <v>0</v>
      </c>
      <c r="AA92" s="10">
        <f t="shared" si="13"/>
        <v>0</v>
      </c>
      <c r="AB92" s="10">
        <f t="shared" si="14"/>
        <v>0</v>
      </c>
      <c r="AC92" s="18" t="e">
        <f t="shared" si="15"/>
        <v>#REF!</v>
      </c>
      <c r="AD92" s="18" t="e">
        <f>IF(P92&lt;=ConceptDemo!$C$18,AD91+SUM(W92:AB92)-(Q92-Q91)-AC92,0)</f>
        <v>#REF!</v>
      </c>
      <c r="AE92" s="18" t="e">
        <f>IF(ConceptDemo!$C$7=Backend!$A$2,AD92,IF(AE91&lt;&gt;AD91,IF(P92&lt;=ConceptDemo!$C$18,AE91+SUM(W92:AB92)-(Q92-Q91)-AC92,0),IF(P92=ConceptDemo!#REF!,ConceptDemo!#REF!,AD92)))</f>
        <v>#REF!</v>
      </c>
      <c r="AF92" s="18" t="e">
        <f t="shared" ref="AF92:AF155" si="17">IF(AE92=0,0,IF(AE92-(AE92*($AF$22+0.1%))&gt;=AE92-(AE92*$AG$22),AE92-(AE92*$AG$22),AE92-(AE92*($AF$22+0.1%))))</f>
        <v>#REF!</v>
      </c>
      <c r="AG92" s="18" t="e">
        <f t="shared" ref="AG92:AG155" si="18">IF(AE92=0,0,IF(AE92+(AE92*($AF$22+0.1%))&gt;=AE92+(AE92*$AG$22),AE92+(AE92*$AG$22),AE92+(AE92*($AF$22+0.1%))))</f>
        <v>#REF!</v>
      </c>
      <c r="AH92" s="18" t="e">
        <f t="shared" si="16"/>
        <v>#REF!</v>
      </c>
    </row>
    <row r="93" spans="1:34" x14ac:dyDescent="0.25">
      <c r="A93">
        <v>400</v>
      </c>
      <c r="B93">
        <v>0</v>
      </c>
      <c r="P93" s="12">
        <f>IFERROR(IF(P92+1=ConceptDemo!$C$18+10,"",Backend!P92+1),"")</f>
        <v>44511</v>
      </c>
      <c r="Q93" s="10" t="e">
        <f>IF(OR(P93&lt;ConceptDemo!$C$17,Backend!P93&gt;ConceptDemo!$C$18),0,IF(Backend!P93&lt;=Backend!$R$12,Backend!Q92+Backend!$T$12,IF(Backend!P93&lt;=Backend!$R$13,Backend!Q92+Backend!$T$13,IF(Backend!P93&lt;=Backend!$R$14,Backend!Q92+Backend!$T$14,IF(Backend!P93&lt;=Backend!$R$15,Backend!Q92+Backend!$T$15,IF(Backend!P93&lt;=Backend!$X$16,Backend!Q92+Backend!$Z$16))))))</f>
        <v>#REF!</v>
      </c>
      <c r="R93" s="19" t="str">
        <f>IF(1&lt;=ConceptDemo!$L$29,IF(P93=$W$12,ConceptDemo!$L$27,""),"")</f>
        <v/>
      </c>
      <c r="S93" s="19" t="str">
        <f>IF(2&lt;=ConceptDemo!$L$29,IF(P93=$W$13,ConceptDemo!$L$27,""),"")</f>
        <v/>
      </c>
      <c r="T93" s="19" t="str">
        <f>IF(3&lt;=ConceptDemo!$L$29,IF(P93=$W$14,ConceptDemo!$L$27,""),"")</f>
        <v/>
      </c>
      <c r="U93" s="19" t="str">
        <f>IF(4&lt;=ConceptDemo!$L$29,IF(P93=$W$15,ConceptDemo!$L$27,""),"")</f>
        <v/>
      </c>
      <c r="W93" s="18">
        <f>IF($P93&lt;ConceptDemo!$C$17+$E$24-10,$G$27,0)</f>
        <v>0</v>
      </c>
      <c r="X93" s="18">
        <f>IF($P93&lt;ConceptDemo!$C$17+$E$24-10,$H$27,0)</f>
        <v>0</v>
      </c>
      <c r="Y93" s="10">
        <f t="shared" si="11"/>
        <v>0</v>
      </c>
      <c r="Z93" s="10">
        <f t="shared" si="12"/>
        <v>0</v>
      </c>
      <c r="AA93" s="10">
        <f t="shared" si="13"/>
        <v>0</v>
      </c>
      <c r="AB93" s="10">
        <f t="shared" si="14"/>
        <v>0</v>
      </c>
      <c r="AC93" s="18" t="e">
        <f t="shared" si="15"/>
        <v>#REF!</v>
      </c>
      <c r="AD93" s="18" t="e">
        <f>IF(P93&lt;=ConceptDemo!$C$18,AD92+SUM(W93:AB93)-(Q93-Q92)-AC93,0)</f>
        <v>#REF!</v>
      </c>
      <c r="AE93" s="18" t="e">
        <f>IF(ConceptDemo!$C$7=Backend!$A$2,AD93,IF(AE92&lt;&gt;AD92,IF(P93&lt;=ConceptDemo!$C$18,AE92+SUM(W93:AB93)-(Q93-Q92)-AC93,0),IF(P93=ConceptDemo!#REF!,ConceptDemo!#REF!,AD93)))</f>
        <v>#REF!</v>
      </c>
      <c r="AF93" s="18" t="e">
        <f t="shared" si="17"/>
        <v>#REF!</v>
      </c>
      <c r="AG93" s="18" t="e">
        <f t="shared" si="18"/>
        <v>#REF!</v>
      </c>
      <c r="AH93" s="18" t="e">
        <f t="shared" si="16"/>
        <v>#REF!</v>
      </c>
    </row>
    <row r="94" spans="1:34" x14ac:dyDescent="0.25">
      <c r="F94" s="24"/>
      <c r="P94" s="12">
        <f>IFERROR(IF(P93+1=ConceptDemo!$C$18+10,"",Backend!P93+1),"")</f>
        <v>44512</v>
      </c>
      <c r="Q94" s="10" t="e">
        <f>IF(OR(P94&lt;ConceptDemo!$C$17,Backend!P94&gt;ConceptDemo!$C$18),0,IF(Backend!P94&lt;=Backend!$R$12,Backend!Q93+Backend!$T$12,IF(Backend!P94&lt;=Backend!$R$13,Backend!Q93+Backend!$T$13,IF(Backend!P94&lt;=Backend!$R$14,Backend!Q93+Backend!$T$14,IF(Backend!P94&lt;=Backend!$R$15,Backend!Q93+Backend!$T$15,IF(Backend!P94&lt;=Backend!$X$16,Backend!Q93+Backend!$Z$16))))))</f>
        <v>#REF!</v>
      </c>
      <c r="R94" s="19" t="str">
        <f>IF(1&lt;=ConceptDemo!$L$29,IF(P94=$W$12,ConceptDemo!$L$27,""),"")</f>
        <v/>
      </c>
      <c r="S94" s="19" t="str">
        <f>IF(2&lt;=ConceptDemo!$L$29,IF(P94=$W$13,ConceptDemo!$L$27,""),"")</f>
        <v/>
      </c>
      <c r="T94" s="19" t="str">
        <f>IF(3&lt;=ConceptDemo!$L$29,IF(P94=$W$14,ConceptDemo!$L$27,""),"")</f>
        <v/>
      </c>
      <c r="U94" s="19" t="str">
        <f>IF(4&lt;=ConceptDemo!$L$29,IF(P94=$W$15,ConceptDemo!$L$27,""),"")</f>
        <v/>
      </c>
      <c r="W94" s="18">
        <f>IF($P94&lt;ConceptDemo!$C$17+$E$24-10,$G$27,0)</f>
        <v>0</v>
      </c>
      <c r="X94" s="18">
        <f>IF($P94&lt;ConceptDemo!$C$17+$E$24-10,$H$27,0)</f>
        <v>0</v>
      </c>
      <c r="Y94" s="10">
        <f t="shared" si="11"/>
        <v>0</v>
      </c>
      <c r="Z94" s="10">
        <f t="shared" si="12"/>
        <v>0</v>
      </c>
      <c r="AA94" s="10">
        <f t="shared" si="13"/>
        <v>0</v>
      </c>
      <c r="AB94" s="10">
        <f t="shared" si="14"/>
        <v>0</v>
      </c>
      <c r="AC94" s="18" t="e">
        <f t="shared" si="15"/>
        <v>#REF!</v>
      </c>
      <c r="AD94" s="18" t="e">
        <f>IF(P94&lt;=ConceptDemo!$C$18,AD93+SUM(W94:AB94)-(Q94-Q93)-AC94,0)</f>
        <v>#REF!</v>
      </c>
      <c r="AE94" s="18" t="e">
        <f>IF(ConceptDemo!$C$7=Backend!$A$2,AD94,IF(AE93&lt;&gt;AD93,IF(P94&lt;=ConceptDemo!$C$18,AE93+SUM(W94:AB94)-(Q94-Q93)-AC94,0),IF(P94=ConceptDemo!#REF!,ConceptDemo!#REF!,AD94)))</f>
        <v>#REF!</v>
      </c>
      <c r="AF94" s="18" t="e">
        <f t="shared" si="17"/>
        <v>#REF!</v>
      </c>
      <c r="AG94" s="18" t="e">
        <f t="shared" si="18"/>
        <v>#REF!</v>
      </c>
      <c r="AH94" s="18" t="e">
        <f t="shared" si="16"/>
        <v>#REF!</v>
      </c>
    </row>
    <row r="95" spans="1:34" x14ac:dyDescent="0.25">
      <c r="P95" s="12">
        <f>IFERROR(IF(P94+1=ConceptDemo!$C$18+10,"",Backend!P94+1),"")</f>
        <v>44513</v>
      </c>
      <c r="Q95" s="10" t="e">
        <f>IF(OR(P95&lt;ConceptDemo!$C$17,Backend!P95&gt;ConceptDemo!$C$18),0,IF(Backend!P95&lt;=Backend!$R$12,Backend!Q94+Backend!$T$12,IF(Backend!P95&lt;=Backend!$R$13,Backend!Q94+Backend!$T$13,IF(Backend!P95&lt;=Backend!$R$14,Backend!Q94+Backend!$T$14,IF(Backend!P95&lt;=Backend!$R$15,Backend!Q94+Backend!$T$15,IF(Backend!P95&lt;=Backend!$X$16,Backend!Q94+Backend!$Z$16))))))</f>
        <v>#REF!</v>
      </c>
      <c r="R95" s="19" t="str">
        <f>IF(1&lt;=ConceptDemo!$L$29,IF(P95=$W$12,ConceptDemo!$L$27,""),"")</f>
        <v/>
      </c>
      <c r="S95" s="19" t="str">
        <f>IF(2&lt;=ConceptDemo!$L$29,IF(P95=$W$13,ConceptDemo!$L$27,""),"")</f>
        <v/>
      </c>
      <c r="T95" s="19" t="str">
        <f>IF(3&lt;=ConceptDemo!$L$29,IF(P95=$W$14,ConceptDemo!$L$27,""),"")</f>
        <v/>
      </c>
      <c r="U95" s="19" t="str">
        <f>IF(4&lt;=ConceptDemo!$L$29,IF(P95=$W$15,ConceptDemo!$L$27,""),"")</f>
        <v/>
      </c>
      <c r="W95" s="18">
        <f>IF($P95&lt;ConceptDemo!$C$17+$E$24-10,$G$27,0)</f>
        <v>0</v>
      </c>
      <c r="X95" s="18">
        <f>IF($P95&lt;ConceptDemo!$C$17+$E$24-10,$H$27,0)</f>
        <v>0</v>
      </c>
      <c r="Y95" s="10">
        <f t="shared" si="11"/>
        <v>0</v>
      </c>
      <c r="Z95" s="10">
        <f t="shared" si="12"/>
        <v>0</v>
      </c>
      <c r="AA95" s="10">
        <f t="shared" si="13"/>
        <v>0</v>
      </c>
      <c r="AB95" s="10">
        <f t="shared" si="14"/>
        <v>0</v>
      </c>
      <c r="AC95" s="18" t="e">
        <f t="shared" si="15"/>
        <v>#REF!</v>
      </c>
      <c r="AD95" s="18" t="e">
        <f>IF(P95&lt;=ConceptDemo!$C$18,AD94+SUM(W95:AB95)-(Q95-Q94)-AC95,0)</f>
        <v>#REF!</v>
      </c>
      <c r="AE95" s="18" t="e">
        <f>IF(ConceptDemo!$C$7=Backend!$A$2,AD95,IF(AE94&lt;&gt;AD94,IF(P95&lt;=ConceptDemo!$C$18,AE94+SUM(W95:AB95)-(Q95-Q94)-AC95,0),IF(P95=ConceptDemo!#REF!,ConceptDemo!#REF!,AD95)))</f>
        <v>#REF!</v>
      </c>
      <c r="AF95" s="18" t="e">
        <f t="shared" si="17"/>
        <v>#REF!</v>
      </c>
      <c r="AG95" s="18" t="e">
        <f t="shared" si="18"/>
        <v>#REF!</v>
      </c>
      <c r="AH95" s="18" t="e">
        <f t="shared" si="16"/>
        <v>#REF!</v>
      </c>
    </row>
    <row r="96" spans="1:34" x14ac:dyDescent="0.25">
      <c r="A96" t="s">
        <v>87</v>
      </c>
      <c r="B96" s="19" t="e">
        <f>((-0.6667*ConceptDemo!#REF!)+256.25)*B85</f>
        <v>#REF!</v>
      </c>
      <c r="C96" t="s">
        <v>88</v>
      </c>
      <c r="P96" s="12">
        <f>IFERROR(IF(P95+1=ConceptDemo!$C$18+10,"",Backend!P95+1),"")</f>
        <v>44514</v>
      </c>
      <c r="Q96" s="10" t="e">
        <f>IF(OR(P96&lt;ConceptDemo!$C$17,Backend!P96&gt;ConceptDemo!$C$18),0,IF(Backend!P96&lt;=Backend!$R$12,Backend!Q95+Backend!$T$12,IF(Backend!P96&lt;=Backend!$R$13,Backend!Q95+Backend!$T$13,IF(Backend!P96&lt;=Backend!$R$14,Backend!Q95+Backend!$T$14,IF(Backend!P96&lt;=Backend!$R$15,Backend!Q95+Backend!$T$15,IF(Backend!P96&lt;=Backend!$X$16,Backend!Q95+Backend!$Z$16))))))</f>
        <v>#REF!</v>
      </c>
      <c r="R96" s="19" t="str">
        <f>IF(1&lt;=ConceptDemo!$L$29,IF(P96=$W$12,ConceptDemo!$L$27,""),"")</f>
        <v/>
      </c>
      <c r="S96" s="19" t="str">
        <f>IF(2&lt;=ConceptDemo!$L$29,IF(P96=$W$13,ConceptDemo!$L$27,""),"")</f>
        <v/>
      </c>
      <c r="T96" s="19" t="str">
        <f>IF(3&lt;=ConceptDemo!$L$29,IF(P96=$W$14,ConceptDemo!$L$27,""),"")</f>
        <v/>
      </c>
      <c r="U96" s="19" t="str">
        <f>IF(4&lt;=ConceptDemo!$L$29,IF(P96=$W$15,ConceptDemo!$L$27,""),"")</f>
        <v/>
      </c>
      <c r="W96" s="18">
        <f>IF($P96&lt;ConceptDemo!$C$17+$E$24-10,$G$27,0)</f>
        <v>0</v>
      </c>
      <c r="X96" s="18">
        <f>IF($P96&lt;ConceptDemo!$C$17+$E$24-10,$H$27,0)</f>
        <v>0</v>
      </c>
      <c r="Y96" s="10">
        <f t="shared" si="11"/>
        <v>0</v>
      </c>
      <c r="Z96" s="10">
        <f t="shared" si="12"/>
        <v>0</v>
      </c>
      <c r="AA96" s="10">
        <f t="shared" si="13"/>
        <v>0</v>
      </c>
      <c r="AB96" s="10">
        <f t="shared" si="14"/>
        <v>0</v>
      </c>
      <c r="AC96" s="18" t="e">
        <f t="shared" si="15"/>
        <v>#REF!</v>
      </c>
      <c r="AD96" s="18" t="e">
        <f>IF(P96&lt;=ConceptDemo!$C$18,AD95+SUM(W96:AB96)-(Q96-Q95)-AC96,0)</f>
        <v>#REF!</v>
      </c>
      <c r="AE96" s="18" t="e">
        <f>IF(ConceptDemo!$C$7=Backend!$A$2,AD96,IF(AE95&lt;&gt;AD95,IF(P96&lt;=ConceptDemo!$C$18,AE95+SUM(W96:AB96)-(Q96-Q95)-AC96,0),IF(P96=ConceptDemo!#REF!,ConceptDemo!#REF!,AD96)))</f>
        <v>#REF!</v>
      </c>
      <c r="AF96" s="18" t="e">
        <f t="shared" si="17"/>
        <v>#REF!</v>
      </c>
      <c r="AG96" s="18" t="e">
        <f t="shared" si="18"/>
        <v>#REF!</v>
      </c>
      <c r="AH96" s="18" t="e">
        <f t="shared" si="16"/>
        <v>#REF!</v>
      </c>
    </row>
    <row r="97" spans="16:34" x14ac:dyDescent="0.25">
      <c r="P97" s="12">
        <f>IFERROR(IF(P96+1=ConceptDemo!$C$18+10,"",Backend!P96+1),"")</f>
        <v>44515</v>
      </c>
      <c r="Q97" s="10" t="e">
        <f>IF(OR(P97&lt;ConceptDemo!$C$17,Backend!P97&gt;ConceptDemo!$C$18),0,IF(Backend!P97&lt;=Backend!$R$12,Backend!Q96+Backend!$T$12,IF(Backend!P97&lt;=Backend!$R$13,Backend!Q96+Backend!$T$13,IF(Backend!P97&lt;=Backend!$R$14,Backend!Q96+Backend!$T$14,IF(Backend!P97&lt;=Backend!$R$15,Backend!Q96+Backend!$T$15,IF(Backend!P97&lt;=Backend!$X$16,Backend!Q96+Backend!$Z$16))))))</f>
        <v>#REF!</v>
      </c>
      <c r="R97" s="19" t="str">
        <f>IF(1&lt;=ConceptDemo!$L$29,IF(P97=$W$12,ConceptDemo!$L$27,""),"")</f>
        <v/>
      </c>
      <c r="S97" s="19" t="str">
        <f>IF(2&lt;=ConceptDemo!$L$29,IF(P97=$W$13,ConceptDemo!$L$27,""),"")</f>
        <v/>
      </c>
      <c r="T97" s="19" t="str">
        <f>IF(3&lt;=ConceptDemo!$L$29,IF(P97=$W$14,ConceptDemo!$L$27,""),"")</f>
        <v/>
      </c>
      <c r="U97" s="19" t="str">
        <f>IF(4&lt;=ConceptDemo!$L$29,IF(P97=$W$15,ConceptDemo!$L$27,""),"")</f>
        <v/>
      </c>
      <c r="W97" s="18">
        <f>IF($P97&lt;ConceptDemo!$C$17+$E$24-10,$G$27,0)</f>
        <v>0</v>
      </c>
      <c r="X97" s="18">
        <f>IF($P97&lt;ConceptDemo!$C$17+$E$24-10,$H$27,0)</f>
        <v>0</v>
      </c>
      <c r="Y97" s="10">
        <f t="shared" si="11"/>
        <v>0</v>
      </c>
      <c r="Z97" s="10">
        <f t="shared" si="12"/>
        <v>0</v>
      </c>
      <c r="AA97" s="10">
        <f t="shared" si="13"/>
        <v>0</v>
      </c>
      <c r="AB97" s="10">
        <f t="shared" si="14"/>
        <v>0</v>
      </c>
      <c r="AC97" s="18" t="e">
        <f t="shared" si="15"/>
        <v>#REF!</v>
      </c>
      <c r="AD97" s="18" t="e">
        <f>IF(P97&lt;=ConceptDemo!$C$18,AD96+SUM(W97:AB97)-(Q97-Q96)-AC97,0)</f>
        <v>#REF!</v>
      </c>
      <c r="AE97" s="18" t="e">
        <f>IF(ConceptDemo!$C$7=Backend!$A$2,AD97,IF(AE96&lt;&gt;AD96,IF(P97&lt;=ConceptDemo!$C$18,AE96+SUM(W97:AB97)-(Q97-Q96)-AC97,0),IF(P97=ConceptDemo!#REF!,ConceptDemo!#REF!,AD97)))</f>
        <v>#REF!</v>
      </c>
      <c r="AF97" s="18" t="e">
        <f t="shared" si="17"/>
        <v>#REF!</v>
      </c>
      <c r="AG97" s="18" t="e">
        <f t="shared" si="18"/>
        <v>#REF!</v>
      </c>
      <c r="AH97" s="18" t="e">
        <f t="shared" si="16"/>
        <v>#REF!</v>
      </c>
    </row>
    <row r="98" spans="16:34" x14ac:dyDescent="0.25">
      <c r="P98" s="12">
        <f>IFERROR(IF(P97+1=ConceptDemo!$C$18+10,"",Backend!P97+1),"")</f>
        <v>44516</v>
      </c>
      <c r="Q98" s="10">
        <f>IF(OR(P98&lt;ConceptDemo!$C$17,Backend!P98&gt;ConceptDemo!$C$18),0,IF(Backend!P98&lt;=Backend!$R$12,Backend!Q97+Backend!$T$12,IF(Backend!P98&lt;=Backend!$R$13,Backend!Q97+Backend!$T$13,IF(Backend!P98&lt;=Backend!$R$14,Backend!Q97+Backend!$T$14,IF(Backend!P98&lt;=Backend!$R$15,Backend!Q97+Backend!$T$15,IF(Backend!P98&lt;=Backend!$X$16,Backend!Q97+Backend!$Z$16))))))</f>
        <v>0</v>
      </c>
      <c r="R98" s="19" t="str">
        <f>IF(1&lt;=ConceptDemo!$L$29,IF(P98=$W$12,ConceptDemo!$L$27,""),"")</f>
        <v/>
      </c>
      <c r="S98" s="19" t="str">
        <f>IF(2&lt;=ConceptDemo!$L$29,IF(P98=$W$13,ConceptDemo!$L$27,""),"")</f>
        <v/>
      </c>
      <c r="T98" s="19" t="str">
        <f>IF(3&lt;=ConceptDemo!$L$29,IF(P98=$W$14,ConceptDemo!$L$27,""),"")</f>
        <v/>
      </c>
      <c r="U98" s="19" t="str">
        <f>IF(4&lt;=ConceptDemo!$L$29,IF(P98=$W$15,ConceptDemo!$L$27,""),"")</f>
        <v/>
      </c>
      <c r="W98" s="18">
        <f>IF($P98&lt;ConceptDemo!$C$17+$E$24-10,$G$27,0)</f>
        <v>0</v>
      </c>
      <c r="X98" s="18">
        <f>IF($P98&lt;ConceptDemo!$C$17+$E$24-10,$H$27,0)</f>
        <v>0</v>
      </c>
      <c r="Y98" s="10">
        <f t="shared" si="11"/>
        <v>0</v>
      </c>
      <c r="Z98" s="10">
        <f t="shared" si="12"/>
        <v>0</v>
      </c>
      <c r="AA98" s="10">
        <f t="shared" si="13"/>
        <v>0</v>
      </c>
      <c r="AB98" s="10">
        <f t="shared" si="14"/>
        <v>0</v>
      </c>
      <c r="AC98" s="18">
        <f t="shared" si="15"/>
        <v>0</v>
      </c>
      <c r="AD98" s="18">
        <f>IF(P98&lt;=ConceptDemo!$C$18,AD97+SUM(W98:AB98)-(Q98-Q97)-AC98,0)</f>
        <v>0</v>
      </c>
      <c r="AE98" s="18" t="e">
        <f>IF(ConceptDemo!$C$7=Backend!$A$2,AD98,IF(AE97&lt;&gt;AD97,IF(P98&lt;=ConceptDemo!$C$18,AE97+SUM(W98:AB98)-(Q98-Q97)-AC98,0),IF(P98=ConceptDemo!#REF!,ConceptDemo!#REF!,AD98)))</f>
        <v>#REF!</v>
      </c>
      <c r="AF98" s="18" t="e">
        <f t="shared" si="17"/>
        <v>#REF!</v>
      </c>
      <c r="AG98" s="18" t="e">
        <f t="shared" si="18"/>
        <v>#REF!</v>
      </c>
      <c r="AH98" s="18" t="e">
        <f t="shared" si="16"/>
        <v>#REF!</v>
      </c>
    </row>
    <row r="99" spans="16:34" x14ac:dyDescent="0.25">
      <c r="P99" s="12">
        <f>IFERROR(IF(P98+1=ConceptDemo!$C$18+10,"",Backend!P98+1),"")</f>
        <v>44517</v>
      </c>
      <c r="Q99" s="10">
        <f>IF(OR(P99&lt;ConceptDemo!$C$17,Backend!P99&gt;ConceptDemo!$C$18),0,IF(Backend!P99&lt;=Backend!$R$12,Backend!Q98+Backend!$T$12,IF(Backend!P99&lt;=Backend!$R$13,Backend!Q98+Backend!$T$13,IF(Backend!P99&lt;=Backend!$R$14,Backend!Q98+Backend!$T$14,IF(Backend!P99&lt;=Backend!$R$15,Backend!Q98+Backend!$T$15,IF(Backend!P99&lt;=Backend!$X$16,Backend!Q98+Backend!$Z$16))))))</f>
        <v>0</v>
      </c>
      <c r="R99" s="19" t="str">
        <f>IF(1&lt;=ConceptDemo!$L$29,IF(P99=$W$12,ConceptDemo!$L$27,""),"")</f>
        <v/>
      </c>
      <c r="S99" s="19" t="str">
        <f>IF(2&lt;=ConceptDemo!$L$29,IF(P99=$W$13,ConceptDemo!$L$27,""),"")</f>
        <v/>
      </c>
      <c r="T99" s="19" t="str">
        <f>IF(3&lt;=ConceptDemo!$L$29,IF(P99=$W$14,ConceptDemo!$L$27,""),"")</f>
        <v/>
      </c>
      <c r="U99" s="19" t="str">
        <f>IF(4&lt;=ConceptDemo!$L$29,IF(P99=$W$15,ConceptDemo!$L$27,""),"")</f>
        <v/>
      </c>
      <c r="W99" s="18">
        <f>IF($P99&lt;ConceptDemo!$C$17+$E$24-10,$G$27,0)</f>
        <v>0</v>
      </c>
      <c r="X99" s="18">
        <f>IF($P99&lt;ConceptDemo!$C$17+$E$24-10,$H$27,0)</f>
        <v>0</v>
      </c>
      <c r="Y99" s="10">
        <f t="shared" si="11"/>
        <v>0</v>
      </c>
      <c r="Z99" s="10">
        <f t="shared" si="12"/>
        <v>0</v>
      </c>
      <c r="AA99" s="10">
        <f t="shared" si="13"/>
        <v>0</v>
      </c>
      <c r="AB99" s="10">
        <f t="shared" si="14"/>
        <v>0</v>
      </c>
      <c r="AC99" s="18">
        <f t="shared" si="15"/>
        <v>0</v>
      </c>
      <c r="AD99" s="18">
        <f>IF(P99&lt;=ConceptDemo!$C$18,AD98+SUM(W99:AB99)-(Q99-Q98)-AC99,0)</f>
        <v>0</v>
      </c>
      <c r="AE99" s="18" t="e">
        <f>IF(ConceptDemo!$C$7=Backend!$A$2,AD99,IF(AE98&lt;&gt;AD98,IF(P99&lt;=ConceptDemo!$C$18,AE98+SUM(W99:AB99)-(Q99-Q98)-AC99,0),IF(P99=ConceptDemo!#REF!,ConceptDemo!#REF!,AD99)))</f>
        <v>#REF!</v>
      </c>
      <c r="AF99" s="18" t="e">
        <f t="shared" si="17"/>
        <v>#REF!</v>
      </c>
      <c r="AG99" s="18" t="e">
        <f t="shared" si="18"/>
        <v>#REF!</v>
      </c>
      <c r="AH99" s="18" t="e">
        <f t="shared" si="16"/>
        <v>#REF!</v>
      </c>
    </row>
    <row r="100" spans="16:34" x14ac:dyDescent="0.25">
      <c r="P100" s="12">
        <f>IFERROR(IF(P99+1=ConceptDemo!$C$18+10,"",Backend!P99+1),"")</f>
        <v>44518</v>
      </c>
      <c r="Q100" s="10">
        <f>IF(OR(P100&lt;ConceptDemo!$C$17,Backend!P100&gt;ConceptDemo!$C$18),0,IF(Backend!P100&lt;=Backend!$R$12,Backend!Q99+Backend!$T$12,IF(Backend!P100&lt;=Backend!$R$13,Backend!Q99+Backend!$T$13,IF(Backend!P100&lt;=Backend!$R$14,Backend!Q99+Backend!$T$14,IF(Backend!P100&lt;=Backend!$R$15,Backend!Q99+Backend!$T$15,IF(Backend!P100&lt;=Backend!$X$16,Backend!Q99+Backend!$Z$16))))))</f>
        <v>0</v>
      </c>
      <c r="R100" s="19" t="str">
        <f>IF(1&lt;=ConceptDemo!$L$29,IF(P100=$W$12,ConceptDemo!$L$27,""),"")</f>
        <v/>
      </c>
      <c r="S100" s="19" t="str">
        <f>IF(2&lt;=ConceptDemo!$L$29,IF(P100=$W$13,ConceptDemo!$L$27,""),"")</f>
        <v/>
      </c>
      <c r="T100" s="19" t="str">
        <f>IF(3&lt;=ConceptDemo!$L$29,IF(P100=$W$14,ConceptDemo!$L$27,""),"")</f>
        <v/>
      </c>
      <c r="U100" s="19" t="str">
        <f>IF(4&lt;=ConceptDemo!$L$29,IF(P100=$W$15,ConceptDemo!$L$27,""),"")</f>
        <v/>
      </c>
      <c r="W100" s="18">
        <f>IF($P100&lt;ConceptDemo!$C$17+$E$24-10,$G$27,0)</f>
        <v>0</v>
      </c>
      <c r="X100" s="18">
        <f>IF($P100&lt;ConceptDemo!$C$17+$E$24-10,$H$27,0)</f>
        <v>0</v>
      </c>
      <c r="Y100" s="10">
        <f t="shared" si="11"/>
        <v>0</v>
      </c>
      <c r="Z100" s="10">
        <f t="shared" si="12"/>
        <v>0</v>
      </c>
      <c r="AA100" s="10">
        <f t="shared" si="13"/>
        <v>0</v>
      </c>
      <c r="AB100" s="10">
        <f t="shared" si="14"/>
        <v>0</v>
      </c>
      <c r="AC100" s="18">
        <f t="shared" si="15"/>
        <v>0</v>
      </c>
      <c r="AD100" s="18">
        <f>IF(P100&lt;=ConceptDemo!$C$18,AD99+SUM(W100:AB100)-(Q100-Q99)-AC100,0)</f>
        <v>0</v>
      </c>
      <c r="AE100" s="18" t="e">
        <f>IF(ConceptDemo!$C$7=Backend!$A$2,AD100,IF(AE99&lt;&gt;AD99,IF(P100&lt;=ConceptDemo!$C$18,AE99+SUM(W100:AB100)-(Q100-Q99)-AC100,0),IF(P100=ConceptDemo!#REF!,ConceptDemo!#REF!,AD100)))</f>
        <v>#REF!</v>
      </c>
      <c r="AF100" s="18" t="e">
        <f t="shared" si="17"/>
        <v>#REF!</v>
      </c>
      <c r="AG100" s="18" t="e">
        <f t="shared" si="18"/>
        <v>#REF!</v>
      </c>
      <c r="AH100" s="18" t="e">
        <f t="shared" si="16"/>
        <v>#REF!</v>
      </c>
    </row>
    <row r="101" spans="16:34" x14ac:dyDescent="0.25">
      <c r="P101" s="12">
        <f>IFERROR(IF(P100+1=ConceptDemo!$C$18+10,"",Backend!P100+1),"")</f>
        <v>44519</v>
      </c>
      <c r="Q101" s="10">
        <f>IF(OR(P101&lt;ConceptDemo!$C$17,Backend!P101&gt;ConceptDemo!$C$18),0,IF(Backend!P101&lt;=Backend!$R$12,Backend!Q100+Backend!$T$12,IF(Backend!P101&lt;=Backend!$R$13,Backend!Q100+Backend!$T$13,IF(Backend!P101&lt;=Backend!$R$14,Backend!Q100+Backend!$T$14,IF(Backend!P101&lt;=Backend!$R$15,Backend!Q100+Backend!$T$15,IF(Backend!P101&lt;=Backend!$X$16,Backend!Q100+Backend!$Z$16))))))</f>
        <v>0</v>
      </c>
      <c r="R101" s="19" t="str">
        <f>IF(1&lt;=ConceptDemo!$L$29,IF(P101=$W$12,ConceptDemo!$L$27,""),"")</f>
        <v/>
      </c>
      <c r="S101" s="19" t="str">
        <f>IF(2&lt;=ConceptDemo!$L$29,IF(P101=$W$13,ConceptDemo!$L$27,""),"")</f>
        <v/>
      </c>
      <c r="T101" s="19" t="str">
        <f>IF(3&lt;=ConceptDemo!$L$29,IF(P101=$W$14,ConceptDemo!$L$27,""),"")</f>
        <v/>
      </c>
      <c r="U101" s="19" t="str">
        <f>IF(4&lt;=ConceptDemo!$L$29,IF(P101=$W$15,ConceptDemo!$L$27,""),"")</f>
        <v/>
      </c>
      <c r="W101" s="18">
        <f>IF($P101&lt;ConceptDemo!$C$17+$E$24-10,$G$27,0)</f>
        <v>0</v>
      </c>
      <c r="X101" s="18">
        <f>IF($P101&lt;ConceptDemo!$C$17+$E$24-10,$H$27,0)</f>
        <v>0</v>
      </c>
      <c r="Y101" s="10">
        <f t="shared" si="11"/>
        <v>0</v>
      </c>
      <c r="Z101" s="10">
        <f t="shared" si="12"/>
        <v>0</v>
      </c>
      <c r="AA101" s="10">
        <f t="shared" si="13"/>
        <v>0</v>
      </c>
      <c r="AB101" s="10">
        <f t="shared" si="14"/>
        <v>0</v>
      </c>
      <c r="AC101" s="18">
        <f t="shared" si="15"/>
        <v>0</v>
      </c>
      <c r="AD101" s="18">
        <f>IF(P101&lt;=ConceptDemo!$C$18,AD100+SUM(W101:AB101)-(Q101-Q100)-AC101,0)</f>
        <v>0</v>
      </c>
      <c r="AE101" s="18" t="e">
        <f>IF(ConceptDemo!$C$7=Backend!$A$2,AD101,IF(AE100&lt;&gt;AD100,IF(P101&lt;=ConceptDemo!$C$18,AE100+SUM(W101:AB101)-(Q101-Q100)-AC101,0),IF(P101=ConceptDemo!#REF!,ConceptDemo!#REF!,AD101)))</f>
        <v>#REF!</v>
      </c>
      <c r="AF101" s="18" t="e">
        <f t="shared" si="17"/>
        <v>#REF!</v>
      </c>
      <c r="AG101" s="18" t="e">
        <f t="shared" si="18"/>
        <v>#REF!</v>
      </c>
      <c r="AH101" s="18" t="e">
        <f t="shared" si="16"/>
        <v>#REF!</v>
      </c>
    </row>
    <row r="102" spans="16:34" x14ac:dyDescent="0.25">
      <c r="P102" s="12">
        <f>IFERROR(IF(P101+1=ConceptDemo!$C$18+10,"",Backend!P101+1),"")</f>
        <v>44520</v>
      </c>
      <c r="Q102" s="10">
        <f>IF(OR(P102&lt;ConceptDemo!$C$17,Backend!P102&gt;ConceptDemo!$C$18),0,IF(Backend!P102&lt;=Backend!$R$12,Backend!Q101+Backend!$T$12,IF(Backend!P102&lt;=Backend!$R$13,Backend!Q101+Backend!$T$13,IF(Backend!P102&lt;=Backend!$R$14,Backend!Q101+Backend!$T$14,IF(Backend!P102&lt;=Backend!$R$15,Backend!Q101+Backend!$T$15,IF(Backend!P102&lt;=Backend!$X$16,Backend!Q101+Backend!$Z$16))))))</f>
        <v>0</v>
      </c>
      <c r="R102" s="19" t="str">
        <f>IF(1&lt;=ConceptDemo!$L$29,IF(P102=$W$12,ConceptDemo!$L$27,""),"")</f>
        <v/>
      </c>
      <c r="S102" s="19" t="str">
        <f>IF(2&lt;=ConceptDemo!$L$29,IF(P102=$W$13,ConceptDemo!$L$27,""),"")</f>
        <v/>
      </c>
      <c r="T102" s="19" t="str">
        <f>IF(3&lt;=ConceptDemo!$L$29,IF(P102=$W$14,ConceptDemo!$L$27,""),"")</f>
        <v/>
      </c>
      <c r="U102" s="19" t="str">
        <f>IF(4&lt;=ConceptDemo!$L$29,IF(P102=$W$15,ConceptDemo!$L$27,""),"")</f>
        <v/>
      </c>
      <c r="W102" s="18">
        <f>IF($P102&lt;ConceptDemo!$C$17+$E$24-10,$G$27,0)</f>
        <v>0</v>
      </c>
      <c r="X102" s="18">
        <f>IF($P102&lt;ConceptDemo!$C$17+$E$24-10,$H$27,0)</f>
        <v>0</v>
      </c>
      <c r="Y102" s="10">
        <f t="shared" si="11"/>
        <v>0</v>
      </c>
      <c r="Z102" s="10">
        <f t="shared" si="12"/>
        <v>0</v>
      </c>
      <c r="AA102" s="10">
        <f t="shared" si="13"/>
        <v>0</v>
      </c>
      <c r="AB102" s="10">
        <f t="shared" si="14"/>
        <v>0</v>
      </c>
      <c r="AC102" s="18">
        <f t="shared" si="15"/>
        <v>0</v>
      </c>
      <c r="AD102" s="18">
        <f>IF(P102&lt;=ConceptDemo!$C$18,AD101+SUM(W102:AB102)-(Q102-Q101)-AC102,0)</f>
        <v>0</v>
      </c>
      <c r="AE102" s="18" t="e">
        <f>IF(ConceptDemo!$C$7=Backend!$A$2,AD102,IF(AE101&lt;&gt;AD101,IF(P102&lt;=ConceptDemo!$C$18,AE101+SUM(W102:AB102)-(Q102-Q101)-AC102,0),IF(P102=ConceptDemo!#REF!,ConceptDemo!#REF!,AD102)))</f>
        <v>#REF!</v>
      </c>
      <c r="AF102" s="18" t="e">
        <f t="shared" si="17"/>
        <v>#REF!</v>
      </c>
      <c r="AG102" s="18" t="e">
        <f t="shared" si="18"/>
        <v>#REF!</v>
      </c>
      <c r="AH102" s="18" t="e">
        <f t="shared" si="16"/>
        <v>#REF!</v>
      </c>
    </row>
    <row r="103" spans="16:34" x14ac:dyDescent="0.25">
      <c r="P103" s="12">
        <f>IFERROR(IF(P102+1=ConceptDemo!$C$18+10,"",Backend!P102+1),"")</f>
        <v>44521</v>
      </c>
      <c r="Q103" s="10">
        <f>IF(OR(P103&lt;ConceptDemo!$C$17,Backend!P103&gt;ConceptDemo!$C$18),0,IF(Backend!P103&lt;=Backend!$R$12,Backend!Q102+Backend!$T$12,IF(Backend!P103&lt;=Backend!$R$13,Backend!Q102+Backend!$T$13,IF(Backend!P103&lt;=Backend!$R$14,Backend!Q102+Backend!$T$14,IF(Backend!P103&lt;=Backend!$R$15,Backend!Q102+Backend!$T$15,IF(Backend!P103&lt;=Backend!$X$16,Backend!Q102+Backend!$Z$16))))))</f>
        <v>0</v>
      </c>
      <c r="R103" s="19" t="str">
        <f>IF(1&lt;=ConceptDemo!$L$29,IF(P103=$W$12,ConceptDemo!$L$27,""),"")</f>
        <v/>
      </c>
      <c r="S103" s="19" t="str">
        <f>IF(2&lt;=ConceptDemo!$L$29,IF(P103=$W$13,ConceptDemo!$L$27,""),"")</f>
        <v/>
      </c>
      <c r="T103" s="19" t="str">
        <f>IF(3&lt;=ConceptDemo!$L$29,IF(P103=$W$14,ConceptDemo!$L$27,""),"")</f>
        <v/>
      </c>
      <c r="U103" s="19" t="str">
        <f>IF(4&lt;=ConceptDemo!$L$29,IF(P103=$W$15,ConceptDemo!$L$27,""),"")</f>
        <v/>
      </c>
      <c r="W103" s="18">
        <f>IF($P103&lt;ConceptDemo!$C$17+$E$24-10,$G$27,0)</f>
        <v>0</v>
      </c>
      <c r="X103" s="18">
        <f>IF($P103&lt;ConceptDemo!$C$17+$E$24-10,$H$27,0)</f>
        <v>0</v>
      </c>
      <c r="Y103" s="10">
        <f t="shared" si="11"/>
        <v>0</v>
      </c>
      <c r="Z103" s="10">
        <f t="shared" si="12"/>
        <v>0</v>
      </c>
      <c r="AA103" s="10">
        <f t="shared" si="13"/>
        <v>0</v>
      </c>
      <c r="AB103" s="10">
        <f t="shared" si="14"/>
        <v>0</v>
      </c>
      <c r="AC103" s="18">
        <f t="shared" si="15"/>
        <v>0</v>
      </c>
      <c r="AD103" s="18">
        <f>IF(P103&lt;=ConceptDemo!$C$18,AD102+SUM(W103:AB103)-(Q103-Q102)-AC103,0)</f>
        <v>0</v>
      </c>
      <c r="AE103" s="18" t="e">
        <f>IF(ConceptDemo!$C$7=Backend!$A$2,AD103,IF(AE102&lt;&gt;AD102,IF(P103&lt;=ConceptDemo!$C$18,AE102+SUM(W103:AB103)-(Q103-Q102)-AC103,0),IF(P103=ConceptDemo!#REF!,ConceptDemo!#REF!,AD103)))</f>
        <v>#REF!</v>
      </c>
      <c r="AF103" s="18" t="e">
        <f t="shared" si="17"/>
        <v>#REF!</v>
      </c>
      <c r="AG103" s="18" t="e">
        <f t="shared" si="18"/>
        <v>#REF!</v>
      </c>
      <c r="AH103" s="18" t="e">
        <f t="shared" si="16"/>
        <v>#REF!</v>
      </c>
    </row>
    <row r="104" spans="16:34" x14ac:dyDescent="0.25">
      <c r="P104" s="12">
        <f>IFERROR(IF(P103+1=ConceptDemo!$C$18+10,"",Backend!P103+1),"")</f>
        <v>44522</v>
      </c>
      <c r="Q104" s="10">
        <f>IF(OR(P104&lt;ConceptDemo!$C$17,Backend!P104&gt;ConceptDemo!$C$18),0,IF(Backend!P104&lt;=Backend!$R$12,Backend!Q103+Backend!$T$12,IF(Backend!P104&lt;=Backend!$R$13,Backend!Q103+Backend!$T$13,IF(Backend!P104&lt;=Backend!$R$14,Backend!Q103+Backend!$T$14,IF(Backend!P104&lt;=Backend!$R$15,Backend!Q103+Backend!$T$15,IF(Backend!P104&lt;=Backend!$X$16,Backend!Q103+Backend!$Z$16))))))</f>
        <v>0</v>
      </c>
      <c r="R104" s="19" t="str">
        <f>IF(1&lt;=ConceptDemo!$L$29,IF(P104=$W$12,ConceptDemo!$L$27,""),"")</f>
        <v/>
      </c>
      <c r="S104" s="19" t="str">
        <f>IF(2&lt;=ConceptDemo!$L$29,IF(P104=$W$13,ConceptDemo!$L$27,""),"")</f>
        <v/>
      </c>
      <c r="T104" s="19" t="str">
        <f>IF(3&lt;=ConceptDemo!$L$29,IF(P104=$W$14,ConceptDemo!$L$27,""),"")</f>
        <v/>
      </c>
      <c r="U104" s="19" t="str">
        <f>IF(4&lt;=ConceptDemo!$L$29,IF(P104=$W$15,ConceptDemo!$L$27,""),"")</f>
        <v/>
      </c>
      <c r="W104" s="18">
        <f>IF($P104&lt;ConceptDemo!$C$17+$E$24-10,$G$27,0)</f>
        <v>0</v>
      </c>
      <c r="X104" s="18">
        <f>IF($P104&lt;ConceptDemo!$C$17+$E$24-10,$H$27,0)</f>
        <v>0</v>
      </c>
      <c r="Y104" s="10">
        <f t="shared" si="11"/>
        <v>0</v>
      </c>
      <c r="Z104" s="10">
        <f t="shared" si="12"/>
        <v>0</v>
      </c>
      <c r="AA104" s="10">
        <f t="shared" si="13"/>
        <v>0</v>
      </c>
      <c r="AB104" s="10">
        <f t="shared" si="14"/>
        <v>0</v>
      </c>
      <c r="AC104" s="18">
        <f t="shared" si="15"/>
        <v>0</v>
      </c>
      <c r="AD104" s="18">
        <f>IF(P104&lt;=ConceptDemo!$C$18,AD103+SUM(W104:AB104)-(Q104-Q103)-AC104,0)</f>
        <v>0</v>
      </c>
      <c r="AE104" s="18" t="e">
        <f>IF(ConceptDemo!$C$7=Backend!$A$2,AD104,IF(AE103&lt;&gt;AD103,IF(P104&lt;=ConceptDemo!$C$18,AE103+SUM(W104:AB104)-(Q104-Q103)-AC104,0),IF(P104=ConceptDemo!#REF!,ConceptDemo!#REF!,AD104)))</f>
        <v>#REF!</v>
      </c>
      <c r="AF104" s="18" t="e">
        <f t="shared" si="17"/>
        <v>#REF!</v>
      </c>
      <c r="AG104" s="18" t="e">
        <f t="shared" si="18"/>
        <v>#REF!</v>
      </c>
      <c r="AH104" s="18" t="e">
        <f t="shared" si="16"/>
        <v>#REF!</v>
      </c>
    </row>
    <row r="105" spans="16:34" x14ac:dyDescent="0.25">
      <c r="P105" s="12">
        <f>IFERROR(IF(P104+1=ConceptDemo!$C$18+10,"",Backend!P104+1),"")</f>
        <v>44523</v>
      </c>
      <c r="Q105" s="10">
        <f>IF(OR(P105&lt;ConceptDemo!$C$17,Backend!P105&gt;ConceptDemo!$C$18),0,IF(Backend!P105&lt;=Backend!$R$12,Backend!Q104+Backend!$T$12,IF(Backend!P105&lt;=Backend!$R$13,Backend!Q104+Backend!$T$13,IF(Backend!P105&lt;=Backend!$R$14,Backend!Q104+Backend!$T$14,IF(Backend!P105&lt;=Backend!$R$15,Backend!Q104+Backend!$T$15,IF(Backend!P105&lt;=Backend!$X$16,Backend!Q104+Backend!$Z$16))))))</f>
        <v>0</v>
      </c>
      <c r="R105" s="19" t="str">
        <f>IF(1&lt;=ConceptDemo!$L$29,IF(P105=$W$12,ConceptDemo!$L$27,""),"")</f>
        <v/>
      </c>
      <c r="S105" s="19" t="str">
        <f>IF(2&lt;=ConceptDemo!$L$29,IF(P105=$W$13,ConceptDemo!$L$27,""),"")</f>
        <v/>
      </c>
      <c r="T105" s="19" t="str">
        <f>IF(3&lt;=ConceptDemo!$L$29,IF(P105=$W$14,ConceptDemo!$L$27,""),"")</f>
        <v/>
      </c>
      <c r="U105" s="19" t="str">
        <f>IF(4&lt;=ConceptDemo!$L$29,IF(P105=$W$15,ConceptDemo!$L$27,""),"")</f>
        <v/>
      </c>
      <c r="W105" s="18">
        <f>IF($P105&lt;ConceptDemo!$C$17+$E$24-10,$G$27,0)</f>
        <v>0</v>
      </c>
      <c r="X105" s="18">
        <f>IF($P105&lt;ConceptDemo!$C$17+$E$24-10,$H$27,0)</f>
        <v>0</v>
      </c>
      <c r="Y105" s="10">
        <f t="shared" si="11"/>
        <v>0</v>
      </c>
      <c r="Z105" s="10">
        <f t="shared" si="12"/>
        <v>0</v>
      </c>
      <c r="AA105" s="10">
        <f t="shared" si="13"/>
        <v>0</v>
      </c>
      <c r="AB105" s="10">
        <f t="shared" si="14"/>
        <v>0</v>
      </c>
      <c r="AC105" s="18">
        <f t="shared" si="15"/>
        <v>0</v>
      </c>
      <c r="AD105" s="18">
        <f>IF(P105&lt;=ConceptDemo!$C$18,AD104+SUM(W105:AB105)-(Q105-Q104)-AC105,0)</f>
        <v>0</v>
      </c>
      <c r="AE105" s="18" t="e">
        <f>IF(ConceptDemo!$C$7=Backend!$A$2,AD105,IF(AE104&lt;&gt;AD104,IF(P105&lt;=ConceptDemo!$C$18,AE104+SUM(W105:AB105)-(Q105-Q104)-AC105,0),IF(P105=ConceptDemo!#REF!,ConceptDemo!#REF!,AD105)))</f>
        <v>#REF!</v>
      </c>
      <c r="AF105" s="18" t="e">
        <f t="shared" si="17"/>
        <v>#REF!</v>
      </c>
      <c r="AG105" s="18" t="e">
        <f t="shared" si="18"/>
        <v>#REF!</v>
      </c>
      <c r="AH105" s="18" t="e">
        <f t="shared" si="16"/>
        <v>#REF!</v>
      </c>
    </row>
    <row r="106" spans="16:34" x14ac:dyDescent="0.25">
      <c r="P106" s="12">
        <f>IFERROR(IF(P105+1=ConceptDemo!$C$18+10,"",Backend!P105+1),"")</f>
        <v>44524</v>
      </c>
      <c r="Q106" s="10">
        <f>IF(OR(P106&lt;ConceptDemo!$C$17,Backend!P106&gt;ConceptDemo!$C$18),0,IF(Backend!P106&lt;=Backend!$R$12,Backend!Q105+Backend!$T$12,IF(Backend!P106&lt;=Backend!$R$13,Backend!Q105+Backend!$T$13,IF(Backend!P106&lt;=Backend!$R$14,Backend!Q105+Backend!$T$14,IF(Backend!P106&lt;=Backend!$R$15,Backend!Q105+Backend!$T$15,IF(Backend!P106&lt;=Backend!$X$16,Backend!Q105+Backend!$Z$16))))))</f>
        <v>0</v>
      </c>
      <c r="R106" s="19" t="str">
        <f>IF(1&lt;=ConceptDemo!$L$29,IF(P106=$W$12,ConceptDemo!$L$27,""),"")</f>
        <v/>
      </c>
      <c r="S106" s="19" t="str">
        <f>IF(2&lt;=ConceptDemo!$L$29,IF(P106=$W$13,ConceptDemo!$L$27,""),"")</f>
        <v/>
      </c>
      <c r="T106" s="19" t="str">
        <f>IF(3&lt;=ConceptDemo!$L$29,IF(P106=$W$14,ConceptDemo!$L$27,""),"")</f>
        <v/>
      </c>
      <c r="U106" s="19" t="str">
        <f>IF(4&lt;=ConceptDemo!$L$29,IF(P106=$W$15,ConceptDemo!$L$27,""),"")</f>
        <v/>
      </c>
      <c r="W106" s="18">
        <f>IF($P106&lt;ConceptDemo!$C$17+$E$24-10,$G$27,0)</f>
        <v>0</v>
      </c>
      <c r="X106" s="18">
        <f>IF($P106&lt;ConceptDemo!$C$17+$E$24-10,$H$27,0)</f>
        <v>0</v>
      </c>
      <c r="Y106" s="10">
        <f t="shared" si="11"/>
        <v>0</v>
      </c>
      <c r="Z106" s="10">
        <f t="shared" si="12"/>
        <v>0</v>
      </c>
      <c r="AA106" s="10">
        <f t="shared" si="13"/>
        <v>0</v>
      </c>
      <c r="AB106" s="10">
        <f t="shared" si="14"/>
        <v>0</v>
      </c>
      <c r="AC106" s="18">
        <f t="shared" si="15"/>
        <v>0</v>
      </c>
      <c r="AD106" s="18">
        <f>IF(P106&lt;=ConceptDemo!$C$18,AD105+SUM(W106:AB106)-(Q106-Q105)-AC106,0)</f>
        <v>0</v>
      </c>
      <c r="AE106" s="18" t="e">
        <f>IF(ConceptDemo!$C$7=Backend!$A$2,AD106,IF(AE105&lt;&gt;AD105,IF(P106&lt;=ConceptDemo!$C$18,AE105+SUM(W106:AB106)-(Q106-Q105)-AC106,0),IF(P106=ConceptDemo!#REF!,ConceptDemo!#REF!,AD106)))</f>
        <v>#REF!</v>
      </c>
      <c r="AF106" s="18" t="e">
        <f t="shared" si="17"/>
        <v>#REF!</v>
      </c>
      <c r="AG106" s="18" t="e">
        <f t="shared" si="18"/>
        <v>#REF!</v>
      </c>
      <c r="AH106" s="18" t="e">
        <f t="shared" si="16"/>
        <v>#REF!</v>
      </c>
    </row>
    <row r="107" spans="16:34" x14ac:dyDescent="0.25">
      <c r="P107" s="12" t="str">
        <f>IFERROR(IF(P106+1=ConceptDemo!$C$18+10,"",Backend!P106+1),"")</f>
        <v/>
      </c>
      <c r="Q107" s="10">
        <f>IF(OR(P107&lt;ConceptDemo!$C$17,Backend!P107&gt;ConceptDemo!$C$18),0,IF(Backend!P107&lt;=Backend!$R$12,Backend!Q106+Backend!$T$12,IF(Backend!P107&lt;=Backend!$R$13,Backend!Q106+Backend!$T$13,IF(Backend!P107&lt;=Backend!$R$14,Backend!Q106+Backend!$T$14,IF(Backend!P107&lt;=Backend!$R$15,Backend!Q106+Backend!$T$15,IF(Backend!P107&lt;=Backend!$X$16,Backend!Q106+Backend!$Z$16))))))</f>
        <v>0</v>
      </c>
      <c r="R107" s="19" t="str">
        <f>IF(1&lt;=ConceptDemo!$L$29,IF(P107=$W$12,ConceptDemo!$L$27,""),"")</f>
        <v/>
      </c>
      <c r="S107" s="19" t="str">
        <f>IF(2&lt;=ConceptDemo!$L$29,IF(P107=$W$13,ConceptDemo!$L$27,""),"")</f>
        <v/>
      </c>
      <c r="T107" s="19" t="str">
        <f>IF(3&lt;=ConceptDemo!$L$29,IF(P107=$W$14,ConceptDemo!$L$27,""),"")</f>
        <v/>
      </c>
      <c r="U107" s="19" t="str">
        <f>IF(4&lt;=ConceptDemo!$L$29,IF(P107=$W$15,ConceptDemo!$L$27,""),"")</f>
        <v/>
      </c>
      <c r="W107" s="18">
        <f>IF($P107&lt;ConceptDemo!$C$17+$E$24-10,$G$27,0)</f>
        <v>0</v>
      </c>
      <c r="X107" s="18">
        <f>IF($P107&lt;ConceptDemo!$C$17+$E$24-10,$H$27,0)</f>
        <v>0</v>
      </c>
      <c r="Y107" s="10">
        <f t="shared" si="11"/>
        <v>0</v>
      </c>
      <c r="Z107" s="10">
        <f t="shared" si="12"/>
        <v>0</v>
      </c>
      <c r="AA107" s="10">
        <f t="shared" si="13"/>
        <v>0</v>
      </c>
      <c r="AB107" s="10">
        <f t="shared" si="14"/>
        <v>0</v>
      </c>
      <c r="AC107" s="18">
        <f t="shared" si="15"/>
        <v>0</v>
      </c>
      <c r="AD107" s="18">
        <f>IF(P107&lt;=ConceptDemo!$C$18,AD106+SUM(W107:AB107)-(Q107-Q106)-AC107,0)</f>
        <v>0</v>
      </c>
      <c r="AE107" s="18" t="e">
        <f>IF(ConceptDemo!$C$7=Backend!$A$2,AD107,IF(AE106&lt;&gt;AD106,IF(P107&lt;=ConceptDemo!$C$18,AE106+SUM(W107:AB107)-(Q107-Q106)-AC107,0),IF(P107=ConceptDemo!#REF!,ConceptDemo!#REF!,AD107)))</f>
        <v>#REF!</v>
      </c>
      <c r="AF107" s="18" t="e">
        <f t="shared" si="17"/>
        <v>#REF!</v>
      </c>
      <c r="AG107" s="18" t="e">
        <f t="shared" si="18"/>
        <v>#REF!</v>
      </c>
      <c r="AH107" s="18" t="e">
        <f t="shared" si="16"/>
        <v>#REF!</v>
      </c>
    </row>
    <row r="108" spans="16:34" x14ac:dyDescent="0.25">
      <c r="P108" s="12" t="str">
        <f>IFERROR(IF(P107+1=ConceptDemo!$C$18+10,"",Backend!P107+1),"")</f>
        <v/>
      </c>
      <c r="Q108" s="10">
        <f>IF(OR(P108&lt;ConceptDemo!$C$17,Backend!P108&gt;ConceptDemo!$C$18),0,IF(Backend!P108&lt;=Backend!$R$12,Backend!Q107+Backend!$T$12,IF(Backend!P108&lt;=Backend!$R$13,Backend!Q107+Backend!$T$13,IF(Backend!P108&lt;=Backend!$R$14,Backend!Q107+Backend!$T$14,IF(Backend!P108&lt;=Backend!$R$15,Backend!Q107+Backend!$T$15,IF(Backend!P108&lt;=Backend!$X$16,Backend!Q107+Backend!$Z$16))))))</f>
        <v>0</v>
      </c>
      <c r="R108" s="19" t="str">
        <f>IF(1&lt;=ConceptDemo!$L$29,IF(P108=$W$12,ConceptDemo!$L$27,""),"")</f>
        <v/>
      </c>
      <c r="S108" s="19" t="str">
        <f>IF(2&lt;=ConceptDemo!$L$29,IF(P108=$W$13,ConceptDemo!$L$27,""),"")</f>
        <v/>
      </c>
      <c r="T108" s="19" t="str">
        <f>IF(3&lt;=ConceptDemo!$L$29,IF(P108=$W$14,ConceptDemo!$L$27,""),"")</f>
        <v/>
      </c>
      <c r="U108" s="19" t="str">
        <f>IF(4&lt;=ConceptDemo!$L$29,IF(P108=$W$15,ConceptDemo!$L$27,""),"")</f>
        <v/>
      </c>
      <c r="W108" s="18">
        <f>IF($P108&lt;ConceptDemo!$C$17+$E$24-10,$G$27,0)</f>
        <v>0</v>
      </c>
      <c r="X108" s="18">
        <f>IF($P108&lt;ConceptDemo!$C$17+$E$24-10,$H$27,0)</f>
        <v>0</v>
      </c>
      <c r="Y108" s="10">
        <f t="shared" si="11"/>
        <v>0</v>
      </c>
      <c r="Z108" s="10">
        <f t="shared" si="12"/>
        <v>0</v>
      </c>
      <c r="AA108" s="10">
        <f t="shared" si="13"/>
        <v>0</v>
      </c>
      <c r="AB108" s="10">
        <f t="shared" si="14"/>
        <v>0</v>
      </c>
      <c r="AC108" s="18">
        <f t="shared" si="15"/>
        <v>0</v>
      </c>
      <c r="AD108" s="18">
        <f>IF(P108&lt;=ConceptDemo!$C$18,AD107+SUM(W108:AB108)-(Q108-Q107)-AC108,0)</f>
        <v>0</v>
      </c>
      <c r="AE108" s="18" t="e">
        <f>IF(ConceptDemo!$C$7=Backend!$A$2,AD108,IF(AE107&lt;&gt;AD107,IF(P108&lt;=ConceptDemo!$C$18,AE107+SUM(W108:AB108)-(Q108-Q107)-AC108,0),IF(P108=ConceptDemo!#REF!,ConceptDemo!#REF!,AD108)))</f>
        <v>#REF!</v>
      </c>
      <c r="AF108" s="18" t="e">
        <f t="shared" si="17"/>
        <v>#REF!</v>
      </c>
      <c r="AG108" s="18" t="e">
        <f t="shared" si="18"/>
        <v>#REF!</v>
      </c>
      <c r="AH108" s="18" t="e">
        <f t="shared" si="16"/>
        <v>#REF!</v>
      </c>
    </row>
    <row r="109" spans="16:34" x14ac:dyDescent="0.25">
      <c r="P109" s="12" t="str">
        <f>IFERROR(IF(P108+1=ConceptDemo!$C$18+10,"",Backend!P108+1),"")</f>
        <v/>
      </c>
      <c r="Q109" s="10">
        <f>IF(OR(P109&lt;ConceptDemo!$C$17,Backend!P109&gt;ConceptDemo!$C$18),0,IF(Backend!P109&lt;=Backend!$R$12,Backend!Q108+Backend!$T$12,IF(Backend!P109&lt;=Backend!$R$13,Backend!Q108+Backend!$T$13,IF(Backend!P109&lt;=Backend!$R$14,Backend!Q108+Backend!$T$14,IF(Backend!P109&lt;=Backend!$R$15,Backend!Q108+Backend!$T$15,IF(Backend!P109&lt;=Backend!$X$16,Backend!Q108+Backend!$Z$16))))))</f>
        <v>0</v>
      </c>
      <c r="R109" s="19" t="str">
        <f>IF(1&lt;=ConceptDemo!$L$29,IF(P109=$W$12,ConceptDemo!$L$27,""),"")</f>
        <v/>
      </c>
      <c r="S109" s="19" t="str">
        <f>IF(2&lt;=ConceptDemo!$L$29,IF(P109=$W$13,ConceptDemo!$L$27,""),"")</f>
        <v/>
      </c>
      <c r="T109" s="19" t="str">
        <f>IF(3&lt;=ConceptDemo!$L$29,IF(P109=$W$14,ConceptDemo!$L$27,""),"")</f>
        <v/>
      </c>
      <c r="U109" s="19" t="str">
        <f>IF(4&lt;=ConceptDemo!$L$29,IF(P109=$W$15,ConceptDemo!$L$27,""),"")</f>
        <v/>
      </c>
      <c r="W109" s="18">
        <f>IF($P109&lt;ConceptDemo!$C$17+$E$24-10,$G$27,0)</f>
        <v>0</v>
      </c>
      <c r="X109" s="18">
        <f>IF($P109&lt;ConceptDemo!$C$17+$E$24-10,$H$27,0)</f>
        <v>0</v>
      </c>
      <c r="Y109" s="10">
        <f t="shared" si="11"/>
        <v>0</v>
      </c>
      <c r="Z109" s="10">
        <f t="shared" si="12"/>
        <v>0</v>
      </c>
      <c r="AA109" s="10">
        <f t="shared" si="13"/>
        <v>0</v>
      </c>
      <c r="AB109" s="10">
        <f t="shared" si="14"/>
        <v>0</v>
      </c>
      <c r="AC109" s="18">
        <f t="shared" si="15"/>
        <v>0</v>
      </c>
      <c r="AD109" s="18">
        <f>IF(P109&lt;=ConceptDemo!$C$18,AD108+SUM(W109:AB109)-(Q109-Q108)-AC109,0)</f>
        <v>0</v>
      </c>
      <c r="AE109" s="18" t="e">
        <f>IF(ConceptDemo!$C$7=Backend!$A$2,AD109,IF(AE108&lt;&gt;AD108,IF(P109&lt;=ConceptDemo!$C$18,AE108+SUM(W109:AB109)-(Q109-Q108)-AC109,0),IF(P109=ConceptDemo!#REF!,ConceptDemo!#REF!,AD109)))</f>
        <v>#REF!</v>
      </c>
      <c r="AF109" s="18" t="e">
        <f t="shared" si="17"/>
        <v>#REF!</v>
      </c>
      <c r="AG109" s="18" t="e">
        <f t="shared" si="18"/>
        <v>#REF!</v>
      </c>
      <c r="AH109" s="18" t="e">
        <f t="shared" si="16"/>
        <v>#REF!</v>
      </c>
    </row>
    <row r="110" spans="16:34" x14ac:dyDescent="0.25">
      <c r="P110" s="12" t="str">
        <f>IFERROR(IF(P109+1=ConceptDemo!$C$18+10,"",Backend!P109+1),"")</f>
        <v/>
      </c>
      <c r="Q110" s="10">
        <f>IF(OR(P110&lt;ConceptDemo!$C$17,Backend!P110&gt;ConceptDemo!$C$18),0,IF(Backend!P110&lt;=Backend!$R$12,Backend!Q109+Backend!$T$12,IF(Backend!P110&lt;=Backend!$R$13,Backend!Q109+Backend!$T$13,IF(Backend!P110&lt;=Backend!$R$14,Backend!Q109+Backend!$T$14,IF(Backend!P110&lt;=Backend!$R$15,Backend!Q109+Backend!$T$15,IF(Backend!P110&lt;=Backend!$X$16,Backend!Q109+Backend!$Z$16))))))</f>
        <v>0</v>
      </c>
      <c r="R110" s="19" t="str">
        <f>IF(1&lt;=ConceptDemo!$L$29,IF(P110=$W$12,ConceptDemo!$L$27,""),"")</f>
        <v/>
      </c>
      <c r="S110" s="19" t="str">
        <f>IF(2&lt;=ConceptDemo!$L$29,IF(P110=$W$13,ConceptDemo!$L$27,""),"")</f>
        <v/>
      </c>
      <c r="T110" s="19" t="str">
        <f>IF(3&lt;=ConceptDemo!$L$29,IF(P110=$W$14,ConceptDemo!$L$27,""),"")</f>
        <v/>
      </c>
      <c r="U110" s="19" t="str">
        <f>IF(4&lt;=ConceptDemo!$L$29,IF(P110=$W$15,ConceptDemo!$L$27,""),"")</f>
        <v/>
      </c>
      <c r="W110" s="18">
        <f>IF($P110&lt;ConceptDemo!$C$17+$E$24-10,$G$27,0)</f>
        <v>0</v>
      </c>
      <c r="X110" s="18">
        <f>IF($P110&lt;ConceptDemo!$C$17+$E$24-10,$H$27,0)</f>
        <v>0</v>
      </c>
      <c r="Y110" s="10">
        <f t="shared" si="11"/>
        <v>0</v>
      </c>
      <c r="Z110" s="10">
        <f t="shared" si="12"/>
        <v>0</v>
      </c>
      <c r="AA110" s="10">
        <f t="shared" si="13"/>
        <v>0</v>
      </c>
      <c r="AB110" s="10">
        <f t="shared" si="14"/>
        <v>0</v>
      </c>
      <c r="AC110" s="18">
        <f t="shared" si="15"/>
        <v>0</v>
      </c>
      <c r="AD110" s="18">
        <f>IF(P110&lt;=ConceptDemo!$C$18,AD109+SUM(W110:AB110)-(Q110-Q109)-AC110,0)</f>
        <v>0</v>
      </c>
      <c r="AE110" s="18" t="e">
        <f>IF(ConceptDemo!$C$7=Backend!$A$2,AD110,IF(AE109&lt;&gt;AD109,IF(P110&lt;=ConceptDemo!$C$18,AE109+SUM(W110:AB110)-(Q110-Q109)-AC110,0),IF(P110=ConceptDemo!#REF!,ConceptDemo!#REF!,AD110)))</f>
        <v>#REF!</v>
      </c>
      <c r="AF110" s="18" t="e">
        <f t="shared" si="17"/>
        <v>#REF!</v>
      </c>
      <c r="AG110" s="18" t="e">
        <f t="shared" si="18"/>
        <v>#REF!</v>
      </c>
      <c r="AH110" s="18" t="e">
        <f t="shared" si="16"/>
        <v>#REF!</v>
      </c>
    </row>
    <row r="111" spans="16:34" x14ac:dyDescent="0.25">
      <c r="P111" s="12" t="str">
        <f>IFERROR(IF(P110+1=ConceptDemo!$C$18+10,"",Backend!P110+1),"")</f>
        <v/>
      </c>
      <c r="Q111" s="10">
        <f>IF(OR(P111&lt;ConceptDemo!$C$17,Backend!P111&gt;ConceptDemo!$C$18),0,IF(Backend!P111&lt;=Backend!$R$12,Backend!Q110+Backend!$T$12,IF(Backend!P111&lt;=Backend!$R$13,Backend!Q110+Backend!$T$13,IF(Backend!P111&lt;=Backend!$R$14,Backend!Q110+Backend!$T$14,IF(Backend!P111&lt;=Backend!$R$15,Backend!Q110+Backend!$T$15,IF(Backend!P111&lt;=Backend!$X$16,Backend!Q110+Backend!$Z$16))))))</f>
        <v>0</v>
      </c>
      <c r="R111" s="19" t="str">
        <f>IF(1&lt;=ConceptDemo!$L$29,IF(P111=$W$12,ConceptDemo!$L$27,""),"")</f>
        <v/>
      </c>
      <c r="S111" s="19" t="str">
        <f>IF(2&lt;=ConceptDemo!$L$29,IF(P111=$W$13,ConceptDemo!$L$27,""),"")</f>
        <v/>
      </c>
      <c r="T111" s="19" t="str">
        <f>IF(3&lt;=ConceptDemo!$L$29,IF(P111=$W$14,ConceptDemo!$L$27,""),"")</f>
        <v/>
      </c>
      <c r="U111" s="19" t="str">
        <f>IF(4&lt;=ConceptDemo!$L$29,IF(P111=$W$15,ConceptDemo!$L$27,""),"")</f>
        <v/>
      </c>
      <c r="W111" s="18">
        <f>IF($P111&lt;ConceptDemo!$C$17+$E$24-10,$G$27,0)</f>
        <v>0</v>
      </c>
      <c r="X111" s="18">
        <f>IF($P111&lt;ConceptDemo!$C$17+$E$24-10,$H$27,0)</f>
        <v>0</v>
      </c>
      <c r="Y111" s="10">
        <f t="shared" si="11"/>
        <v>0</v>
      </c>
      <c r="Z111" s="10">
        <f t="shared" si="12"/>
        <v>0</v>
      </c>
      <c r="AA111" s="10">
        <f t="shared" si="13"/>
        <v>0</v>
      </c>
      <c r="AB111" s="10">
        <f t="shared" si="14"/>
        <v>0</v>
      </c>
      <c r="AC111" s="18">
        <f t="shared" si="15"/>
        <v>0</v>
      </c>
      <c r="AD111" s="18">
        <f>IF(P111&lt;=ConceptDemo!$C$18,AD110+SUM(W111:AB111)-(Q111-Q110)-AC111,0)</f>
        <v>0</v>
      </c>
      <c r="AE111" s="18" t="e">
        <f>IF(ConceptDemo!$C$7=Backend!$A$2,AD111,IF(AE110&lt;&gt;AD110,IF(P111&lt;=ConceptDemo!$C$18,AE110+SUM(W111:AB111)-(Q111-Q110)-AC111,0),IF(P111=ConceptDemo!#REF!,ConceptDemo!#REF!,AD111)))</f>
        <v>#REF!</v>
      </c>
      <c r="AF111" s="18" t="e">
        <f t="shared" si="17"/>
        <v>#REF!</v>
      </c>
      <c r="AG111" s="18" t="e">
        <f t="shared" si="18"/>
        <v>#REF!</v>
      </c>
      <c r="AH111" s="18" t="e">
        <f t="shared" si="16"/>
        <v>#REF!</v>
      </c>
    </row>
    <row r="112" spans="16:34" x14ac:dyDescent="0.25">
      <c r="P112" s="12" t="str">
        <f>IFERROR(IF(P111+1=ConceptDemo!$C$18+10,"",Backend!P111+1),"")</f>
        <v/>
      </c>
      <c r="Q112" s="10">
        <f>IF(OR(P112&lt;ConceptDemo!$C$17,Backend!P112&gt;ConceptDemo!$C$18),0,IF(Backend!P112&lt;=Backend!$R$12,Backend!Q111+Backend!$T$12,IF(Backend!P112&lt;=Backend!$R$13,Backend!Q111+Backend!$T$13,IF(Backend!P112&lt;=Backend!$R$14,Backend!Q111+Backend!$T$14,IF(Backend!P112&lt;=Backend!$R$15,Backend!Q111+Backend!$T$15,IF(Backend!P112&lt;=Backend!$X$16,Backend!Q111+Backend!$Z$16))))))</f>
        <v>0</v>
      </c>
      <c r="R112" s="19" t="str">
        <f>IF(1&lt;=ConceptDemo!$L$29,IF(P112=$W$12,ConceptDemo!$L$27,""),"")</f>
        <v/>
      </c>
      <c r="S112" s="19" t="str">
        <f>IF(2&lt;=ConceptDemo!$L$29,IF(P112=$W$13,ConceptDemo!$L$27,""),"")</f>
        <v/>
      </c>
      <c r="T112" s="19" t="str">
        <f>IF(3&lt;=ConceptDemo!$L$29,IF(P112=$W$14,ConceptDemo!$L$27,""),"")</f>
        <v/>
      </c>
      <c r="U112" s="19" t="str">
        <f>IF(4&lt;=ConceptDemo!$L$29,IF(P112=$W$15,ConceptDemo!$L$27,""),"")</f>
        <v/>
      </c>
      <c r="W112" s="18">
        <f>IF($P112&lt;ConceptDemo!$C$17+$E$24-10,$G$27,0)</f>
        <v>0</v>
      </c>
      <c r="X112" s="18">
        <f>IF($P112&lt;ConceptDemo!$C$17+$E$24-10,$H$27,0)</f>
        <v>0</v>
      </c>
      <c r="Y112" s="10">
        <f t="shared" si="11"/>
        <v>0</v>
      </c>
      <c r="Z112" s="10">
        <f t="shared" si="12"/>
        <v>0</v>
      </c>
      <c r="AA112" s="10">
        <f t="shared" si="13"/>
        <v>0</v>
      </c>
      <c r="AB112" s="10">
        <f t="shared" si="14"/>
        <v>0</v>
      </c>
      <c r="AC112" s="18">
        <f t="shared" si="15"/>
        <v>0</v>
      </c>
      <c r="AD112" s="18">
        <f>IF(P112&lt;=ConceptDemo!$C$18,AD111+SUM(W112:AB112)-(Q112-Q111)-AC112,0)</f>
        <v>0</v>
      </c>
      <c r="AE112" s="18" t="e">
        <f>IF(ConceptDemo!$C$7=Backend!$A$2,AD112,IF(AE111&lt;&gt;AD111,IF(P112&lt;=ConceptDemo!$C$18,AE111+SUM(W112:AB112)-(Q112-Q111)-AC112,0),IF(P112=ConceptDemo!#REF!,ConceptDemo!#REF!,AD112)))</f>
        <v>#REF!</v>
      </c>
      <c r="AF112" s="18" t="e">
        <f t="shared" si="17"/>
        <v>#REF!</v>
      </c>
      <c r="AG112" s="18" t="e">
        <f t="shared" si="18"/>
        <v>#REF!</v>
      </c>
      <c r="AH112" s="18" t="e">
        <f t="shared" si="16"/>
        <v>#REF!</v>
      </c>
    </row>
    <row r="113" spans="1:34" x14ac:dyDescent="0.25">
      <c r="A113" s="5" t="s">
        <v>21</v>
      </c>
      <c r="P113" s="12" t="str">
        <f>IFERROR(IF(P112+1=ConceptDemo!$C$18+10,"",Backend!P112+1),"")</f>
        <v/>
      </c>
      <c r="Q113" s="10">
        <f>IF(OR(P113&lt;ConceptDemo!$C$17,Backend!P113&gt;ConceptDemo!$C$18),0,IF(Backend!P113&lt;=Backend!$R$12,Backend!Q112+Backend!$T$12,IF(Backend!P113&lt;=Backend!$R$13,Backend!Q112+Backend!$T$13,IF(Backend!P113&lt;=Backend!$R$14,Backend!Q112+Backend!$T$14,IF(Backend!P113&lt;=Backend!$R$15,Backend!Q112+Backend!$T$15,IF(Backend!P113&lt;=Backend!$X$16,Backend!Q112+Backend!$Z$16))))))</f>
        <v>0</v>
      </c>
      <c r="R113" s="19" t="str">
        <f>IF(1&lt;=ConceptDemo!$L$29,IF(P113=$W$12,ConceptDemo!$L$27,""),"")</f>
        <v/>
      </c>
      <c r="S113" s="19" t="str">
        <f>IF(2&lt;=ConceptDemo!$L$29,IF(P113=$W$13,ConceptDemo!$L$27,""),"")</f>
        <v/>
      </c>
      <c r="T113" s="19" t="str">
        <f>IF(3&lt;=ConceptDemo!$L$29,IF(P113=$W$14,ConceptDemo!$L$27,""),"")</f>
        <v/>
      </c>
      <c r="U113" s="19" t="str">
        <f>IF(4&lt;=ConceptDemo!$L$29,IF(P113=$W$15,ConceptDemo!$L$27,""),"")</f>
        <v/>
      </c>
      <c r="W113" s="18">
        <f>IF($P113&lt;ConceptDemo!$C$17+$E$24-10,$G$27,0)</f>
        <v>0</v>
      </c>
      <c r="X113" s="18">
        <f>IF($P113&lt;ConceptDemo!$C$17+$E$24-10,$H$27,0)</f>
        <v>0</v>
      </c>
      <c r="Y113" s="10">
        <f t="shared" si="11"/>
        <v>0</v>
      </c>
      <c r="Z113" s="10">
        <f t="shared" si="12"/>
        <v>0</v>
      </c>
      <c r="AA113" s="10">
        <f t="shared" si="13"/>
        <v>0</v>
      </c>
      <c r="AB113" s="10">
        <f t="shared" si="14"/>
        <v>0</v>
      </c>
      <c r="AC113" s="18">
        <f t="shared" si="15"/>
        <v>0</v>
      </c>
      <c r="AD113" s="18">
        <f>IF(P113&lt;=ConceptDemo!$C$18,AD112+SUM(W113:AB113)-(Q113-Q112)-AC113,0)</f>
        <v>0</v>
      </c>
      <c r="AE113" s="18" t="e">
        <f>IF(ConceptDemo!$C$7=Backend!$A$2,AD113,IF(AE112&lt;&gt;AD112,IF(P113&lt;=ConceptDemo!$C$18,AE112+SUM(W113:AB113)-(Q113-Q112)-AC113,0),IF(P113=ConceptDemo!#REF!,ConceptDemo!#REF!,AD113)))</f>
        <v>#REF!</v>
      </c>
      <c r="AF113" s="18" t="e">
        <f t="shared" si="17"/>
        <v>#REF!</v>
      </c>
      <c r="AG113" s="18" t="e">
        <f t="shared" si="18"/>
        <v>#REF!</v>
      </c>
      <c r="AH113" s="18" t="e">
        <f t="shared" si="16"/>
        <v>#REF!</v>
      </c>
    </row>
    <row r="114" spans="1:34" x14ac:dyDescent="0.25">
      <c r="P114" s="12" t="str">
        <f>IFERROR(IF(P113+1=ConceptDemo!$C$18+10,"",Backend!P113+1),"")</f>
        <v/>
      </c>
      <c r="Q114" s="10">
        <f>IF(OR(P114&lt;ConceptDemo!$C$17,Backend!P114&gt;ConceptDemo!$C$18),0,IF(Backend!P114&lt;=Backend!$R$12,Backend!Q113+Backend!$T$12,IF(Backend!P114&lt;=Backend!$R$13,Backend!Q113+Backend!$T$13,IF(Backend!P114&lt;=Backend!$R$14,Backend!Q113+Backend!$T$14,IF(Backend!P114&lt;=Backend!$R$15,Backend!Q113+Backend!$T$15,IF(Backend!P114&lt;=Backend!$X$16,Backend!Q113+Backend!$Z$16))))))</f>
        <v>0</v>
      </c>
      <c r="R114" s="19" t="str">
        <f>IF(1&lt;=ConceptDemo!$L$29,IF(P114=$W$12,ConceptDemo!$L$27,""),"")</f>
        <v/>
      </c>
      <c r="S114" s="19" t="str">
        <f>IF(2&lt;=ConceptDemo!$L$29,IF(P114=$W$13,ConceptDemo!$L$27,""),"")</f>
        <v/>
      </c>
      <c r="T114" s="19" t="str">
        <f>IF(3&lt;=ConceptDemo!$L$29,IF(P114=$W$14,ConceptDemo!$L$27,""),"")</f>
        <v/>
      </c>
      <c r="U114" s="19" t="str">
        <f>IF(4&lt;=ConceptDemo!$L$29,IF(P114=$W$15,ConceptDemo!$L$27,""),"")</f>
        <v/>
      </c>
      <c r="W114" s="18">
        <f>IF($P114&lt;ConceptDemo!$C$17+$E$24-10,$G$27,0)</f>
        <v>0</v>
      </c>
      <c r="X114" s="18">
        <f>IF($P114&lt;ConceptDemo!$C$17+$E$24-10,$H$27,0)</f>
        <v>0</v>
      </c>
      <c r="Y114" s="10">
        <f t="shared" si="11"/>
        <v>0</v>
      </c>
      <c r="Z114" s="10">
        <f t="shared" si="12"/>
        <v>0</v>
      </c>
      <c r="AA114" s="10">
        <f t="shared" si="13"/>
        <v>0</v>
      </c>
      <c r="AB114" s="10">
        <f t="shared" si="14"/>
        <v>0</v>
      </c>
      <c r="AC114" s="18">
        <f t="shared" si="15"/>
        <v>0</v>
      </c>
      <c r="AD114" s="18">
        <f>IF(P114&lt;=ConceptDemo!$C$18,AD113+SUM(W114:AB114)-(Q114-Q113)-AC114,0)</f>
        <v>0</v>
      </c>
      <c r="AE114" s="18" t="e">
        <f>IF(ConceptDemo!$C$7=Backend!$A$2,AD114,IF(AE113&lt;&gt;AD113,IF(P114&lt;=ConceptDemo!$C$18,AE113+SUM(W114:AB114)-(Q114-Q113)-AC114,0),IF(P114=ConceptDemo!#REF!,ConceptDemo!#REF!,AD114)))</f>
        <v>#REF!</v>
      </c>
      <c r="AF114" s="18" t="e">
        <f t="shared" si="17"/>
        <v>#REF!</v>
      </c>
      <c r="AG114" s="18" t="e">
        <f t="shared" si="18"/>
        <v>#REF!</v>
      </c>
      <c r="AH114" s="18" t="e">
        <f t="shared" si="16"/>
        <v>#REF!</v>
      </c>
    </row>
    <row r="115" spans="1:34" x14ac:dyDescent="0.25">
      <c r="A115" t="s">
        <v>86</v>
      </c>
      <c r="B115" s="14" t="e">
        <f>(ConceptDemo!#REF!/C14)</f>
        <v>#REF!</v>
      </c>
      <c r="C115" t="s">
        <v>5</v>
      </c>
      <c r="P115" s="12" t="str">
        <f>IFERROR(IF(P114+1=ConceptDemo!$C$18+10,"",Backend!P114+1),"")</f>
        <v/>
      </c>
      <c r="Q115" s="10">
        <f>IF(OR(P115&lt;ConceptDemo!$C$17,Backend!P115&gt;ConceptDemo!$C$18),0,IF(Backend!P115&lt;=Backend!$R$12,Backend!Q114+Backend!$T$12,IF(Backend!P115&lt;=Backend!$R$13,Backend!Q114+Backend!$T$13,IF(Backend!P115&lt;=Backend!$R$14,Backend!Q114+Backend!$T$14,IF(Backend!P115&lt;=Backend!$R$15,Backend!Q114+Backend!$T$15,IF(Backend!P115&lt;=Backend!$X$16,Backend!Q114+Backend!$Z$16))))))</f>
        <v>0</v>
      </c>
      <c r="R115" s="19" t="str">
        <f>IF(1&lt;=ConceptDemo!$L$29,IF(P115=$W$12,ConceptDemo!$L$27,""),"")</f>
        <v/>
      </c>
      <c r="S115" s="19" t="str">
        <f>IF(2&lt;=ConceptDemo!$L$29,IF(P115=$W$13,ConceptDemo!$L$27,""),"")</f>
        <v/>
      </c>
      <c r="T115" s="19" t="str">
        <f>IF(3&lt;=ConceptDemo!$L$29,IF(P115=$W$14,ConceptDemo!$L$27,""),"")</f>
        <v/>
      </c>
      <c r="U115" s="19" t="str">
        <f>IF(4&lt;=ConceptDemo!$L$29,IF(P115=$W$15,ConceptDemo!$L$27,""),"")</f>
        <v/>
      </c>
      <c r="W115" s="18">
        <f>IF($P115&lt;ConceptDemo!$C$17+$E$24-10,$G$27,0)</f>
        <v>0</v>
      </c>
      <c r="X115" s="18">
        <f>IF($P115&lt;ConceptDemo!$C$17+$E$24-10,$H$27,0)</f>
        <v>0</v>
      </c>
      <c r="Y115" s="10">
        <f t="shared" si="11"/>
        <v>0</v>
      </c>
      <c r="Z115" s="10">
        <f t="shared" si="12"/>
        <v>0</v>
      </c>
      <c r="AA115" s="10">
        <f t="shared" si="13"/>
        <v>0</v>
      </c>
      <c r="AB115" s="10">
        <f t="shared" si="14"/>
        <v>0</v>
      </c>
      <c r="AC115" s="18">
        <f t="shared" si="15"/>
        <v>0</v>
      </c>
      <c r="AD115" s="18">
        <f>IF(P115&lt;=ConceptDemo!$C$18,AD114+SUM(W115:AB115)-(Q115-Q114)-AC115,0)</f>
        <v>0</v>
      </c>
      <c r="AE115" s="18" t="e">
        <f>IF(ConceptDemo!$C$7=Backend!$A$2,AD115,IF(AE114&lt;&gt;AD114,IF(P115&lt;=ConceptDemo!$C$18,AE114+SUM(W115:AB115)-(Q115-Q114)-AC115,0),IF(P115=ConceptDemo!#REF!,ConceptDemo!#REF!,AD115)))</f>
        <v>#REF!</v>
      </c>
      <c r="AF115" s="18" t="e">
        <f t="shared" si="17"/>
        <v>#REF!</v>
      </c>
      <c r="AG115" s="18" t="e">
        <f t="shared" si="18"/>
        <v>#REF!</v>
      </c>
      <c r="AH115" s="18" t="e">
        <f t="shared" si="16"/>
        <v>#REF!</v>
      </c>
    </row>
    <row r="116" spans="1:34" x14ac:dyDescent="0.25">
      <c r="A116" t="s">
        <v>102</v>
      </c>
      <c r="B116" s="15" t="e">
        <f>B115*C14</f>
        <v>#REF!</v>
      </c>
      <c r="C116" t="s">
        <v>5</v>
      </c>
      <c r="P116" s="12" t="str">
        <f>IFERROR(IF(P115+1=ConceptDemo!$C$18+10,"",Backend!P115+1),"")</f>
        <v/>
      </c>
      <c r="Q116" s="10">
        <f>IF(OR(P116&lt;ConceptDemo!$C$17,Backend!P116&gt;ConceptDemo!$C$18),0,IF(Backend!P116&lt;=Backend!$R$12,Backend!Q115+Backend!$T$12,IF(Backend!P116&lt;=Backend!$R$13,Backend!Q115+Backend!$T$13,IF(Backend!P116&lt;=Backend!$R$14,Backend!Q115+Backend!$T$14,IF(Backend!P116&lt;=Backend!$R$15,Backend!Q115+Backend!$T$15,IF(Backend!P116&lt;=Backend!$X$16,Backend!Q115+Backend!$Z$16))))))</f>
        <v>0</v>
      </c>
      <c r="R116" s="19" t="str">
        <f>IF(1&lt;=ConceptDemo!$L$29,IF(P116=$W$12,ConceptDemo!$L$27,""),"")</f>
        <v/>
      </c>
      <c r="S116" s="19" t="str">
        <f>IF(2&lt;=ConceptDemo!$L$29,IF(P116=$W$13,ConceptDemo!$L$27,""),"")</f>
        <v/>
      </c>
      <c r="T116" s="19" t="str">
        <f>IF(3&lt;=ConceptDemo!$L$29,IF(P116=$W$14,ConceptDemo!$L$27,""),"")</f>
        <v/>
      </c>
      <c r="U116" s="19" t="str">
        <f>IF(4&lt;=ConceptDemo!$L$29,IF(P116=$W$15,ConceptDemo!$L$27,""),"")</f>
        <v/>
      </c>
      <c r="W116" s="18">
        <f>IF($P116&lt;ConceptDemo!$C$17+$E$24-10,$G$27,0)</f>
        <v>0</v>
      </c>
      <c r="X116" s="18">
        <f>IF($P116&lt;ConceptDemo!$C$17+$E$24-10,$H$27,0)</f>
        <v>0</v>
      </c>
      <c r="Y116" s="10">
        <f t="shared" si="11"/>
        <v>0</v>
      </c>
      <c r="Z116" s="10">
        <f t="shared" si="12"/>
        <v>0</v>
      </c>
      <c r="AA116" s="10">
        <f t="shared" si="13"/>
        <v>0</v>
      </c>
      <c r="AB116" s="10">
        <f t="shared" si="14"/>
        <v>0</v>
      </c>
      <c r="AC116" s="18">
        <f t="shared" si="15"/>
        <v>0</v>
      </c>
      <c r="AD116" s="18">
        <f>IF(P116&lt;=ConceptDemo!$C$18,AD115+SUM(W116:AB116)-(Q116-Q115)-AC116,0)</f>
        <v>0</v>
      </c>
      <c r="AE116" s="18" t="e">
        <f>IF(ConceptDemo!$C$7=Backend!$A$2,AD116,IF(AE115&lt;&gt;AD115,IF(P116&lt;=ConceptDemo!$C$18,AE115+SUM(W116:AB116)-(Q116-Q115)-AC116,0),IF(P116=ConceptDemo!#REF!,ConceptDemo!#REF!,AD116)))</f>
        <v>#REF!</v>
      </c>
      <c r="AF116" s="18" t="e">
        <f t="shared" si="17"/>
        <v>#REF!</v>
      </c>
      <c r="AG116" s="18" t="e">
        <f t="shared" si="18"/>
        <v>#REF!</v>
      </c>
      <c r="AH116" s="18" t="e">
        <f t="shared" si="16"/>
        <v>#REF!</v>
      </c>
    </row>
    <row r="117" spans="1:34" x14ac:dyDescent="0.25">
      <c r="A117" t="s">
        <v>101</v>
      </c>
      <c r="B117" s="15" t="e">
        <f>B116*B14</f>
        <v>#REF!</v>
      </c>
      <c r="C117" t="s">
        <v>5</v>
      </c>
      <c r="P117" s="12" t="str">
        <f>IFERROR(IF(P116+1=ConceptDemo!$C$18+10,"",Backend!P116+1),"")</f>
        <v/>
      </c>
      <c r="Q117" s="10">
        <f>IF(OR(P117&lt;ConceptDemo!$C$17,Backend!P117&gt;ConceptDemo!$C$18),0,IF(Backend!P117&lt;=Backend!$R$12,Backend!Q116+Backend!$T$12,IF(Backend!P117&lt;=Backend!$R$13,Backend!Q116+Backend!$T$13,IF(Backend!P117&lt;=Backend!$R$14,Backend!Q116+Backend!$T$14,IF(Backend!P117&lt;=Backend!$R$15,Backend!Q116+Backend!$T$15,IF(Backend!P117&lt;=Backend!$X$16,Backend!Q116+Backend!$Z$16))))))</f>
        <v>0</v>
      </c>
      <c r="R117" s="19" t="str">
        <f>IF(1&lt;=ConceptDemo!$L$29,IF(P117=$W$12,ConceptDemo!$L$27,""),"")</f>
        <v/>
      </c>
      <c r="S117" s="19" t="str">
        <f>IF(2&lt;=ConceptDemo!$L$29,IF(P117=$W$13,ConceptDemo!$L$27,""),"")</f>
        <v/>
      </c>
      <c r="T117" s="19" t="str">
        <f>IF(3&lt;=ConceptDemo!$L$29,IF(P117=$W$14,ConceptDemo!$L$27,""),"")</f>
        <v/>
      </c>
      <c r="U117" s="19" t="str">
        <f>IF(4&lt;=ConceptDemo!$L$29,IF(P117=$W$15,ConceptDemo!$L$27,""),"")</f>
        <v/>
      </c>
      <c r="W117" s="18">
        <f>IF($P117&lt;ConceptDemo!$C$17+$E$24-10,$G$27,0)</f>
        <v>0</v>
      </c>
      <c r="X117" s="18">
        <f>IF($P117&lt;ConceptDemo!$C$17+$E$24-10,$H$27,0)</f>
        <v>0</v>
      </c>
      <c r="Y117" s="10">
        <f t="shared" si="11"/>
        <v>0</v>
      </c>
      <c r="Z117" s="10">
        <f t="shared" si="12"/>
        <v>0</v>
      </c>
      <c r="AA117" s="10">
        <f t="shared" si="13"/>
        <v>0</v>
      </c>
      <c r="AB117" s="10">
        <f t="shared" si="14"/>
        <v>0</v>
      </c>
      <c r="AC117" s="18">
        <f t="shared" si="15"/>
        <v>0</v>
      </c>
      <c r="AD117" s="18">
        <f>IF(P117&lt;=ConceptDemo!$C$18,AD116+SUM(W117:AB117)-(Q117-Q116)-AC117,0)</f>
        <v>0</v>
      </c>
      <c r="AE117" s="18" t="e">
        <f>IF(ConceptDemo!$C$7=Backend!$A$2,AD117,IF(AE116&lt;&gt;AD116,IF(P117&lt;=ConceptDemo!$C$18,AE116+SUM(W117:AB117)-(Q117-Q116)-AC117,0),IF(P117=ConceptDemo!#REF!,ConceptDemo!#REF!,AD117)))</f>
        <v>#REF!</v>
      </c>
      <c r="AF117" s="18" t="e">
        <f t="shared" si="17"/>
        <v>#REF!</v>
      </c>
      <c r="AG117" s="18" t="e">
        <f t="shared" si="18"/>
        <v>#REF!</v>
      </c>
      <c r="AH117" s="18" t="e">
        <f t="shared" si="16"/>
        <v>#REF!</v>
      </c>
    </row>
    <row r="118" spans="1:34" x14ac:dyDescent="0.25">
      <c r="A118" t="s">
        <v>103</v>
      </c>
      <c r="B118" s="15" t="e">
        <f>B117*D14</f>
        <v>#REF!</v>
      </c>
      <c r="C118" t="s">
        <v>5</v>
      </c>
      <c r="P118" s="12" t="str">
        <f>IFERROR(IF(P117+1=ConceptDemo!$C$18+10,"",Backend!P117+1),"")</f>
        <v/>
      </c>
      <c r="Q118" s="10">
        <f>IF(OR(P118&lt;ConceptDemo!$C$17,Backend!P118&gt;ConceptDemo!$C$18),0,IF(Backend!P118&lt;=Backend!$R$12,Backend!Q117+Backend!$T$12,IF(Backend!P118&lt;=Backend!$R$13,Backend!Q117+Backend!$T$13,IF(Backend!P118&lt;=Backend!$R$14,Backend!Q117+Backend!$T$14,IF(Backend!P118&lt;=Backend!$R$15,Backend!Q117+Backend!$T$15,IF(Backend!P118&lt;=Backend!$X$16,Backend!Q117+Backend!$Z$16))))))</f>
        <v>0</v>
      </c>
      <c r="R118" s="19" t="str">
        <f>IF(1&lt;=ConceptDemo!$L$29,IF(P118=$W$12,ConceptDemo!$L$27,""),"")</f>
        <v/>
      </c>
      <c r="S118" s="19" t="str">
        <f>IF(2&lt;=ConceptDemo!$L$29,IF(P118=$W$13,ConceptDemo!$L$27,""),"")</f>
        <v/>
      </c>
      <c r="T118" s="19" t="str">
        <f>IF(3&lt;=ConceptDemo!$L$29,IF(P118=$W$14,ConceptDemo!$L$27,""),"")</f>
        <v/>
      </c>
      <c r="U118" s="19" t="str">
        <f>IF(4&lt;=ConceptDemo!$L$29,IF(P118=$W$15,ConceptDemo!$L$27,""),"")</f>
        <v/>
      </c>
      <c r="W118" s="18">
        <f>IF($P118&lt;ConceptDemo!$C$17+$E$24-10,$G$27,0)</f>
        <v>0</v>
      </c>
      <c r="X118" s="18">
        <f>IF($P118&lt;ConceptDemo!$C$17+$E$24-10,$H$27,0)</f>
        <v>0</v>
      </c>
      <c r="Y118" s="10">
        <f t="shared" si="11"/>
        <v>0</v>
      </c>
      <c r="Z118" s="10">
        <f t="shared" si="12"/>
        <v>0</v>
      </c>
      <c r="AA118" s="10">
        <f t="shared" si="13"/>
        <v>0</v>
      </c>
      <c r="AB118" s="10">
        <f t="shared" si="14"/>
        <v>0</v>
      </c>
      <c r="AC118" s="18">
        <f t="shared" si="15"/>
        <v>0</v>
      </c>
      <c r="AD118" s="18">
        <f>IF(P118&lt;=ConceptDemo!$C$18,AD117+SUM(W118:AB118)-(Q118-Q117)-AC118,0)</f>
        <v>0</v>
      </c>
      <c r="AE118" s="18" t="e">
        <f>IF(ConceptDemo!$C$7=Backend!$A$2,AD118,IF(AE117&lt;&gt;AD117,IF(P118&lt;=ConceptDemo!$C$18,AE117+SUM(W118:AB118)-(Q118-Q117)-AC118,0),IF(P118=ConceptDemo!#REF!,ConceptDemo!#REF!,AD118)))</f>
        <v>#REF!</v>
      </c>
      <c r="AF118" s="18" t="e">
        <f t="shared" si="17"/>
        <v>#REF!</v>
      </c>
      <c r="AG118" s="18" t="e">
        <f t="shared" si="18"/>
        <v>#REF!</v>
      </c>
      <c r="AH118" s="18" t="e">
        <f t="shared" si="16"/>
        <v>#REF!</v>
      </c>
    </row>
    <row r="119" spans="1:34" x14ac:dyDescent="0.25">
      <c r="P119" s="12" t="str">
        <f>IFERROR(IF(P118+1=ConceptDemo!$C$18+10,"",Backend!P118+1),"")</f>
        <v/>
      </c>
      <c r="Q119" s="10">
        <f>IF(OR(P119&lt;ConceptDemo!$C$17,Backend!P119&gt;ConceptDemo!$C$18),0,IF(Backend!P119&lt;=Backend!$R$12,Backend!Q118+Backend!$T$12,IF(Backend!P119&lt;=Backend!$R$13,Backend!Q118+Backend!$T$13,IF(Backend!P119&lt;=Backend!$R$14,Backend!Q118+Backend!$T$14,IF(Backend!P119&lt;=Backend!$R$15,Backend!Q118+Backend!$T$15,IF(Backend!P119&lt;=Backend!$X$16,Backend!Q118+Backend!$Z$16))))))</f>
        <v>0</v>
      </c>
      <c r="R119" s="19" t="str">
        <f>IF(1&lt;=ConceptDemo!$L$29,IF(P119=$W$12,ConceptDemo!$L$27,""),"")</f>
        <v/>
      </c>
      <c r="S119" s="19" t="str">
        <f>IF(2&lt;=ConceptDemo!$L$29,IF(P119=$W$13,ConceptDemo!$L$27,""),"")</f>
        <v/>
      </c>
      <c r="T119" s="19" t="str">
        <f>IF(3&lt;=ConceptDemo!$L$29,IF(P119=$W$14,ConceptDemo!$L$27,""),"")</f>
        <v/>
      </c>
      <c r="U119" s="19" t="str">
        <f>IF(4&lt;=ConceptDemo!$L$29,IF(P119=$W$15,ConceptDemo!$L$27,""),"")</f>
        <v/>
      </c>
      <c r="W119" s="18">
        <f>IF($P119&lt;ConceptDemo!$C$17+$E$24-10,$G$27,0)</f>
        <v>0</v>
      </c>
      <c r="X119" s="18">
        <f>IF($P119&lt;ConceptDemo!$C$17+$E$24-10,$H$27,0)</f>
        <v>0</v>
      </c>
      <c r="Y119" s="10">
        <f t="shared" si="11"/>
        <v>0</v>
      </c>
      <c r="Z119" s="10">
        <f t="shared" si="12"/>
        <v>0</v>
      </c>
      <c r="AA119" s="10">
        <f t="shared" si="13"/>
        <v>0</v>
      </c>
      <c r="AB119" s="10">
        <f t="shared" si="14"/>
        <v>0</v>
      </c>
      <c r="AC119" s="18">
        <f t="shared" si="15"/>
        <v>0</v>
      </c>
      <c r="AD119" s="18">
        <f>IF(P119&lt;=ConceptDemo!$C$18,AD118+SUM(W119:AB119)-(Q119-Q118)-AC119,0)</f>
        <v>0</v>
      </c>
      <c r="AE119" s="18" t="e">
        <f>IF(ConceptDemo!$C$7=Backend!$A$2,AD119,IF(AE118&lt;&gt;AD118,IF(P119&lt;=ConceptDemo!$C$18,AE118+SUM(W119:AB119)-(Q119-Q118)-AC119,0),IF(P119=ConceptDemo!#REF!,ConceptDemo!#REF!,AD119)))</f>
        <v>#REF!</v>
      </c>
      <c r="AF119" s="18" t="e">
        <f t="shared" si="17"/>
        <v>#REF!</v>
      </c>
      <c r="AG119" s="18" t="e">
        <f t="shared" si="18"/>
        <v>#REF!</v>
      </c>
      <c r="AH119" s="18" t="e">
        <f t="shared" si="16"/>
        <v>#REF!</v>
      </c>
    </row>
    <row r="120" spans="1:34" x14ac:dyDescent="0.25">
      <c r="A120" t="s">
        <v>59</v>
      </c>
      <c r="P120" s="12" t="str">
        <f>IFERROR(IF(P119+1=ConceptDemo!$C$18+10,"",Backend!P119+1),"")</f>
        <v/>
      </c>
      <c r="Q120" s="10">
        <f>IF(OR(P120&lt;ConceptDemo!$C$17,Backend!P120&gt;ConceptDemo!$C$18),0,IF(Backend!P120&lt;=Backend!$R$12,Backend!Q119+Backend!$T$12,IF(Backend!P120&lt;=Backend!$R$13,Backend!Q119+Backend!$T$13,IF(Backend!P120&lt;=Backend!$R$14,Backend!Q119+Backend!$T$14,IF(Backend!P120&lt;=Backend!$R$15,Backend!Q119+Backend!$T$15,IF(Backend!P120&lt;=Backend!$X$16,Backend!Q119+Backend!$Z$16))))))</f>
        <v>0</v>
      </c>
      <c r="R120" s="19" t="str">
        <f>IF(1&lt;=ConceptDemo!$L$29,IF(P120=$W$12,ConceptDemo!$L$27,""),"")</f>
        <v/>
      </c>
      <c r="S120" s="19" t="str">
        <f>IF(2&lt;=ConceptDemo!$L$29,IF(P120=$W$13,ConceptDemo!$L$27,""),"")</f>
        <v/>
      </c>
      <c r="T120" s="19" t="str">
        <f>IF(3&lt;=ConceptDemo!$L$29,IF(P120=$W$14,ConceptDemo!$L$27,""),"")</f>
        <v/>
      </c>
      <c r="U120" s="19" t="str">
        <f>IF(4&lt;=ConceptDemo!$L$29,IF(P120=$W$15,ConceptDemo!$L$27,""),"")</f>
        <v/>
      </c>
      <c r="W120" s="18">
        <f>IF($P120&lt;ConceptDemo!$C$17+$E$24-10,$G$27,0)</f>
        <v>0</v>
      </c>
      <c r="X120" s="18">
        <f>IF($P120&lt;ConceptDemo!$C$17+$E$24-10,$H$27,0)</f>
        <v>0</v>
      </c>
      <c r="Y120" s="10">
        <f t="shared" si="11"/>
        <v>0</v>
      </c>
      <c r="Z120" s="10">
        <f t="shared" si="12"/>
        <v>0</v>
      </c>
      <c r="AA120" s="10">
        <f t="shared" si="13"/>
        <v>0</v>
      </c>
      <c r="AB120" s="10">
        <f t="shared" si="14"/>
        <v>0</v>
      </c>
      <c r="AC120" s="18">
        <f t="shared" si="15"/>
        <v>0</v>
      </c>
      <c r="AD120" s="18">
        <f>IF(P120&lt;=ConceptDemo!$C$18,AD119+SUM(W120:AB120)-(Q120-Q119)-AC120,0)</f>
        <v>0</v>
      </c>
      <c r="AE120" s="18" t="e">
        <f>IF(ConceptDemo!$C$7=Backend!$A$2,AD120,IF(AE119&lt;&gt;AD119,IF(P120&lt;=ConceptDemo!$C$18,AE119+SUM(W120:AB120)-(Q120-Q119)-AC120,0),IF(P120=ConceptDemo!#REF!,ConceptDemo!#REF!,AD120)))</f>
        <v>#REF!</v>
      </c>
      <c r="AF120" s="18" t="e">
        <f t="shared" si="17"/>
        <v>#REF!</v>
      </c>
      <c r="AG120" s="18" t="e">
        <f t="shared" si="18"/>
        <v>#REF!</v>
      </c>
      <c r="AH120" s="18" t="e">
        <f t="shared" si="16"/>
        <v>#REF!</v>
      </c>
    </row>
    <row r="121" spans="1:34" x14ac:dyDescent="0.25">
      <c r="A121" t="s">
        <v>133</v>
      </c>
      <c r="B121">
        <v>10</v>
      </c>
      <c r="C121" t="s">
        <v>134</v>
      </c>
      <c r="E121" t="s">
        <v>21</v>
      </c>
      <c r="P121" s="12" t="str">
        <f>IFERROR(IF(P120+1=ConceptDemo!$C$18+10,"",Backend!P120+1),"")</f>
        <v/>
      </c>
      <c r="Q121" s="10">
        <f>IF(OR(P121&lt;ConceptDemo!$C$17,Backend!P121&gt;ConceptDemo!$C$18),0,IF(Backend!P121&lt;=Backend!$R$12,Backend!Q120+Backend!$T$12,IF(Backend!P121&lt;=Backend!$R$13,Backend!Q120+Backend!$T$13,IF(Backend!P121&lt;=Backend!$R$14,Backend!Q120+Backend!$T$14,IF(Backend!P121&lt;=Backend!$R$15,Backend!Q120+Backend!$T$15,IF(Backend!P121&lt;=Backend!$X$16,Backend!Q120+Backend!$Z$16))))))</f>
        <v>0</v>
      </c>
      <c r="R121" s="19" t="str">
        <f>IF(1&lt;=ConceptDemo!$L$29,IF(P121=$W$12,ConceptDemo!$L$27,""),"")</f>
        <v/>
      </c>
      <c r="S121" s="19" t="str">
        <f>IF(2&lt;=ConceptDemo!$L$29,IF(P121=$W$13,ConceptDemo!$L$27,""),"")</f>
        <v/>
      </c>
      <c r="T121" s="19" t="str">
        <f>IF(3&lt;=ConceptDemo!$L$29,IF(P121=$W$14,ConceptDemo!$L$27,""),"")</f>
        <v/>
      </c>
      <c r="U121" s="19" t="str">
        <f>IF(4&lt;=ConceptDemo!$L$29,IF(P121=$W$15,ConceptDemo!$L$27,""),"")</f>
        <v/>
      </c>
      <c r="W121" s="18">
        <f>IF($P121&lt;ConceptDemo!$C$17+$E$24-10,$G$27,0)</f>
        <v>0</v>
      </c>
      <c r="X121" s="18">
        <f>IF($P121&lt;ConceptDemo!$C$17+$E$24-10,$H$27,0)</f>
        <v>0</v>
      </c>
      <c r="Y121" s="10">
        <f t="shared" si="11"/>
        <v>0</v>
      </c>
      <c r="Z121" s="10">
        <f t="shared" si="12"/>
        <v>0</v>
      </c>
      <c r="AA121" s="10">
        <f t="shared" si="13"/>
        <v>0</v>
      </c>
      <c r="AB121" s="10">
        <f t="shared" si="14"/>
        <v>0</v>
      </c>
      <c r="AC121" s="18">
        <f t="shared" si="15"/>
        <v>0</v>
      </c>
      <c r="AD121" s="18">
        <f>IF(P121&lt;=ConceptDemo!$C$18,AD120+SUM(W121:AB121)-(Q121-Q120)-AC121,0)</f>
        <v>0</v>
      </c>
      <c r="AE121" s="18" t="e">
        <f>IF(ConceptDemo!$C$7=Backend!$A$2,AD121,IF(AE120&lt;&gt;AD120,IF(P121&lt;=ConceptDemo!$C$18,AE120+SUM(W121:AB121)-(Q121-Q120)-AC121,0),IF(P121=ConceptDemo!#REF!,ConceptDemo!#REF!,AD121)))</f>
        <v>#REF!</v>
      </c>
      <c r="AF121" s="18" t="e">
        <f t="shared" si="17"/>
        <v>#REF!</v>
      </c>
      <c r="AG121" s="18" t="e">
        <f t="shared" si="18"/>
        <v>#REF!</v>
      </c>
      <c r="AH121" s="18" t="e">
        <f t="shared" si="16"/>
        <v>#REF!</v>
      </c>
    </row>
    <row r="122" spans="1:34" x14ac:dyDescent="0.25">
      <c r="A122" t="s">
        <v>21</v>
      </c>
      <c r="B122">
        <v>70</v>
      </c>
      <c r="C122" t="s">
        <v>135</v>
      </c>
      <c r="E122" t="s">
        <v>90</v>
      </c>
      <c r="P122" s="12" t="str">
        <f>IFERROR(IF(P121+1=ConceptDemo!$C$18+10,"",Backend!P121+1),"")</f>
        <v/>
      </c>
      <c r="Q122" s="10">
        <f>IF(OR(P122&lt;ConceptDemo!$C$17,Backend!P122&gt;ConceptDemo!$C$18),0,IF(Backend!P122&lt;=Backend!$R$12,Backend!Q121+Backend!$T$12,IF(Backend!P122&lt;=Backend!$R$13,Backend!Q121+Backend!$T$13,IF(Backend!P122&lt;=Backend!$R$14,Backend!Q121+Backend!$T$14,IF(Backend!P122&lt;=Backend!$R$15,Backend!Q121+Backend!$T$15,IF(Backend!P122&lt;=Backend!$X$16,Backend!Q121+Backend!$Z$16))))))</f>
        <v>0</v>
      </c>
      <c r="R122" s="19" t="str">
        <f>IF(1&lt;=ConceptDemo!$L$29,IF(P122=$W$12,ConceptDemo!$L$27,""),"")</f>
        <v/>
      </c>
      <c r="S122" s="19" t="str">
        <f>IF(2&lt;=ConceptDemo!$L$29,IF(P122=$W$13,ConceptDemo!$L$27,""),"")</f>
        <v/>
      </c>
      <c r="T122" s="19" t="str">
        <f>IF(3&lt;=ConceptDemo!$L$29,IF(P122=$W$14,ConceptDemo!$L$27,""),"")</f>
        <v/>
      </c>
      <c r="U122" s="19" t="str">
        <f>IF(4&lt;=ConceptDemo!$L$29,IF(P122=$W$15,ConceptDemo!$L$27,""),"")</f>
        <v/>
      </c>
      <c r="W122" s="18">
        <f>IF($P122&lt;ConceptDemo!$C$17+$E$24-10,$G$27,0)</f>
        <v>0</v>
      </c>
      <c r="X122" s="18">
        <f>IF($P122&lt;ConceptDemo!$C$17+$E$24-10,$H$27,0)</f>
        <v>0</v>
      </c>
      <c r="Y122" s="10">
        <f t="shared" si="11"/>
        <v>0</v>
      </c>
      <c r="Z122" s="10">
        <f t="shared" si="12"/>
        <v>0</v>
      </c>
      <c r="AA122" s="10">
        <f t="shared" si="13"/>
        <v>0</v>
      </c>
      <c r="AB122" s="10">
        <f t="shared" si="14"/>
        <v>0</v>
      </c>
      <c r="AC122" s="18">
        <f t="shared" si="15"/>
        <v>0</v>
      </c>
      <c r="AD122" s="18">
        <f>IF(P122&lt;=ConceptDemo!$C$18,AD121+SUM(W122:AB122)-(Q122-Q121)-AC122,0)</f>
        <v>0</v>
      </c>
      <c r="AE122" s="18" t="e">
        <f>IF(ConceptDemo!$C$7=Backend!$A$2,AD122,IF(AE121&lt;&gt;AD121,IF(P122&lt;=ConceptDemo!$C$18,AE121+SUM(W122:AB122)-(Q122-Q121)-AC122,0),IF(P122=ConceptDemo!#REF!,ConceptDemo!#REF!,AD122)))</f>
        <v>#REF!</v>
      </c>
      <c r="AF122" s="18" t="e">
        <f t="shared" si="17"/>
        <v>#REF!</v>
      </c>
      <c r="AG122" s="18" t="e">
        <f t="shared" si="18"/>
        <v>#REF!</v>
      </c>
      <c r="AH122" s="18" t="e">
        <f t="shared" si="16"/>
        <v>#REF!</v>
      </c>
    </row>
    <row r="123" spans="1:34" x14ac:dyDescent="0.25">
      <c r="A123" t="s">
        <v>77</v>
      </c>
      <c r="B123" s="18" t="e">
        <f>B115/B122</f>
        <v>#REF!</v>
      </c>
      <c r="C123" t="s">
        <v>78</v>
      </c>
      <c r="F123" s="23" t="s">
        <v>91</v>
      </c>
      <c r="P123" s="12" t="str">
        <f>IFERROR(IF(P122+1=ConceptDemo!$C$18+10,"",Backend!P122+1),"")</f>
        <v/>
      </c>
      <c r="Q123" s="10">
        <f>IF(OR(P123&lt;ConceptDemo!$C$17,Backend!P123&gt;ConceptDemo!$C$18),0,IF(Backend!P123&lt;=Backend!$R$12,Backend!Q122+Backend!$T$12,IF(Backend!P123&lt;=Backend!$R$13,Backend!Q122+Backend!$T$13,IF(Backend!P123&lt;=Backend!$R$14,Backend!Q122+Backend!$T$14,IF(Backend!P123&lt;=Backend!$R$15,Backend!Q122+Backend!$T$15,IF(Backend!P123&lt;=Backend!$X$16,Backend!Q122+Backend!$Z$16))))))</f>
        <v>0</v>
      </c>
      <c r="R123" s="19" t="str">
        <f>IF(1&lt;=ConceptDemo!$L$29,IF(P123=$W$12,ConceptDemo!$L$27,""),"")</f>
        <v/>
      </c>
      <c r="S123" s="19" t="str">
        <f>IF(2&lt;=ConceptDemo!$L$29,IF(P123=$W$13,ConceptDemo!$L$27,""),"")</f>
        <v/>
      </c>
      <c r="T123" s="19" t="str">
        <f>IF(3&lt;=ConceptDemo!$L$29,IF(P123=$W$14,ConceptDemo!$L$27,""),"")</f>
        <v/>
      </c>
      <c r="U123" s="19" t="str">
        <f>IF(4&lt;=ConceptDemo!$L$29,IF(P123=$W$15,ConceptDemo!$L$27,""),"")</f>
        <v/>
      </c>
      <c r="W123" s="18">
        <f>IF($P123&lt;ConceptDemo!$C$17+$E$24-10,$G$27,0)</f>
        <v>0</v>
      </c>
      <c r="X123" s="18">
        <f>IF($P123&lt;ConceptDemo!$C$17+$E$24-10,$H$27,0)</f>
        <v>0</v>
      </c>
      <c r="Y123" s="10">
        <f t="shared" si="11"/>
        <v>0</v>
      </c>
      <c r="Z123" s="10">
        <f t="shared" si="12"/>
        <v>0</v>
      </c>
      <c r="AA123" s="10">
        <f t="shared" si="13"/>
        <v>0</v>
      </c>
      <c r="AB123" s="10">
        <f t="shared" si="14"/>
        <v>0</v>
      </c>
      <c r="AC123" s="18">
        <f t="shared" si="15"/>
        <v>0</v>
      </c>
      <c r="AD123" s="18">
        <f>IF(P123&lt;=ConceptDemo!$C$18,AD122+SUM(W123:AB123)-(Q123-Q122)-AC123,0)</f>
        <v>0</v>
      </c>
      <c r="AE123" s="18" t="e">
        <f>IF(ConceptDemo!$C$7=Backend!$A$2,AD123,IF(AE122&lt;&gt;AD122,IF(P123&lt;=ConceptDemo!$C$18,AE122+SUM(W123:AB123)-(Q123-Q122)-AC123,0),IF(P123=ConceptDemo!#REF!,ConceptDemo!#REF!,AD123)))</f>
        <v>#REF!</v>
      </c>
      <c r="AF123" s="18" t="e">
        <f t="shared" si="17"/>
        <v>#REF!</v>
      </c>
      <c r="AG123" s="18" t="e">
        <f t="shared" si="18"/>
        <v>#REF!</v>
      </c>
      <c r="AH123" s="18" t="e">
        <f t="shared" si="16"/>
        <v>#REF!</v>
      </c>
    </row>
    <row r="124" spans="1:34" x14ac:dyDescent="0.25">
      <c r="A124">
        <v>20</v>
      </c>
      <c r="B124">
        <v>140</v>
      </c>
      <c r="E124" t="s">
        <v>92</v>
      </c>
      <c r="F124">
        <v>2.4</v>
      </c>
      <c r="P124" s="12" t="str">
        <f>IFERROR(IF(P123+1=ConceptDemo!$C$18+10,"",Backend!P123+1),"")</f>
        <v/>
      </c>
      <c r="Q124" s="10">
        <f>IF(OR(P124&lt;ConceptDemo!$C$17,Backend!P124&gt;ConceptDemo!$C$18),0,IF(Backend!P124&lt;=Backend!$R$12,Backend!Q123+Backend!$T$12,IF(Backend!P124&lt;=Backend!$R$13,Backend!Q123+Backend!$T$13,IF(Backend!P124&lt;=Backend!$R$14,Backend!Q123+Backend!$T$14,IF(Backend!P124&lt;=Backend!$R$15,Backend!Q123+Backend!$T$15,IF(Backend!P124&lt;=Backend!$X$16,Backend!Q123+Backend!$Z$16))))))</f>
        <v>0</v>
      </c>
      <c r="R124" s="19" t="str">
        <f>IF(1&lt;=ConceptDemo!$L$29,IF(P124=$W$12,ConceptDemo!$L$27,""),"")</f>
        <v/>
      </c>
      <c r="S124" s="19" t="str">
        <f>IF(2&lt;=ConceptDemo!$L$29,IF(P124=$W$13,ConceptDemo!$L$27,""),"")</f>
        <v/>
      </c>
      <c r="T124" s="19" t="str">
        <f>IF(3&lt;=ConceptDemo!$L$29,IF(P124=$W$14,ConceptDemo!$L$27,""),"")</f>
        <v/>
      </c>
      <c r="U124" s="19" t="str">
        <f>IF(4&lt;=ConceptDemo!$L$29,IF(P124=$W$15,ConceptDemo!$L$27,""),"")</f>
        <v/>
      </c>
      <c r="W124" s="18">
        <f>IF($P124&lt;ConceptDemo!$C$17+$E$24-10,$G$27,0)</f>
        <v>0</v>
      </c>
      <c r="X124" s="18">
        <f>IF($P124&lt;ConceptDemo!$C$17+$E$24-10,$H$27,0)</f>
        <v>0</v>
      </c>
      <c r="Y124" s="10">
        <f t="shared" si="11"/>
        <v>0</v>
      </c>
      <c r="Z124" s="10">
        <f t="shared" si="12"/>
        <v>0</v>
      </c>
      <c r="AA124" s="10">
        <f t="shared" si="13"/>
        <v>0</v>
      </c>
      <c r="AB124" s="10">
        <f t="shared" si="14"/>
        <v>0</v>
      </c>
      <c r="AC124" s="18">
        <f t="shared" si="15"/>
        <v>0</v>
      </c>
      <c r="AD124" s="18">
        <f>IF(P124&lt;=ConceptDemo!$C$18,AD123+SUM(W124:AB124)-(Q124-Q123)-AC124,0)</f>
        <v>0</v>
      </c>
      <c r="AE124" s="18" t="e">
        <f>IF(ConceptDemo!$C$7=Backend!$A$2,AD124,IF(AE123&lt;&gt;AD123,IF(P124&lt;=ConceptDemo!$C$18,AE123+SUM(W124:AB124)-(Q124-Q123)-AC124,0),IF(P124=ConceptDemo!#REF!,ConceptDemo!#REF!,AD124)))</f>
        <v>#REF!</v>
      </c>
      <c r="AF124" s="18" t="e">
        <f t="shared" si="17"/>
        <v>#REF!</v>
      </c>
      <c r="AG124" s="18" t="e">
        <f t="shared" si="18"/>
        <v>#REF!</v>
      </c>
      <c r="AH124" s="18" t="e">
        <f t="shared" si="16"/>
        <v>#REF!</v>
      </c>
    </row>
    <row r="125" spans="1:34" x14ac:dyDescent="0.25">
      <c r="A125">
        <v>40</v>
      </c>
      <c r="B125">
        <v>120</v>
      </c>
      <c r="P125" s="12" t="str">
        <f>IFERROR(IF(P124+1=ConceptDemo!$C$18+10,"",Backend!P124+1),"")</f>
        <v/>
      </c>
      <c r="Q125" s="10">
        <f>IF(OR(P125&lt;ConceptDemo!$C$17,Backend!P125&gt;ConceptDemo!$C$18),0,IF(Backend!P125&lt;=Backend!$R$12,Backend!Q124+Backend!$T$12,IF(Backend!P125&lt;=Backend!$R$13,Backend!Q124+Backend!$T$13,IF(Backend!P125&lt;=Backend!$R$14,Backend!Q124+Backend!$T$14,IF(Backend!P125&lt;=Backend!$R$15,Backend!Q124+Backend!$T$15,IF(Backend!P125&lt;=Backend!$X$16,Backend!Q124+Backend!$Z$16))))))</f>
        <v>0</v>
      </c>
      <c r="R125" s="19" t="str">
        <f>IF(1&lt;=ConceptDemo!$L$29,IF(P125=$W$12,ConceptDemo!$L$27,""),"")</f>
        <v/>
      </c>
      <c r="S125" s="19" t="str">
        <f>IF(2&lt;=ConceptDemo!$L$29,IF(P125=$W$13,ConceptDemo!$L$27,""),"")</f>
        <v/>
      </c>
      <c r="T125" s="19" t="str">
        <f>IF(3&lt;=ConceptDemo!$L$29,IF(P125=$W$14,ConceptDemo!$L$27,""),"")</f>
        <v/>
      </c>
      <c r="U125" s="19" t="str">
        <f>IF(4&lt;=ConceptDemo!$L$29,IF(P125=$W$15,ConceptDemo!$L$27,""),"")</f>
        <v/>
      </c>
      <c r="W125" s="18">
        <f>IF($P125&lt;ConceptDemo!$C$17+$E$24-10,$G$27,0)</f>
        <v>0</v>
      </c>
      <c r="X125" s="18">
        <f>IF($P125&lt;ConceptDemo!$C$17+$E$24-10,$H$27,0)</f>
        <v>0</v>
      </c>
      <c r="Y125" s="10">
        <f t="shared" si="11"/>
        <v>0</v>
      </c>
      <c r="Z125" s="10">
        <f t="shared" si="12"/>
        <v>0</v>
      </c>
      <c r="AA125" s="10">
        <f t="shared" si="13"/>
        <v>0</v>
      </c>
      <c r="AB125" s="10">
        <f t="shared" si="14"/>
        <v>0</v>
      </c>
      <c r="AC125" s="18">
        <f t="shared" si="15"/>
        <v>0</v>
      </c>
      <c r="AD125" s="18">
        <f>IF(P125&lt;=ConceptDemo!$C$18,AD124+SUM(W125:AB125)-(Q125-Q124)-AC125,0)</f>
        <v>0</v>
      </c>
      <c r="AE125" s="18" t="e">
        <f>IF(ConceptDemo!$C$7=Backend!$A$2,AD125,IF(AE124&lt;&gt;AD124,IF(P125&lt;=ConceptDemo!$C$18,AE124+SUM(W125:AB125)-(Q125-Q124)-AC125,0),IF(P125=ConceptDemo!#REF!,ConceptDemo!#REF!,AD125)))</f>
        <v>#REF!</v>
      </c>
      <c r="AF125" s="18" t="e">
        <f t="shared" si="17"/>
        <v>#REF!</v>
      </c>
      <c r="AG125" s="18" t="e">
        <f t="shared" si="18"/>
        <v>#REF!</v>
      </c>
      <c r="AH125" s="18" t="e">
        <f t="shared" si="16"/>
        <v>#REF!</v>
      </c>
    </row>
    <row r="126" spans="1:34" x14ac:dyDescent="0.25">
      <c r="A126">
        <v>60</v>
      </c>
      <c r="B126">
        <v>100</v>
      </c>
      <c r="E126" t="s">
        <v>138</v>
      </c>
      <c r="P126" s="12" t="str">
        <f>IFERROR(IF(P125+1=ConceptDemo!$C$18+10,"",Backend!P125+1),"")</f>
        <v/>
      </c>
      <c r="Q126" s="10">
        <f>IF(OR(P126&lt;ConceptDemo!$C$17,Backend!P126&gt;ConceptDemo!$C$18),0,IF(Backend!P126&lt;=Backend!$R$12,Backend!Q125+Backend!$T$12,IF(Backend!P126&lt;=Backend!$R$13,Backend!Q125+Backend!$T$13,IF(Backend!P126&lt;=Backend!$R$14,Backend!Q125+Backend!$T$14,IF(Backend!P126&lt;=Backend!$R$15,Backend!Q125+Backend!$T$15,IF(Backend!P126&lt;=Backend!$X$16,Backend!Q125+Backend!$Z$16))))))</f>
        <v>0</v>
      </c>
      <c r="R126" s="19" t="str">
        <f>IF(1&lt;=ConceptDemo!$L$29,IF(P126=$W$12,ConceptDemo!$L$27,""),"")</f>
        <v/>
      </c>
      <c r="S126" s="19" t="str">
        <f>IF(2&lt;=ConceptDemo!$L$29,IF(P126=$W$13,ConceptDemo!$L$27,""),"")</f>
        <v/>
      </c>
      <c r="T126" s="19" t="str">
        <f>IF(3&lt;=ConceptDemo!$L$29,IF(P126=$W$14,ConceptDemo!$L$27,""),"")</f>
        <v/>
      </c>
      <c r="U126" s="19" t="str">
        <f>IF(4&lt;=ConceptDemo!$L$29,IF(P126=$W$15,ConceptDemo!$L$27,""),"")</f>
        <v/>
      </c>
      <c r="W126" s="18">
        <f>IF($P126&lt;ConceptDemo!$C$17+$E$24-10,$G$27,0)</f>
        <v>0</v>
      </c>
      <c r="X126" s="18">
        <f>IF($P126&lt;ConceptDemo!$C$17+$E$24-10,$H$27,0)</f>
        <v>0</v>
      </c>
      <c r="Y126" s="10">
        <f t="shared" si="11"/>
        <v>0</v>
      </c>
      <c r="Z126" s="10">
        <f t="shared" si="12"/>
        <v>0</v>
      </c>
      <c r="AA126" s="10">
        <f t="shared" si="13"/>
        <v>0</v>
      </c>
      <c r="AB126" s="10">
        <f t="shared" si="14"/>
        <v>0</v>
      </c>
      <c r="AC126" s="18">
        <f t="shared" si="15"/>
        <v>0</v>
      </c>
      <c r="AD126" s="18">
        <f>IF(P126&lt;=ConceptDemo!$C$18,AD125+SUM(W126:AB126)-(Q126-Q125)-AC126,0)</f>
        <v>0</v>
      </c>
      <c r="AE126" s="18" t="e">
        <f>IF(ConceptDemo!$C$7=Backend!$A$2,AD126,IF(AE125&lt;&gt;AD125,IF(P126&lt;=ConceptDemo!$C$18,AE125+SUM(W126:AB126)-(Q126-Q125)-AC126,0),IF(P126=ConceptDemo!#REF!,ConceptDemo!#REF!,AD126)))</f>
        <v>#REF!</v>
      </c>
      <c r="AF126" s="18" t="e">
        <f t="shared" si="17"/>
        <v>#REF!</v>
      </c>
      <c r="AG126" s="18" t="e">
        <f t="shared" si="18"/>
        <v>#REF!</v>
      </c>
      <c r="AH126" s="18" t="e">
        <f t="shared" si="16"/>
        <v>#REF!</v>
      </c>
    </row>
    <row r="127" spans="1:34" ht="45" x14ac:dyDescent="0.25">
      <c r="A127">
        <v>80</v>
      </c>
      <c r="B127">
        <v>80</v>
      </c>
      <c r="E127" s="21" t="s">
        <v>136</v>
      </c>
      <c r="F127" s="21" t="s">
        <v>137</v>
      </c>
      <c r="G127" s="21" t="s">
        <v>96</v>
      </c>
      <c r="H127" s="21" t="s">
        <v>97</v>
      </c>
      <c r="I127" s="21" t="s">
        <v>98</v>
      </c>
      <c r="P127" s="12" t="str">
        <f>IFERROR(IF(P126+1=ConceptDemo!$C$18+10,"",Backend!P126+1),"")</f>
        <v/>
      </c>
      <c r="Q127" s="10">
        <f>IF(OR(P127&lt;ConceptDemo!$C$17,Backend!P127&gt;ConceptDemo!$C$18),0,IF(Backend!P127&lt;=Backend!$R$12,Backend!Q126+Backend!$T$12,IF(Backend!P127&lt;=Backend!$R$13,Backend!Q126+Backend!$T$13,IF(Backend!P127&lt;=Backend!$R$14,Backend!Q126+Backend!$T$14,IF(Backend!P127&lt;=Backend!$R$15,Backend!Q126+Backend!$T$15,IF(Backend!P127&lt;=Backend!$X$16,Backend!Q126+Backend!$Z$16))))))</f>
        <v>0</v>
      </c>
      <c r="R127" s="19" t="str">
        <f>IF(1&lt;=ConceptDemo!$L$29,IF(P127=$W$12,ConceptDemo!$L$27,""),"")</f>
        <v/>
      </c>
      <c r="S127" s="19" t="str">
        <f>IF(2&lt;=ConceptDemo!$L$29,IF(P127=$W$13,ConceptDemo!$L$27,""),"")</f>
        <v/>
      </c>
      <c r="T127" s="19" t="str">
        <f>IF(3&lt;=ConceptDemo!$L$29,IF(P127=$W$14,ConceptDemo!$L$27,""),"")</f>
        <v/>
      </c>
      <c r="U127" s="19" t="str">
        <f>IF(4&lt;=ConceptDemo!$L$29,IF(P127=$W$15,ConceptDemo!$L$27,""),"")</f>
        <v/>
      </c>
      <c r="W127" s="18">
        <f>IF($P127&lt;ConceptDemo!$C$17+$E$24-10,$G$27,0)</f>
        <v>0</v>
      </c>
      <c r="X127" s="18">
        <f>IF($P127&lt;ConceptDemo!$C$17+$E$24-10,$H$27,0)</f>
        <v>0</v>
      </c>
      <c r="Y127" s="10">
        <f t="shared" si="11"/>
        <v>0</v>
      </c>
      <c r="Z127" s="10">
        <f t="shared" si="12"/>
        <v>0</v>
      </c>
      <c r="AA127" s="10">
        <f t="shared" si="13"/>
        <v>0</v>
      </c>
      <c r="AB127" s="10">
        <f t="shared" si="14"/>
        <v>0</v>
      </c>
      <c r="AC127" s="18">
        <f t="shared" si="15"/>
        <v>0</v>
      </c>
      <c r="AD127" s="18">
        <f>IF(P127&lt;=ConceptDemo!$C$18,AD126+SUM(W127:AB127)-(Q127-Q126)-AC127,0)</f>
        <v>0</v>
      </c>
      <c r="AE127" s="18" t="e">
        <f>IF(ConceptDemo!$C$7=Backend!$A$2,AD127,IF(AE126&lt;&gt;AD126,IF(P127&lt;=ConceptDemo!$C$18,AE126+SUM(W127:AB127)-(Q127-Q126)-AC127,0),IF(P127=ConceptDemo!#REF!,ConceptDemo!#REF!,AD127)))</f>
        <v>#REF!</v>
      </c>
      <c r="AF127" s="18" t="e">
        <f t="shared" si="17"/>
        <v>#REF!</v>
      </c>
      <c r="AG127" s="18" t="e">
        <f t="shared" si="18"/>
        <v>#REF!</v>
      </c>
      <c r="AH127" s="18" t="e">
        <f t="shared" si="16"/>
        <v>#REF!</v>
      </c>
    </row>
    <row r="128" spans="1:34" x14ac:dyDescent="0.25">
      <c r="A128">
        <v>100</v>
      </c>
      <c r="B128">
        <v>60</v>
      </c>
      <c r="E128">
        <v>10</v>
      </c>
      <c r="F128">
        <v>70</v>
      </c>
      <c r="G128" s="8">
        <f>E128/F128</f>
        <v>0.14285714285714285</v>
      </c>
      <c r="H128">
        <v>1.5</v>
      </c>
      <c r="I128" s="24">
        <f>G128*H128/100</f>
        <v>2.1428571428571425E-3</v>
      </c>
      <c r="P128" s="12" t="str">
        <f>IFERROR(IF(P127+1=ConceptDemo!$C$18+10,"",Backend!P127+1),"")</f>
        <v/>
      </c>
      <c r="Q128" s="10">
        <f>IF(OR(P128&lt;ConceptDemo!$C$17,Backend!P128&gt;ConceptDemo!$C$18),0,IF(Backend!P128&lt;=Backend!$R$12,Backend!Q127+Backend!$T$12,IF(Backend!P128&lt;=Backend!$R$13,Backend!Q127+Backend!$T$13,IF(Backend!P128&lt;=Backend!$R$14,Backend!Q127+Backend!$T$14,IF(Backend!P128&lt;=Backend!$R$15,Backend!Q127+Backend!$T$15,IF(Backend!P128&lt;=Backend!$X$16,Backend!Q127+Backend!$Z$16))))))</f>
        <v>0</v>
      </c>
      <c r="R128" s="19" t="str">
        <f>IF(1&lt;=ConceptDemo!$L$29,IF(P128=$W$12,ConceptDemo!$L$27,""),"")</f>
        <v/>
      </c>
      <c r="S128" s="19" t="str">
        <f>IF(2&lt;=ConceptDemo!$L$29,IF(P128=$W$13,ConceptDemo!$L$27,""),"")</f>
        <v/>
      </c>
      <c r="T128" s="19" t="str">
        <f>IF(3&lt;=ConceptDemo!$L$29,IF(P128=$W$14,ConceptDemo!$L$27,""),"")</f>
        <v/>
      </c>
      <c r="U128" s="19" t="str">
        <f>IF(4&lt;=ConceptDemo!$L$29,IF(P128=$W$15,ConceptDemo!$L$27,""),"")</f>
        <v/>
      </c>
      <c r="W128" s="18">
        <f>IF($P128&lt;ConceptDemo!$C$17+$E$24-10,$G$27,0)</f>
        <v>0</v>
      </c>
      <c r="X128" s="18">
        <f>IF($P128&lt;ConceptDemo!$C$17+$E$24-10,$H$27,0)</f>
        <v>0</v>
      </c>
      <c r="Y128" s="10">
        <f t="shared" si="11"/>
        <v>0</v>
      </c>
      <c r="Z128" s="10">
        <f t="shared" si="12"/>
        <v>0</v>
      </c>
      <c r="AA128" s="10">
        <f t="shared" si="13"/>
        <v>0</v>
      </c>
      <c r="AB128" s="10">
        <f t="shared" si="14"/>
        <v>0</v>
      </c>
      <c r="AC128" s="18">
        <f t="shared" si="15"/>
        <v>0</v>
      </c>
      <c r="AD128" s="18">
        <f>IF(P128&lt;=ConceptDemo!$C$18,AD127+SUM(W128:AB128)-(Q128-Q127)-AC128,0)</f>
        <v>0</v>
      </c>
      <c r="AE128" s="18" t="e">
        <f>IF(ConceptDemo!$C$7=Backend!$A$2,AD128,IF(AE127&lt;&gt;AD127,IF(P128&lt;=ConceptDemo!$C$18,AE127+SUM(W128:AB128)-(Q128-Q127)-AC128,0),IF(P128=ConceptDemo!#REF!,ConceptDemo!#REF!,AD128)))</f>
        <v>#REF!</v>
      </c>
      <c r="AF128" s="18" t="e">
        <f t="shared" si="17"/>
        <v>#REF!</v>
      </c>
      <c r="AG128" s="18" t="e">
        <f t="shared" si="18"/>
        <v>#REF!</v>
      </c>
      <c r="AH128" s="18" t="e">
        <f t="shared" si="16"/>
        <v>#REF!</v>
      </c>
    </row>
    <row r="129" spans="1:34" x14ac:dyDescent="0.25">
      <c r="A129">
        <v>120</v>
      </c>
      <c r="B129">
        <v>40</v>
      </c>
      <c r="G129" s="8"/>
      <c r="I129" s="24"/>
      <c r="P129" s="12" t="str">
        <f>IFERROR(IF(P128+1=ConceptDemo!$C$18+10,"",Backend!P128+1),"")</f>
        <v/>
      </c>
      <c r="Q129" s="10">
        <f>IF(OR(P129&lt;ConceptDemo!$C$17,Backend!P129&gt;ConceptDemo!$C$18),0,IF(Backend!P129&lt;=Backend!$R$12,Backend!Q128+Backend!$T$12,IF(Backend!P129&lt;=Backend!$R$13,Backend!Q128+Backend!$T$13,IF(Backend!P129&lt;=Backend!$R$14,Backend!Q128+Backend!$T$14,IF(Backend!P129&lt;=Backend!$R$15,Backend!Q128+Backend!$T$15,IF(Backend!P129&lt;=Backend!$X$16,Backend!Q128+Backend!$Z$16))))))</f>
        <v>0</v>
      </c>
      <c r="R129" s="19" t="str">
        <f>IF(1&lt;=ConceptDemo!$L$29,IF(P129=$W$12,ConceptDemo!$L$27,""),"")</f>
        <v/>
      </c>
      <c r="S129" s="19" t="str">
        <f>IF(2&lt;=ConceptDemo!$L$29,IF(P129=$W$13,ConceptDemo!$L$27,""),"")</f>
        <v/>
      </c>
      <c r="T129" s="19" t="str">
        <f>IF(3&lt;=ConceptDemo!$L$29,IF(P129=$W$14,ConceptDemo!$L$27,""),"")</f>
        <v/>
      </c>
      <c r="U129" s="19" t="str">
        <f>IF(4&lt;=ConceptDemo!$L$29,IF(P129=$W$15,ConceptDemo!$L$27,""),"")</f>
        <v/>
      </c>
      <c r="W129" s="18">
        <f>IF($P129&lt;ConceptDemo!$C$17+$E$24-10,$G$27,0)</f>
        <v>0</v>
      </c>
      <c r="X129" s="18">
        <f>IF($P129&lt;ConceptDemo!$C$17+$E$24-10,$H$27,0)</f>
        <v>0</v>
      </c>
      <c r="Y129" s="10">
        <f t="shared" si="11"/>
        <v>0</v>
      </c>
      <c r="Z129" s="10">
        <f t="shared" si="12"/>
        <v>0</v>
      </c>
      <c r="AA129" s="10">
        <f t="shared" si="13"/>
        <v>0</v>
      </c>
      <c r="AB129" s="10">
        <f t="shared" si="14"/>
        <v>0</v>
      </c>
      <c r="AC129" s="18">
        <f t="shared" si="15"/>
        <v>0</v>
      </c>
      <c r="AD129" s="18">
        <f>IF(P129&lt;=ConceptDemo!$C$18,AD128+SUM(W129:AB129)-(Q129-Q128)-AC129,0)</f>
        <v>0</v>
      </c>
      <c r="AE129" s="18" t="e">
        <f>IF(ConceptDemo!$C$7=Backend!$A$2,AD129,IF(AE128&lt;&gt;AD128,IF(P129&lt;=ConceptDemo!$C$18,AE128+SUM(W129:AB129)-(Q129-Q128)-AC129,0),IF(P129=ConceptDemo!#REF!,ConceptDemo!#REF!,AD129)))</f>
        <v>#REF!</v>
      </c>
      <c r="AF129" s="18" t="e">
        <f t="shared" si="17"/>
        <v>#REF!</v>
      </c>
      <c r="AG129" s="18" t="e">
        <f t="shared" si="18"/>
        <v>#REF!</v>
      </c>
      <c r="AH129" s="18" t="e">
        <f t="shared" si="16"/>
        <v>#REF!</v>
      </c>
    </row>
    <row r="130" spans="1:34" x14ac:dyDescent="0.25">
      <c r="A130">
        <v>140</v>
      </c>
      <c r="B130">
        <v>20</v>
      </c>
      <c r="G130" s="8"/>
      <c r="I130" s="24"/>
      <c r="P130" s="12" t="str">
        <f>IFERROR(IF(P129+1=ConceptDemo!$C$18+10,"",Backend!P129+1),"")</f>
        <v/>
      </c>
      <c r="Q130" s="10">
        <f>IF(OR(P130&lt;ConceptDemo!$C$17,Backend!P130&gt;ConceptDemo!$C$18),0,IF(Backend!P130&lt;=Backend!$R$12,Backend!Q129+Backend!$T$12,IF(Backend!P130&lt;=Backend!$R$13,Backend!Q129+Backend!$T$13,IF(Backend!P130&lt;=Backend!$R$14,Backend!Q129+Backend!$T$14,IF(Backend!P130&lt;=Backend!$R$15,Backend!Q129+Backend!$T$15,IF(Backend!P130&lt;=Backend!$X$16,Backend!Q129+Backend!$Z$16))))))</f>
        <v>0</v>
      </c>
      <c r="R130" s="19" t="str">
        <f>IF(1&lt;=ConceptDemo!$L$29,IF(P130=$W$12,ConceptDemo!$L$27,""),"")</f>
        <v/>
      </c>
      <c r="S130" s="19" t="str">
        <f>IF(2&lt;=ConceptDemo!$L$29,IF(P130=$W$13,ConceptDemo!$L$27,""),"")</f>
        <v/>
      </c>
      <c r="T130" s="19" t="str">
        <f>IF(3&lt;=ConceptDemo!$L$29,IF(P130=$W$14,ConceptDemo!$L$27,""),"")</f>
        <v/>
      </c>
      <c r="U130" s="19" t="str">
        <f>IF(4&lt;=ConceptDemo!$L$29,IF(P130=$W$15,ConceptDemo!$L$27,""),"")</f>
        <v/>
      </c>
      <c r="W130" s="18">
        <f>IF($P130&lt;ConceptDemo!$C$17+$E$24-10,$G$27,0)</f>
        <v>0</v>
      </c>
      <c r="X130" s="18">
        <f>IF($P130&lt;ConceptDemo!$C$17+$E$24-10,$H$27,0)</f>
        <v>0</v>
      </c>
      <c r="Y130" s="10">
        <f t="shared" si="11"/>
        <v>0</v>
      </c>
      <c r="Z130" s="10">
        <f t="shared" si="12"/>
        <v>0</v>
      </c>
      <c r="AA130" s="10">
        <f t="shared" si="13"/>
        <v>0</v>
      </c>
      <c r="AB130" s="10">
        <f t="shared" si="14"/>
        <v>0</v>
      </c>
      <c r="AC130" s="18">
        <f t="shared" si="15"/>
        <v>0</v>
      </c>
      <c r="AD130" s="18">
        <f>IF(P130&lt;=ConceptDemo!$C$18,AD129+SUM(W130:AB130)-(Q130-Q129)-AC130,0)</f>
        <v>0</v>
      </c>
      <c r="AE130" s="18" t="e">
        <f>IF(ConceptDemo!$C$7=Backend!$A$2,AD130,IF(AE129&lt;&gt;AD129,IF(P130&lt;=ConceptDemo!$C$18,AE129+SUM(W130:AB130)-(Q130-Q129)-AC130,0),IF(P130=ConceptDemo!#REF!,ConceptDemo!#REF!,AD130)))</f>
        <v>#REF!</v>
      </c>
      <c r="AF130" s="18" t="e">
        <f t="shared" si="17"/>
        <v>#REF!</v>
      </c>
      <c r="AG130" s="18" t="e">
        <f t="shared" si="18"/>
        <v>#REF!</v>
      </c>
      <c r="AH130" s="18" t="e">
        <f t="shared" si="16"/>
        <v>#REF!</v>
      </c>
    </row>
    <row r="131" spans="1:34" x14ac:dyDescent="0.25">
      <c r="A131">
        <v>160</v>
      </c>
      <c r="B131">
        <v>0</v>
      </c>
      <c r="P131" s="12" t="str">
        <f>IFERROR(IF(P130+1=ConceptDemo!$C$18+10,"",Backend!P130+1),"")</f>
        <v/>
      </c>
      <c r="Q131" s="10">
        <f>IF(OR(P131&lt;ConceptDemo!$C$17,Backend!P131&gt;ConceptDemo!$C$18),0,IF(Backend!P131&lt;=Backend!$R$12,Backend!Q130+Backend!$T$12,IF(Backend!P131&lt;=Backend!$R$13,Backend!Q130+Backend!$T$13,IF(Backend!P131&lt;=Backend!$R$14,Backend!Q130+Backend!$T$14,IF(Backend!P131&lt;=Backend!$R$15,Backend!Q130+Backend!$T$15,IF(Backend!P131&lt;=Backend!$X$16,Backend!Q130+Backend!$Z$16))))))</f>
        <v>0</v>
      </c>
      <c r="R131" s="19" t="str">
        <f>IF(1&lt;=ConceptDemo!$L$29,IF(P131=$W$12,ConceptDemo!$L$27,""),"")</f>
        <v/>
      </c>
      <c r="S131" s="19" t="str">
        <f>IF(2&lt;=ConceptDemo!$L$29,IF(P131=$W$13,ConceptDemo!$L$27,""),"")</f>
        <v/>
      </c>
      <c r="T131" s="19" t="str">
        <f>IF(3&lt;=ConceptDemo!$L$29,IF(P131=$W$14,ConceptDemo!$L$27,""),"")</f>
        <v/>
      </c>
      <c r="U131" s="19" t="str">
        <f>IF(4&lt;=ConceptDemo!$L$29,IF(P131=$W$15,ConceptDemo!$L$27,""),"")</f>
        <v/>
      </c>
      <c r="W131" s="18">
        <f>IF($P131&lt;ConceptDemo!$C$17+$E$24-10,$G$27,0)</f>
        <v>0</v>
      </c>
      <c r="X131" s="18">
        <f>IF($P131&lt;ConceptDemo!$C$17+$E$24-10,$H$27,0)</f>
        <v>0</v>
      </c>
      <c r="Y131" s="10">
        <f t="shared" si="11"/>
        <v>0</v>
      </c>
      <c r="Z131" s="10">
        <f t="shared" si="12"/>
        <v>0</v>
      </c>
      <c r="AA131" s="10">
        <f t="shared" si="13"/>
        <v>0</v>
      </c>
      <c r="AB131" s="10">
        <f t="shared" si="14"/>
        <v>0</v>
      </c>
      <c r="AC131" s="18">
        <f t="shared" si="15"/>
        <v>0</v>
      </c>
      <c r="AD131" s="18">
        <f>IF(P131&lt;=ConceptDemo!$C$18,AD130+SUM(W131:AB131)-(Q131-Q130)-AC131,0)</f>
        <v>0</v>
      </c>
      <c r="AE131" s="18" t="e">
        <f>IF(ConceptDemo!$C$7=Backend!$A$2,AD131,IF(AE130&lt;&gt;AD130,IF(P131&lt;=ConceptDemo!$C$18,AE130+SUM(W131:AB131)-(Q131-Q130)-AC131,0),IF(P131=ConceptDemo!#REF!,ConceptDemo!#REF!,AD131)))</f>
        <v>#REF!</v>
      </c>
      <c r="AF131" s="18" t="e">
        <f t="shared" si="17"/>
        <v>#REF!</v>
      </c>
      <c r="AG131" s="18" t="e">
        <f t="shared" si="18"/>
        <v>#REF!</v>
      </c>
      <c r="AH131" s="18" t="e">
        <f t="shared" si="16"/>
        <v>#REF!</v>
      </c>
    </row>
    <row r="132" spans="1:34" x14ac:dyDescent="0.25">
      <c r="F132" s="24"/>
      <c r="P132" s="12" t="str">
        <f>IFERROR(IF(P131+1=ConceptDemo!$C$18+10,"",Backend!P131+1),"")</f>
        <v/>
      </c>
      <c r="Q132" s="10">
        <f>IF(OR(P132&lt;ConceptDemo!$C$17,Backend!P132&gt;ConceptDemo!$C$18),0,IF(Backend!P132&lt;=Backend!$R$12,Backend!Q131+Backend!$T$12,IF(Backend!P132&lt;=Backend!$R$13,Backend!Q131+Backend!$T$13,IF(Backend!P132&lt;=Backend!$R$14,Backend!Q131+Backend!$T$14,IF(Backend!P132&lt;=Backend!$R$15,Backend!Q131+Backend!$T$15,IF(Backend!P132&lt;=Backend!$X$16,Backend!Q131+Backend!$Z$16))))))</f>
        <v>0</v>
      </c>
      <c r="R132" s="19" t="str">
        <f>IF(1&lt;=ConceptDemo!$L$29,IF(P132=$W$12,ConceptDemo!$L$27,""),"")</f>
        <v/>
      </c>
      <c r="S132" s="19" t="str">
        <f>IF(2&lt;=ConceptDemo!$L$29,IF(P132=$W$13,ConceptDemo!$L$27,""),"")</f>
        <v/>
      </c>
      <c r="T132" s="19" t="str">
        <f>IF(3&lt;=ConceptDemo!$L$29,IF(P132=$W$14,ConceptDemo!$L$27,""),"")</f>
        <v/>
      </c>
      <c r="U132" s="19" t="str">
        <f>IF(4&lt;=ConceptDemo!$L$29,IF(P132=$W$15,ConceptDemo!$L$27,""),"")</f>
        <v/>
      </c>
      <c r="W132" s="18">
        <f>IF($P132&lt;ConceptDemo!$C$17+$E$24-10,$G$27,0)</f>
        <v>0</v>
      </c>
      <c r="X132" s="18">
        <f>IF($P132&lt;ConceptDemo!$C$17+$E$24-10,$H$27,0)</f>
        <v>0</v>
      </c>
      <c r="Y132" s="10">
        <f t="shared" si="11"/>
        <v>0</v>
      </c>
      <c r="Z132" s="10">
        <f t="shared" si="12"/>
        <v>0</v>
      </c>
      <c r="AA132" s="10">
        <f t="shared" si="13"/>
        <v>0</v>
      </c>
      <c r="AB132" s="10">
        <f t="shared" si="14"/>
        <v>0</v>
      </c>
      <c r="AC132" s="18">
        <f t="shared" si="15"/>
        <v>0</v>
      </c>
      <c r="AD132" s="18">
        <f>IF(P132&lt;=ConceptDemo!$C$18,AD131+SUM(W132:AB132)-(Q132-Q131)-AC132,0)</f>
        <v>0</v>
      </c>
      <c r="AE132" s="18" t="e">
        <f>IF(ConceptDemo!$C$7=Backend!$A$2,AD132,IF(AE131&lt;&gt;AD131,IF(P132&lt;=ConceptDemo!$C$18,AE131+SUM(W132:AB132)-(Q132-Q131)-AC132,0),IF(P132=ConceptDemo!#REF!,ConceptDemo!#REF!,AD132)))</f>
        <v>#REF!</v>
      </c>
      <c r="AF132" s="18" t="e">
        <f t="shared" si="17"/>
        <v>#REF!</v>
      </c>
      <c r="AG132" s="18" t="e">
        <f t="shared" si="18"/>
        <v>#REF!</v>
      </c>
      <c r="AH132" s="18" t="e">
        <f t="shared" si="16"/>
        <v>#REF!</v>
      </c>
    </row>
    <row r="133" spans="1:34" x14ac:dyDescent="0.25">
      <c r="A133" t="s">
        <v>87</v>
      </c>
      <c r="B133" s="19" t="e">
        <f>(-ConceptDemo!#REF!+160)*B123</f>
        <v>#REF!</v>
      </c>
      <c r="C133" t="s">
        <v>88</v>
      </c>
      <c r="E133" s="4" t="s">
        <v>99</v>
      </c>
      <c r="F133" s="16" t="e">
        <f>SUM(F134:F135)</f>
        <v>#REF!</v>
      </c>
      <c r="G133" t="s">
        <v>88</v>
      </c>
      <c r="P133" s="12" t="str">
        <f>IFERROR(IF(P132+1=ConceptDemo!$C$18+10,"",Backend!P132+1),"")</f>
        <v/>
      </c>
      <c r="Q133" s="10">
        <f>IF(OR(P133&lt;ConceptDemo!$C$17,Backend!P133&gt;ConceptDemo!$C$18),0,IF(Backend!P133&lt;=Backend!$R$12,Backend!Q132+Backend!$T$12,IF(Backend!P133&lt;=Backend!$R$13,Backend!Q132+Backend!$T$13,IF(Backend!P133&lt;=Backend!$R$14,Backend!Q132+Backend!$T$14,IF(Backend!P133&lt;=Backend!$R$15,Backend!Q132+Backend!$T$15,IF(Backend!P133&lt;=Backend!$X$16,Backend!Q132+Backend!$Z$16))))))</f>
        <v>0</v>
      </c>
      <c r="R133" s="19" t="str">
        <f>IF(1&lt;=ConceptDemo!$L$29,IF(P133=$W$12,ConceptDemo!$L$27,""),"")</f>
        <v/>
      </c>
      <c r="S133" s="19" t="str">
        <f>IF(2&lt;=ConceptDemo!$L$29,IF(P133=$W$13,ConceptDemo!$L$27,""),"")</f>
        <v/>
      </c>
      <c r="T133" s="19" t="str">
        <f>IF(3&lt;=ConceptDemo!$L$29,IF(P133=$W$14,ConceptDemo!$L$27,""),"")</f>
        <v/>
      </c>
      <c r="U133" s="19" t="str">
        <f>IF(4&lt;=ConceptDemo!$L$29,IF(P133=$W$15,ConceptDemo!$L$27,""),"")</f>
        <v/>
      </c>
      <c r="W133" s="18">
        <f>IF($P133&lt;ConceptDemo!$C$17+$E$24-10,$G$27,0)</f>
        <v>0</v>
      </c>
      <c r="X133" s="18">
        <f>IF($P133&lt;ConceptDemo!$C$17+$E$24-10,$H$27,0)</f>
        <v>0</v>
      </c>
      <c r="Y133" s="10">
        <f t="shared" si="11"/>
        <v>0</v>
      </c>
      <c r="Z133" s="10">
        <f t="shared" si="12"/>
        <v>0</v>
      </c>
      <c r="AA133" s="10">
        <f t="shared" si="13"/>
        <v>0</v>
      </c>
      <c r="AB133" s="10">
        <f t="shared" si="14"/>
        <v>0</v>
      </c>
      <c r="AC133" s="18">
        <f t="shared" si="15"/>
        <v>0</v>
      </c>
      <c r="AD133" s="18">
        <f>IF(P133&lt;=ConceptDemo!$C$18,AD132+SUM(W133:AB133)-(Q133-Q132)-AC133,0)</f>
        <v>0</v>
      </c>
      <c r="AE133" s="18" t="e">
        <f>IF(ConceptDemo!$C$7=Backend!$A$2,AD133,IF(AE132&lt;&gt;AD132,IF(P133&lt;=ConceptDemo!$C$18,AE132+SUM(W133:AB133)-(Q133-Q132)-AC133,0),IF(P133=ConceptDemo!#REF!,ConceptDemo!#REF!,AD133)))</f>
        <v>#REF!</v>
      </c>
      <c r="AF133" s="18" t="e">
        <f t="shared" si="17"/>
        <v>#REF!</v>
      </c>
      <c r="AG133" s="18" t="e">
        <f t="shared" si="18"/>
        <v>#REF!</v>
      </c>
      <c r="AH133" s="18" t="e">
        <f t="shared" si="16"/>
        <v>#REF!</v>
      </c>
    </row>
    <row r="134" spans="1:34" x14ac:dyDescent="0.25">
      <c r="E134" t="s">
        <v>106</v>
      </c>
      <c r="F134" s="16" t="e">
        <f>I128*B117*1000</f>
        <v>#REF!</v>
      </c>
      <c r="G134" t="s">
        <v>88</v>
      </c>
      <c r="P134" s="12" t="str">
        <f>IFERROR(IF(P133+1=ConceptDemo!$C$18+10,"",Backend!P133+1),"")</f>
        <v/>
      </c>
      <c r="Q134" s="10">
        <f>IF(OR(P134&lt;ConceptDemo!$C$17,Backend!P134&gt;ConceptDemo!$C$18),0,IF(Backend!P134&lt;=Backend!$R$12,Backend!Q133+Backend!$T$12,IF(Backend!P134&lt;=Backend!$R$13,Backend!Q133+Backend!$T$13,IF(Backend!P134&lt;=Backend!$R$14,Backend!Q133+Backend!$T$14,IF(Backend!P134&lt;=Backend!$R$15,Backend!Q133+Backend!$T$15,IF(Backend!P134&lt;=Backend!$X$16,Backend!Q133+Backend!$Z$16))))))</f>
        <v>0</v>
      </c>
      <c r="R134" s="19" t="str">
        <f>IF(1&lt;=ConceptDemo!$L$29,IF(P134=$W$12,ConceptDemo!$L$27,""),"")</f>
        <v/>
      </c>
      <c r="S134" s="19" t="str">
        <f>IF(2&lt;=ConceptDemo!$L$29,IF(P134=$W$13,ConceptDemo!$L$27,""),"")</f>
        <v/>
      </c>
      <c r="T134" s="19" t="str">
        <f>IF(3&lt;=ConceptDemo!$L$29,IF(P134=$W$14,ConceptDemo!$L$27,""),"")</f>
        <v/>
      </c>
      <c r="U134" s="19" t="str">
        <f>IF(4&lt;=ConceptDemo!$L$29,IF(P134=$W$15,ConceptDemo!$L$27,""),"")</f>
        <v/>
      </c>
      <c r="W134" s="18">
        <f>IF($P134&lt;ConceptDemo!$C$17+$E$24-10,$G$27,0)</f>
        <v>0</v>
      </c>
      <c r="X134" s="18">
        <f>IF($P134&lt;ConceptDemo!$C$17+$E$24-10,$H$27,0)</f>
        <v>0</v>
      </c>
      <c r="Y134" s="10">
        <f t="shared" si="11"/>
        <v>0</v>
      </c>
      <c r="Z134" s="10">
        <f t="shared" si="12"/>
        <v>0</v>
      </c>
      <c r="AA134" s="10">
        <f t="shared" si="13"/>
        <v>0</v>
      </c>
      <c r="AB134" s="10">
        <f t="shared" si="14"/>
        <v>0</v>
      </c>
      <c r="AC134" s="18">
        <f t="shared" si="15"/>
        <v>0</v>
      </c>
      <c r="AD134" s="18">
        <f>IF(P134&lt;=ConceptDemo!$C$18,AD133+SUM(W134:AB134)-(Q134-Q133)-AC134,0)</f>
        <v>0</v>
      </c>
      <c r="AE134" s="18" t="e">
        <f>IF(ConceptDemo!$C$7=Backend!$A$2,AD134,IF(AE133&lt;&gt;AD133,IF(P134&lt;=ConceptDemo!$C$18,AE133+SUM(W134:AB134)-(Q134-Q133)-AC134,0),IF(P134=ConceptDemo!#REF!,ConceptDemo!#REF!,AD134)))</f>
        <v>#REF!</v>
      </c>
      <c r="AF134" s="18" t="e">
        <f t="shared" si="17"/>
        <v>#REF!</v>
      </c>
      <c r="AG134" s="18" t="e">
        <f t="shared" si="18"/>
        <v>#REF!</v>
      </c>
      <c r="AH134" s="18" t="e">
        <f t="shared" si="16"/>
        <v>#REF!</v>
      </c>
    </row>
    <row r="135" spans="1:34" x14ac:dyDescent="0.25">
      <c r="E135" t="s">
        <v>107</v>
      </c>
      <c r="F135" s="16" t="e">
        <f>I128*(B116-B117)*1000</f>
        <v>#REF!</v>
      </c>
      <c r="G135" t="s">
        <v>88</v>
      </c>
      <c r="P135" s="12" t="str">
        <f>IFERROR(IF(P134+1=ConceptDemo!$C$18+10,"",Backend!P134+1),"")</f>
        <v/>
      </c>
      <c r="Q135" s="10">
        <f>IF(OR(P135&lt;ConceptDemo!$C$17,Backend!P135&gt;ConceptDemo!$C$18),0,IF(Backend!P135&lt;=Backend!$R$12,Backend!Q134+Backend!$T$12,IF(Backend!P135&lt;=Backend!$R$13,Backend!Q134+Backend!$T$13,IF(Backend!P135&lt;=Backend!$R$14,Backend!Q134+Backend!$T$14,IF(Backend!P135&lt;=Backend!$R$15,Backend!Q134+Backend!$T$15,IF(Backend!P135&lt;=Backend!$X$16,Backend!Q134+Backend!$Z$16))))))</f>
        <v>0</v>
      </c>
      <c r="R135" s="19" t="str">
        <f>IF(1&lt;=ConceptDemo!$L$29,IF(P135=$W$12,ConceptDemo!$L$27,""),"")</f>
        <v/>
      </c>
      <c r="S135" s="19" t="str">
        <f>IF(2&lt;=ConceptDemo!$L$29,IF(P135=$W$13,ConceptDemo!$L$27,""),"")</f>
        <v/>
      </c>
      <c r="T135" s="19" t="str">
        <f>IF(3&lt;=ConceptDemo!$L$29,IF(P135=$W$14,ConceptDemo!$L$27,""),"")</f>
        <v/>
      </c>
      <c r="U135" s="19" t="str">
        <f>IF(4&lt;=ConceptDemo!$L$29,IF(P135=$W$15,ConceptDemo!$L$27,""),"")</f>
        <v/>
      </c>
      <c r="W135" s="18">
        <f>IF($P135&lt;ConceptDemo!$C$17+$E$24-10,$G$27,0)</f>
        <v>0</v>
      </c>
      <c r="X135" s="18">
        <f>IF($P135&lt;ConceptDemo!$C$17+$E$24-10,$H$27,0)</f>
        <v>0</v>
      </c>
      <c r="Y135" s="10">
        <f t="shared" si="11"/>
        <v>0</v>
      </c>
      <c r="Z135" s="10">
        <f t="shared" si="12"/>
        <v>0</v>
      </c>
      <c r="AA135" s="10">
        <f t="shared" si="13"/>
        <v>0</v>
      </c>
      <c r="AB135" s="10">
        <f t="shared" si="14"/>
        <v>0</v>
      </c>
      <c r="AC135" s="18">
        <f t="shared" si="15"/>
        <v>0</v>
      </c>
      <c r="AD135" s="18">
        <f>IF(P135&lt;=ConceptDemo!$C$18,AD134+SUM(W135:AB135)-(Q135-Q134)-AC135,0)</f>
        <v>0</v>
      </c>
      <c r="AE135" s="18" t="e">
        <f>IF(ConceptDemo!$C$7=Backend!$A$2,AD135,IF(AE134&lt;&gt;AD134,IF(P135&lt;=ConceptDemo!$C$18,AE134+SUM(W135:AB135)-(Q135-Q134)-AC135,0),IF(P135=ConceptDemo!#REF!,ConceptDemo!#REF!,AD135)))</f>
        <v>#REF!</v>
      </c>
      <c r="AF135" s="18" t="e">
        <f t="shared" si="17"/>
        <v>#REF!</v>
      </c>
      <c r="AG135" s="18" t="e">
        <f t="shared" si="18"/>
        <v>#REF!</v>
      </c>
      <c r="AH135" s="18" t="e">
        <f t="shared" si="16"/>
        <v>#REF!</v>
      </c>
    </row>
    <row r="136" spans="1:34" x14ac:dyDescent="0.25">
      <c r="F136" s="15"/>
      <c r="P136" s="12" t="str">
        <f>IFERROR(IF(P135+1=ConceptDemo!$C$18+10,"",Backend!P135+1),"")</f>
        <v/>
      </c>
      <c r="Q136" s="10">
        <f>IF(OR(P136&lt;ConceptDemo!$C$17,Backend!P136&gt;ConceptDemo!$C$18),0,IF(Backend!P136&lt;=Backend!$R$12,Backend!Q135+Backend!$T$12,IF(Backend!P136&lt;=Backend!$R$13,Backend!Q135+Backend!$T$13,IF(Backend!P136&lt;=Backend!$R$14,Backend!Q135+Backend!$T$14,IF(Backend!P136&lt;=Backend!$R$15,Backend!Q135+Backend!$T$15,IF(Backend!P136&lt;=Backend!$X$16,Backend!Q135+Backend!$Z$16))))))</f>
        <v>0</v>
      </c>
      <c r="R136" s="19" t="str">
        <f>IF(1&lt;=ConceptDemo!$L$29,IF(P136=$W$12,ConceptDemo!$L$27,""),"")</f>
        <v/>
      </c>
      <c r="S136" s="19" t="str">
        <f>IF(2&lt;=ConceptDemo!$L$29,IF(P136=$W$13,ConceptDemo!$L$27,""),"")</f>
        <v/>
      </c>
      <c r="T136" s="19" t="str">
        <f>IF(3&lt;=ConceptDemo!$L$29,IF(P136=$W$14,ConceptDemo!$L$27,""),"")</f>
        <v/>
      </c>
      <c r="U136" s="19" t="str">
        <f>IF(4&lt;=ConceptDemo!$L$29,IF(P136=$W$15,ConceptDemo!$L$27,""),"")</f>
        <v/>
      </c>
      <c r="W136" s="18">
        <f>IF($P136&lt;ConceptDemo!$C$17+$E$24-10,$G$27,0)</f>
        <v>0</v>
      </c>
      <c r="X136" s="18">
        <f>IF($P136&lt;ConceptDemo!$C$17+$E$24-10,$H$27,0)</f>
        <v>0</v>
      </c>
      <c r="Y136" s="10">
        <f t="shared" si="11"/>
        <v>0</v>
      </c>
      <c r="Z136" s="10">
        <f t="shared" si="12"/>
        <v>0</v>
      </c>
      <c r="AA136" s="10">
        <f t="shared" si="13"/>
        <v>0</v>
      </c>
      <c r="AB136" s="10">
        <f t="shared" si="14"/>
        <v>0</v>
      </c>
      <c r="AC136" s="18">
        <f t="shared" si="15"/>
        <v>0</v>
      </c>
      <c r="AD136" s="18">
        <f>IF(P136&lt;=ConceptDemo!$C$18,AD135+SUM(W136:AB136)-(Q136-Q135)-AC136,0)</f>
        <v>0</v>
      </c>
      <c r="AE136" s="18" t="e">
        <f>IF(ConceptDemo!$C$7=Backend!$A$2,AD136,IF(AE135&lt;&gt;AD135,IF(P136&lt;=ConceptDemo!$C$18,AE135+SUM(W136:AB136)-(Q136-Q135)-AC136,0),IF(P136=ConceptDemo!#REF!,ConceptDemo!#REF!,AD136)))</f>
        <v>#REF!</v>
      </c>
      <c r="AF136" s="18" t="e">
        <f t="shared" si="17"/>
        <v>#REF!</v>
      </c>
      <c r="AG136" s="18" t="e">
        <f t="shared" si="18"/>
        <v>#REF!</v>
      </c>
      <c r="AH136" s="18" t="e">
        <f t="shared" si="16"/>
        <v>#REF!</v>
      </c>
    </row>
    <row r="137" spans="1:34" x14ac:dyDescent="0.25">
      <c r="P137" s="12" t="str">
        <f>IFERROR(IF(P136+1=ConceptDemo!$C$18+10,"",Backend!P136+1),"")</f>
        <v/>
      </c>
      <c r="Q137" s="10">
        <f>IF(OR(P137&lt;ConceptDemo!$C$17,Backend!P137&gt;ConceptDemo!$C$18),0,IF(Backend!P137&lt;=Backend!$R$12,Backend!Q136+Backend!$T$12,IF(Backend!P137&lt;=Backend!$R$13,Backend!Q136+Backend!$T$13,IF(Backend!P137&lt;=Backend!$R$14,Backend!Q136+Backend!$T$14,IF(Backend!P137&lt;=Backend!$R$15,Backend!Q136+Backend!$T$15,IF(Backend!P137&lt;=Backend!$X$16,Backend!Q136+Backend!$Z$16))))))</f>
        <v>0</v>
      </c>
      <c r="R137" s="19" t="str">
        <f>IF(1&lt;=ConceptDemo!$L$29,IF(P137=$W$12,ConceptDemo!$L$27,""),"")</f>
        <v/>
      </c>
      <c r="S137" s="19" t="str">
        <f>IF(2&lt;=ConceptDemo!$L$29,IF(P137=$W$13,ConceptDemo!$L$27,""),"")</f>
        <v/>
      </c>
      <c r="T137" s="19" t="str">
        <f>IF(3&lt;=ConceptDemo!$L$29,IF(P137=$W$14,ConceptDemo!$L$27,""),"")</f>
        <v/>
      </c>
      <c r="U137" s="19" t="str">
        <f>IF(4&lt;=ConceptDemo!$L$29,IF(P137=$W$15,ConceptDemo!$L$27,""),"")</f>
        <v/>
      </c>
      <c r="W137" s="18">
        <f>IF($P137&lt;ConceptDemo!$C$17+$E$24-10,$G$27,0)</f>
        <v>0</v>
      </c>
      <c r="X137" s="18">
        <f>IF($P137&lt;ConceptDemo!$C$17+$E$24-10,$H$27,0)</f>
        <v>0</v>
      </c>
      <c r="Y137" s="10">
        <f t="shared" si="11"/>
        <v>0</v>
      </c>
      <c r="Z137" s="10">
        <f t="shared" si="12"/>
        <v>0</v>
      </c>
      <c r="AA137" s="10">
        <f t="shared" si="13"/>
        <v>0</v>
      </c>
      <c r="AB137" s="10">
        <f t="shared" si="14"/>
        <v>0</v>
      </c>
      <c r="AC137" s="18">
        <f t="shared" si="15"/>
        <v>0</v>
      </c>
      <c r="AD137" s="18">
        <f>IF(P137&lt;=ConceptDemo!$C$18,AD136+SUM(W137:AB137)-(Q137-Q136)-AC137,0)</f>
        <v>0</v>
      </c>
      <c r="AE137" s="18" t="e">
        <f>IF(ConceptDemo!$C$7=Backend!$A$2,AD137,IF(AE136&lt;&gt;AD136,IF(P137&lt;=ConceptDemo!$C$18,AE136+SUM(W137:AB137)-(Q137-Q136)-AC137,0),IF(P137=ConceptDemo!#REF!,ConceptDemo!#REF!,AD137)))</f>
        <v>#REF!</v>
      </c>
      <c r="AF137" s="18" t="e">
        <f t="shared" si="17"/>
        <v>#REF!</v>
      </c>
      <c r="AG137" s="18" t="e">
        <f t="shared" si="18"/>
        <v>#REF!</v>
      </c>
      <c r="AH137" s="18" t="e">
        <f t="shared" si="16"/>
        <v>#REF!</v>
      </c>
    </row>
    <row r="138" spans="1:34" x14ac:dyDescent="0.25">
      <c r="P138" s="12" t="str">
        <f>IFERROR(IF(P137+1=ConceptDemo!$C$18+10,"",Backend!P137+1),"")</f>
        <v/>
      </c>
      <c r="Q138" s="10">
        <f>IF(OR(P138&lt;ConceptDemo!$C$17,Backend!P138&gt;ConceptDemo!$C$18),0,IF(Backend!P138&lt;=Backend!$R$12,Backend!Q137+Backend!$T$12,IF(Backend!P138&lt;=Backend!$R$13,Backend!Q137+Backend!$T$13,IF(Backend!P138&lt;=Backend!$R$14,Backend!Q137+Backend!$T$14,IF(Backend!P138&lt;=Backend!$R$15,Backend!Q137+Backend!$T$15,IF(Backend!P138&lt;=Backend!$X$16,Backend!Q137+Backend!$Z$16))))))</f>
        <v>0</v>
      </c>
      <c r="R138" s="19" t="str">
        <f>IF(1&lt;=ConceptDemo!$L$29,IF(P138=$W$12,ConceptDemo!$L$27,""),"")</f>
        <v/>
      </c>
      <c r="S138" s="19" t="str">
        <f>IF(2&lt;=ConceptDemo!$L$29,IF(P138=$W$13,ConceptDemo!$L$27,""),"")</f>
        <v/>
      </c>
      <c r="T138" s="19" t="str">
        <f>IF(3&lt;=ConceptDemo!$L$29,IF(P138=$W$14,ConceptDemo!$L$27,""),"")</f>
        <v/>
      </c>
      <c r="U138" s="19" t="str">
        <f>IF(4&lt;=ConceptDemo!$L$29,IF(P138=$W$15,ConceptDemo!$L$27,""),"")</f>
        <v/>
      </c>
      <c r="W138" s="18">
        <f>IF($P138&lt;ConceptDemo!$C$17+$E$24-10,$G$27,0)</f>
        <v>0</v>
      </c>
      <c r="X138" s="18">
        <f>IF($P138&lt;ConceptDemo!$C$17+$E$24-10,$H$27,0)</f>
        <v>0</v>
      </c>
      <c r="Y138" s="10">
        <f t="shared" si="11"/>
        <v>0</v>
      </c>
      <c r="Z138" s="10">
        <f t="shared" si="12"/>
        <v>0</v>
      </c>
      <c r="AA138" s="10">
        <f t="shared" si="13"/>
        <v>0</v>
      </c>
      <c r="AB138" s="10">
        <f t="shared" si="14"/>
        <v>0</v>
      </c>
      <c r="AC138" s="18">
        <f t="shared" si="15"/>
        <v>0</v>
      </c>
      <c r="AD138" s="18">
        <f>IF(P138&lt;=ConceptDemo!$C$18,AD137+SUM(W138:AB138)-(Q138-Q137)-AC138,0)</f>
        <v>0</v>
      </c>
      <c r="AE138" s="18" t="e">
        <f>IF(ConceptDemo!$C$7=Backend!$A$2,AD138,IF(AE137&lt;&gt;AD137,IF(P138&lt;=ConceptDemo!$C$18,AE137+SUM(W138:AB138)-(Q138-Q137)-AC138,0),IF(P138=ConceptDemo!#REF!,ConceptDemo!#REF!,AD138)))</f>
        <v>#REF!</v>
      </c>
      <c r="AF138" s="18" t="e">
        <f t="shared" si="17"/>
        <v>#REF!</v>
      </c>
      <c r="AG138" s="18" t="e">
        <f t="shared" si="18"/>
        <v>#REF!</v>
      </c>
      <c r="AH138" s="18" t="e">
        <f t="shared" si="16"/>
        <v>#REF!</v>
      </c>
    </row>
    <row r="139" spans="1:34" x14ac:dyDescent="0.25">
      <c r="P139" s="12" t="str">
        <f>IFERROR(IF(P138+1=ConceptDemo!$C$18+10,"",Backend!P138+1),"")</f>
        <v/>
      </c>
      <c r="Q139" s="10">
        <f>IF(OR(P139&lt;ConceptDemo!$C$17,Backend!P139&gt;ConceptDemo!$C$18),0,IF(Backend!P139&lt;=Backend!$R$12,Backend!Q138+Backend!$T$12,IF(Backend!P139&lt;=Backend!$R$13,Backend!Q138+Backend!$T$13,IF(Backend!P139&lt;=Backend!$R$14,Backend!Q138+Backend!$T$14,IF(Backend!P139&lt;=Backend!$R$15,Backend!Q138+Backend!$T$15,IF(Backend!P139&lt;=Backend!$X$16,Backend!Q138+Backend!$Z$16))))))</f>
        <v>0</v>
      </c>
      <c r="R139" s="19" t="str">
        <f>IF(1&lt;=ConceptDemo!$L$29,IF(P139=$W$12,ConceptDemo!$L$27,""),"")</f>
        <v/>
      </c>
      <c r="S139" s="19" t="str">
        <f>IF(2&lt;=ConceptDemo!$L$29,IF(P139=$W$13,ConceptDemo!$L$27,""),"")</f>
        <v/>
      </c>
      <c r="T139" s="19" t="str">
        <f>IF(3&lt;=ConceptDemo!$L$29,IF(P139=$W$14,ConceptDemo!$L$27,""),"")</f>
        <v/>
      </c>
      <c r="U139" s="19" t="str">
        <f>IF(4&lt;=ConceptDemo!$L$29,IF(P139=$W$15,ConceptDemo!$L$27,""),"")</f>
        <v/>
      </c>
      <c r="W139" s="18">
        <f>IF($P139&lt;ConceptDemo!$C$17+$E$24-10,$G$27,0)</f>
        <v>0</v>
      </c>
      <c r="X139" s="18">
        <f>IF($P139&lt;ConceptDemo!$C$17+$E$24-10,$H$27,0)</f>
        <v>0</v>
      </c>
      <c r="Y139" s="10">
        <f t="shared" si="11"/>
        <v>0</v>
      </c>
      <c r="Z139" s="10">
        <f t="shared" si="12"/>
        <v>0</v>
      </c>
      <c r="AA139" s="10">
        <f t="shared" si="13"/>
        <v>0</v>
      </c>
      <c r="AB139" s="10">
        <f t="shared" si="14"/>
        <v>0</v>
      </c>
      <c r="AC139" s="18">
        <f t="shared" si="15"/>
        <v>0</v>
      </c>
      <c r="AD139" s="18">
        <f>IF(P139&lt;=ConceptDemo!$C$18,AD138+SUM(W139:AB139)-(Q139-Q138)-AC139,0)</f>
        <v>0</v>
      </c>
      <c r="AE139" s="18" t="e">
        <f>IF(ConceptDemo!$C$7=Backend!$A$2,AD139,IF(AE138&lt;&gt;AD138,IF(P139&lt;=ConceptDemo!$C$18,AE138+SUM(W139:AB139)-(Q139-Q138)-AC139,0),IF(P139=ConceptDemo!#REF!,ConceptDemo!#REF!,AD139)))</f>
        <v>#REF!</v>
      </c>
      <c r="AF139" s="18" t="e">
        <f t="shared" si="17"/>
        <v>#REF!</v>
      </c>
      <c r="AG139" s="18" t="e">
        <f t="shared" si="18"/>
        <v>#REF!</v>
      </c>
      <c r="AH139" s="18" t="e">
        <f t="shared" si="16"/>
        <v>#REF!</v>
      </c>
    </row>
    <row r="140" spans="1:34" x14ac:dyDescent="0.25">
      <c r="P140" s="12" t="str">
        <f>IFERROR(IF(P139+1=ConceptDemo!$C$18+10,"",Backend!P139+1),"")</f>
        <v/>
      </c>
      <c r="Q140" s="10">
        <f>IF(OR(P140&lt;ConceptDemo!$C$17,Backend!P140&gt;ConceptDemo!$C$18),0,IF(Backend!P140&lt;=Backend!$R$12,Backend!Q139+Backend!$T$12,IF(Backend!P140&lt;=Backend!$R$13,Backend!Q139+Backend!$T$13,IF(Backend!P140&lt;=Backend!$R$14,Backend!Q139+Backend!$T$14,IF(Backend!P140&lt;=Backend!$R$15,Backend!Q139+Backend!$T$15,IF(Backend!P140&lt;=Backend!$X$16,Backend!Q139+Backend!$Z$16))))))</f>
        <v>0</v>
      </c>
      <c r="R140" s="19" t="str">
        <f>IF(1&lt;=ConceptDemo!$L$29,IF(P140=$W$12,ConceptDemo!$L$27,""),"")</f>
        <v/>
      </c>
      <c r="S140" s="19" t="str">
        <f>IF(2&lt;=ConceptDemo!$L$29,IF(P140=$W$13,ConceptDemo!$L$27,""),"")</f>
        <v/>
      </c>
      <c r="T140" s="19" t="str">
        <f>IF(3&lt;=ConceptDemo!$L$29,IF(P140=$W$14,ConceptDemo!$L$27,""),"")</f>
        <v/>
      </c>
      <c r="U140" s="19" t="str">
        <f>IF(4&lt;=ConceptDemo!$L$29,IF(P140=$W$15,ConceptDemo!$L$27,""),"")</f>
        <v/>
      </c>
      <c r="W140" s="18">
        <f>IF($P140&lt;ConceptDemo!$C$17+$E$24-10,$G$27,0)</f>
        <v>0</v>
      </c>
      <c r="X140" s="18">
        <f>IF($P140&lt;ConceptDemo!$C$17+$E$24-10,$H$27,0)</f>
        <v>0</v>
      </c>
      <c r="Y140" s="10">
        <f t="shared" si="11"/>
        <v>0</v>
      </c>
      <c r="Z140" s="10">
        <f t="shared" si="12"/>
        <v>0</v>
      </c>
      <c r="AA140" s="10">
        <f t="shared" si="13"/>
        <v>0</v>
      </c>
      <c r="AB140" s="10">
        <f t="shared" si="14"/>
        <v>0</v>
      </c>
      <c r="AC140" s="18">
        <f t="shared" si="15"/>
        <v>0</v>
      </c>
      <c r="AD140" s="18">
        <f>IF(P140&lt;=ConceptDemo!$C$18,AD139+SUM(W140:AB140)-(Q140-Q139)-AC140,0)</f>
        <v>0</v>
      </c>
      <c r="AE140" s="18" t="e">
        <f>IF(ConceptDemo!$C$7=Backend!$A$2,AD140,IF(AE139&lt;&gt;AD139,IF(P140&lt;=ConceptDemo!$C$18,AE139+SUM(W140:AB140)-(Q140-Q139)-AC140,0),IF(P140=ConceptDemo!#REF!,ConceptDemo!#REF!,AD140)))</f>
        <v>#REF!</v>
      </c>
      <c r="AF140" s="18" t="e">
        <f t="shared" si="17"/>
        <v>#REF!</v>
      </c>
      <c r="AG140" s="18" t="e">
        <f t="shared" si="18"/>
        <v>#REF!</v>
      </c>
      <c r="AH140" s="18" t="e">
        <f t="shared" si="16"/>
        <v>#REF!</v>
      </c>
    </row>
    <row r="141" spans="1:34" x14ac:dyDescent="0.25">
      <c r="P141" s="12" t="str">
        <f>IFERROR(IF(P140+1=ConceptDemo!$C$18+10,"",Backend!P140+1),"")</f>
        <v/>
      </c>
      <c r="Q141" s="10">
        <f>IF(OR(P141&lt;ConceptDemo!$C$17,Backend!P141&gt;ConceptDemo!$C$18),0,IF(Backend!P141&lt;=Backend!$R$12,Backend!Q140+Backend!$T$12,IF(Backend!P141&lt;=Backend!$R$13,Backend!Q140+Backend!$T$13,IF(Backend!P141&lt;=Backend!$R$14,Backend!Q140+Backend!$T$14,IF(Backend!P141&lt;=Backend!$R$15,Backend!Q140+Backend!$T$15,IF(Backend!P141&lt;=Backend!$X$16,Backend!Q140+Backend!$Z$16))))))</f>
        <v>0</v>
      </c>
      <c r="R141" s="19" t="str">
        <f>IF(1&lt;=ConceptDemo!$L$29,IF(P141=$W$12,ConceptDemo!$L$27,""),"")</f>
        <v/>
      </c>
      <c r="S141" s="19" t="str">
        <f>IF(2&lt;=ConceptDemo!$L$29,IF(P141=$W$13,ConceptDemo!$L$27,""),"")</f>
        <v/>
      </c>
      <c r="T141" s="19" t="str">
        <f>IF(3&lt;=ConceptDemo!$L$29,IF(P141=$W$14,ConceptDemo!$L$27,""),"")</f>
        <v/>
      </c>
      <c r="U141" s="19" t="str">
        <f>IF(4&lt;=ConceptDemo!$L$29,IF(P141=$W$15,ConceptDemo!$L$27,""),"")</f>
        <v/>
      </c>
      <c r="W141" s="18">
        <f>IF($P141&lt;ConceptDemo!$C$17+$E$24-10,$G$27,0)</f>
        <v>0</v>
      </c>
      <c r="X141" s="18">
        <f>IF($P141&lt;ConceptDemo!$C$17+$E$24-10,$H$27,0)</f>
        <v>0</v>
      </c>
      <c r="Y141" s="10">
        <f t="shared" si="11"/>
        <v>0</v>
      </c>
      <c r="Z141" s="10">
        <f t="shared" si="12"/>
        <v>0</v>
      </c>
      <c r="AA141" s="10">
        <f t="shared" si="13"/>
        <v>0</v>
      </c>
      <c r="AB141" s="10">
        <f t="shared" si="14"/>
        <v>0</v>
      </c>
      <c r="AC141" s="18">
        <f t="shared" si="15"/>
        <v>0</v>
      </c>
      <c r="AD141" s="18">
        <f>IF(P141&lt;=ConceptDemo!$C$18,AD140+SUM(W141:AB141)-(Q141-Q140)-AC141,0)</f>
        <v>0</v>
      </c>
      <c r="AE141" s="18" t="e">
        <f>IF(ConceptDemo!$C$7=Backend!$A$2,AD141,IF(AE140&lt;&gt;AD140,IF(P141&lt;=ConceptDemo!$C$18,AE140+SUM(W141:AB141)-(Q141-Q140)-AC141,0),IF(P141=ConceptDemo!#REF!,ConceptDemo!#REF!,AD141)))</f>
        <v>#REF!</v>
      </c>
      <c r="AF141" s="18" t="e">
        <f t="shared" si="17"/>
        <v>#REF!</v>
      </c>
      <c r="AG141" s="18" t="e">
        <f t="shared" si="18"/>
        <v>#REF!</v>
      </c>
      <c r="AH141" s="18" t="e">
        <f t="shared" si="16"/>
        <v>#REF!</v>
      </c>
    </row>
    <row r="142" spans="1:34" x14ac:dyDescent="0.25">
      <c r="P142" s="12" t="str">
        <f>IFERROR(IF(P141+1=ConceptDemo!$C$18+10,"",Backend!P141+1),"")</f>
        <v/>
      </c>
      <c r="Q142" s="10">
        <f>IF(OR(P142&lt;ConceptDemo!$C$17,Backend!P142&gt;ConceptDemo!$C$18),0,IF(Backend!P142&lt;=Backend!$R$12,Backend!Q141+Backend!$T$12,IF(Backend!P142&lt;=Backend!$R$13,Backend!Q141+Backend!$T$13,IF(Backend!P142&lt;=Backend!$R$14,Backend!Q141+Backend!$T$14,IF(Backend!P142&lt;=Backend!$R$15,Backend!Q141+Backend!$T$15,IF(Backend!P142&lt;=Backend!$X$16,Backend!Q141+Backend!$Z$16))))))</f>
        <v>0</v>
      </c>
      <c r="R142" s="19" t="str">
        <f>IF(1&lt;=ConceptDemo!$L$29,IF(P142=$W$12,ConceptDemo!$L$27,""),"")</f>
        <v/>
      </c>
      <c r="S142" s="19" t="str">
        <f>IF(2&lt;=ConceptDemo!$L$29,IF(P142=$W$13,ConceptDemo!$L$27,""),"")</f>
        <v/>
      </c>
      <c r="T142" s="19" t="str">
        <f>IF(3&lt;=ConceptDemo!$L$29,IF(P142=$W$14,ConceptDemo!$L$27,""),"")</f>
        <v/>
      </c>
      <c r="U142" s="19" t="str">
        <f>IF(4&lt;=ConceptDemo!$L$29,IF(P142=$W$15,ConceptDemo!$L$27,""),"")</f>
        <v/>
      </c>
      <c r="W142" s="18">
        <f>IF($P142&lt;ConceptDemo!$C$17+$E$24-10,$G$27,0)</f>
        <v>0</v>
      </c>
      <c r="X142" s="18">
        <f>IF($P142&lt;ConceptDemo!$C$17+$E$24-10,$H$27,0)</f>
        <v>0</v>
      </c>
      <c r="Y142" s="10">
        <f t="shared" si="11"/>
        <v>0</v>
      </c>
      <c r="Z142" s="10">
        <f t="shared" si="12"/>
        <v>0</v>
      </c>
      <c r="AA142" s="10">
        <f t="shared" si="13"/>
        <v>0</v>
      </c>
      <c r="AB142" s="10">
        <f t="shared" si="14"/>
        <v>0</v>
      </c>
      <c r="AC142" s="18">
        <f t="shared" si="15"/>
        <v>0</v>
      </c>
      <c r="AD142" s="18">
        <f>IF(P142&lt;=ConceptDemo!$C$18,AD141+SUM(W142:AB142)-(Q142-Q141)-AC142,0)</f>
        <v>0</v>
      </c>
      <c r="AE142" s="18" t="e">
        <f>IF(ConceptDemo!$C$7=Backend!$A$2,AD142,IF(AE141&lt;&gt;AD141,IF(P142&lt;=ConceptDemo!$C$18,AE141+SUM(W142:AB142)-(Q142-Q141)-AC142,0),IF(P142=ConceptDemo!#REF!,ConceptDemo!#REF!,AD142)))</f>
        <v>#REF!</v>
      </c>
      <c r="AF142" s="18" t="e">
        <f t="shared" si="17"/>
        <v>#REF!</v>
      </c>
      <c r="AG142" s="18" t="e">
        <f t="shared" si="18"/>
        <v>#REF!</v>
      </c>
      <c r="AH142" s="18" t="e">
        <f t="shared" si="16"/>
        <v>#REF!</v>
      </c>
    </row>
    <row r="143" spans="1:34" x14ac:dyDescent="0.25">
      <c r="P143" s="12" t="str">
        <f>IFERROR(IF(P142+1=ConceptDemo!$C$18+10,"",Backend!P142+1),"")</f>
        <v/>
      </c>
      <c r="Q143" s="10">
        <f>IF(OR(P143&lt;ConceptDemo!$C$17,Backend!P143&gt;ConceptDemo!$C$18),0,IF(Backend!P143&lt;=Backend!$R$12,Backend!Q142+Backend!$T$12,IF(Backend!P143&lt;=Backend!$R$13,Backend!Q142+Backend!$T$13,IF(Backend!P143&lt;=Backend!$R$14,Backend!Q142+Backend!$T$14,IF(Backend!P143&lt;=Backend!$R$15,Backend!Q142+Backend!$T$15,IF(Backend!P143&lt;=Backend!$X$16,Backend!Q142+Backend!$Z$16))))))</f>
        <v>0</v>
      </c>
      <c r="R143" s="19" t="str">
        <f>IF(1&lt;=ConceptDemo!$L$29,IF(P143=$W$12,ConceptDemo!$L$27,""),"")</f>
        <v/>
      </c>
      <c r="S143" s="19" t="str">
        <f>IF(2&lt;=ConceptDemo!$L$29,IF(P143=$W$13,ConceptDemo!$L$27,""),"")</f>
        <v/>
      </c>
      <c r="T143" s="19" t="str">
        <f>IF(3&lt;=ConceptDemo!$L$29,IF(P143=$W$14,ConceptDemo!$L$27,""),"")</f>
        <v/>
      </c>
      <c r="U143" s="19" t="str">
        <f>IF(4&lt;=ConceptDemo!$L$29,IF(P143=$W$15,ConceptDemo!$L$27,""),"")</f>
        <v/>
      </c>
      <c r="W143" s="18">
        <f>IF($P143&lt;ConceptDemo!$C$17+$E$24-10,$G$27,0)</f>
        <v>0</v>
      </c>
      <c r="X143" s="18">
        <f>IF($P143&lt;ConceptDemo!$C$17+$E$24-10,$H$27,0)</f>
        <v>0</v>
      </c>
      <c r="Y143" s="10">
        <f t="shared" si="11"/>
        <v>0</v>
      </c>
      <c r="Z143" s="10">
        <f t="shared" si="12"/>
        <v>0</v>
      </c>
      <c r="AA143" s="10">
        <f t="shared" si="13"/>
        <v>0</v>
      </c>
      <c r="AB143" s="10">
        <f t="shared" si="14"/>
        <v>0</v>
      </c>
      <c r="AC143" s="18">
        <f t="shared" si="15"/>
        <v>0</v>
      </c>
      <c r="AD143" s="18">
        <f>IF(P143&lt;=ConceptDemo!$C$18,AD142+SUM(W143:AB143)-(Q143-Q142)-AC143,0)</f>
        <v>0</v>
      </c>
      <c r="AE143" s="18" t="e">
        <f>IF(ConceptDemo!$C$7=Backend!$A$2,AD143,IF(AE142&lt;&gt;AD142,IF(P143&lt;=ConceptDemo!$C$18,AE142+SUM(W143:AB143)-(Q143-Q142)-AC143,0),IF(P143=ConceptDemo!#REF!,ConceptDemo!#REF!,AD143)))</f>
        <v>#REF!</v>
      </c>
      <c r="AF143" s="18" t="e">
        <f t="shared" si="17"/>
        <v>#REF!</v>
      </c>
      <c r="AG143" s="18" t="e">
        <f t="shared" si="18"/>
        <v>#REF!</v>
      </c>
      <c r="AH143" s="18" t="e">
        <f t="shared" si="16"/>
        <v>#REF!</v>
      </c>
    </row>
    <row r="144" spans="1:34" x14ac:dyDescent="0.25">
      <c r="P144" s="12" t="str">
        <f>IFERROR(IF(P143+1=ConceptDemo!$C$18+10,"",Backend!P143+1),"")</f>
        <v/>
      </c>
      <c r="Q144" s="10">
        <f>IF(OR(P144&lt;ConceptDemo!$C$17,Backend!P144&gt;ConceptDemo!$C$18),0,IF(Backend!P144&lt;=Backend!$R$12,Backend!Q143+Backend!$T$12,IF(Backend!P144&lt;=Backend!$R$13,Backend!Q143+Backend!$T$13,IF(Backend!P144&lt;=Backend!$R$14,Backend!Q143+Backend!$T$14,IF(Backend!P144&lt;=Backend!$R$15,Backend!Q143+Backend!$T$15,IF(Backend!P144&lt;=Backend!$X$16,Backend!Q143+Backend!$Z$16))))))</f>
        <v>0</v>
      </c>
      <c r="R144" s="19" t="str">
        <f>IF(1&lt;=ConceptDemo!$L$29,IF(P144=$W$12,ConceptDemo!$L$27,""),"")</f>
        <v/>
      </c>
      <c r="S144" s="19" t="str">
        <f>IF(2&lt;=ConceptDemo!$L$29,IF(P144=$W$13,ConceptDemo!$L$27,""),"")</f>
        <v/>
      </c>
      <c r="T144" s="19" t="str">
        <f>IF(3&lt;=ConceptDemo!$L$29,IF(P144=$W$14,ConceptDemo!$L$27,""),"")</f>
        <v/>
      </c>
      <c r="U144" s="19" t="str">
        <f>IF(4&lt;=ConceptDemo!$L$29,IF(P144=$W$15,ConceptDemo!$L$27,""),"")</f>
        <v/>
      </c>
      <c r="W144" s="18">
        <f>IF($P144&lt;ConceptDemo!$C$17+$E$24-10,$G$27,0)</f>
        <v>0</v>
      </c>
      <c r="X144" s="18">
        <f>IF($P144&lt;ConceptDemo!$C$17+$E$24-10,$H$27,0)</f>
        <v>0</v>
      </c>
      <c r="Y144" s="10">
        <f t="shared" si="11"/>
        <v>0</v>
      </c>
      <c r="Z144" s="10">
        <f t="shared" si="12"/>
        <v>0</v>
      </c>
      <c r="AA144" s="10">
        <f t="shared" si="13"/>
        <v>0</v>
      </c>
      <c r="AB144" s="10">
        <f t="shared" si="14"/>
        <v>0</v>
      </c>
      <c r="AC144" s="18">
        <f t="shared" si="15"/>
        <v>0</v>
      </c>
      <c r="AD144" s="18">
        <f>IF(P144&lt;=ConceptDemo!$C$18,AD143+SUM(W144:AB144)-(Q144-Q143)-AC144,0)</f>
        <v>0</v>
      </c>
      <c r="AE144" s="18" t="e">
        <f>IF(ConceptDemo!$C$7=Backend!$A$2,AD144,IF(AE143&lt;&gt;AD143,IF(P144&lt;=ConceptDemo!$C$18,AE143+SUM(W144:AB144)-(Q144-Q143)-AC144,0),IF(P144=ConceptDemo!#REF!,ConceptDemo!#REF!,AD144)))</f>
        <v>#REF!</v>
      </c>
      <c r="AF144" s="18" t="e">
        <f t="shared" si="17"/>
        <v>#REF!</v>
      </c>
      <c r="AG144" s="18" t="e">
        <f t="shared" si="18"/>
        <v>#REF!</v>
      </c>
      <c r="AH144" s="18" t="e">
        <f t="shared" si="16"/>
        <v>#REF!</v>
      </c>
    </row>
    <row r="145" spans="16:34" x14ac:dyDescent="0.25">
      <c r="P145" s="12" t="str">
        <f>IFERROR(IF(P144+1=ConceptDemo!$C$18+10,"",Backend!P144+1),"")</f>
        <v/>
      </c>
      <c r="Q145" s="10">
        <f>IF(OR(P145&lt;ConceptDemo!$C$17,Backend!P145&gt;ConceptDemo!$C$18),0,IF(Backend!P145&lt;=Backend!$R$12,Backend!Q144+Backend!$T$12,IF(Backend!P145&lt;=Backend!$R$13,Backend!Q144+Backend!$T$13,IF(Backend!P145&lt;=Backend!$R$14,Backend!Q144+Backend!$T$14,IF(Backend!P145&lt;=Backend!$R$15,Backend!Q144+Backend!$T$15,IF(Backend!P145&lt;=Backend!$X$16,Backend!Q144+Backend!$Z$16))))))</f>
        <v>0</v>
      </c>
      <c r="R145" s="19" t="str">
        <f>IF(1&lt;=ConceptDemo!$L$29,IF(P145=$W$12,ConceptDemo!$L$27,""),"")</f>
        <v/>
      </c>
      <c r="S145" s="19" t="str">
        <f>IF(2&lt;=ConceptDemo!$L$29,IF(P145=$W$13,ConceptDemo!$L$27,""),"")</f>
        <v/>
      </c>
      <c r="T145" s="19" t="str">
        <f>IF(3&lt;=ConceptDemo!$L$29,IF(P145=$W$14,ConceptDemo!$L$27,""),"")</f>
        <v/>
      </c>
      <c r="U145" s="19" t="str">
        <f>IF(4&lt;=ConceptDemo!$L$29,IF(P145=$W$15,ConceptDemo!$L$27,""),"")</f>
        <v/>
      </c>
      <c r="W145" s="18">
        <f>IF($P145&lt;ConceptDemo!$C$17+$E$24-10,$G$27,0)</f>
        <v>0</v>
      </c>
      <c r="X145" s="18">
        <f>IF($P145&lt;ConceptDemo!$C$17+$E$24-10,$H$27,0)</f>
        <v>0</v>
      </c>
      <c r="Y145" s="10">
        <f t="shared" si="11"/>
        <v>0</v>
      </c>
      <c r="Z145" s="10">
        <f t="shared" si="12"/>
        <v>0</v>
      </c>
      <c r="AA145" s="10">
        <f t="shared" si="13"/>
        <v>0</v>
      </c>
      <c r="AB145" s="10">
        <f t="shared" si="14"/>
        <v>0</v>
      </c>
      <c r="AC145" s="18">
        <f t="shared" si="15"/>
        <v>0</v>
      </c>
      <c r="AD145" s="18">
        <f>IF(P145&lt;=ConceptDemo!$C$18,AD144+SUM(W145:AB145)-(Q145-Q144)-AC145,0)</f>
        <v>0</v>
      </c>
      <c r="AE145" s="18" t="e">
        <f>IF(ConceptDemo!$C$7=Backend!$A$2,AD145,IF(AE144&lt;&gt;AD144,IF(P145&lt;=ConceptDemo!$C$18,AE144+SUM(W145:AB145)-(Q145-Q144)-AC145,0),IF(P145=ConceptDemo!#REF!,ConceptDemo!#REF!,AD145)))</f>
        <v>#REF!</v>
      </c>
      <c r="AF145" s="18" t="e">
        <f t="shared" si="17"/>
        <v>#REF!</v>
      </c>
      <c r="AG145" s="18" t="e">
        <f t="shared" si="18"/>
        <v>#REF!</v>
      </c>
      <c r="AH145" s="18" t="e">
        <f t="shared" si="16"/>
        <v>#REF!</v>
      </c>
    </row>
    <row r="146" spans="16:34" x14ac:dyDescent="0.25">
      <c r="P146" s="12" t="str">
        <f>IFERROR(IF(P145+1=ConceptDemo!$C$18+10,"",Backend!P145+1),"")</f>
        <v/>
      </c>
      <c r="Q146" s="10">
        <f>IF(OR(P146&lt;ConceptDemo!$C$17,Backend!P146&gt;ConceptDemo!$C$18),0,IF(Backend!P146&lt;=Backend!$R$12,Backend!Q145+Backend!$T$12,IF(Backend!P146&lt;=Backend!$R$13,Backend!Q145+Backend!$T$13,IF(Backend!P146&lt;=Backend!$R$14,Backend!Q145+Backend!$T$14,IF(Backend!P146&lt;=Backend!$R$15,Backend!Q145+Backend!$T$15,IF(Backend!P146&lt;=Backend!$X$16,Backend!Q145+Backend!$Z$16))))))</f>
        <v>0</v>
      </c>
      <c r="R146" s="19" t="str">
        <f>IF(1&lt;=ConceptDemo!$L$29,IF(P146=$W$12,ConceptDemo!$L$27,""),"")</f>
        <v/>
      </c>
      <c r="S146" s="19" t="str">
        <f>IF(2&lt;=ConceptDemo!$L$29,IF(P146=$W$13,ConceptDemo!$L$27,""),"")</f>
        <v/>
      </c>
      <c r="T146" s="19" t="str">
        <f>IF(3&lt;=ConceptDemo!$L$29,IF(P146=$W$14,ConceptDemo!$L$27,""),"")</f>
        <v/>
      </c>
      <c r="U146" s="19" t="str">
        <f>IF(4&lt;=ConceptDemo!$L$29,IF(P146=$W$15,ConceptDemo!$L$27,""),"")</f>
        <v/>
      </c>
      <c r="W146" s="18">
        <f>IF($P146&lt;ConceptDemo!$C$17+$E$24-10,$G$27,0)</f>
        <v>0</v>
      </c>
      <c r="X146" s="18">
        <f>IF($P146&lt;ConceptDemo!$C$17+$E$24-10,$H$27,0)</f>
        <v>0</v>
      </c>
      <c r="Y146" s="10">
        <f t="shared" si="11"/>
        <v>0</v>
      </c>
      <c r="Z146" s="10">
        <f t="shared" si="12"/>
        <v>0</v>
      </c>
      <c r="AA146" s="10">
        <f t="shared" si="13"/>
        <v>0</v>
      </c>
      <c r="AB146" s="10">
        <f t="shared" si="14"/>
        <v>0</v>
      </c>
      <c r="AC146" s="18">
        <f t="shared" si="15"/>
        <v>0</v>
      </c>
      <c r="AD146" s="18">
        <f>IF(P146&lt;=ConceptDemo!$C$18,AD145+SUM(W146:AB146)-(Q146-Q145)-AC146,0)</f>
        <v>0</v>
      </c>
      <c r="AE146" s="18" t="e">
        <f>IF(ConceptDemo!$C$7=Backend!$A$2,AD146,IF(AE145&lt;&gt;AD145,IF(P146&lt;=ConceptDemo!$C$18,AE145+SUM(W146:AB146)-(Q146-Q145)-AC146,0),IF(P146=ConceptDemo!#REF!,ConceptDemo!#REF!,AD146)))</f>
        <v>#REF!</v>
      </c>
      <c r="AF146" s="18" t="e">
        <f t="shared" si="17"/>
        <v>#REF!</v>
      </c>
      <c r="AG146" s="18" t="e">
        <f t="shared" si="18"/>
        <v>#REF!</v>
      </c>
      <c r="AH146" s="18" t="e">
        <f t="shared" si="16"/>
        <v>#REF!</v>
      </c>
    </row>
    <row r="147" spans="16:34" x14ac:dyDescent="0.25">
      <c r="P147" s="12" t="str">
        <f>IFERROR(IF(P146+1=ConceptDemo!$C$18+10,"",Backend!P146+1),"")</f>
        <v/>
      </c>
      <c r="Q147" s="10">
        <f>IF(OR(P147&lt;ConceptDemo!$C$17,Backend!P147&gt;ConceptDemo!$C$18),0,IF(Backend!P147&lt;=Backend!$R$12,Backend!Q146+Backend!$T$12,IF(Backend!P147&lt;=Backend!$R$13,Backend!Q146+Backend!$T$13,IF(Backend!P147&lt;=Backend!$R$14,Backend!Q146+Backend!$T$14,IF(Backend!P147&lt;=Backend!$R$15,Backend!Q146+Backend!$T$15,IF(Backend!P147&lt;=Backend!$X$16,Backend!Q146+Backend!$Z$16))))))</f>
        <v>0</v>
      </c>
      <c r="R147" s="19" t="str">
        <f>IF(1&lt;=ConceptDemo!$L$29,IF(P147=$W$12,ConceptDemo!$L$27,""),"")</f>
        <v/>
      </c>
      <c r="S147" s="19" t="str">
        <f>IF(2&lt;=ConceptDemo!$L$29,IF(P147=$W$13,ConceptDemo!$L$27,""),"")</f>
        <v/>
      </c>
      <c r="T147" s="19" t="str">
        <f>IF(3&lt;=ConceptDemo!$L$29,IF(P147=$W$14,ConceptDemo!$L$27,""),"")</f>
        <v/>
      </c>
      <c r="U147" s="19" t="str">
        <f>IF(4&lt;=ConceptDemo!$L$29,IF(P147=$W$15,ConceptDemo!$L$27,""),"")</f>
        <v/>
      </c>
      <c r="W147" s="18">
        <f>IF($P147&lt;ConceptDemo!$C$17+$E$24-10,$G$27,0)</f>
        <v>0</v>
      </c>
      <c r="X147" s="18">
        <f>IF($P147&lt;ConceptDemo!$C$17+$E$24-10,$H$27,0)</f>
        <v>0</v>
      </c>
      <c r="Y147" s="10">
        <f t="shared" si="11"/>
        <v>0</v>
      </c>
      <c r="Z147" s="10">
        <f t="shared" si="12"/>
        <v>0</v>
      </c>
      <c r="AA147" s="10">
        <f t="shared" si="13"/>
        <v>0</v>
      </c>
      <c r="AB147" s="10">
        <f t="shared" si="14"/>
        <v>0</v>
      </c>
      <c r="AC147" s="18">
        <f t="shared" si="15"/>
        <v>0</v>
      </c>
      <c r="AD147" s="18">
        <f>IF(P147&lt;=ConceptDemo!$C$18,AD146+SUM(W147:AB147)-(Q147-Q146)-AC147,0)</f>
        <v>0</v>
      </c>
      <c r="AE147" s="18" t="e">
        <f>IF(ConceptDemo!$C$7=Backend!$A$2,AD147,IF(AE146&lt;&gt;AD146,IF(P147&lt;=ConceptDemo!$C$18,AE146+SUM(W147:AB147)-(Q147-Q146)-AC147,0),IF(P147=ConceptDemo!#REF!,ConceptDemo!#REF!,AD147)))</f>
        <v>#REF!</v>
      </c>
      <c r="AF147" s="18" t="e">
        <f t="shared" si="17"/>
        <v>#REF!</v>
      </c>
      <c r="AG147" s="18" t="e">
        <f t="shared" si="18"/>
        <v>#REF!</v>
      </c>
      <c r="AH147" s="18" t="e">
        <f t="shared" si="16"/>
        <v>#REF!</v>
      </c>
    </row>
    <row r="148" spans="16:34" x14ac:dyDescent="0.25">
      <c r="P148" s="12" t="str">
        <f>IFERROR(IF(P147+1=ConceptDemo!$C$18+10,"",Backend!P147+1),"")</f>
        <v/>
      </c>
      <c r="Q148" s="10">
        <f>IF(OR(P148&lt;ConceptDemo!$C$17,Backend!P148&gt;ConceptDemo!$C$18),0,IF(Backend!P148&lt;=Backend!$R$12,Backend!Q147+Backend!$T$12,IF(Backend!P148&lt;=Backend!$R$13,Backend!Q147+Backend!$T$13,IF(Backend!P148&lt;=Backend!$R$14,Backend!Q147+Backend!$T$14,IF(Backend!P148&lt;=Backend!$R$15,Backend!Q147+Backend!$T$15,IF(Backend!P148&lt;=Backend!$X$16,Backend!Q147+Backend!$Z$16))))))</f>
        <v>0</v>
      </c>
      <c r="R148" s="19" t="str">
        <f>IF(1&lt;=ConceptDemo!$L$29,IF(P148=$W$12,ConceptDemo!$L$27,""),"")</f>
        <v/>
      </c>
      <c r="S148" s="19" t="str">
        <f>IF(2&lt;=ConceptDemo!$L$29,IF(P148=$W$13,ConceptDemo!$L$27,""),"")</f>
        <v/>
      </c>
      <c r="T148" s="19" t="str">
        <f>IF(3&lt;=ConceptDemo!$L$29,IF(P148=$W$14,ConceptDemo!$L$27,""),"")</f>
        <v/>
      </c>
      <c r="U148" s="19" t="str">
        <f>IF(4&lt;=ConceptDemo!$L$29,IF(P148=$W$15,ConceptDemo!$L$27,""),"")</f>
        <v/>
      </c>
      <c r="W148" s="18">
        <f>IF($P148&lt;ConceptDemo!$C$17+$E$24-10,$G$27,0)</f>
        <v>0</v>
      </c>
      <c r="X148" s="18">
        <f>IF($P148&lt;ConceptDemo!$C$17+$E$24-10,$H$27,0)</f>
        <v>0</v>
      </c>
      <c r="Y148" s="10">
        <f t="shared" si="11"/>
        <v>0</v>
      </c>
      <c r="Z148" s="10">
        <f t="shared" si="12"/>
        <v>0</v>
      </c>
      <c r="AA148" s="10">
        <f t="shared" si="13"/>
        <v>0</v>
      </c>
      <c r="AB148" s="10">
        <f t="shared" si="14"/>
        <v>0</v>
      </c>
      <c r="AC148" s="18">
        <f t="shared" si="15"/>
        <v>0</v>
      </c>
      <c r="AD148" s="18">
        <f>IF(P148&lt;=ConceptDemo!$C$18,AD147+SUM(W148:AB148)-(Q148-Q147)-AC148,0)</f>
        <v>0</v>
      </c>
      <c r="AE148" s="18" t="e">
        <f>IF(ConceptDemo!$C$7=Backend!$A$2,AD148,IF(AE147&lt;&gt;AD147,IF(P148&lt;=ConceptDemo!$C$18,AE147+SUM(W148:AB148)-(Q148-Q147)-AC148,0),IF(P148=ConceptDemo!#REF!,ConceptDemo!#REF!,AD148)))</f>
        <v>#REF!</v>
      </c>
      <c r="AF148" s="18" t="e">
        <f t="shared" si="17"/>
        <v>#REF!</v>
      </c>
      <c r="AG148" s="18" t="e">
        <f t="shared" si="18"/>
        <v>#REF!</v>
      </c>
      <c r="AH148" s="18" t="e">
        <f t="shared" si="16"/>
        <v>#REF!</v>
      </c>
    </row>
    <row r="149" spans="16:34" x14ac:dyDescent="0.25">
      <c r="P149" s="12" t="str">
        <f>IFERROR(IF(P148+1=ConceptDemo!$C$18+10,"",Backend!P148+1),"")</f>
        <v/>
      </c>
      <c r="Q149" s="10">
        <f>IF(OR(P149&lt;ConceptDemo!$C$17,Backend!P149&gt;ConceptDemo!$C$18),0,IF(Backend!P149&lt;=Backend!$R$12,Backend!Q148+Backend!$T$12,IF(Backend!P149&lt;=Backend!$R$13,Backend!Q148+Backend!$T$13,IF(Backend!P149&lt;=Backend!$R$14,Backend!Q148+Backend!$T$14,IF(Backend!P149&lt;=Backend!$R$15,Backend!Q148+Backend!$T$15,IF(Backend!P149&lt;=Backend!$X$16,Backend!Q148+Backend!$Z$16))))))</f>
        <v>0</v>
      </c>
      <c r="R149" s="19" t="str">
        <f>IF(1&lt;=ConceptDemo!$L$29,IF(P149=$W$12,ConceptDemo!$L$27,""),"")</f>
        <v/>
      </c>
      <c r="S149" s="19" t="str">
        <f>IF(2&lt;=ConceptDemo!$L$29,IF(P149=$W$13,ConceptDemo!$L$27,""),"")</f>
        <v/>
      </c>
      <c r="T149" s="19" t="str">
        <f>IF(3&lt;=ConceptDemo!$L$29,IF(P149=$W$14,ConceptDemo!$L$27,""),"")</f>
        <v/>
      </c>
      <c r="U149" s="19" t="str">
        <f>IF(4&lt;=ConceptDemo!$L$29,IF(P149=$W$15,ConceptDemo!$L$27,""),"")</f>
        <v/>
      </c>
      <c r="W149" s="18">
        <f>IF($P149&lt;ConceptDemo!$C$17+$E$24-10,$G$27,0)</f>
        <v>0</v>
      </c>
      <c r="X149" s="18">
        <f>IF($P149&lt;ConceptDemo!$C$17+$E$24-10,$H$27,0)</f>
        <v>0</v>
      </c>
      <c r="Y149" s="10">
        <f t="shared" si="11"/>
        <v>0</v>
      </c>
      <c r="Z149" s="10">
        <f t="shared" si="12"/>
        <v>0</v>
      </c>
      <c r="AA149" s="10">
        <f t="shared" si="13"/>
        <v>0</v>
      </c>
      <c r="AB149" s="10">
        <f t="shared" si="14"/>
        <v>0</v>
      </c>
      <c r="AC149" s="18">
        <f t="shared" si="15"/>
        <v>0</v>
      </c>
      <c r="AD149" s="18">
        <f>IF(P149&lt;=ConceptDemo!$C$18,AD148+SUM(W149:AB149)-(Q149-Q148)-AC149,0)</f>
        <v>0</v>
      </c>
      <c r="AE149" s="18" t="e">
        <f>IF(ConceptDemo!$C$7=Backend!$A$2,AD149,IF(AE148&lt;&gt;AD148,IF(P149&lt;=ConceptDemo!$C$18,AE148+SUM(W149:AB149)-(Q149-Q148)-AC149,0),IF(P149=ConceptDemo!#REF!,ConceptDemo!#REF!,AD149)))</f>
        <v>#REF!</v>
      </c>
      <c r="AF149" s="18" t="e">
        <f t="shared" si="17"/>
        <v>#REF!</v>
      </c>
      <c r="AG149" s="18" t="e">
        <f t="shared" si="18"/>
        <v>#REF!</v>
      </c>
      <c r="AH149" s="18" t="e">
        <f t="shared" si="16"/>
        <v>#REF!</v>
      </c>
    </row>
    <row r="150" spans="16:34" x14ac:dyDescent="0.25">
      <c r="P150" s="12" t="str">
        <f>IFERROR(IF(P149+1=ConceptDemo!$C$18+10,"",Backend!P149+1),"")</f>
        <v/>
      </c>
      <c r="Q150" s="10">
        <f>IF(OR(P150&lt;ConceptDemo!$C$17,Backend!P150&gt;ConceptDemo!$C$18),0,IF(Backend!P150&lt;=Backend!$R$12,Backend!Q149+Backend!$T$12,IF(Backend!P150&lt;=Backend!$R$13,Backend!Q149+Backend!$T$13,IF(Backend!P150&lt;=Backend!$R$14,Backend!Q149+Backend!$T$14,IF(Backend!P150&lt;=Backend!$R$15,Backend!Q149+Backend!$T$15,IF(Backend!P150&lt;=Backend!$X$16,Backend!Q149+Backend!$Z$16))))))</f>
        <v>0</v>
      </c>
      <c r="R150" s="19" t="str">
        <f>IF(1&lt;=ConceptDemo!$L$29,IF(P150=$W$12,ConceptDemo!$L$27,""),"")</f>
        <v/>
      </c>
      <c r="S150" s="19" t="str">
        <f>IF(2&lt;=ConceptDemo!$L$29,IF(P150=$W$13,ConceptDemo!$L$27,""),"")</f>
        <v/>
      </c>
      <c r="T150" s="19" t="str">
        <f>IF(3&lt;=ConceptDemo!$L$29,IF(P150=$W$14,ConceptDemo!$L$27,""),"")</f>
        <v/>
      </c>
      <c r="U150" s="19" t="str">
        <f>IF(4&lt;=ConceptDemo!$L$29,IF(P150=$W$15,ConceptDemo!$L$27,""),"")</f>
        <v/>
      </c>
      <c r="W150" s="18">
        <f>IF($P150&lt;ConceptDemo!$C$17+$E$24-10,$G$27,0)</f>
        <v>0</v>
      </c>
      <c r="X150" s="18">
        <f>IF($P150&lt;ConceptDemo!$C$17+$E$24-10,$H$27,0)</f>
        <v>0</v>
      </c>
      <c r="Y150" s="10">
        <f t="shared" si="11"/>
        <v>0</v>
      </c>
      <c r="Z150" s="10">
        <f t="shared" si="12"/>
        <v>0</v>
      </c>
      <c r="AA150" s="10">
        <f t="shared" si="13"/>
        <v>0</v>
      </c>
      <c r="AB150" s="10">
        <f t="shared" si="14"/>
        <v>0</v>
      </c>
      <c r="AC150" s="18">
        <f t="shared" si="15"/>
        <v>0</v>
      </c>
      <c r="AD150" s="18">
        <f>IF(P150&lt;=ConceptDemo!$C$18,AD149+SUM(W150:AB150)-(Q150-Q149)-AC150,0)</f>
        <v>0</v>
      </c>
      <c r="AE150" s="18" t="e">
        <f>IF(ConceptDemo!$C$7=Backend!$A$2,AD150,IF(AE149&lt;&gt;AD149,IF(P150&lt;=ConceptDemo!$C$18,AE149+SUM(W150:AB150)-(Q150-Q149)-AC150,0),IF(P150=ConceptDemo!#REF!,ConceptDemo!#REF!,AD150)))</f>
        <v>#REF!</v>
      </c>
      <c r="AF150" s="18" t="e">
        <f t="shared" si="17"/>
        <v>#REF!</v>
      </c>
      <c r="AG150" s="18" t="e">
        <f t="shared" si="18"/>
        <v>#REF!</v>
      </c>
      <c r="AH150" s="18" t="e">
        <f t="shared" si="16"/>
        <v>#REF!</v>
      </c>
    </row>
    <row r="151" spans="16:34" x14ac:dyDescent="0.25">
      <c r="P151" s="12" t="str">
        <f>IFERROR(IF(P150+1=ConceptDemo!$C$18+10,"",Backend!P150+1),"")</f>
        <v/>
      </c>
      <c r="Q151" s="10">
        <f>IF(OR(P151&lt;ConceptDemo!$C$17,Backend!P151&gt;ConceptDemo!$C$18),0,IF(Backend!P151&lt;=Backend!$R$12,Backend!Q150+Backend!$T$12,IF(Backend!P151&lt;=Backend!$R$13,Backend!Q150+Backend!$T$13,IF(Backend!P151&lt;=Backend!$R$14,Backend!Q150+Backend!$T$14,IF(Backend!P151&lt;=Backend!$R$15,Backend!Q150+Backend!$T$15,IF(Backend!P151&lt;=Backend!$X$16,Backend!Q150+Backend!$Z$16))))))</f>
        <v>0</v>
      </c>
      <c r="R151" s="19" t="str">
        <f>IF(1&lt;=ConceptDemo!$L$29,IF(P151=$W$12,ConceptDemo!$L$27,""),"")</f>
        <v/>
      </c>
      <c r="S151" s="19" t="str">
        <f>IF(2&lt;=ConceptDemo!$L$29,IF(P151=$W$13,ConceptDemo!$L$27,""),"")</f>
        <v/>
      </c>
      <c r="T151" s="19" t="str">
        <f>IF(3&lt;=ConceptDemo!$L$29,IF(P151=$W$14,ConceptDemo!$L$27,""),"")</f>
        <v/>
      </c>
      <c r="U151" s="19" t="str">
        <f>IF(4&lt;=ConceptDemo!$L$29,IF(P151=$W$15,ConceptDemo!$L$27,""),"")</f>
        <v/>
      </c>
      <c r="W151" s="18">
        <f>IF($P151&lt;ConceptDemo!$C$17+$E$24-10,$G$27,0)</f>
        <v>0</v>
      </c>
      <c r="X151" s="18">
        <f>IF($P151&lt;ConceptDemo!$C$17+$E$24-10,$H$27,0)</f>
        <v>0</v>
      </c>
      <c r="Y151" s="10">
        <f t="shared" si="11"/>
        <v>0</v>
      </c>
      <c r="Z151" s="10">
        <f t="shared" si="12"/>
        <v>0</v>
      </c>
      <c r="AA151" s="10">
        <f t="shared" si="13"/>
        <v>0</v>
      </c>
      <c r="AB151" s="10">
        <f t="shared" si="14"/>
        <v>0</v>
      </c>
      <c r="AC151" s="18">
        <f t="shared" si="15"/>
        <v>0</v>
      </c>
      <c r="AD151" s="18">
        <f>IF(P151&lt;=ConceptDemo!$C$18,AD150+SUM(W151:AB151)-(Q151-Q150)-AC151,0)</f>
        <v>0</v>
      </c>
      <c r="AE151" s="18" t="e">
        <f>IF(ConceptDemo!$C$7=Backend!$A$2,AD151,IF(AE150&lt;&gt;AD150,IF(P151&lt;=ConceptDemo!$C$18,AE150+SUM(W151:AB151)-(Q151-Q150)-AC151,0),IF(P151=ConceptDemo!#REF!,ConceptDemo!#REF!,AD151)))</f>
        <v>#REF!</v>
      </c>
      <c r="AF151" s="18" t="e">
        <f t="shared" si="17"/>
        <v>#REF!</v>
      </c>
      <c r="AG151" s="18" t="e">
        <f t="shared" si="18"/>
        <v>#REF!</v>
      </c>
      <c r="AH151" s="18" t="e">
        <f t="shared" si="16"/>
        <v>#REF!</v>
      </c>
    </row>
    <row r="152" spans="16:34" x14ac:dyDescent="0.25">
      <c r="P152" s="12" t="str">
        <f>IFERROR(IF(P151+1=ConceptDemo!$C$18+10,"",Backend!P151+1),"")</f>
        <v/>
      </c>
      <c r="Q152" s="10">
        <f>IF(OR(P152&lt;ConceptDemo!$C$17,Backend!P152&gt;ConceptDemo!$C$18),0,IF(Backend!P152&lt;=Backend!$R$12,Backend!Q151+Backend!$T$12,IF(Backend!P152&lt;=Backend!$R$13,Backend!Q151+Backend!$T$13,IF(Backend!P152&lt;=Backend!$R$14,Backend!Q151+Backend!$T$14,IF(Backend!P152&lt;=Backend!$R$15,Backend!Q151+Backend!$T$15,IF(Backend!P152&lt;=Backend!$X$16,Backend!Q151+Backend!$Z$16))))))</f>
        <v>0</v>
      </c>
      <c r="R152" s="19" t="str">
        <f>IF(1&lt;=ConceptDemo!$L$29,IF(P152=$W$12,ConceptDemo!$L$27,""),"")</f>
        <v/>
      </c>
      <c r="S152" s="19" t="str">
        <f>IF(2&lt;=ConceptDemo!$L$29,IF(P152=$W$13,ConceptDemo!$L$27,""),"")</f>
        <v/>
      </c>
      <c r="T152" s="19" t="str">
        <f>IF(3&lt;=ConceptDemo!$L$29,IF(P152=$W$14,ConceptDemo!$L$27,""),"")</f>
        <v/>
      </c>
      <c r="U152" s="19" t="str">
        <f>IF(4&lt;=ConceptDemo!$L$29,IF(P152=$W$15,ConceptDemo!$L$27,""),"")</f>
        <v/>
      </c>
      <c r="W152" s="18">
        <f>IF($P152&lt;ConceptDemo!$C$17+$E$24-10,$G$27,0)</f>
        <v>0</v>
      </c>
      <c r="X152" s="18">
        <f>IF($P152&lt;ConceptDemo!$C$17+$E$24-10,$H$27,0)</f>
        <v>0</v>
      </c>
      <c r="Y152" s="10">
        <f t="shared" si="11"/>
        <v>0</v>
      </c>
      <c r="Z152" s="10">
        <f t="shared" si="12"/>
        <v>0</v>
      </c>
      <c r="AA152" s="10">
        <f t="shared" si="13"/>
        <v>0</v>
      </c>
      <c r="AB152" s="10">
        <f t="shared" si="14"/>
        <v>0</v>
      </c>
      <c r="AC152" s="18">
        <f t="shared" si="15"/>
        <v>0</v>
      </c>
      <c r="AD152" s="18">
        <f>IF(P152&lt;=ConceptDemo!$C$18,AD151+SUM(W152:AB152)-(Q152-Q151)-AC152,0)</f>
        <v>0</v>
      </c>
      <c r="AE152" s="18" t="e">
        <f>IF(ConceptDemo!$C$7=Backend!$A$2,AD152,IF(AE151&lt;&gt;AD151,IF(P152&lt;=ConceptDemo!$C$18,AE151+SUM(W152:AB152)-(Q152-Q151)-AC152,0),IF(P152=ConceptDemo!#REF!,ConceptDemo!#REF!,AD152)))</f>
        <v>#REF!</v>
      </c>
      <c r="AF152" s="18" t="e">
        <f t="shared" si="17"/>
        <v>#REF!</v>
      </c>
      <c r="AG152" s="18" t="e">
        <f t="shared" si="18"/>
        <v>#REF!</v>
      </c>
      <c r="AH152" s="18" t="e">
        <f t="shared" si="16"/>
        <v>#REF!</v>
      </c>
    </row>
    <row r="153" spans="16:34" x14ac:dyDescent="0.25">
      <c r="P153" s="12" t="str">
        <f>IFERROR(IF(P152+1=ConceptDemo!$C$18+10,"",Backend!P152+1),"")</f>
        <v/>
      </c>
      <c r="Q153" s="10">
        <f>IF(OR(P153&lt;ConceptDemo!$C$17,Backend!P153&gt;ConceptDemo!$C$18),0,IF(Backend!P153&lt;=Backend!$R$12,Backend!Q152+Backend!$T$12,IF(Backend!P153&lt;=Backend!$R$13,Backend!Q152+Backend!$T$13,IF(Backend!P153&lt;=Backend!$R$14,Backend!Q152+Backend!$T$14,IF(Backend!P153&lt;=Backend!$R$15,Backend!Q152+Backend!$T$15,IF(Backend!P153&lt;=Backend!$X$16,Backend!Q152+Backend!$Z$16))))))</f>
        <v>0</v>
      </c>
      <c r="R153" s="19" t="str">
        <f>IF(1&lt;=ConceptDemo!$L$29,IF(P153=$W$12,ConceptDemo!$L$27,""),"")</f>
        <v/>
      </c>
      <c r="S153" s="19" t="str">
        <f>IF(2&lt;=ConceptDemo!$L$29,IF(P153=$W$13,ConceptDemo!$L$27,""),"")</f>
        <v/>
      </c>
      <c r="T153" s="19" t="str">
        <f>IF(3&lt;=ConceptDemo!$L$29,IF(P153=$W$14,ConceptDemo!$L$27,""),"")</f>
        <v/>
      </c>
      <c r="U153" s="19" t="str">
        <f>IF(4&lt;=ConceptDemo!$L$29,IF(P153=$W$15,ConceptDemo!$L$27,""),"")</f>
        <v/>
      </c>
      <c r="W153" s="18">
        <f>IF($P153&lt;ConceptDemo!$C$17+$E$24-10,$G$27,0)</f>
        <v>0</v>
      </c>
      <c r="X153" s="18">
        <f>IF($P153&lt;ConceptDemo!$C$17+$E$24-10,$H$27,0)</f>
        <v>0</v>
      </c>
      <c r="Y153" s="10">
        <f t="shared" si="11"/>
        <v>0</v>
      </c>
      <c r="Z153" s="10">
        <f t="shared" si="12"/>
        <v>0</v>
      </c>
      <c r="AA153" s="10">
        <f t="shared" si="13"/>
        <v>0</v>
      </c>
      <c r="AB153" s="10">
        <f t="shared" si="14"/>
        <v>0</v>
      </c>
      <c r="AC153" s="18">
        <f t="shared" si="15"/>
        <v>0</v>
      </c>
      <c r="AD153" s="18">
        <f>IF(P153&lt;=ConceptDemo!$C$18,AD152+SUM(W153:AB153)-(Q153-Q152)-AC153,0)</f>
        <v>0</v>
      </c>
      <c r="AE153" s="18" t="e">
        <f>IF(ConceptDemo!$C$7=Backend!$A$2,AD153,IF(AE152&lt;&gt;AD152,IF(P153&lt;=ConceptDemo!$C$18,AE152+SUM(W153:AB153)-(Q153-Q152)-AC153,0),IF(P153=ConceptDemo!#REF!,ConceptDemo!#REF!,AD153)))</f>
        <v>#REF!</v>
      </c>
      <c r="AF153" s="18" t="e">
        <f t="shared" si="17"/>
        <v>#REF!</v>
      </c>
      <c r="AG153" s="18" t="e">
        <f t="shared" si="18"/>
        <v>#REF!</v>
      </c>
      <c r="AH153" s="18" t="e">
        <f t="shared" si="16"/>
        <v>#REF!</v>
      </c>
    </row>
    <row r="154" spans="16:34" x14ac:dyDescent="0.25">
      <c r="P154" s="12" t="str">
        <f>IFERROR(IF(P153+1=ConceptDemo!$C$18+10,"",Backend!P153+1),"")</f>
        <v/>
      </c>
      <c r="Q154" s="10">
        <f>IF(OR(P154&lt;ConceptDemo!$C$17,Backend!P154&gt;ConceptDemo!$C$18),0,IF(Backend!P154&lt;=Backend!$R$12,Backend!Q153+Backend!$T$12,IF(Backend!P154&lt;=Backend!$R$13,Backend!Q153+Backend!$T$13,IF(Backend!P154&lt;=Backend!$R$14,Backend!Q153+Backend!$T$14,IF(Backend!P154&lt;=Backend!$R$15,Backend!Q153+Backend!$T$15,IF(Backend!P154&lt;=Backend!$X$16,Backend!Q153+Backend!$Z$16))))))</f>
        <v>0</v>
      </c>
      <c r="R154" s="19" t="str">
        <f>IF(1&lt;=ConceptDemo!$L$29,IF(P154=$W$12,ConceptDemo!$L$27,""),"")</f>
        <v/>
      </c>
      <c r="S154" s="19" t="str">
        <f>IF(2&lt;=ConceptDemo!$L$29,IF(P154=$W$13,ConceptDemo!$L$27,""),"")</f>
        <v/>
      </c>
      <c r="T154" s="19" t="str">
        <f>IF(3&lt;=ConceptDemo!$L$29,IF(P154=$W$14,ConceptDemo!$L$27,""),"")</f>
        <v/>
      </c>
      <c r="U154" s="19" t="str">
        <f>IF(4&lt;=ConceptDemo!$L$29,IF(P154=$W$15,ConceptDemo!$L$27,""),"")</f>
        <v/>
      </c>
      <c r="W154" s="18">
        <f>IF($P154&lt;ConceptDemo!$C$17+$E$24-10,$G$27,0)</f>
        <v>0</v>
      </c>
      <c r="X154" s="18">
        <f>IF($P154&lt;ConceptDemo!$C$17+$E$24-10,$H$27,0)</f>
        <v>0</v>
      </c>
      <c r="Y154" s="10">
        <f t="shared" si="11"/>
        <v>0</v>
      </c>
      <c r="Z154" s="10">
        <f t="shared" si="12"/>
        <v>0</v>
      </c>
      <c r="AA154" s="10">
        <f t="shared" si="13"/>
        <v>0</v>
      </c>
      <c r="AB154" s="10">
        <f t="shared" si="14"/>
        <v>0</v>
      </c>
      <c r="AC154" s="18">
        <f t="shared" si="15"/>
        <v>0</v>
      </c>
      <c r="AD154" s="18">
        <f>IF(P154&lt;=ConceptDemo!$C$18,AD153+SUM(W154:AB154)-(Q154-Q153)-AC154,0)</f>
        <v>0</v>
      </c>
      <c r="AE154" s="18" t="e">
        <f>IF(ConceptDemo!$C$7=Backend!$A$2,AD154,IF(AE153&lt;&gt;AD153,IF(P154&lt;=ConceptDemo!$C$18,AE153+SUM(W154:AB154)-(Q154-Q153)-AC154,0),IF(P154=ConceptDemo!#REF!,ConceptDemo!#REF!,AD154)))</f>
        <v>#REF!</v>
      </c>
      <c r="AF154" s="18" t="e">
        <f t="shared" si="17"/>
        <v>#REF!</v>
      </c>
      <c r="AG154" s="18" t="e">
        <f t="shared" si="18"/>
        <v>#REF!</v>
      </c>
      <c r="AH154" s="18" t="e">
        <f t="shared" si="16"/>
        <v>#REF!</v>
      </c>
    </row>
    <row r="155" spans="16:34" x14ac:dyDescent="0.25">
      <c r="P155" s="12" t="str">
        <f>IFERROR(IF(P154+1=ConceptDemo!$C$18+10,"",Backend!P154+1),"")</f>
        <v/>
      </c>
      <c r="Q155" s="10">
        <f>IF(OR(P155&lt;ConceptDemo!$C$17,Backend!P155&gt;ConceptDemo!$C$18),0,IF(Backend!P155&lt;=Backend!$R$12,Backend!Q154+Backend!$T$12,IF(Backend!P155&lt;=Backend!$R$13,Backend!Q154+Backend!$T$13,IF(Backend!P155&lt;=Backend!$R$14,Backend!Q154+Backend!$T$14,IF(Backend!P155&lt;=Backend!$R$15,Backend!Q154+Backend!$T$15,IF(Backend!P155&lt;=Backend!$X$16,Backend!Q154+Backend!$Z$16))))))</f>
        <v>0</v>
      </c>
      <c r="R155" s="19" t="str">
        <f>IF(1&lt;=ConceptDemo!$L$29,IF(P155=$W$12,ConceptDemo!$L$27,""),"")</f>
        <v/>
      </c>
      <c r="S155" s="19" t="str">
        <f>IF(2&lt;=ConceptDemo!$L$29,IF(P155=$W$13,ConceptDemo!$L$27,""),"")</f>
        <v/>
      </c>
      <c r="T155" s="19" t="str">
        <f>IF(3&lt;=ConceptDemo!$L$29,IF(P155=$W$14,ConceptDemo!$L$27,""),"")</f>
        <v/>
      </c>
      <c r="U155" s="19" t="str">
        <f>IF(4&lt;=ConceptDemo!$L$29,IF(P155=$W$15,ConceptDemo!$L$27,""),"")</f>
        <v/>
      </c>
      <c r="W155" s="18">
        <f>IF($P155&lt;ConceptDemo!$C$17+$E$24-10,$G$27,0)</f>
        <v>0</v>
      </c>
      <c r="X155" s="18">
        <f>IF($P155&lt;ConceptDemo!$C$17+$E$24-10,$H$27,0)</f>
        <v>0</v>
      </c>
      <c r="Y155" s="10">
        <f t="shared" ref="Y155:Y218" si="19">IFERROR(IF(AND($P155&gt;=$W$12,$P155&lt;$W$12+$I$25),$I$27,0),0)</f>
        <v>0</v>
      </c>
      <c r="Z155" s="10">
        <f t="shared" ref="Z155:Z218" si="20">IFERROR(IF(AND($P155&gt;=$W$13,$P155&lt;$W$13+$I$25),$I$27,0),0)</f>
        <v>0</v>
      </c>
      <c r="AA155" s="10">
        <f t="shared" ref="AA155:AA218" si="21">IFERROR(IF(AND($P155&gt;=$W$14,$P155&lt;$W$14+$I$25),$I$27,0),0)</f>
        <v>0</v>
      </c>
      <c r="AB155" s="10">
        <f t="shared" ref="AB155:AB218" si="22">IFERROR(IF(AND($P155&gt;=$W$15,$P155&lt;$W$15+$I$25),$I$27,0),0)</f>
        <v>0</v>
      </c>
      <c r="AC155" s="18">
        <f t="shared" ref="AC155:AC218" si="23">IF(Q155&gt;0,$J$27,0)</f>
        <v>0</v>
      </c>
      <c r="AD155" s="18">
        <f>IF(P155&lt;=ConceptDemo!$C$18,AD154+SUM(W155:AB155)-(Q155-Q154)-AC155,0)</f>
        <v>0</v>
      </c>
      <c r="AE155" s="18" t="e">
        <f>IF(ConceptDemo!$C$7=Backend!$A$2,AD155,IF(AE154&lt;&gt;AD154,IF(P155&lt;=ConceptDemo!$C$18,AE154+SUM(W155:AB155)-(Q155-Q154)-AC155,0),IF(P155=ConceptDemo!#REF!,ConceptDemo!#REF!,AD155)))</f>
        <v>#REF!</v>
      </c>
      <c r="AF155" s="18" t="e">
        <f t="shared" si="17"/>
        <v>#REF!</v>
      </c>
      <c r="AG155" s="18" t="e">
        <f t="shared" si="18"/>
        <v>#REF!</v>
      </c>
      <c r="AH155" s="18" t="e">
        <f t="shared" ref="AH155:AH218" si="24">AG155-AF155</f>
        <v>#REF!</v>
      </c>
    </row>
    <row r="156" spans="16:34" x14ac:dyDescent="0.25">
      <c r="P156" s="12" t="str">
        <f>IFERROR(IF(P155+1=ConceptDemo!$C$18+10,"",Backend!P155+1),"")</f>
        <v/>
      </c>
      <c r="Q156" s="10">
        <f>IF(OR(P156&lt;ConceptDemo!$C$17,Backend!P156&gt;ConceptDemo!$C$18),0,IF(Backend!P156&lt;=Backend!$R$12,Backend!Q155+Backend!$T$12,IF(Backend!P156&lt;=Backend!$R$13,Backend!Q155+Backend!$T$13,IF(Backend!P156&lt;=Backend!$R$14,Backend!Q155+Backend!$T$14,IF(Backend!P156&lt;=Backend!$R$15,Backend!Q155+Backend!$T$15,IF(Backend!P156&lt;=Backend!$X$16,Backend!Q155+Backend!$Z$16))))))</f>
        <v>0</v>
      </c>
      <c r="R156" s="19" t="str">
        <f>IF(1&lt;=ConceptDemo!$L$29,IF(P156=$W$12,ConceptDemo!$L$27,""),"")</f>
        <v/>
      </c>
      <c r="S156" s="19" t="str">
        <f>IF(2&lt;=ConceptDemo!$L$29,IF(P156=$W$13,ConceptDemo!$L$27,""),"")</f>
        <v/>
      </c>
      <c r="T156" s="19" t="str">
        <f>IF(3&lt;=ConceptDemo!$L$29,IF(P156=$W$14,ConceptDemo!$L$27,""),"")</f>
        <v/>
      </c>
      <c r="U156" s="19" t="str">
        <f>IF(4&lt;=ConceptDemo!$L$29,IF(P156=$W$15,ConceptDemo!$L$27,""),"")</f>
        <v/>
      </c>
      <c r="W156" s="18">
        <f>IF($P156&lt;ConceptDemo!$C$17+$E$24-10,$G$27,0)</f>
        <v>0</v>
      </c>
      <c r="X156" s="18">
        <f>IF($P156&lt;ConceptDemo!$C$17+$E$24-10,$H$27,0)</f>
        <v>0</v>
      </c>
      <c r="Y156" s="10">
        <f t="shared" si="19"/>
        <v>0</v>
      </c>
      <c r="Z156" s="10">
        <f t="shared" si="20"/>
        <v>0</v>
      </c>
      <c r="AA156" s="10">
        <f t="shared" si="21"/>
        <v>0</v>
      </c>
      <c r="AB156" s="10">
        <f t="shared" si="22"/>
        <v>0</v>
      </c>
      <c r="AC156" s="18">
        <f t="shared" si="23"/>
        <v>0</v>
      </c>
      <c r="AD156" s="18">
        <f>IF(P156&lt;=ConceptDemo!$C$18,AD155+SUM(W156:AB156)-(Q156-Q155)-AC156,0)</f>
        <v>0</v>
      </c>
      <c r="AE156" s="18" t="e">
        <f>IF(ConceptDemo!$C$7=Backend!$A$2,AD156,IF(AE155&lt;&gt;AD155,IF(P156&lt;=ConceptDemo!$C$18,AE155+SUM(W156:AB156)-(Q156-Q155)-AC156,0),IF(P156=ConceptDemo!#REF!,ConceptDemo!#REF!,AD156)))</f>
        <v>#REF!</v>
      </c>
      <c r="AF156" s="18" t="e">
        <f t="shared" ref="AF156:AF219" si="25">IF(AE156=0,0,IF(AE156-(AE156*($AF$22+0.1%))&gt;=AE156-(AE156*$AG$22),AE156-(AE156*$AG$22),AE156-(AE156*($AF$22+0.1%))))</f>
        <v>#REF!</v>
      </c>
      <c r="AG156" s="18" t="e">
        <f t="shared" ref="AG156:AG219" si="26">IF(AE156=0,0,IF(AE156+(AE156*($AF$22+0.1%))&gt;=AE156+(AE156*$AG$22),AE156+(AE156*$AG$22),AE156+(AE156*($AF$22+0.1%))))</f>
        <v>#REF!</v>
      </c>
      <c r="AH156" s="18" t="e">
        <f t="shared" si="24"/>
        <v>#REF!</v>
      </c>
    </row>
    <row r="157" spans="16:34" x14ac:dyDescent="0.25">
      <c r="P157" s="12" t="str">
        <f>IFERROR(IF(P156+1=ConceptDemo!$C$18+10,"",Backend!P156+1),"")</f>
        <v/>
      </c>
      <c r="Q157" s="10">
        <f>IF(OR(P157&lt;ConceptDemo!$C$17,Backend!P157&gt;ConceptDemo!$C$18),0,IF(Backend!P157&lt;=Backend!$R$12,Backend!Q156+Backend!$T$12,IF(Backend!P157&lt;=Backend!$R$13,Backend!Q156+Backend!$T$13,IF(Backend!P157&lt;=Backend!$R$14,Backend!Q156+Backend!$T$14,IF(Backend!P157&lt;=Backend!$R$15,Backend!Q156+Backend!$T$15,IF(Backend!P157&lt;=Backend!$X$16,Backend!Q156+Backend!$Z$16))))))</f>
        <v>0</v>
      </c>
      <c r="R157" s="19" t="str">
        <f>IF(1&lt;=ConceptDemo!$L$29,IF(P157=$W$12,ConceptDemo!$L$27,""),"")</f>
        <v/>
      </c>
      <c r="S157" s="19" t="str">
        <f>IF(2&lt;=ConceptDemo!$L$29,IF(P157=$W$13,ConceptDemo!$L$27,""),"")</f>
        <v/>
      </c>
      <c r="T157" s="19" t="str">
        <f>IF(3&lt;=ConceptDemo!$L$29,IF(P157=$W$14,ConceptDemo!$L$27,""),"")</f>
        <v/>
      </c>
      <c r="U157" s="19" t="str">
        <f>IF(4&lt;=ConceptDemo!$L$29,IF(P157=$W$15,ConceptDemo!$L$27,""),"")</f>
        <v/>
      </c>
      <c r="W157" s="18">
        <f>IF($P157&lt;ConceptDemo!$C$17+$E$24-10,$G$27,0)</f>
        <v>0</v>
      </c>
      <c r="X157" s="18">
        <f>IF($P157&lt;ConceptDemo!$C$17+$E$24-10,$H$27,0)</f>
        <v>0</v>
      </c>
      <c r="Y157" s="10">
        <f t="shared" si="19"/>
        <v>0</v>
      </c>
      <c r="Z157" s="10">
        <f t="shared" si="20"/>
        <v>0</v>
      </c>
      <c r="AA157" s="10">
        <f t="shared" si="21"/>
        <v>0</v>
      </c>
      <c r="AB157" s="10">
        <f t="shared" si="22"/>
        <v>0</v>
      </c>
      <c r="AC157" s="18">
        <f t="shared" si="23"/>
        <v>0</v>
      </c>
      <c r="AD157" s="18">
        <f>IF(P157&lt;=ConceptDemo!$C$18,AD156+SUM(W157:AB157)-(Q157-Q156)-AC157,0)</f>
        <v>0</v>
      </c>
      <c r="AE157" s="18" t="e">
        <f>IF(ConceptDemo!$C$7=Backend!$A$2,AD157,IF(AE156&lt;&gt;AD156,IF(P157&lt;=ConceptDemo!$C$18,AE156+SUM(W157:AB157)-(Q157-Q156)-AC157,0),IF(P157=ConceptDemo!#REF!,ConceptDemo!#REF!,AD157)))</f>
        <v>#REF!</v>
      </c>
      <c r="AF157" s="18" t="e">
        <f t="shared" si="25"/>
        <v>#REF!</v>
      </c>
      <c r="AG157" s="18" t="e">
        <f t="shared" si="26"/>
        <v>#REF!</v>
      </c>
      <c r="AH157" s="18" t="e">
        <f t="shared" si="24"/>
        <v>#REF!</v>
      </c>
    </row>
    <row r="158" spans="16:34" x14ac:dyDescent="0.25">
      <c r="P158" s="12" t="str">
        <f>IFERROR(IF(P157+1=ConceptDemo!$C$18+10,"",Backend!P157+1),"")</f>
        <v/>
      </c>
      <c r="Q158" s="10">
        <f>IF(OR(P158&lt;ConceptDemo!$C$17,Backend!P158&gt;ConceptDemo!$C$18),0,IF(Backend!P158&lt;=Backend!$R$12,Backend!Q157+Backend!$T$12,IF(Backend!P158&lt;=Backend!$R$13,Backend!Q157+Backend!$T$13,IF(Backend!P158&lt;=Backend!$R$14,Backend!Q157+Backend!$T$14,IF(Backend!P158&lt;=Backend!$R$15,Backend!Q157+Backend!$T$15,IF(Backend!P158&lt;=Backend!$X$16,Backend!Q157+Backend!$Z$16))))))</f>
        <v>0</v>
      </c>
      <c r="R158" s="19" t="str">
        <f>IF(1&lt;=ConceptDemo!$L$29,IF(P158=$W$12,ConceptDemo!$L$27,""),"")</f>
        <v/>
      </c>
      <c r="S158" s="19" t="str">
        <f>IF(2&lt;=ConceptDemo!$L$29,IF(P158=$W$13,ConceptDemo!$L$27,""),"")</f>
        <v/>
      </c>
      <c r="T158" s="19" t="str">
        <f>IF(3&lt;=ConceptDemo!$L$29,IF(P158=$W$14,ConceptDemo!$L$27,""),"")</f>
        <v/>
      </c>
      <c r="U158" s="19" t="str">
        <f>IF(4&lt;=ConceptDemo!$L$29,IF(P158=$W$15,ConceptDemo!$L$27,""),"")</f>
        <v/>
      </c>
      <c r="W158" s="18">
        <f>IF($P158&lt;ConceptDemo!$C$17+$E$24-10,$G$27,0)</f>
        <v>0</v>
      </c>
      <c r="X158" s="18">
        <f>IF($P158&lt;ConceptDemo!$C$17+$E$24-10,$H$27,0)</f>
        <v>0</v>
      </c>
      <c r="Y158" s="10">
        <f t="shared" si="19"/>
        <v>0</v>
      </c>
      <c r="Z158" s="10">
        <f t="shared" si="20"/>
        <v>0</v>
      </c>
      <c r="AA158" s="10">
        <f t="shared" si="21"/>
        <v>0</v>
      </c>
      <c r="AB158" s="10">
        <f t="shared" si="22"/>
        <v>0</v>
      </c>
      <c r="AC158" s="18">
        <f t="shared" si="23"/>
        <v>0</v>
      </c>
      <c r="AD158" s="18">
        <f>IF(P158&lt;=ConceptDemo!$C$18,AD157+SUM(W158:AB158)-(Q158-Q157)-AC158,0)</f>
        <v>0</v>
      </c>
      <c r="AE158" s="18" t="e">
        <f>IF(ConceptDemo!$C$7=Backend!$A$2,AD158,IF(AE157&lt;&gt;AD157,IF(P158&lt;=ConceptDemo!$C$18,AE157+SUM(W158:AB158)-(Q158-Q157)-AC158,0),IF(P158=ConceptDemo!#REF!,ConceptDemo!#REF!,AD158)))</f>
        <v>#REF!</v>
      </c>
      <c r="AF158" s="18" t="e">
        <f t="shared" si="25"/>
        <v>#REF!</v>
      </c>
      <c r="AG158" s="18" t="e">
        <f t="shared" si="26"/>
        <v>#REF!</v>
      </c>
      <c r="AH158" s="18" t="e">
        <f t="shared" si="24"/>
        <v>#REF!</v>
      </c>
    </row>
    <row r="159" spans="16:34" x14ac:dyDescent="0.25">
      <c r="P159" s="12" t="str">
        <f>IFERROR(IF(P158+1=ConceptDemo!$C$18+10,"",Backend!P158+1),"")</f>
        <v/>
      </c>
      <c r="Q159" s="10">
        <f>IF(OR(P159&lt;ConceptDemo!$C$17,Backend!P159&gt;ConceptDemo!$C$18),0,IF(Backend!P159&lt;=Backend!$R$12,Backend!Q158+Backend!$T$12,IF(Backend!P159&lt;=Backend!$R$13,Backend!Q158+Backend!$T$13,IF(Backend!P159&lt;=Backend!$R$14,Backend!Q158+Backend!$T$14,IF(Backend!P159&lt;=Backend!$R$15,Backend!Q158+Backend!$T$15,IF(Backend!P159&lt;=Backend!$X$16,Backend!Q158+Backend!$Z$16))))))</f>
        <v>0</v>
      </c>
      <c r="R159" s="19" t="str">
        <f>IF(1&lt;=ConceptDemo!$L$29,IF(P159=$W$12,ConceptDemo!$L$27,""),"")</f>
        <v/>
      </c>
      <c r="S159" s="19" t="str">
        <f>IF(2&lt;=ConceptDemo!$L$29,IF(P159=$W$13,ConceptDemo!$L$27,""),"")</f>
        <v/>
      </c>
      <c r="T159" s="19" t="str">
        <f>IF(3&lt;=ConceptDemo!$L$29,IF(P159=$W$14,ConceptDemo!$L$27,""),"")</f>
        <v/>
      </c>
      <c r="U159" s="19" t="str">
        <f>IF(4&lt;=ConceptDemo!$L$29,IF(P159=$W$15,ConceptDemo!$L$27,""),"")</f>
        <v/>
      </c>
      <c r="W159" s="18">
        <f>IF($P159&lt;ConceptDemo!$C$17+$E$24-10,$G$27,0)</f>
        <v>0</v>
      </c>
      <c r="X159" s="18">
        <f>IF($P159&lt;ConceptDemo!$C$17+$E$24-10,$H$27,0)</f>
        <v>0</v>
      </c>
      <c r="Y159" s="10">
        <f t="shared" si="19"/>
        <v>0</v>
      </c>
      <c r="Z159" s="10">
        <f t="shared" si="20"/>
        <v>0</v>
      </c>
      <c r="AA159" s="10">
        <f t="shared" si="21"/>
        <v>0</v>
      </c>
      <c r="AB159" s="10">
        <f t="shared" si="22"/>
        <v>0</v>
      </c>
      <c r="AC159" s="18">
        <f t="shared" si="23"/>
        <v>0</v>
      </c>
      <c r="AD159" s="18">
        <f>IF(P159&lt;=ConceptDemo!$C$18,AD158+SUM(W159:AB159)-(Q159-Q158)-AC159,0)</f>
        <v>0</v>
      </c>
      <c r="AE159" s="18" t="e">
        <f>IF(ConceptDemo!$C$7=Backend!$A$2,AD159,IF(AE158&lt;&gt;AD158,IF(P159&lt;=ConceptDemo!$C$18,AE158+SUM(W159:AB159)-(Q159-Q158)-AC159,0),IF(P159=ConceptDemo!#REF!,ConceptDemo!#REF!,AD159)))</f>
        <v>#REF!</v>
      </c>
      <c r="AF159" s="18" t="e">
        <f t="shared" si="25"/>
        <v>#REF!</v>
      </c>
      <c r="AG159" s="18" t="e">
        <f t="shared" si="26"/>
        <v>#REF!</v>
      </c>
      <c r="AH159" s="18" t="e">
        <f t="shared" si="24"/>
        <v>#REF!</v>
      </c>
    </row>
    <row r="160" spans="16:34" x14ac:dyDescent="0.25">
      <c r="P160" s="12" t="str">
        <f>IFERROR(IF(P159+1=ConceptDemo!$C$18+10,"",Backend!P159+1),"")</f>
        <v/>
      </c>
      <c r="Q160" s="10">
        <f>IF(OR(P160&lt;ConceptDemo!$C$17,Backend!P160&gt;ConceptDemo!$C$18),0,IF(Backend!P160&lt;=Backend!$R$12,Backend!Q159+Backend!$T$12,IF(Backend!P160&lt;=Backend!$R$13,Backend!Q159+Backend!$T$13,IF(Backend!P160&lt;=Backend!$R$14,Backend!Q159+Backend!$T$14,IF(Backend!P160&lt;=Backend!$R$15,Backend!Q159+Backend!$T$15,IF(Backend!P160&lt;=Backend!$X$16,Backend!Q159+Backend!$Z$16))))))</f>
        <v>0</v>
      </c>
      <c r="R160" s="19" t="str">
        <f>IF(1&lt;=ConceptDemo!$L$29,IF(P160=$W$12,ConceptDemo!$L$27,""),"")</f>
        <v/>
      </c>
      <c r="S160" s="19" t="str">
        <f>IF(2&lt;=ConceptDemo!$L$29,IF(P160=$W$13,ConceptDemo!$L$27,""),"")</f>
        <v/>
      </c>
      <c r="T160" s="19" t="str">
        <f>IF(3&lt;=ConceptDemo!$L$29,IF(P160=$W$14,ConceptDemo!$L$27,""),"")</f>
        <v/>
      </c>
      <c r="U160" s="19" t="str">
        <f>IF(4&lt;=ConceptDemo!$L$29,IF(P160=$W$15,ConceptDemo!$L$27,""),"")</f>
        <v/>
      </c>
      <c r="W160" s="18">
        <f>IF($P160&lt;ConceptDemo!$C$17+$E$24-10,$G$27,0)</f>
        <v>0</v>
      </c>
      <c r="X160" s="18">
        <f>IF($P160&lt;ConceptDemo!$C$17+$E$24-10,$H$27,0)</f>
        <v>0</v>
      </c>
      <c r="Y160" s="10">
        <f t="shared" si="19"/>
        <v>0</v>
      </c>
      <c r="Z160" s="10">
        <f t="shared" si="20"/>
        <v>0</v>
      </c>
      <c r="AA160" s="10">
        <f t="shared" si="21"/>
        <v>0</v>
      </c>
      <c r="AB160" s="10">
        <f t="shared" si="22"/>
        <v>0</v>
      </c>
      <c r="AC160" s="18">
        <f t="shared" si="23"/>
        <v>0</v>
      </c>
      <c r="AD160" s="18">
        <f>IF(P160&lt;=ConceptDemo!$C$18,AD159+SUM(W160:AB160)-(Q160-Q159)-AC160,0)</f>
        <v>0</v>
      </c>
      <c r="AE160" s="18" t="e">
        <f>IF(ConceptDemo!$C$7=Backend!$A$2,AD160,IF(AE159&lt;&gt;AD159,IF(P160&lt;=ConceptDemo!$C$18,AE159+SUM(W160:AB160)-(Q160-Q159)-AC160,0),IF(P160=ConceptDemo!#REF!,ConceptDemo!#REF!,AD160)))</f>
        <v>#REF!</v>
      </c>
      <c r="AF160" s="18" t="e">
        <f t="shared" si="25"/>
        <v>#REF!</v>
      </c>
      <c r="AG160" s="18" t="e">
        <f t="shared" si="26"/>
        <v>#REF!</v>
      </c>
      <c r="AH160" s="18" t="e">
        <f t="shared" si="24"/>
        <v>#REF!</v>
      </c>
    </row>
    <row r="161" spans="16:34" x14ac:dyDescent="0.25">
      <c r="P161" s="12" t="str">
        <f>IFERROR(IF(P160+1=ConceptDemo!$C$18+10,"",Backend!P160+1),"")</f>
        <v/>
      </c>
      <c r="Q161" s="10">
        <f>IF(OR(P161&lt;ConceptDemo!$C$17,Backend!P161&gt;ConceptDemo!$C$18),0,IF(Backend!P161&lt;=Backend!$R$12,Backend!Q160+Backend!$T$12,IF(Backend!P161&lt;=Backend!$R$13,Backend!Q160+Backend!$T$13,IF(Backend!P161&lt;=Backend!$R$14,Backend!Q160+Backend!$T$14,IF(Backend!P161&lt;=Backend!$R$15,Backend!Q160+Backend!$T$15,IF(Backend!P161&lt;=Backend!$X$16,Backend!Q160+Backend!$Z$16))))))</f>
        <v>0</v>
      </c>
      <c r="R161" s="19" t="str">
        <f>IF(1&lt;=ConceptDemo!$L$29,IF(P161=$W$12,ConceptDemo!$L$27,""),"")</f>
        <v/>
      </c>
      <c r="S161" s="19" t="str">
        <f>IF(2&lt;=ConceptDemo!$L$29,IF(P161=$W$13,ConceptDemo!$L$27,""),"")</f>
        <v/>
      </c>
      <c r="T161" s="19" t="str">
        <f>IF(3&lt;=ConceptDemo!$L$29,IF(P161=$W$14,ConceptDemo!$L$27,""),"")</f>
        <v/>
      </c>
      <c r="U161" s="19" t="str">
        <f>IF(4&lt;=ConceptDemo!$L$29,IF(P161=$W$15,ConceptDemo!$L$27,""),"")</f>
        <v/>
      </c>
      <c r="W161" s="18">
        <f>IF($P161&lt;ConceptDemo!$C$17+$E$24-10,$G$27,0)</f>
        <v>0</v>
      </c>
      <c r="X161" s="18">
        <f>IF($P161&lt;ConceptDemo!$C$17+$E$24-10,$H$27,0)</f>
        <v>0</v>
      </c>
      <c r="Y161" s="10">
        <f t="shared" si="19"/>
        <v>0</v>
      </c>
      <c r="Z161" s="10">
        <f t="shared" si="20"/>
        <v>0</v>
      </c>
      <c r="AA161" s="10">
        <f t="shared" si="21"/>
        <v>0</v>
      </c>
      <c r="AB161" s="10">
        <f t="shared" si="22"/>
        <v>0</v>
      </c>
      <c r="AC161" s="18">
        <f t="shared" si="23"/>
        <v>0</v>
      </c>
      <c r="AD161" s="18">
        <f>IF(P161&lt;=ConceptDemo!$C$18,AD160+SUM(W161:AB161)-(Q161-Q160)-AC161,0)</f>
        <v>0</v>
      </c>
      <c r="AE161" s="18" t="e">
        <f>IF(ConceptDemo!$C$7=Backend!$A$2,AD161,IF(AE160&lt;&gt;AD160,IF(P161&lt;=ConceptDemo!$C$18,AE160+SUM(W161:AB161)-(Q161-Q160)-AC161,0),IF(P161=ConceptDemo!#REF!,ConceptDemo!#REF!,AD161)))</f>
        <v>#REF!</v>
      </c>
      <c r="AF161" s="18" t="e">
        <f t="shared" si="25"/>
        <v>#REF!</v>
      </c>
      <c r="AG161" s="18" t="e">
        <f t="shared" si="26"/>
        <v>#REF!</v>
      </c>
      <c r="AH161" s="18" t="e">
        <f t="shared" si="24"/>
        <v>#REF!</v>
      </c>
    </row>
    <row r="162" spans="16:34" x14ac:dyDescent="0.25">
      <c r="P162" s="12" t="str">
        <f>IFERROR(IF(P161+1=ConceptDemo!$C$18+10,"",Backend!P161+1),"")</f>
        <v/>
      </c>
      <c r="Q162" s="10">
        <f>IF(OR(P162&lt;ConceptDemo!$C$17,Backend!P162&gt;ConceptDemo!$C$18),0,IF(Backend!P162&lt;=Backend!$R$12,Backend!Q161+Backend!$T$12,IF(Backend!P162&lt;=Backend!$R$13,Backend!Q161+Backend!$T$13,IF(Backend!P162&lt;=Backend!$R$14,Backend!Q161+Backend!$T$14,IF(Backend!P162&lt;=Backend!$R$15,Backend!Q161+Backend!$T$15,IF(Backend!P162&lt;=Backend!$X$16,Backend!Q161+Backend!$Z$16))))))</f>
        <v>0</v>
      </c>
      <c r="R162" s="19" t="str">
        <f>IF(1&lt;=ConceptDemo!$L$29,IF(P162=$W$12,ConceptDemo!$L$27,""),"")</f>
        <v/>
      </c>
      <c r="S162" s="19" t="str">
        <f>IF(2&lt;=ConceptDemo!$L$29,IF(P162=$W$13,ConceptDemo!$L$27,""),"")</f>
        <v/>
      </c>
      <c r="T162" s="19" t="str">
        <f>IF(3&lt;=ConceptDemo!$L$29,IF(P162=$W$14,ConceptDemo!$L$27,""),"")</f>
        <v/>
      </c>
      <c r="U162" s="19" t="str">
        <f>IF(4&lt;=ConceptDemo!$L$29,IF(P162=$W$15,ConceptDemo!$L$27,""),"")</f>
        <v/>
      </c>
      <c r="W162" s="18">
        <f>IF($P162&lt;ConceptDemo!$C$17+$E$24-10,$G$27,0)</f>
        <v>0</v>
      </c>
      <c r="X162" s="18">
        <f>IF($P162&lt;ConceptDemo!$C$17+$E$24-10,$H$27,0)</f>
        <v>0</v>
      </c>
      <c r="Y162" s="10">
        <f t="shared" si="19"/>
        <v>0</v>
      </c>
      <c r="Z162" s="10">
        <f t="shared" si="20"/>
        <v>0</v>
      </c>
      <c r="AA162" s="10">
        <f t="shared" si="21"/>
        <v>0</v>
      </c>
      <c r="AB162" s="10">
        <f t="shared" si="22"/>
        <v>0</v>
      </c>
      <c r="AC162" s="18">
        <f t="shared" si="23"/>
        <v>0</v>
      </c>
      <c r="AD162" s="18">
        <f>IF(P162&lt;=ConceptDemo!$C$18,AD161+SUM(W162:AB162)-(Q162-Q161)-AC162,0)</f>
        <v>0</v>
      </c>
      <c r="AE162" s="18" t="e">
        <f>IF(ConceptDemo!$C$7=Backend!$A$2,AD162,IF(AE161&lt;&gt;AD161,IF(P162&lt;=ConceptDemo!$C$18,AE161+SUM(W162:AB162)-(Q162-Q161)-AC162,0),IF(P162=ConceptDemo!#REF!,ConceptDemo!#REF!,AD162)))</f>
        <v>#REF!</v>
      </c>
      <c r="AF162" s="18" t="e">
        <f t="shared" si="25"/>
        <v>#REF!</v>
      </c>
      <c r="AG162" s="18" t="e">
        <f t="shared" si="26"/>
        <v>#REF!</v>
      </c>
      <c r="AH162" s="18" t="e">
        <f t="shared" si="24"/>
        <v>#REF!</v>
      </c>
    </row>
    <row r="163" spans="16:34" x14ac:dyDescent="0.25">
      <c r="P163" s="12" t="str">
        <f>IFERROR(IF(P162+1=ConceptDemo!$C$18+10,"",Backend!P162+1),"")</f>
        <v/>
      </c>
      <c r="Q163" s="10">
        <f>IF(OR(P163&lt;ConceptDemo!$C$17,Backend!P163&gt;ConceptDemo!$C$18),0,IF(Backend!P163&lt;=Backend!$R$12,Backend!Q162+Backend!$T$12,IF(Backend!P163&lt;=Backend!$R$13,Backend!Q162+Backend!$T$13,IF(Backend!P163&lt;=Backend!$R$14,Backend!Q162+Backend!$T$14,IF(Backend!P163&lt;=Backend!$R$15,Backend!Q162+Backend!$T$15,IF(Backend!P163&lt;=Backend!$X$16,Backend!Q162+Backend!$Z$16))))))</f>
        <v>0</v>
      </c>
      <c r="R163" s="19" t="str">
        <f>IF(1&lt;=ConceptDemo!$L$29,IF(P163=$W$12,ConceptDemo!$L$27,""),"")</f>
        <v/>
      </c>
      <c r="S163" s="19" t="str">
        <f>IF(2&lt;=ConceptDemo!$L$29,IF(P163=$W$13,ConceptDemo!$L$27,""),"")</f>
        <v/>
      </c>
      <c r="T163" s="19" t="str">
        <f>IF(3&lt;=ConceptDemo!$L$29,IF(P163=$W$14,ConceptDemo!$L$27,""),"")</f>
        <v/>
      </c>
      <c r="U163" s="19" t="str">
        <f>IF(4&lt;=ConceptDemo!$L$29,IF(P163=$W$15,ConceptDemo!$L$27,""),"")</f>
        <v/>
      </c>
      <c r="W163" s="18">
        <f>IF($P163&lt;ConceptDemo!$C$17+$E$24-10,$G$27,0)</f>
        <v>0</v>
      </c>
      <c r="X163" s="18">
        <f>IF($P163&lt;ConceptDemo!$C$17+$E$24-10,$H$27,0)</f>
        <v>0</v>
      </c>
      <c r="Y163" s="10">
        <f t="shared" si="19"/>
        <v>0</v>
      </c>
      <c r="Z163" s="10">
        <f t="shared" si="20"/>
        <v>0</v>
      </c>
      <c r="AA163" s="10">
        <f t="shared" si="21"/>
        <v>0</v>
      </c>
      <c r="AB163" s="10">
        <f t="shared" si="22"/>
        <v>0</v>
      </c>
      <c r="AC163" s="18">
        <f t="shared" si="23"/>
        <v>0</v>
      </c>
      <c r="AD163" s="18">
        <f>IF(P163&lt;=ConceptDemo!$C$18,AD162+SUM(W163:AB163)-(Q163-Q162)-AC163,0)</f>
        <v>0</v>
      </c>
      <c r="AE163" s="18" t="e">
        <f>IF(ConceptDemo!$C$7=Backend!$A$2,AD163,IF(AE162&lt;&gt;AD162,IF(P163&lt;=ConceptDemo!$C$18,AE162+SUM(W163:AB163)-(Q163-Q162)-AC163,0),IF(P163=ConceptDemo!#REF!,ConceptDemo!#REF!,AD163)))</f>
        <v>#REF!</v>
      </c>
      <c r="AF163" s="18" t="e">
        <f t="shared" si="25"/>
        <v>#REF!</v>
      </c>
      <c r="AG163" s="18" t="e">
        <f t="shared" si="26"/>
        <v>#REF!</v>
      </c>
      <c r="AH163" s="18" t="e">
        <f t="shared" si="24"/>
        <v>#REF!</v>
      </c>
    </row>
    <row r="164" spans="16:34" x14ac:dyDescent="0.25">
      <c r="P164" s="12" t="str">
        <f>IFERROR(IF(P163+1=ConceptDemo!$C$18+10,"",Backend!P163+1),"")</f>
        <v/>
      </c>
      <c r="Q164" s="10">
        <f>IF(OR(P164&lt;ConceptDemo!$C$17,Backend!P164&gt;ConceptDemo!$C$18),0,IF(Backend!P164&lt;=Backend!$R$12,Backend!Q163+Backend!$T$12,IF(Backend!P164&lt;=Backend!$R$13,Backend!Q163+Backend!$T$13,IF(Backend!P164&lt;=Backend!$R$14,Backend!Q163+Backend!$T$14,IF(Backend!P164&lt;=Backend!$R$15,Backend!Q163+Backend!$T$15,IF(Backend!P164&lt;=Backend!$X$16,Backend!Q163+Backend!$Z$16))))))</f>
        <v>0</v>
      </c>
      <c r="R164" s="19" t="str">
        <f>IF(1&lt;=ConceptDemo!$L$29,IF(P164=$W$12,ConceptDemo!$L$27,""),"")</f>
        <v/>
      </c>
      <c r="S164" s="19" t="str">
        <f>IF(2&lt;=ConceptDemo!$L$29,IF(P164=$W$13,ConceptDemo!$L$27,""),"")</f>
        <v/>
      </c>
      <c r="T164" s="19" t="str">
        <f>IF(3&lt;=ConceptDemo!$L$29,IF(P164=$W$14,ConceptDemo!$L$27,""),"")</f>
        <v/>
      </c>
      <c r="U164" s="19" t="str">
        <f>IF(4&lt;=ConceptDemo!$L$29,IF(P164=$W$15,ConceptDemo!$L$27,""),"")</f>
        <v/>
      </c>
      <c r="W164" s="18">
        <f>IF($P164&lt;ConceptDemo!$C$17+$E$24-10,$G$27,0)</f>
        <v>0</v>
      </c>
      <c r="X164" s="18">
        <f>IF($P164&lt;ConceptDemo!$C$17+$E$24-10,$H$27,0)</f>
        <v>0</v>
      </c>
      <c r="Y164" s="10">
        <f t="shared" si="19"/>
        <v>0</v>
      </c>
      <c r="Z164" s="10">
        <f t="shared" si="20"/>
        <v>0</v>
      </c>
      <c r="AA164" s="10">
        <f t="shared" si="21"/>
        <v>0</v>
      </c>
      <c r="AB164" s="10">
        <f t="shared" si="22"/>
        <v>0</v>
      </c>
      <c r="AC164" s="18">
        <f t="shared" si="23"/>
        <v>0</v>
      </c>
      <c r="AD164" s="18">
        <f>IF(P164&lt;=ConceptDemo!$C$18,AD163+SUM(W164:AB164)-(Q164-Q163)-AC164,0)</f>
        <v>0</v>
      </c>
      <c r="AE164" s="18" t="e">
        <f>IF(ConceptDemo!$C$7=Backend!$A$2,AD164,IF(AE163&lt;&gt;AD163,IF(P164&lt;=ConceptDemo!$C$18,AE163+SUM(W164:AB164)-(Q164-Q163)-AC164,0),IF(P164=ConceptDemo!#REF!,ConceptDemo!#REF!,AD164)))</f>
        <v>#REF!</v>
      </c>
      <c r="AF164" s="18" t="e">
        <f t="shared" si="25"/>
        <v>#REF!</v>
      </c>
      <c r="AG164" s="18" t="e">
        <f t="shared" si="26"/>
        <v>#REF!</v>
      </c>
      <c r="AH164" s="18" t="e">
        <f t="shared" si="24"/>
        <v>#REF!</v>
      </c>
    </row>
    <row r="165" spans="16:34" x14ac:dyDescent="0.25">
      <c r="P165" s="12" t="str">
        <f>IFERROR(IF(P164+1=ConceptDemo!$C$18+10,"",Backend!P164+1),"")</f>
        <v/>
      </c>
      <c r="Q165" s="10">
        <f>IF(OR(P165&lt;ConceptDemo!$C$17,Backend!P165&gt;ConceptDemo!$C$18),0,IF(Backend!P165&lt;=Backend!$R$12,Backend!Q164+Backend!$T$12,IF(Backend!P165&lt;=Backend!$R$13,Backend!Q164+Backend!$T$13,IF(Backend!P165&lt;=Backend!$R$14,Backend!Q164+Backend!$T$14,IF(Backend!P165&lt;=Backend!$R$15,Backend!Q164+Backend!$T$15,IF(Backend!P165&lt;=Backend!$X$16,Backend!Q164+Backend!$Z$16))))))</f>
        <v>0</v>
      </c>
      <c r="R165" s="19" t="str">
        <f>IF(1&lt;=ConceptDemo!$L$29,IF(P165=$W$12,ConceptDemo!$L$27,""),"")</f>
        <v/>
      </c>
      <c r="S165" s="19" t="str">
        <f>IF(2&lt;=ConceptDemo!$L$29,IF(P165=$W$13,ConceptDemo!$L$27,""),"")</f>
        <v/>
      </c>
      <c r="T165" s="19" t="str">
        <f>IF(3&lt;=ConceptDemo!$L$29,IF(P165=$W$14,ConceptDemo!$L$27,""),"")</f>
        <v/>
      </c>
      <c r="U165" s="19" t="str">
        <f>IF(4&lt;=ConceptDemo!$L$29,IF(P165=$W$15,ConceptDemo!$L$27,""),"")</f>
        <v/>
      </c>
      <c r="W165" s="18">
        <f>IF($P165&lt;ConceptDemo!$C$17+$E$24-10,$G$27,0)</f>
        <v>0</v>
      </c>
      <c r="X165" s="18">
        <f>IF($P165&lt;ConceptDemo!$C$17+$E$24-10,$H$27,0)</f>
        <v>0</v>
      </c>
      <c r="Y165" s="10">
        <f t="shared" si="19"/>
        <v>0</v>
      </c>
      <c r="Z165" s="10">
        <f t="shared" si="20"/>
        <v>0</v>
      </c>
      <c r="AA165" s="10">
        <f t="shared" si="21"/>
        <v>0</v>
      </c>
      <c r="AB165" s="10">
        <f t="shared" si="22"/>
        <v>0</v>
      </c>
      <c r="AC165" s="18">
        <f t="shared" si="23"/>
        <v>0</v>
      </c>
      <c r="AD165" s="18">
        <f>IF(P165&lt;=ConceptDemo!$C$18,AD164+SUM(W165:AB165)-(Q165-Q164)-AC165,0)</f>
        <v>0</v>
      </c>
      <c r="AE165" s="18" t="e">
        <f>IF(ConceptDemo!$C$7=Backend!$A$2,AD165,IF(AE164&lt;&gt;AD164,IF(P165&lt;=ConceptDemo!$C$18,AE164+SUM(W165:AB165)-(Q165-Q164)-AC165,0),IF(P165=ConceptDemo!#REF!,ConceptDemo!#REF!,AD165)))</f>
        <v>#REF!</v>
      </c>
      <c r="AF165" s="18" t="e">
        <f t="shared" si="25"/>
        <v>#REF!</v>
      </c>
      <c r="AG165" s="18" t="e">
        <f t="shared" si="26"/>
        <v>#REF!</v>
      </c>
      <c r="AH165" s="18" t="e">
        <f t="shared" si="24"/>
        <v>#REF!</v>
      </c>
    </row>
    <row r="166" spans="16:34" x14ac:dyDescent="0.25">
      <c r="P166" s="12" t="str">
        <f>IFERROR(IF(P165+1=ConceptDemo!$C$18+10,"",Backend!P165+1),"")</f>
        <v/>
      </c>
      <c r="Q166" s="10">
        <f>IF(OR(P166&lt;ConceptDemo!$C$17,Backend!P166&gt;ConceptDemo!$C$18),0,IF(Backend!P166&lt;=Backend!$R$12,Backend!Q165+Backend!$T$12,IF(Backend!P166&lt;=Backend!$R$13,Backend!Q165+Backend!$T$13,IF(Backend!P166&lt;=Backend!$R$14,Backend!Q165+Backend!$T$14,IF(Backend!P166&lt;=Backend!$R$15,Backend!Q165+Backend!$T$15,IF(Backend!P166&lt;=Backend!$X$16,Backend!Q165+Backend!$Z$16))))))</f>
        <v>0</v>
      </c>
      <c r="R166" s="19" t="str">
        <f>IF(1&lt;=ConceptDemo!$L$29,IF(P166=$W$12,ConceptDemo!$L$27,""),"")</f>
        <v/>
      </c>
      <c r="S166" s="19" t="str">
        <f>IF(2&lt;=ConceptDemo!$L$29,IF(P166=$W$13,ConceptDemo!$L$27,""),"")</f>
        <v/>
      </c>
      <c r="T166" s="19" t="str">
        <f>IF(3&lt;=ConceptDemo!$L$29,IF(P166=$W$14,ConceptDemo!$L$27,""),"")</f>
        <v/>
      </c>
      <c r="U166" s="19" t="str">
        <f>IF(4&lt;=ConceptDemo!$L$29,IF(P166=$W$15,ConceptDemo!$L$27,""),"")</f>
        <v/>
      </c>
      <c r="W166" s="18">
        <f>IF($P166&lt;ConceptDemo!$C$17+$E$24-10,$G$27,0)</f>
        <v>0</v>
      </c>
      <c r="X166" s="18">
        <f>IF($P166&lt;ConceptDemo!$C$17+$E$24-10,$H$27,0)</f>
        <v>0</v>
      </c>
      <c r="Y166" s="10">
        <f t="shared" si="19"/>
        <v>0</v>
      </c>
      <c r="Z166" s="10">
        <f t="shared" si="20"/>
        <v>0</v>
      </c>
      <c r="AA166" s="10">
        <f t="shared" si="21"/>
        <v>0</v>
      </c>
      <c r="AB166" s="10">
        <f t="shared" si="22"/>
        <v>0</v>
      </c>
      <c r="AC166" s="18">
        <f t="shared" si="23"/>
        <v>0</v>
      </c>
      <c r="AD166" s="18">
        <f>IF(P166&lt;=ConceptDemo!$C$18,AD165+SUM(W166:AB166)-(Q166-Q165)-AC166,0)</f>
        <v>0</v>
      </c>
      <c r="AE166" s="18" t="e">
        <f>IF(ConceptDemo!$C$7=Backend!$A$2,AD166,IF(AE165&lt;&gt;AD165,IF(P166&lt;=ConceptDemo!$C$18,AE165+SUM(W166:AB166)-(Q166-Q165)-AC166,0),IF(P166=ConceptDemo!#REF!,ConceptDemo!#REF!,AD166)))</f>
        <v>#REF!</v>
      </c>
      <c r="AF166" s="18" t="e">
        <f t="shared" si="25"/>
        <v>#REF!</v>
      </c>
      <c r="AG166" s="18" t="e">
        <f t="shared" si="26"/>
        <v>#REF!</v>
      </c>
      <c r="AH166" s="18" t="e">
        <f t="shared" si="24"/>
        <v>#REF!</v>
      </c>
    </row>
    <row r="167" spans="16:34" x14ac:dyDescent="0.25">
      <c r="P167" s="12" t="str">
        <f>IFERROR(IF(P166+1=ConceptDemo!$C$18+10,"",Backend!P166+1),"")</f>
        <v/>
      </c>
      <c r="Q167" s="10">
        <f>IF(OR(P167&lt;ConceptDemo!$C$17,Backend!P167&gt;ConceptDemo!$C$18),0,IF(Backend!P167&lt;=Backend!$R$12,Backend!Q166+Backend!$T$12,IF(Backend!P167&lt;=Backend!$R$13,Backend!Q166+Backend!$T$13,IF(Backend!P167&lt;=Backend!$R$14,Backend!Q166+Backend!$T$14,IF(Backend!P167&lt;=Backend!$R$15,Backend!Q166+Backend!$T$15,IF(Backend!P167&lt;=Backend!$X$16,Backend!Q166+Backend!$Z$16))))))</f>
        <v>0</v>
      </c>
      <c r="R167" s="19" t="str">
        <f>IF(1&lt;=ConceptDemo!$L$29,IF(P167=$W$12,ConceptDemo!$L$27,""),"")</f>
        <v/>
      </c>
      <c r="S167" s="19" t="str">
        <f>IF(2&lt;=ConceptDemo!$L$29,IF(P167=$W$13,ConceptDemo!$L$27,""),"")</f>
        <v/>
      </c>
      <c r="T167" s="19" t="str">
        <f>IF(3&lt;=ConceptDemo!$L$29,IF(P167=$W$14,ConceptDemo!$L$27,""),"")</f>
        <v/>
      </c>
      <c r="U167" s="19" t="str">
        <f>IF(4&lt;=ConceptDemo!$L$29,IF(P167=$W$15,ConceptDemo!$L$27,""),"")</f>
        <v/>
      </c>
      <c r="W167" s="18">
        <f>IF($P167&lt;ConceptDemo!$C$17+$E$24-10,$G$27,0)</f>
        <v>0</v>
      </c>
      <c r="X167" s="18">
        <f>IF($P167&lt;ConceptDemo!$C$17+$E$24-10,$H$27,0)</f>
        <v>0</v>
      </c>
      <c r="Y167" s="10">
        <f t="shared" si="19"/>
        <v>0</v>
      </c>
      <c r="Z167" s="10">
        <f t="shared" si="20"/>
        <v>0</v>
      </c>
      <c r="AA167" s="10">
        <f t="shared" si="21"/>
        <v>0</v>
      </c>
      <c r="AB167" s="10">
        <f t="shared" si="22"/>
        <v>0</v>
      </c>
      <c r="AC167" s="18">
        <f t="shared" si="23"/>
        <v>0</v>
      </c>
      <c r="AD167" s="18">
        <f>IF(P167&lt;=ConceptDemo!$C$18,AD166+SUM(W167:AB167)-(Q167-Q166)-AC167,0)</f>
        <v>0</v>
      </c>
      <c r="AE167" s="18" t="e">
        <f>IF(ConceptDemo!$C$7=Backend!$A$2,AD167,IF(AE166&lt;&gt;AD166,IF(P167&lt;=ConceptDemo!$C$18,AE166+SUM(W167:AB167)-(Q167-Q166)-AC167,0),IF(P167=ConceptDemo!#REF!,ConceptDemo!#REF!,AD167)))</f>
        <v>#REF!</v>
      </c>
      <c r="AF167" s="18" t="e">
        <f t="shared" si="25"/>
        <v>#REF!</v>
      </c>
      <c r="AG167" s="18" t="e">
        <f t="shared" si="26"/>
        <v>#REF!</v>
      </c>
      <c r="AH167" s="18" t="e">
        <f t="shared" si="24"/>
        <v>#REF!</v>
      </c>
    </row>
    <row r="168" spans="16:34" x14ac:dyDescent="0.25">
      <c r="P168" s="12" t="str">
        <f>IFERROR(IF(P167+1=ConceptDemo!$C$18+10,"",Backend!P167+1),"")</f>
        <v/>
      </c>
      <c r="Q168" s="10">
        <f>IF(OR(P168&lt;ConceptDemo!$C$17,Backend!P168&gt;ConceptDemo!$C$18),0,IF(Backend!P168&lt;=Backend!$R$12,Backend!Q167+Backend!$T$12,IF(Backend!P168&lt;=Backend!$R$13,Backend!Q167+Backend!$T$13,IF(Backend!P168&lt;=Backend!$R$14,Backend!Q167+Backend!$T$14,IF(Backend!P168&lt;=Backend!$R$15,Backend!Q167+Backend!$T$15,IF(Backend!P168&lt;=Backend!$X$16,Backend!Q167+Backend!$Z$16))))))</f>
        <v>0</v>
      </c>
      <c r="R168" s="19" t="str">
        <f>IF(1&lt;=ConceptDemo!$L$29,IF(P168=$W$12,ConceptDemo!$L$27,""),"")</f>
        <v/>
      </c>
      <c r="S168" s="19" t="str">
        <f>IF(2&lt;=ConceptDemo!$L$29,IF(P168=$W$13,ConceptDemo!$L$27,""),"")</f>
        <v/>
      </c>
      <c r="T168" s="19" t="str">
        <f>IF(3&lt;=ConceptDemo!$L$29,IF(P168=$W$14,ConceptDemo!$L$27,""),"")</f>
        <v/>
      </c>
      <c r="U168" s="19" t="str">
        <f>IF(4&lt;=ConceptDemo!$L$29,IF(P168=$W$15,ConceptDemo!$L$27,""),"")</f>
        <v/>
      </c>
      <c r="W168" s="18">
        <f>IF($P168&lt;ConceptDemo!$C$17+$E$24-10,$G$27,0)</f>
        <v>0</v>
      </c>
      <c r="X168" s="18">
        <f>IF($P168&lt;ConceptDemo!$C$17+$E$24-10,$H$27,0)</f>
        <v>0</v>
      </c>
      <c r="Y168" s="10">
        <f t="shared" si="19"/>
        <v>0</v>
      </c>
      <c r="Z168" s="10">
        <f t="shared" si="20"/>
        <v>0</v>
      </c>
      <c r="AA168" s="10">
        <f t="shared" si="21"/>
        <v>0</v>
      </c>
      <c r="AB168" s="10">
        <f t="shared" si="22"/>
        <v>0</v>
      </c>
      <c r="AC168" s="18">
        <f t="shared" si="23"/>
        <v>0</v>
      </c>
      <c r="AD168" s="18">
        <f>IF(P168&lt;=ConceptDemo!$C$18,AD167+SUM(W168:AB168)-(Q168-Q167)-AC168,0)</f>
        <v>0</v>
      </c>
      <c r="AE168" s="18" t="e">
        <f>IF(ConceptDemo!$C$7=Backend!$A$2,AD168,IF(AE167&lt;&gt;AD167,IF(P168&lt;=ConceptDemo!$C$18,AE167+SUM(W168:AB168)-(Q168-Q167)-AC168,0),IF(P168=ConceptDemo!#REF!,ConceptDemo!#REF!,AD168)))</f>
        <v>#REF!</v>
      </c>
      <c r="AF168" s="18" t="e">
        <f t="shared" si="25"/>
        <v>#REF!</v>
      </c>
      <c r="AG168" s="18" t="e">
        <f t="shared" si="26"/>
        <v>#REF!</v>
      </c>
      <c r="AH168" s="18" t="e">
        <f t="shared" si="24"/>
        <v>#REF!</v>
      </c>
    </row>
    <row r="169" spans="16:34" x14ac:dyDescent="0.25">
      <c r="P169" s="12" t="str">
        <f>IFERROR(IF(P168+1=ConceptDemo!$C$18+10,"",Backend!P168+1),"")</f>
        <v/>
      </c>
      <c r="Q169" s="10">
        <f>IF(OR(P169&lt;ConceptDemo!$C$17,Backend!P169&gt;ConceptDemo!$C$18),0,IF(Backend!P169&lt;=Backend!$R$12,Backend!Q168+Backend!$T$12,IF(Backend!P169&lt;=Backend!$R$13,Backend!Q168+Backend!$T$13,IF(Backend!P169&lt;=Backend!$R$14,Backend!Q168+Backend!$T$14,IF(Backend!P169&lt;=Backend!$R$15,Backend!Q168+Backend!$T$15,IF(Backend!P169&lt;=Backend!$X$16,Backend!Q168+Backend!$Z$16))))))</f>
        <v>0</v>
      </c>
      <c r="R169" s="19" t="str">
        <f>IF(1&lt;=ConceptDemo!$L$29,IF(P169=$W$12,ConceptDemo!$L$27,""),"")</f>
        <v/>
      </c>
      <c r="S169" s="19" t="str">
        <f>IF(2&lt;=ConceptDemo!$L$29,IF(P169=$W$13,ConceptDemo!$L$27,""),"")</f>
        <v/>
      </c>
      <c r="T169" s="19" t="str">
        <f>IF(3&lt;=ConceptDemo!$L$29,IF(P169=$W$14,ConceptDemo!$L$27,""),"")</f>
        <v/>
      </c>
      <c r="U169" s="19" t="str">
        <f>IF(4&lt;=ConceptDemo!$L$29,IF(P169=$W$15,ConceptDemo!$L$27,""),"")</f>
        <v/>
      </c>
      <c r="W169" s="18">
        <f>IF($P169&lt;ConceptDemo!$C$17+$E$24-10,$G$27,0)</f>
        <v>0</v>
      </c>
      <c r="X169" s="18">
        <f>IF($P169&lt;ConceptDemo!$C$17+$E$24-10,$H$27,0)</f>
        <v>0</v>
      </c>
      <c r="Y169" s="10">
        <f t="shared" si="19"/>
        <v>0</v>
      </c>
      <c r="Z169" s="10">
        <f t="shared" si="20"/>
        <v>0</v>
      </c>
      <c r="AA169" s="10">
        <f t="shared" si="21"/>
        <v>0</v>
      </c>
      <c r="AB169" s="10">
        <f t="shared" si="22"/>
        <v>0</v>
      </c>
      <c r="AC169" s="18">
        <f t="shared" si="23"/>
        <v>0</v>
      </c>
      <c r="AD169" s="18">
        <f>IF(P169&lt;=ConceptDemo!$C$18,AD168+SUM(W169:AB169)-(Q169-Q168)-AC169,0)</f>
        <v>0</v>
      </c>
      <c r="AE169" s="18" t="e">
        <f>IF(ConceptDemo!$C$7=Backend!$A$2,AD169,IF(AE168&lt;&gt;AD168,IF(P169&lt;=ConceptDemo!$C$18,AE168+SUM(W169:AB169)-(Q169-Q168)-AC169,0),IF(P169=ConceptDemo!#REF!,ConceptDemo!#REF!,AD169)))</f>
        <v>#REF!</v>
      </c>
      <c r="AF169" s="18" t="e">
        <f t="shared" si="25"/>
        <v>#REF!</v>
      </c>
      <c r="AG169" s="18" t="e">
        <f t="shared" si="26"/>
        <v>#REF!</v>
      </c>
      <c r="AH169" s="18" t="e">
        <f t="shared" si="24"/>
        <v>#REF!</v>
      </c>
    </row>
    <row r="170" spans="16:34" x14ac:dyDescent="0.25">
      <c r="P170" s="12" t="str">
        <f>IFERROR(IF(P169+1=ConceptDemo!$C$18+10,"",Backend!P169+1),"")</f>
        <v/>
      </c>
      <c r="Q170" s="10">
        <f>IF(OR(P170&lt;ConceptDemo!$C$17,Backend!P170&gt;ConceptDemo!$C$18),0,IF(Backend!P170&lt;=Backend!$R$12,Backend!Q169+Backend!$T$12,IF(Backend!P170&lt;=Backend!$R$13,Backend!Q169+Backend!$T$13,IF(Backend!P170&lt;=Backend!$R$14,Backend!Q169+Backend!$T$14,IF(Backend!P170&lt;=Backend!$R$15,Backend!Q169+Backend!$T$15,IF(Backend!P170&lt;=Backend!$X$16,Backend!Q169+Backend!$Z$16))))))</f>
        <v>0</v>
      </c>
      <c r="R170" s="19" t="str">
        <f>IF(1&lt;=ConceptDemo!$L$29,IF(P170=$W$12,ConceptDemo!$L$27,""),"")</f>
        <v/>
      </c>
      <c r="S170" s="19" t="str">
        <f>IF(2&lt;=ConceptDemo!$L$29,IF(P170=$W$13,ConceptDemo!$L$27,""),"")</f>
        <v/>
      </c>
      <c r="T170" s="19" t="str">
        <f>IF(3&lt;=ConceptDemo!$L$29,IF(P170=$W$14,ConceptDemo!$L$27,""),"")</f>
        <v/>
      </c>
      <c r="U170" s="19" t="str">
        <f>IF(4&lt;=ConceptDemo!$L$29,IF(P170=$W$15,ConceptDemo!$L$27,""),"")</f>
        <v/>
      </c>
      <c r="W170" s="18">
        <f>IF($P170&lt;ConceptDemo!$C$17+$E$24-10,$G$27,0)</f>
        <v>0</v>
      </c>
      <c r="X170" s="18">
        <f>IF($P170&lt;ConceptDemo!$C$17+$E$24-10,$H$27,0)</f>
        <v>0</v>
      </c>
      <c r="Y170" s="10">
        <f t="shared" si="19"/>
        <v>0</v>
      </c>
      <c r="Z170" s="10">
        <f t="shared" si="20"/>
        <v>0</v>
      </c>
      <c r="AA170" s="10">
        <f t="shared" si="21"/>
        <v>0</v>
      </c>
      <c r="AB170" s="10">
        <f t="shared" si="22"/>
        <v>0</v>
      </c>
      <c r="AC170" s="18">
        <f t="shared" si="23"/>
        <v>0</v>
      </c>
      <c r="AD170" s="18">
        <f>IF(P170&lt;=ConceptDemo!$C$18,AD169+SUM(W170:AB170)-(Q170-Q169)-AC170,0)</f>
        <v>0</v>
      </c>
      <c r="AE170" s="18" t="e">
        <f>IF(ConceptDemo!$C$7=Backend!$A$2,AD170,IF(AE169&lt;&gt;AD169,IF(P170&lt;=ConceptDemo!$C$18,AE169+SUM(W170:AB170)-(Q170-Q169)-AC170,0),IF(P170=ConceptDemo!#REF!,ConceptDemo!#REF!,AD170)))</f>
        <v>#REF!</v>
      </c>
      <c r="AF170" s="18" t="e">
        <f t="shared" si="25"/>
        <v>#REF!</v>
      </c>
      <c r="AG170" s="18" t="e">
        <f t="shared" si="26"/>
        <v>#REF!</v>
      </c>
      <c r="AH170" s="18" t="e">
        <f t="shared" si="24"/>
        <v>#REF!</v>
      </c>
    </row>
    <row r="171" spans="16:34" x14ac:dyDescent="0.25">
      <c r="P171" s="12" t="str">
        <f>IFERROR(IF(P170+1=ConceptDemo!$C$18+10,"",Backend!P170+1),"")</f>
        <v/>
      </c>
      <c r="Q171" s="10">
        <f>IF(OR(P171&lt;ConceptDemo!$C$17,Backend!P171&gt;ConceptDemo!$C$18),0,IF(Backend!P171&lt;=Backend!$R$12,Backend!Q170+Backend!$T$12,IF(Backend!P171&lt;=Backend!$R$13,Backend!Q170+Backend!$T$13,IF(Backend!P171&lt;=Backend!$R$14,Backend!Q170+Backend!$T$14,IF(Backend!P171&lt;=Backend!$R$15,Backend!Q170+Backend!$T$15,IF(Backend!P171&lt;=Backend!$X$16,Backend!Q170+Backend!$Z$16))))))</f>
        <v>0</v>
      </c>
      <c r="R171" s="19" t="str">
        <f>IF(1&lt;=ConceptDemo!$L$29,IF(P171=$W$12,ConceptDemo!$L$27,""),"")</f>
        <v/>
      </c>
      <c r="S171" s="19" t="str">
        <f>IF(2&lt;=ConceptDemo!$L$29,IF(P171=$W$13,ConceptDemo!$L$27,""),"")</f>
        <v/>
      </c>
      <c r="T171" s="19" t="str">
        <f>IF(3&lt;=ConceptDemo!$L$29,IF(P171=$W$14,ConceptDemo!$L$27,""),"")</f>
        <v/>
      </c>
      <c r="U171" s="19" t="str">
        <f>IF(4&lt;=ConceptDemo!$L$29,IF(P171=$W$15,ConceptDemo!$L$27,""),"")</f>
        <v/>
      </c>
      <c r="W171" s="18">
        <f>IF($P171&lt;ConceptDemo!$C$17+$E$24-10,$G$27,0)</f>
        <v>0</v>
      </c>
      <c r="X171" s="18">
        <f>IF($P171&lt;ConceptDemo!$C$17+$E$24-10,$H$27,0)</f>
        <v>0</v>
      </c>
      <c r="Y171" s="10">
        <f t="shared" si="19"/>
        <v>0</v>
      </c>
      <c r="Z171" s="10">
        <f t="shared" si="20"/>
        <v>0</v>
      </c>
      <c r="AA171" s="10">
        <f t="shared" si="21"/>
        <v>0</v>
      </c>
      <c r="AB171" s="10">
        <f t="shared" si="22"/>
        <v>0</v>
      </c>
      <c r="AC171" s="18">
        <f t="shared" si="23"/>
        <v>0</v>
      </c>
      <c r="AD171" s="18">
        <f>IF(P171&lt;=ConceptDemo!$C$18,AD170+SUM(W171:AB171)-(Q171-Q170)-AC171,0)</f>
        <v>0</v>
      </c>
      <c r="AE171" s="18" t="e">
        <f>IF(ConceptDemo!$C$7=Backend!$A$2,AD171,IF(AE170&lt;&gt;AD170,IF(P171&lt;=ConceptDemo!$C$18,AE170+SUM(W171:AB171)-(Q171-Q170)-AC171,0),IF(P171=ConceptDemo!#REF!,ConceptDemo!#REF!,AD171)))</f>
        <v>#REF!</v>
      </c>
      <c r="AF171" s="18" t="e">
        <f t="shared" si="25"/>
        <v>#REF!</v>
      </c>
      <c r="AG171" s="18" t="e">
        <f t="shared" si="26"/>
        <v>#REF!</v>
      </c>
      <c r="AH171" s="18" t="e">
        <f t="shared" si="24"/>
        <v>#REF!</v>
      </c>
    </row>
    <row r="172" spans="16:34" x14ac:dyDescent="0.25">
      <c r="P172" s="12" t="str">
        <f>IFERROR(IF(P171+1=ConceptDemo!$C$18+10,"",Backend!P171+1),"")</f>
        <v/>
      </c>
      <c r="Q172" s="10">
        <f>IF(OR(P172&lt;ConceptDemo!$C$17,Backend!P172&gt;ConceptDemo!$C$18),0,IF(Backend!P172&lt;=Backend!$R$12,Backend!Q171+Backend!$T$12,IF(Backend!P172&lt;=Backend!$R$13,Backend!Q171+Backend!$T$13,IF(Backend!P172&lt;=Backend!$R$14,Backend!Q171+Backend!$T$14,IF(Backend!P172&lt;=Backend!$R$15,Backend!Q171+Backend!$T$15,IF(Backend!P172&lt;=Backend!$X$16,Backend!Q171+Backend!$Z$16))))))</f>
        <v>0</v>
      </c>
      <c r="R172" s="19" t="str">
        <f>IF(1&lt;=ConceptDemo!$L$29,IF(P172=$W$12,ConceptDemo!$L$27,""),"")</f>
        <v/>
      </c>
      <c r="S172" s="19" t="str">
        <f>IF(2&lt;=ConceptDemo!$L$29,IF(P172=$W$13,ConceptDemo!$L$27,""),"")</f>
        <v/>
      </c>
      <c r="T172" s="19" t="str">
        <f>IF(3&lt;=ConceptDemo!$L$29,IF(P172=$W$14,ConceptDemo!$L$27,""),"")</f>
        <v/>
      </c>
      <c r="U172" s="19" t="str">
        <f>IF(4&lt;=ConceptDemo!$L$29,IF(P172=$W$15,ConceptDemo!$L$27,""),"")</f>
        <v/>
      </c>
      <c r="W172" s="18">
        <f>IF($P172&lt;ConceptDemo!$C$17+$E$24-10,$G$27,0)</f>
        <v>0</v>
      </c>
      <c r="X172" s="18">
        <f>IF($P172&lt;ConceptDemo!$C$17+$E$24-10,$H$27,0)</f>
        <v>0</v>
      </c>
      <c r="Y172" s="10">
        <f t="shared" si="19"/>
        <v>0</v>
      </c>
      <c r="Z172" s="10">
        <f t="shared" si="20"/>
        <v>0</v>
      </c>
      <c r="AA172" s="10">
        <f t="shared" si="21"/>
        <v>0</v>
      </c>
      <c r="AB172" s="10">
        <f t="shared" si="22"/>
        <v>0</v>
      </c>
      <c r="AC172" s="18">
        <f t="shared" si="23"/>
        <v>0</v>
      </c>
      <c r="AD172" s="18">
        <f>IF(P172&lt;=ConceptDemo!$C$18,AD171+SUM(W172:AB172)-(Q172-Q171)-AC172,0)</f>
        <v>0</v>
      </c>
      <c r="AE172" s="18" t="e">
        <f>IF(ConceptDemo!$C$7=Backend!$A$2,AD172,IF(AE171&lt;&gt;AD171,IF(P172&lt;=ConceptDemo!$C$18,AE171+SUM(W172:AB172)-(Q172-Q171)-AC172,0),IF(P172=ConceptDemo!#REF!,ConceptDemo!#REF!,AD172)))</f>
        <v>#REF!</v>
      </c>
      <c r="AF172" s="18" t="e">
        <f t="shared" si="25"/>
        <v>#REF!</v>
      </c>
      <c r="AG172" s="18" t="e">
        <f t="shared" si="26"/>
        <v>#REF!</v>
      </c>
      <c r="AH172" s="18" t="e">
        <f t="shared" si="24"/>
        <v>#REF!</v>
      </c>
    </row>
    <row r="173" spans="16:34" x14ac:dyDescent="0.25">
      <c r="P173" s="12" t="str">
        <f>IFERROR(IF(P172+1=ConceptDemo!$C$18+10,"",Backend!P172+1),"")</f>
        <v/>
      </c>
      <c r="Q173" s="10">
        <f>IF(OR(P173&lt;ConceptDemo!$C$17,Backend!P173&gt;ConceptDemo!$C$18),0,IF(Backend!P173&lt;=Backend!$R$12,Backend!Q172+Backend!$T$12,IF(Backend!P173&lt;=Backend!$R$13,Backend!Q172+Backend!$T$13,IF(Backend!P173&lt;=Backend!$R$14,Backend!Q172+Backend!$T$14,IF(Backend!P173&lt;=Backend!$R$15,Backend!Q172+Backend!$T$15,IF(Backend!P173&lt;=Backend!$X$16,Backend!Q172+Backend!$Z$16))))))</f>
        <v>0</v>
      </c>
      <c r="R173" s="19" t="str">
        <f>IF(1&lt;=ConceptDemo!$L$29,IF(P173=$W$12,ConceptDemo!$L$27,""),"")</f>
        <v/>
      </c>
      <c r="S173" s="19" t="str">
        <f>IF(2&lt;=ConceptDemo!$L$29,IF(P173=$W$13,ConceptDemo!$L$27,""),"")</f>
        <v/>
      </c>
      <c r="T173" s="19" t="str">
        <f>IF(3&lt;=ConceptDemo!$L$29,IF(P173=$W$14,ConceptDemo!$L$27,""),"")</f>
        <v/>
      </c>
      <c r="U173" s="19" t="str">
        <f>IF(4&lt;=ConceptDemo!$L$29,IF(P173=$W$15,ConceptDemo!$L$27,""),"")</f>
        <v/>
      </c>
      <c r="W173" s="18">
        <f>IF($P173&lt;ConceptDemo!$C$17+$E$24-10,$G$27,0)</f>
        <v>0</v>
      </c>
      <c r="X173" s="18">
        <f>IF($P173&lt;ConceptDemo!$C$17+$E$24-10,$H$27,0)</f>
        <v>0</v>
      </c>
      <c r="Y173" s="10">
        <f t="shared" si="19"/>
        <v>0</v>
      </c>
      <c r="Z173" s="10">
        <f t="shared" si="20"/>
        <v>0</v>
      </c>
      <c r="AA173" s="10">
        <f t="shared" si="21"/>
        <v>0</v>
      </c>
      <c r="AB173" s="10">
        <f t="shared" si="22"/>
        <v>0</v>
      </c>
      <c r="AC173" s="18">
        <f t="shared" si="23"/>
        <v>0</v>
      </c>
      <c r="AD173" s="18">
        <f>IF(P173&lt;=ConceptDemo!$C$18,AD172+SUM(W173:AB173)-(Q173-Q172)-AC173,0)</f>
        <v>0</v>
      </c>
      <c r="AE173" s="18" t="e">
        <f>IF(ConceptDemo!$C$7=Backend!$A$2,AD173,IF(AE172&lt;&gt;AD172,IF(P173&lt;=ConceptDemo!$C$18,AE172+SUM(W173:AB173)-(Q173-Q172)-AC173,0),IF(P173=ConceptDemo!#REF!,ConceptDemo!#REF!,AD173)))</f>
        <v>#REF!</v>
      </c>
      <c r="AF173" s="18" t="e">
        <f t="shared" si="25"/>
        <v>#REF!</v>
      </c>
      <c r="AG173" s="18" t="e">
        <f t="shared" si="26"/>
        <v>#REF!</v>
      </c>
      <c r="AH173" s="18" t="e">
        <f t="shared" si="24"/>
        <v>#REF!</v>
      </c>
    </row>
    <row r="174" spans="16:34" x14ac:dyDescent="0.25">
      <c r="P174" s="12" t="str">
        <f>IFERROR(IF(P173+1=ConceptDemo!$C$18+10,"",Backend!P173+1),"")</f>
        <v/>
      </c>
      <c r="Q174" s="10">
        <f>IF(OR(P174&lt;ConceptDemo!$C$17,Backend!P174&gt;ConceptDemo!$C$18),0,IF(Backend!P174&lt;=Backend!$R$12,Backend!Q173+Backend!$T$12,IF(Backend!P174&lt;=Backend!$R$13,Backend!Q173+Backend!$T$13,IF(Backend!P174&lt;=Backend!$R$14,Backend!Q173+Backend!$T$14,IF(Backend!P174&lt;=Backend!$R$15,Backend!Q173+Backend!$T$15,IF(Backend!P174&lt;=Backend!$X$16,Backend!Q173+Backend!$Z$16))))))</f>
        <v>0</v>
      </c>
      <c r="R174" s="19" t="str">
        <f>IF(1&lt;=ConceptDemo!$L$29,IF(P174=$W$12,ConceptDemo!$L$27,""),"")</f>
        <v/>
      </c>
      <c r="S174" s="19" t="str">
        <f>IF(2&lt;=ConceptDemo!$L$29,IF(P174=$W$13,ConceptDemo!$L$27,""),"")</f>
        <v/>
      </c>
      <c r="T174" s="19" t="str">
        <f>IF(3&lt;=ConceptDemo!$L$29,IF(P174=$W$14,ConceptDemo!$L$27,""),"")</f>
        <v/>
      </c>
      <c r="U174" s="19" t="str">
        <f>IF(4&lt;=ConceptDemo!$L$29,IF(P174=$W$15,ConceptDemo!$L$27,""),"")</f>
        <v/>
      </c>
      <c r="W174" s="18">
        <f>IF($P174&lt;ConceptDemo!$C$17+$E$24-10,$G$27,0)</f>
        <v>0</v>
      </c>
      <c r="X174" s="18">
        <f>IF($P174&lt;ConceptDemo!$C$17+$E$24-10,$H$27,0)</f>
        <v>0</v>
      </c>
      <c r="Y174" s="10">
        <f t="shared" si="19"/>
        <v>0</v>
      </c>
      <c r="Z174" s="10">
        <f t="shared" si="20"/>
        <v>0</v>
      </c>
      <c r="AA174" s="10">
        <f t="shared" si="21"/>
        <v>0</v>
      </c>
      <c r="AB174" s="10">
        <f t="shared" si="22"/>
        <v>0</v>
      </c>
      <c r="AC174" s="18">
        <f t="shared" si="23"/>
        <v>0</v>
      </c>
      <c r="AD174" s="18">
        <f>IF(P174&lt;=ConceptDemo!$C$18,AD173+SUM(W174:AB174)-(Q174-Q173)-AC174,0)</f>
        <v>0</v>
      </c>
      <c r="AE174" s="18" t="e">
        <f>IF(ConceptDemo!$C$7=Backend!$A$2,AD174,IF(AE173&lt;&gt;AD173,IF(P174&lt;=ConceptDemo!$C$18,AE173+SUM(W174:AB174)-(Q174-Q173)-AC174,0),IF(P174=ConceptDemo!#REF!,ConceptDemo!#REF!,AD174)))</f>
        <v>#REF!</v>
      </c>
      <c r="AF174" s="18" t="e">
        <f t="shared" si="25"/>
        <v>#REF!</v>
      </c>
      <c r="AG174" s="18" t="e">
        <f t="shared" si="26"/>
        <v>#REF!</v>
      </c>
      <c r="AH174" s="18" t="e">
        <f t="shared" si="24"/>
        <v>#REF!</v>
      </c>
    </row>
    <row r="175" spans="16:34" x14ac:dyDescent="0.25">
      <c r="P175" s="12" t="str">
        <f>IFERROR(IF(P174+1=ConceptDemo!$C$18+10,"",Backend!P174+1),"")</f>
        <v/>
      </c>
      <c r="Q175" s="10">
        <f>IF(OR(P175&lt;ConceptDemo!$C$17,Backend!P175&gt;ConceptDemo!$C$18),0,IF(Backend!P175&lt;=Backend!$R$12,Backend!Q174+Backend!$T$12,IF(Backend!P175&lt;=Backend!$R$13,Backend!Q174+Backend!$T$13,IF(Backend!P175&lt;=Backend!$R$14,Backend!Q174+Backend!$T$14,IF(Backend!P175&lt;=Backend!$R$15,Backend!Q174+Backend!$T$15,IF(Backend!P175&lt;=Backend!$X$16,Backend!Q174+Backend!$Z$16))))))</f>
        <v>0</v>
      </c>
      <c r="R175" s="19" t="str">
        <f>IF(1&lt;=ConceptDemo!$L$29,IF(P175=$W$12,ConceptDemo!$L$27,""),"")</f>
        <v/>
      </c>
      <c r="S175" s="19" t="str">
        <f>IF(2&lt;=ConceptDemo!$L$29,IF(P175=$W$13,ConceptDemo!$L$27,""),"")</f>
        <v/>
      </c>
      <c r="T175" s="19" t="str">
        <f>IF(3&lt;=ConceptDemo!$L$29,IF(P175=$W$14,ConceptDemo!$L$27,""),"")</f>
        <v/>
      </c>
      <c r="U175" s="19" t="str">
        <f>IF(4&lt;=ConceptDemo!$L$29,IF(P175=$W$15,ConceptDemo!$L$27,""),"")</f>
        <v/>
      </c>
      <c r="W175" s="18">
        <f>IF($P175&lt;ConceptDemo!$C$17+$E$24-10,$G$27,0)</f>
        <v>0</v>
      </c>
      <c r="X175" s="18">
        <f>IF($P175&lt;ConceptDemo!$C$17+$E$24-10,$H$27,0)</f>
        <v>0</v>
      </c>
      <c r="Y175" s="10">
        <f t="shared" si="19"/>
        <v>0</v>
      </c>
      <c r="Z175" s="10">
        <f t="shared" si="20"/>
        <v>0</v>
      </c>
      <c r="AA175" s="10">
        <f t="shared" si="21"/>
        <v>0</v>
      </c>
      <c r="AB175" s="10">
        <f t="shared" si="22"/>
        <v>0</v>
      </c>
      <c r="AC175" s="18">
        <f t="shared" si="23"/>
        <v>0</v>
      </c>
      <c r="AD175" s="18">
        <f>IF(P175&lt;=ConceptDemo!$C$18,AD174+SUM(W175:AB175)-(Q175-Q174)-AC175,0)</f>
        <v>0</v>
      </c>
      <c r="AE175" s="18" t="e">
        <f>IF(ConceptDemo!$C$7=Backend!$A$2,AD175,IF(AE174&lt;&gt;AD174,IF(P175&lt;=ConceptDemo!$C$18,AE174+SUM(W175:AB175)-(Q175-Q174)-AC175,0),IF(P175=ConceptDemo!#REF!,ConceptDemo!#REF!,AD175)))</f>
        <v>#REF!</v>
      </c>
      <c r="AF175" s="18" t="e">
        <f t="shared" si="25"/>
        <v>#REF!</v>
      </c>
      <c r="AG175" s="18" t="e">
        <f t="shared" si="26"/>
        <v>#REF!</v>
      </c>
      <c r="AH175" s="18" t="e">
        <f t="shared" si="24"/>
        <v>#REF!</v>
      </c>
    </row>
    <row r="176" spans="16:34" x14ac:dyDescent="0.25">
      <c r="P176" s="12" t="str">
        <f>IFERROR(IF(P175+1=ConceptDemo!$C$18+10,"",Backend!P175+1),"")</f>
        <v/>
      </c>
      <c r="Q176" s="10">
        <f>IF(OR(P176&lt;ConceptDemo!$C$17,Backend!P176&gt;ConceptDemo!$C$18),0,IF(Backend!P176&lt;=Backend!$R$12,Backend!Q175+Backend!$T$12,IF(Backend!P176&lt;=Backend!$R$13,Backend!Q175+Backend!$T$13,IF(Backend!P176&lt;=Backend!$R$14,Backend!Q175+Backend!$T$14,IF(Backend!P176&lt;=Backend!$R$15,Backend!Q175+Backend!$T$15,IF(Backend!P176&lt;=Backend!$X$16,Backend!Q175+Backend!$Z$16))))))</f>
        <v>0</v>
      </c>
      <c r="R176" s="19" t="str">
        <f>IF(1&lt;=ConceptDemo!$L$29,IF(P176=$W$12,ConceptDemo!$L$27,""),"")</f>
        <v/>
      </c>
      <c r="S176" s="19" t="str">
        <f>IF(2&lt;=ConceptDemo!$L$29,IF(P176=$W$13,ConceptDemo!$L$27,""),"")</f>
        <v/>
      </c>
      <c r="T176" s="19" t="str">
        <f>IF(3&lt;=ConceptDemo!$L$29,IF(P176=$W$14,ConceptDemo!$L$27,""),"")</f>
        <v/>
      </c>
      <c r="U176" s="19" t="str">
        <f>IF(4&lt;=ConceptDemo!$L$29,IF(P176=$W$15,ConceptDemo!$L$27,""),"")</f>
        <v/>
      </c>
      <c r="W176" s="18">
        <f>IF($P176&lt;ConceptDemo!$C$17+$E$24-10,$G$27,0)</f>
        <v>0</v>
      </c>
      <c r="X176" s="18">
        <f>IF($P176&lt;ConceptDemo!$C$17+$E$24-10,$H$27,0)</f>
        <v>0</v>
      </c>
      <c r="Y176" s="10">
        <f t="shared" si="19"/>
        <v>0</v>
      </c>
      <c r="Z176" s="10">
        <f t="shared" si="20"/>
        <v>0</v>
      </c>
      <c r="AA176" s="10">
        <f t="shared" si="21"/>
        <v>0</v>
      </c>
      <c r="AB176" s="10">
        <f t="shared" si="22"/>
        <v>0</v>
      </c>
      <c r="AC176" s="18">
        <f t="shared" si="23"/>
        <v>0</v>
      </c>
      <c r="AD176" s="18">
        <f>IF(P176&lt;=ConceptDemo!$C$18,AD175+SUM(W176:AB176)-(Q176-Q175)-AC176,0)</f>
        <v>0</v>
      </c>
      <c r="AE176" s="18" t="e">
        <f>IF(ConceptDemo!$C$7=Backend!$A$2,AD176,IF(AE175&lt;&gt;AD175,IF(P176&lt;=ConceptDemo!$C$18,AE175+SUM(W176:AB176)-(Q176-Q175)-AC176,0),IF(P176=ConceptDemo!#REF!,ConceptDemo!#REF!,AD176)))</f>
        <v>#REF!</v>
      </c>
      <c r="AF176" s="18" t="e">
        <f t="shared" si="25"/>
        <v>#REF!</v>
      </c>
      <c r="AG176" s="18" t="e">
        <f t="shared" si="26"/>
        <v>#REF!</v>
      </c>
      <c r="AH176" s="18" t="e">
        <f t="shared" si="24"/>
        <v>#REF!</v>
      </c>
    </row>
    <row r="177" spans="16:34" x14ac:dyDescent="0.25">
      <c r="P177" s="12" t="str">
        <f>IFERROR(IF(P176+1=ConceptDemo!$C$18+10,"",Backend!P176+1),"")</f>
        <v/>
      </c>
      <c r="Q177" s="10">
        <f>IF(OR(P177&lt;ConceptDemo!$C$17,Backend!P177&gt;ConceptDemo!$C$18),0,IF(Backend!P177&lt;=Backend!$R$12,Backend!Q176+Backend!$T$12,IF(Backend!P177&lt;=Backend!$R$13,Backend!Q176+Backend!$T$13,IF(Backend!P177&lt;=Backend!$R$14,Backend!Q176+Backend!$T$14,IF(Backend!P177&lt;=Backend!$R$15,Backend!Q176+Backend!$T$15,IF(Backend!P177&lt;=Backend!$X$16,Backend!Q176+Backend!$Z$16))))))</f>
        <v>0</v>
      </c>
      <c r="R177" s="19" t="str">
        <f>IF(1&lt;=ConceptDemo!$L$29,IF(P177=$W$12,ConceptDemo!$L$27,""),"")</f>
        <v/>
      </c>
      <c r="S177" s="19" t="str">
        <f>IF(2&lt;=ConceptDemo!$L$29,IF(P177=$W$13,ConceptDemo!$L$27,""),"")</f>
        <v/>
      </c>
      <c r="T177" s="19" t="str">
        <f>IF(3&lt;=ConceptDemo!$L$29,IF(P177=$W$14,ConceptDemo!$L$27,""),"")</f>
        <v/>
      </c>
      <c r="U177" s="19" t="str">
        <f>IF(4&lt;=ConceptDemo!$L$29,IF(P177=$W$15,ConceptDemo!$L$27,""),"")</f>
        <v/>
      </c>
      <c r="W177" s="18">
        <f>IF($P177&lt;ConceptDemo!$C$17+$E$24-10,$G$27,0)</f>
        <v>0</v>
      </c>
      <c r="X177" s="18">
        <f>IF($P177&lt;ConceptDemo!$C$17+$E$24-10,$H$27,0)</f>
        <v>0</v>
      </c>
      <c r="Y177" s="10">
        <f t="shared" si="19"/>
        <v>0</v>
      </c>
      <c r="Z177" s="10">
        <f t="shared" si="20"/>
        <v>0</v>
      </c>
      <c r="AA177" s="10">
        <f t="shared" si="21"/>
        <v>0</v>
      </c>
      <c r="AB177" s="10">
        <f t="shared" si="22"/>
        <v>0</v>
      </c>
      <c r="AC177" s="18">
        <f t="shared" si="23"/>
        <v>0</v>
      </c>
      <c r="AD177" s="18">
        <f>IF(P177&lt;=ConceptDemo!$C$18,AD176+SUM(W177:AB177)-(Q177-Q176)-AC177,0)</f>
        <v>0</v>
      </c>
      <c r="AE177" s="18" t="e">
        <f>IF(ConceptDemo!$C$7=Backend!$A$2,AD177,IF(AE176&lt;&gt;AD176,IF(P177&lt;=ConceptDemo!$C$18,AE176+SUM(W177:AB177)-(Q177-Q176)-AC177,0),IF(P177=ConceptDemo!#REF!,ConceptDemo!#REF!,AD177)))</f>
        <v>#REF!</v>
      </c>
      <c r="AF177" s="18" t="e">
        <f t="shared" si="25"/>
        <v>#REF!</v>
      </c>
      <c r="AG177" s="18" t="e">
        <f t="shared" si="26"/>
        <v>#REF!</v>
      </c>
      <c r="AH177" s="18" t="e">
        <f t="shared" si="24"/>
        <v>#REF!</v>
      </c>
    </row>
    <row r="178" spans="16:34" x14ac:dyDescent="0.25">
      <c r="P178" s="12" t="str">
        <f>IFERROR(IF(P177+1=ConceptDemo!$C$18+10,"",Backend!P177+1),"")</f>
        <v/>
      </c>
      <c r="Q178" s="10">
        <f>IF(OR(P178&lt;ConceptDemo!$C$17,Backend!P178&gt;ConceptDemo!$C$18),0,IF(Backend!P178&lt;=Backend!$R$12,Backend!Q177+Backend!$T$12,IF(Backend!P178&lt;=Backend!$R$13,Backend!Q177+Backend!$T$13,IF(Backend!P178&lt;=Backend!$R$14,Backend!Q177+Backend!$T$14,IF(Backend!P178&lt;=Backend!$R$15,Backend!Q177+Backend!$T$15,IF(Backend!P178&lt;=Backend!$X$16,Backend!Q177+Backend!$Z$16))))))</f>
        <v>0</v>
      </c>
      <c r="R178" s="19" t="str">
        <f>IF(1&lt;=ConceptDemo!$L$29,IF(P178=$W$12,ConceptDemo!$L$27,""),"")</f>
        <v/>
      </c>
      <c r="S178" s="19" t="str">
        <f>IF(2&lt;=ConceptDemo!$L$29,IF(P178=$W$13,ConceptDemo!$L$27,""),"")</f>
        <v/>
      </c>
      <c r="T178" s="19" t="str">
        <f>IF(3&lt;=ConceptDemo!$L$29,IF(P178=$W$14,ConceptDemo!$L$27,""),"")</f>
        <v/>
      </c>
      <c r="U178" s="19" t="str">
        <f>IF(4&lt;=ConceptDemo!$L$29,IF(P178=$W$15,ConceptDemo!$L$27,""),"")</f>
        <v/>
      </c>
      <c r="W178" s="18">
        <f>IF($P178&lt;ConceptDemo!$C$17+$E$24-10,$G$27,0)</f>
        <v>0</v>
      </c>
      <c r="X178" s="18">
        <f>IF($P178&lt;ConceptDemo!$C$17+$E$24-10,$H$27,0)</f>
        <v>0</v>
      </c>
      <c r="Y178" s="10">
        <f t="shared" si="19"/>
        <v>0</v>
      </c>
      <c r="Z178" s="10">
        <f t="shared" si="20"/>
        <v>0</v>
      </c>
      <c r="AA178" s="10">
        <f t="shared" si="21"/>
        <v>0</v>
      </c>
      <c r="AB178" s="10">
        <f t="shared" si="22"/>
        <v>0</v>
      </c>
      <c r="AC178" s="18">
        <f t="shared" si="23"/>
        <v>0</v>
      </c>
      <c r="AD178" s="18">
        <f>IF(P178&lt;=ConceptDemo!$C$18,AD177+SUM(W178:AB178)-(Q178-Q177)-AC178,0)</f>
        <v>0</v>
      </c>
      <c r="AE178" s="18" t="e">
        <f>IF(ConceptDemo!$C$7=Backend!$A$2,AD178,IF(AE177&lt;&gt;AD177,IF(P178&lt;=ConceptDemo!$C$18,AE177+SUM(W178:AB178)-(Q178-Q177)-AC178,0),IF(P178=ConceptDemo!#REF!,ConceptDemo!#REF!,AD178)))</f>
        <v>#REF!</v>
      </c>
      <c r="AF178" s="18" t="e">
        <f t="shared" si="25"/>
        <v>#REF!</v>
      </c>
      <c r="AG178" s="18" t="e">
        <f t="shared" si="26"/>
        <v>#REF!</v>
      </c>
      <c r="AH178" s="18" t="e">
        <f t="shared" si="24"/>
        <v>#REF!</v>
      </c>
    </row>
    <row r="179" spans="16:34" x14ac:dyDescent="0.25">
      <c r="P179" s="12" t="str">
        <f>IFERROR(IF(P178+1=ConceptDemo!$C$18+10,"",Backend!P178+1),"")</f>
        <v/>
      </c>
      <c r="Q179" s="10">
        <f>IF(OR(P179&lt;ConceptDemo!$C$17,Backend!P179&gt;ConceptDemo!$C$18),0,IF(Backend!P179&lt;=Backend!$R$12,Backend!Q178+Backend!$T$12,IF(Backend!P179&lt;=Backend!$R$13,Backend!Q178+Backend!$T$13,IF(Backend!P179&lt;=Backend!$R$14,Backend!Q178+Backend!$T$14,IF(Backend!P179&lt;=Backend!$R$15,Backend!Q178+Backend!$T$15,IF(Backend!P179&lt;=Backend!$X$16,Backend!Q178+Backend!$Z$16))))))</f>
        <v>0</v>
      </c>
      <c r="R179" s="19" t="str">
        <f>IF(1&lt;=ConceptDemo!$L$29,IF(P179=$W$12,ConceptDemo!$L$27,""),"")</f>
        <v/>
      </c>
      <c r="S179" s="19" t="str">
        <f>IF(2&lt;=ConceptDemo!$L$29,IF(P179=$W$13,ConceptDemo!$L$27,""),"")</f>
        <v/>
      </c>
      <c r="T179" s="19" t="str">
        <f>IF(3&lt;=ConceptDemo!$L$29,IF(P179=$W$14,ConceptDemo!$L$27,""),"")</f>
        <v/>
      </c>
      <c r="U179" s="19" t="str">
        <f>IF(4&lt;=ConceptDemo!$L$29,IF(P179=$W$15,ConceptDemo!$L$27,""),"")</f>
        <v/>
      </c>
      <c r="W179" s="18">
        <f>IF($P179&lt;ConceptDemo!$C$17+$E$24-10,$G$27,0)</f>
        <v>0</v>
      </c>
      <c r="X179" s="18">
        <f>IF($P179&lt;ConceptDemo!$C$17+$E$24-10,$H$27,0)</f>
        <v>0</v>
      </c>
      <c r="Y179" s="10">
        <f t="shared" si="19"/>
        <v>0</v>
      </c>
      <c r="Z179" s="10">
        <f t="shared" si="20"/>
        <v>0</v>
      </c>
      <c r="AA179" s="10">
        <f t="shared" si="21"/>
        <v>0</v>
      </c>
      <c r="AB179" s="10">
        <f t="shared" si="22"/>
        <v>0</v>
      </c>
      <c r="AC179" s="18">
        <f t="shared" si="23"/>
        <v>0</v>
      </c>
      <c r="AD179" s="18">
        <f>IF(P179&lt;=ConceptDemo!$C$18,AD178+SUM(W179:AB179)-(Q179-Q178)-AC179,0)</f>
        <v>0</v>
      </c>
      <c r="AE179" s="18" t="e">
        <f>IF(ConceptDemo!$C$7=Backend!$A$2,AD179,IF(AE178&lt;&gt;AD178,IF(P179&lt;=ConceptDemo!$C$18,AE178+SUM(W179:AB179)-(Q179-Q178)-AC179,0),IF(P179=ConceptDemo!#REF!,ConceptDemo!#REF!,AD179)))</f>
        <v>#REF!</v>
      </c>
      <c r="AF179" s="18" t="e">
        <f t="shared" si="25"/>
        <v>#REF!</v>
      </c>
      <c r="AG179" s="18" t="e">
        <f t="shared" si="26"/>
        <v>#REF!</v>
      </c>
      <c r="AH179" s="18" t="e">
        <f t="shared" si="24"/>
        <v>#REF!</v>
      </c>
    </row>
    <row r="180" spans="16:34" x14ac:dyDescent="0.25">
      <c r="P180" s="12" t="str">
        <f>IFERROR(IF(P179+1=ConceptDemo!$C$18+10,"",Backend!P179+1),"")</f>
        <v/>
      </c>
      <c r="Q180" s="10">
        <f>IF(OR(P180&lt;ConceptDemo!$C$17,Backend!P180&gt;ConceptDemo!$C$18),0,IF(Backend!P180&lt;=Backend!$R$12,Backend!Q179+Backend!$T$12,IF(Backend!P180&lt;=Backend!$R$13,Backend!Q179+Backend!$T$13,IF(Backend!P180&lt;=Backend!$R$14,Backend!Q179+Backend!$T$14,IF(Backend!P180&lt;=Backend!$R$15,Backend!Q179+Backend!$T$15,IF(Backend!P180&lt;=Backend!$X$16,Backend!Q179+Backend!$Z$16))))))</f>
        <v>0</v>
      </c>
      <c r="R180" s="19" t="str">
        <f>IF(1&lt;=ConceptDemo!$L$29,IF(P180=$W$12,ConceptDemo!$L$27,""),"")</f>
        <v/>
      </c>
      <c r="S180" s="19" t="str">
        <f>IF(2&lt;=ConceptDemo!$L$29,IF(P180=$W$13,ConceptDemo!$L$27,""),"")</f>
        <v/>
      </c>
      <c r="T180" s="19" t="str">
        <f>IF(3&lt;=ConceptDemo!$L$29,IF(P180=$W$14,ConceptDemo!$L$27,""),"")</f>
        <v/>
      </c>
      <c r="U180" s="19" t="str">
        <f>IF(4&lt;=ConceptDemo!$L$29,IF(P180=$W$15,ConceptDemo!$L$27,""),"")</f>
        <v/>
      </c>
      <c r="W180" s="18">
        <f>IF($P180&lt;ConceptDemo!$C$17+$E$24-10,$G$27,0)</f>
        <v>0</v>
      </c>
      <c r="X180" s="18">
        <f>IF($P180&lt;ConceptDemo!$C$17+$E$24-10,$H$27,0)</f>
        <v>0</v>
      </c>
      <c r="Y180" s="10">
        <f t="shared" si="19"/>
        <v>0</v>
      </c>
      <c r="Z180" s="10">
        <f t="shared" si="20"/>
        <v>0</v>
      </c>
      <c r="AA180" s="10">
        <f t="shared" si="21"/>
        <v>0</v>
      </c>
      <c r="AB180" s="10">
        <f t="shared" si="22"/>
        <v>0</v>
      </c>
      <c r="AC180" s="18">
        <f t="shared" si="23"/>
        <v>0</v>
      </c>
      <c r="AD180" s="18">
        <f>IF(P180&lt;=ConceptDemo!$C$18,AD179+SUM(W180:AB180)-(Q180-Q179)-AC180,0)</f>
        <v>0</v>
      </c>
      <c r="AE180" s="18" t="e">
        <f>IF(ConceptDemo!$C$7=Backend!$A$2,AD180,IF(AE179&lt;&gt;AD179,IF(P180&lt;=ConceptDemo!$C$18,AE179+SUM(W180:AB180)-(Q180-Q179)-AC180,0),IF(P180=ConceptDemo!#REF!,ConceptDemo!#REF!,AD180)))</f>
        <v>#REF!</v>
      </c>
      <c r="AF180" s="18" t="e">
        <f t="shared" si="25"/>
        <v>#REF!</v>
      </c>
      <c r="AG180" s="18" t="e">
        <f t="shared" si="26"/>
        <v>#REF!</v>
      </c>
      <c r="AH180" s="18" t="e">
        <f t="shared" si="24"/>
        <v>#REF!</v>
      </c>
    </row>
    <row r="181" spans="16:34" x14ac:dyDescent="0.25">
      <c r="P181" s="12" t="str">
        <f>IFERROR(IF(P180+1=ConceptDemo!$C$18+10,"",Backend!P180+1),"")</f>
        <v/>
      </c>
      <c r="Q181" s="10">
        <f>IF(OR(P181&lt;ConceptDemo!$C$17,Backend!P181&gt;ConceptDemo!$C$18),0,IF(Backend!P181&lt;=Backend!$R$12,Backend!Q180+Backend!$T$12,IF(Backend!P181&lt;=Backend!$R$13,Backend!Q180+Backend!$T$13,IF(Backend!P181&lt;=Backend!$R$14,Backend!Q180+Backend!$T$14,IF(Backend!P181&lt;=Backend!$R$15,Backend!Q180+Backend!$T$15,IF(Backend!P181&lt;=Backend!$X$16,Backend!Q180+Backend!$Z$16))))))</f>
        <v>0</v>
      </c>
      <c r="R181" s="19" t="str">
        <f>IF(1&lt;=ConceptDemo!$L$29,IF(P181=$W$12,ConceptDemo!$L$27,""),"")</f>
        <v/>
      </c>
      <c r="S181" s="19" t="str">
        <f>IF(2&lt;=ConceptDemo!$L$29,IF(P181=$W$13,ConceptDemo!$L$27,""),"")</f>
        <v/>
      </c>
      <c r="T181" s="19" t="str">
        <f>IF(3&lt;=ConceptDemo!$L$29,IF(P181=$W$14,ConceptDemo!$L$27,""),"")</f>
        <v/>
      </c>
      <c r="U181" s="19" t="str">
        <f>IF(4&lt;=ConceptDemo!$L$29,IF(P181=$W$15,ConceptDemo!$L$27,""),"")</f>
        <v/>
      </c>
      <c r="W181" s="18">
        <f>IF($P181&lt;ConceptDemo!$C$17+$E$24-10,$G$27,0)</f>
        <v>0</v>
      </c>
      <c r="X181" s="18">
        <f>IF($P181&lt;ConceptDemo!$C$17+$E$24-10,$H$27,0)</f>
        <v>0</v>
      </c>
      <c r="Y181" s="10">
        <f t="shared" si="19"/>
        <v>0</v>
      </c>
      <c r="Z181" s="10">
        <f t="shared" si="20"/>
        <v>0</v>
      </c>
      <c r="AA181" s="10">
        <f t="shared" si="21"/>
        <v>0</v>
      </c>
      <c r="AB181" s="10">
        <f t="shared" si="22"/>
        <v>0</v>
      </c>
      <c r="AC181" s="18">
        <f t="shared" si="23"/>
        <v>0</v>
      </c>
      <c r="AD181" s="18">
        <f>IF(P181&lt;=ConceptDemo!$C$18,AD180+SUM(W181:AB181)-(Q181-Q180)-AC181,0)</f>
        <v>0</v>
      </c>
      <c r="AE181" s="18" t="e">
        <f>IF(ConceptDemo!$C$7=Backend!$A$2,AD181,IF(AE180&lt;&gt;AD180,IF(P181&lt;=ConceptDemo!$C$18,AE180+SUM(W181:AB181)-(Q181-Q180)-AC181,0),IF(P181=ConceptDemo!#REF!,ConceptDemo!#REF!,AD181)))</f>
        <v>#REF!</v>
      </c>
      <c r="AF181" s="18" t="e">
        <f t="shared" si="25"/>
        <v>#REF!</v>
      </c>
      <c r="AG181" s="18" t="e">
        <f t="shared" si="26"/>
        <v>#REF!</v>
      </c>
      <c r="AH181" s="18" t="e">
        <f t="shared" si="24"/>
        <v>#REF!</v>
      </c>
    </row>
    <row r="182" spans="16:34" x14ac:dyDescent="0.25">
      <c r="P182" s="12" t="str">
        <f>IFERROR(IF(P181+1=ConceptDemo!$C$18+10,"",Backend!P181+1),"")</f>
        <v/>
      </c>
      <c r="Q182" s="10">
        <f>IF(OR(P182&lt;ConceptDemo!$C$17,Backend!P182&gt;ConceptDemo!$C$18),0,IF(Backend!P182&lt;=Backend!$R$12,Backend!Q181+Backend!$T$12,IF(Backend!P182&lt;=Backend!$R$13,Backend!Q181+Backend!$T$13,IF(Backend!P182&lt;=Backend!$R$14,Backend!Q181+Backend!$T$14,IF(Backend!P182&lt;=Backend!$R$15,Backend!Q181+Backend!$T$15,IF(Backend!P182&lt;=Backend!$X$16,Backend!Q181+Backend!$Z$16))))))</f>
        <v>0</v>
      </c>
      <c r="R182" s="19" t="str">
        <f>IF(1&lt;=ConceptDemo!$L$29,IF(P182=$W$12,ConceptDemo!$L$27,""),"")</f>
        <v/>
      </c>
      <c r="S182" s="19" t="str">
        <f>IF(2&lt;=ConceptDemo!$L$29,IF(P182=$W$13,ConceptDemo!$L$27,""),"")</f>
        <v/>
      </c>
      <c r="T182" s="19" t="str">
        <f>IF(3&lt;=ConceptDemo!$L$29,IF(P182=$W$14,ConceptDemo!$L$27,""),"")</f>
        <v/>
      </c>
      <c r="U182" s="19" t="str">
        <f>IF(4&lt;=ConceptDemo!$L$29,IF(P182=$W$15,ConceptDemo!$L$27,""),"")</f>
        <v/>
      </c>
      <c r="W182" s="18">
        <f>IF($P182&lt;ConceptDemo!$C$17+$E$24-10,$G$27,0)</f>
        <v>0</v>
      </c>
      <c r="X182" s="18">
        <f>IF($P182&lt;ConceptDemo!$C$17+$E$24-10,$H$27,0)</f>
        <v>0</v>
      </c>
      <c r="Y182" s="10">
        <f t="shared" si="19"/>
        <v>0</v>
      </c>
      <c r="Z182" s="10">
        <f t="shared" si="20"/>
        <v>0</v>
      </c>
      <c r="AA182" s="10">
        <f t="shared" si="21"/>
        <v>0</v>
      </c>
      <c r="AB182" s="10">
        <f t="shared" si="22"/>
        <v>0</v>
      </c>
      <c r="AC182" s="18">
        <f t="shared" si="23"/>
        <v>0</v>
      </c>
      <c r="AD182" s="18">
        <f>IF(P182&lt;=ConceptDemo!$C$18,AD181+SUM(W182:AB182)-(Q182-Q181)-AC182,0)</f>
        <v>0</v>
      </c>
      <c r="AE182" s="18" t="e">
        <f>IF(ConceptDemo!$C$7=Backend!$A$2,AD182,IF(AE181&lt;&gt;AD181,IF(P182&lt;=ConceptDemo!$C$18,AE181+SUM(W182:AB182)-(Q182-Q181)-AC182,0),IF(P182=ConceptDemo!#REF!,ConceptDemo!#REF!,AD182)))</f>
        <v>#REF!</v>
      </c>
      <c r="AF182" s="18" t="e">
        <f t="shared" si="25"/>
        <v>#REF!</v>
      </c>
      <c r="AG182" s="18" t="e">
        <f t="shared" si="26"/>
        <v>#REF!</v>
      </c>
      <c r="AH182" s="18" t="e">
        <f t="shared" si="24"/>
        <v>#REF!</v>
      </c>
    </row>
    <row r="183" spans="16:34" x14ac:dyDescent="0.25">
      <c r="P183" s="12" t="str">
        <f>IFERROR(IF(P182+1=ConceptDemo!$C$18+10,"",Backend!P182+1),"")</f>
        <v/>
      </c>
      <c r="Q183" s="10">
        <f>IF(OR(P183&lt;ConceptDemo!$C$17,Backend!P183&gt;ConceptDemo!$C$18),0,IF(Backend!P183&lt;=Backend!$R$12,Backend!Q182+Backend!$T$12,IF(Backend!P183&lt;=Backend!$R$13,Backend!Q182+Backend!$T$13,IF(Backend!P183&lt;=Backend!$R$14,Backend!Q182+Backend!$T$14,IF(Backend!P183&lt;=Backend!$R$15,Backend!Q182+Backend!$T$15,IF(Backend!P183&lt;=Backend!$X$16,Backend!Q182+Backend!$Z$16))))))</f>
        <v>0</v>
      </c>
      <c r="R183" s="19" t="str">
        <f>IF(1&lt;=ConceptDemo!$L$29,IF(P183=$W$12,ConceptDemo!$L$27,""),"")</f>
        <v/>
      </c>
      <c r="S183" s="19" t="str">
        <f>IF(2&lt;=ConceptDemo!$L$29,IF(P183=$W$13,ConceptDemo!$L$27,""),"")</f>
        <v/>
      </c>
      <c r="T183" s="19" t="str">
        <f>IF(3&lt;=ConceptDemo!$L$29,IF(P183=$W$14,ConceptDemo!$L$27,""),"")</f>
        <v/>
      </c>
      <c r="U183" s="19" t="str">
        <f>IF(4&lt;=ConceptDemo!$L$29,IF(P183=$W$15,ConceptDemo!$L$27,""),"")</f>
        <v/>
      </c>
      <c r="W183" s="18">
        <f>IF($P183&lt;ConceptDemo!$C$17+$E$24-10,$G$27,0)</f>
        <v>0</v>
      </c>
      <c r="X183" s="18">
        <f>IF($P183&lt;ConceptDemo!$C$17+$E$24-10,$H$27,0)</f>
        <v>0</v>
      </c>
      <c r="Y183" s="10">
        <f t="shared" si="19"/>
        <v>0</v>
      </c>
      <c r="Z183" s="10">
        <f t="shared" si="20"/>
        <v>0</v>
      </c>
      <c r="AA183" s="10">
        <f t="shared" si="21"/>
        <v>0</v>
      </c>
      <c r="AB183" s="10">
        <f t="shared" si="22"/>
        <v>0</v>
      </c>
      <c r="AC183" s="18">
        <f t="shared" si="23"/>
        <v>0</v>
      </c>
      <c r="AD183" s="18">
        <f>IF(P183&lt;=ConceptDemo!$C$18,AD182+SUM(W183:AB183)-(Q183-Q182)-AC183,0)</f>
        <v>0</v>
      </c>
      <c r="AE183" s="18" t="e">
        <f>IF(ConceptDemo!$C$7=Backend!$A$2,AD183,IF(AE182&lt;&gt;AD182,IF(P183&lt;=ConceptDemo!$C$18,AE182+SUM(W183:AB183)-(Q183-Q182)-AC183,0),IF(P183=ConceptDemo!#REF!,ConceptDemo!#REF!,AD183)))</f>
        <v>#REF!</v>
      </c>
      <c r="AF183" s="18" t="e">
        <f t="shared" si="25"/>
        <v>#REF!</v>
      </c>
      <c r="AG183" s="18" t="e">
        <f t="shared" si="26"/>
        <v>#REF!</v>
      </c>
      <c r="AH183" s="18" t="e">
        <f t="shared" si="24"/>
        <v>#REF!</v>
      </c>
    </row>
    <row r="184" spans="16:34" x14ac:dyDescent="0.25">
      <c r="P184" s="12" t="str">
        <f>IFERROR(IF(P183+1=ConceptDemo!$C$18+10,"",Backend!P183+1),"")</f>
        <v/>
      </c>
      <c r="Q184" s="10">
        <f>IF(OR(P184&lt;ConceptDemo!$C$17,Backend!P184&gt;ConceptDemo!$C$18),0,IF(Backend!P184&lt;=Backend!$R$12,Backend!Q183+Backend!$T$12,IF(Backend!P184&lt;=Backend!$R$13,Backend!Q183+Backend!$T$13,IF(Backend!P184&lt;=Backend!$R$14,Backend!Q183+Backend!$T$14,IF(Backend!P184&lt;=Backend!$R$15,Backend!Q183+Backend!$T$15,IF(Backend!P184&lt;=Backend!$X$16,Backend!Q183+Backend!$Z$16))))))</f>
        <v>0</v>
      </c>
      <c r="R184" s="19" t="str">
        <f>IF(1&lt;=ConceptDemo!$L$29,IF(P184=$W$12,ConceptDemo!$L$27,""),"")</f>
        <v/>
      </c>
      <c r="S184" s="19" t="str">
        <f>IF(2&lt;=ConceptDemo!$L$29,IF(P184=$W$13,ConceptDemo!$L$27,""),"")</f>
        <v/>
      </c>
      <c r="T184" s="19" t="str">
        <f>IF(3&lt;=ConceptDemo!$L$29,IF(P184=$W$14,ConceptDemo!$L$27,""),"")</f>
        <v/>
      </c>
      <c r="U184" s="19" t="str">
        <f>IF(4&lt;=ConceptDemo!$L$29,IF(P184=$W$15,ConceptDemo!$L$27,""),"")</f>
        <v/>
      </c>
      <c r="W184" s="18">
        <f>IF($P184&lt;ConceptDemo!$C$17+$E$24-10,$G$27,0)</f>
        <v>0</v>
      </c>
      <c r="X184" s="18">
        <f>IF($P184&lt;ConceptDemo!$C$17+$E$24-10,$H$27,0)</f>
        <v>0</v>
      </c>
      <c r="Y184" s="10">
        <f t="shared" si="19"/>
        <v>0</v>
      </c>
      <c r="Z184" s="10">
        <f t="shared" si="20"/>
        <v>0</v>
      </c>
      <c r="AA184" s="10">
        <f t="shared" si="21"/>
        <v>0</v>
      </c>
      <c r="AB184" s="10">
        <f t="shared" si="22"/>
        <v>0</v>
      </c>
      <c r="AC184" s="18">
        <f t="shared" si="23"/>
        <v>0</v>
      </c>
      <c r="AD184" s="18">
        <f>IF(P184&lt;=ConceptDemo!$C$18,AD183+SUM(W184:AB184)-(Q184-Q183)-AC184,0)</f>
        <v>0</v>
      </c>
      <c r="AE184" s="18" t="e">
        <f>IF(ConceptDemo!$C$7=Backend!$A$2,AD184,IF(AE183&lt;&gt;AD183,IF(P184&lt;=ConceptDemo!$C$18,AE183+SUM(W184:AB184)-(Q184-Q183)-AC184,0),IF(P184=ConceptDemo!#REF!,ConceptDemo!#REF!,AD184)))</f>
        <v>#REF!</v>
      </c>
      <c r="AF184" s="18" t="e">
        <f t="shared" si="25"/>
        <v>#REF!</v>
      </c>
      <c r="AG184" s="18" t="e">
        <f t="shared" si="26"/>
        <v>#REF!</v>
      </c>
      <c r="AH184" s="18" t="e">
        <f t="shared" si="24"/>
        <v>#REF!</v>
      </c>
    </row>
    <row r="185" spans="16:34" x14ac:dyDescent="0.25">
      <c r="P185" s="12" t="str">
        <f>IFERROR(IF(P184+1=ConceptDemo!$C$18+10,"",Backend!P184+1),"")</f>
        <v/>
      </c>
      <c r="Q185" s="10">
        <f>IF(OR(P185&lt;ConceptDemo!$C$17,Backend!P185&gt;ConceptDemo!$C$18),0,IF(Backend!P185&lt;=Backend!$R$12,Backend!Q184+Backend!$T$12,IF(Backend!P185&lt;=Backend!$R$13,Backend!Q184+Backend!$T$13,IF(Backend!P185&lt;=Backend!$R$14,Backend!Q184+Backend!$T$14,IF(Backend!P185&lt;=Backend!$R$15,Backend!Q184+Backend!$T$15,IF(Backend!P185&lt;=Backend!$X$16,Backend!Q184+Backend!$Z$16))))))</f>
        <v>0</v>
      </c>
      <c r="R185" s="19" t="str">
        <f>IF(1&lt;=ConceptDemo!$L$29,IF(P185=$W$12,ConceptDemo!$L$27,""),"")</f>
        <v/>
      </c>
      <c r="S185" s="19" t="str">
        <f>IF(2&lt;=ConceptDemo!$L$29,IF(P185=$W$13,ConceptDemo!$L$27,""),"")</f>
        <v/>
      </c>
      <c r="T185" s="19" t="str">
        <f>IF(3&lt;=ConceptDemo!$L$29,IF(P185=$W$14,ConceptDemo!$L$27,""),"")</f>
        <v/>
      </c>
      <c r="U185" s="19" t="str">
        <f>IF(4&lt;=ConceptDemo!$L$29,IF(P185=$W$15,ConceptDemo!$L$27,""),"")</f>
        <v/>
      </c>
      <c r="W185" s="18">
        <f>IF($P185&lt;ConceptDemo!$C$17+$E$24-10,$G$27,0)</f>
        <v>0</v>
      </c>
      <c r="X185" s="18">
        <f>IF($P185&lt;ConceptDemo!$C$17+$E$24-10,$H$27,0)</f>
        <v>0</v>
      </c>
      <c r="Y185" s="10">
        <f t="shared" si="19"/>
        <v>0</v>
      </c>
      <c r="Z185" s="10">
        <f t="shared" si="20"/>
        <v>0</v>
      </c>
      <c r="AA185" s="10">
        <f t="shared" si="21"/>
        <v>0</v>
      </c>
      <c r="AB185" s="10">
        <f t="shared" si="22"/>
        <v>0</v>
      </c>
      <c r="AC185" s="18">
        <f t="shared" si="23"/>
        <v>0</v>
      </c>
      <c r="AD185" s="18">
        <f>IF(P185&lt;=ConceptDemo!$C$18,AD184+SUM(W185:AB185)-(Q185-Q184)-AC185,0)</f>
        <v>0</v>
      </c>
      <c r="AE185" s="18" t="e">
        <f>IF(ConceptDemo!$C$7=Backend!$A$2,AD185,IF(AE184&lt;&gt;AD184,IF(P185&lt;=ConceptDemo!$C$18,AE184+SUM(W185:AB185)-(Q185-Q184)-AC185,0),IF(P185=ConceptDemo!#REF!,ConceptDemo!#REF!,AD185)))</f>
        <v>#REF!</v>
      </c>
      <c r="AF185" s="18" t="e">
        <f t="shared" si="25"/>
        <v>#REF!</v>
      </c>
      <c r="AG185" s="18" t="e">
        <f t="shared" si="26"/>
        <v>#REF!</v>
      </c>
      <c r="AH185" s="18" t="e">
        <f t="shared" si="24"/>
        <v>#REF!</v>
      </c>
    </row>
    <row r="186" spans="16:34" x14ac:dyDescent="0.25">
      <c r="P186" s="12" t="str">
        <f>IFERROR(IF(P185+1=ConceptDemo!$C$18+10,"",Backend!P185+1),"")</f>
        <v/>
      </c>
      <c r="Q186" s="10">
        <f>IF(OR(P186&lt;ConceptDemo!$C$17,Backend!P186&gt;ConceptDemo!$C$18),0,IF(Backend!P186&lt;=Backend!$R$12,Backend!Q185+Backend!$T$12,IF(Backend!P186&lt;=Backend!$R$13,Backend!Q185+Backend!$T$13,IF(Backend!P186&lt;=Backend!$R$14,Backend!Q185+Backend!$T$14,IF(Backend!P186&lt;=Backend!$R$15,Backend!Q185+Backend!$T$15,IF(Backend!P186&lt;=Backend!$X$16,Backend!Q185+Backend!$Z$16))))))</f>
        <v>0</v>
      </c>
      <c r="R186" s="19" t="str">
        <f>IF(1&lt;=ConceptDemo!$L$29,IF(P186=$W$12,ConceptDemo!$L$27,""),"")</f>
        <v/>
      </c>
      <c r="S186" s="19" t="str">
        <f>IF(2&lt;=ConceptDemo!$L$29,IF(P186=$W$13,ConceptDemo!$L$27,""),"")</f>
        <v/>
      </c>
      <c r="T186" s="19" t="str">
        <f>IF(3&lt;=ConceptDemo!$L$29,IF(P186=$W$14,ConceptDemo!$L$27,""),"")</f>
        <v/>
      </c>
      <c r="U186" s="19" t="str">
        <f>IF(4&lt;=ConceptDemo!$L$29,IF(P186=$W$15,ConceptDemo!$L$27,""),"")</f>
        <v/>
      </c>
      <c r="W186" s="18">
        <f>IF($P186&lt;ConceptDemo!$C$17+$E$24-10,$G$27,0)</f>
        <v>0</v>
      </c>
      <c r="X186" s="18">
        <f>IF($P186&lt;ConceptDemo!$C$17+$E$24-10,$H$27,0)</f>
        <v>0</v>
      </c>
      <c r="Y186" s="10">
        <f t="shared" si="19"/>
        <v>0</v>
      </c>
      <c r="Z186" s="10">
        <f t="shared" si="20"/>
        <v>0</v>
      </c>
      <c r="AA186" s="10">
        <f t="shared" si="21"/>
        <v>0</v>
      </c>
      <c r="AB186" s="10">
        <f t="shared" si="22"/>
        <v>0</v>
      </c>
      <c r="AC186" s="18">
        <f t="shared" si="23"/>
        <v>0</v>
      </c>
      <c r="AD186" s="18">
        <f>IF(P186&lt;=ConceptDemo!$C$18,AD185+SUM(W186:AB186)-(Q186-Q185)-AC186,0)</f>
        <v>0</v>
      </c>
      <c r="AE186" s="18" t="e">
        <f>IF(ConceptDemo!$C$7=Backend!$A$2,AD186,IF(AE185&lt;&gt;AD185,IF(P186&lt;=ConceptDemo!$C$18,AE185+SUM(W186:AB186)-(Q186-Q185)-AC186,0),IF(P186=ConceptDemo!#REF!,ConceptDemo!#REF!,AD186)))</f>
        <v>#REF!</v>
      </c>
      <c r="AF186" s="18" t="e">
        <f t="shared" si="25"/>
        <v>#REF!</v>
      </c>
      <c r="AG186" s="18" t="e">
        <f t="shared" si="26"/>
        <v>#REF!</v>
      </c>
      <c r="AH186" s="18" t="e">
        <f t="shared" si="24"/>
        <v>#REF!</v>
      </c>
    </row>
    <row r="187" spans="16:34" x14ac:dyDescent="0.25">
      <c r="P187" s="12" t="str">
        <f>IFERROR(IF(P186+1=ConceptDemo!$C$18+10,"",Backend!P186+1),"")</f>
        <v/>
      </c>
      <c r="Q187" s="10">
        <f>IF(OR(P187&lt;ConceptDemo!$C$17,Backend!P187&gt;ConceptDemo!$C$18),0,IF(Backend!P187&lt;=Backend!$R$12,Backend!Q186+Backend!$T$12,IF(Backend!P187&lt;=Backend!$R$13,Backend!Q186+Backend!$T$13,IF(Backend!P187&lt;=Backend!$R$14,Backend!Q186+Backend!$T$14,IF(Backend!P187&lt;=Backend!$R$15,Backend!Q186+Backend!$T$15,IF(Backend!P187&lt;=Backend!$X$16,Backend!Q186+Backend!$Z$16))))))</f>
        <v>0</v>
      </c>
      <c r="R187" s="19" t="str">
        <f>IF(1&lt;=ConceptDemo!$L$29,IF(P187=$W$12,ConceptDemo!$L$27,""),"")</f>
        <v/>
      </c>
      <c r="S187" s="19" t="str">
        <f>IF(2&lt;=ConceptDemo!$L$29,IF(P187=$W$13,ConceptDemo!$L$27,""),"")</f>
        <v/>
      </c>
      <c r="T187" s="19" t="str">
        <f>IF(3&lt;=ConceptDemo!$L$29,IF(P187=$W$14,ConceptDemo!$L$27,""),"")</f>
        <v/>
      </c>
      <c r="U187" s="19" t="str">
        <f>IF(4&lt;=ConceptDemo!$L$29,IF(P187=$W$15,ConceptDemo!$L$27,""),"")</f>
        <v/>
      </c>
      <c r="W187" s="18">
        <f>IF($P187&lt;ConceptDemo!$C$17+$E$24-10,$G$27,0)</f>
        <v>0</v>
      </c>
      <c r="X187" s="18">
        <f>IF($P187&lt;ConceptDemo!$C$17+$E$24-10,$H$27,0)</f>
        <v>0</v>
      </c>
      <c r="Y187" s="10">
        <f t="shared" si="19"/>
        <v>0</v>
      </c>
      <c r="Z187" s="10">
        <f t="shared" si="20"/>
        <v>0</v>
      </c>
      <c r="AA187" s="10">
        <f t="shared" si="21"/>
        <v>0</v>
      </c>
      <c r="AB187" s="10">
        <f t="shared" si="22"/>
        <v>0</v>
      </c>
      <c r="AC187" s="18">
        <f t="shared" si="23"/>
        <v>0</v>
      </c>
      <c r="AD187" s="18">
        <f>IF(P187&lt;=ConceptDemo!$C$18,AD186+SUM(W187:AB187)-(Q187-Q186)-AC187,0)</f>
        <v>0</v>
      </c>
      <c r="AE187" s="18" t="e">
        <f>IF(ConceptDemo!$C$7=Backend!$A$2,AD187,IF(AE186&lt;&gt;AD186,IF(P187&lt;=ConceptDemo!$C$18,AE186+SUM(W187:AB187)-(Q187-Q186)-AC187,0),IF(P187=ConceptDemo!#REF!,ConceptDemo!#REF!,AD187)))</f>
        <v>#REF!</v>
      </c>
      <c r="AF187" s="18" t="e">
        <f t="shared" si="25"/>
        <v>#REF!</v>
      </c>
      <c r="AG187" s="18" t="e">
        <f t="shared" si="26"/>
        <v>#REF!</v>
      </c>
      <c r="AH187" s="18" t="e">
        <f t="shared" si="24"/>
        <v>#REF!</v>
      </c>
    </row>
    <row r="188" spans="16:34" x14ac:dyDescent="0.25">
      <c r="P188" s="12" t="str">
        <f>IFERROR(IF(P187+1=ConceptDemo!$C$18+10,"",Backend!P187+1),"")</f>
        <v/>
      </c>
      <c r="Q188" s="10">
        <f>IF(OR(P188&lt;ConceptDemo!$C$17,Backend!P188&gt;ConceptDemo!$C$18),0,IF(Backend!P188&lt;=Backend!$R$12,Backend!Q187+Backend!$T$12,IF(Backend!P188&lt;=Backend!$R$13,Backend!Q187+Backend!$T$13,IF(Backend!P188&lt;=Backend!$R$14,Backend!Q187+Backend!$T$14,IF(Backend!P188&lt;=Backend!$R$15,Backend!Q187+Backend!$T$15,IF(Backend!P188&lt;=Backend!$X$16,Backend!Q187+Backend!$Z$16))))))</f>
        <v>0</v>
      </c>
      <c r="R188" s="19" t="str">
        <f>IF(1&lt;=ConceptDemo!$L$29,IF(P188=$W$12,ConceptDemo!$L$27,""),"")</f>
        <v/>
      </c>
      <c r="S188" s="19" t="str">
        <f>IF(2&lt;=ConceptDemo!$L$29,IF(P188=$W$13,ConceptDemo!$L$27,""),"")</f>
        <v/>
      </c>
      <c r="T188" s="19" t="str">
        <f>IF(3&lt;=ConceptDemo!$L$29,IF(P188=$W$14,ConceptDemo!$L$27,""),"")</f>
        <v/>
      </c>
      <c r="U188" s="19" t="str">
        <f>IF(4&lt;=ConceptDemo!$L$29,IF(P188=$W$15,ConceptDemo!$L$27,""),"")</f>
        <v/>
      </c>
      <c r="W188" s="18">
        <f>IF($P188&lt;ConceptDemo!$C$17+$E$24-10,$G$27,0)</f>
        <v>0</v>
      </c>
      <c r="X188" s="18">
        <f>IF($P188&lt;ConceptDemo!$C$17+$E$24-10,$H$27,0)</f>
        <v>0</v>
      </c>
      <c r="Y188" s="10">
        <f t="shared" si="19"/>
        <v>0</v>
      </c>
      <c r="Z188" s="10">
        <f t="shared" si="20"/>
        <v>0</v>
      </c>
      <c r="AA188" s="10">
        <f t="shared" si="21"/>
        <v>0</v>
      </c>
      <c r="AB188" s="10">
        <f t="shared" si="22"/>
        <v>0</v>
      </c>
      <c r="AC188" s="18">
        <f t="shared" si="23"/>
        <v>0</v>
      </c>
      <c r="AD188" s="18">
        <f>IF(P188&lt;=ConceptDemo!$C$18,AD187+SUM(W188:AB188)-(Q188-Q187)-AC188,0)</f>
        <v>0</v>
      </c>
      <c r="AE188" s="18" t="e">
        <f>IF(ConceptDemo!$C$7=Backend!$A$2,AD188,IF(AE187&lt;&gt;AD187,IF(P188&lt;=ConceptDemo!$C$18,AE187+SUM(W188:AB188)-(Q188-Q187)-AC188,0),IF(P188=ConceptDemo!#REF!,ConceptDemo!#REF!,AD188)))</f>
        <v>#REF!</v>
      </c>
      <c r="AF188" s="18" t="e">
        <f t="shared" si="25"/>
        <v>#REF!</v>
      </c>
      <c r="AG188" s="18" t="e">
        <f t="shared" si="26"/>
        <v>#REF!</v>
      </c>
      <c r="AH188" s="18" t="e">
        <f t="shared" si="24"/>
        <v>#REF!</v>
      </c>
    </row>
    <row r="189" spans="16:34" x14ac:dyDescent="0.25">
      <c r="P189" s="12" t="str">
        <f>IFERROR(IF(P188+1=ConceptDemo!$C$18+10,"",Backend!P188+1),"")</f>
        <v/>
      </c>
      <c r="Q189" s="10">
        <f>IF(OR(P189&lt;ConceptDemo!$C$17,Backend!P189&gt;ConceptDemo!$C$18),0,IF(Backend!P189&lt;=Backend!$R$12,Backend!Q188+Backend!$T$12,IF(Backend!P189&lt;=Backend!$R$13,Backend!Q188+Backend!$T$13,IF(Backend!P189&lt;=Backend!$R$14,Backend!Q188+Backend!$T$14,IF(Backend!P189&lt;=Backend!$R$15,Backend!Q188+Backend!$T$15,IF(Backend!P189&lt;=Backend!$X$16,Backend!Q188+Backend!$Z$16))))))</f>
        <v>0</v>
      </c>
      <c r="R189" s="19" t="str">
        <f>IF(1&lt;=ConceptDemo!$L$29,IF(P189=$W$12,ConceptDemo!$L$27,""),"")</f>
        <v/>
      </c>
      <c r="S189" s="19" t="str">
        <f>IF(2&lt;=ConceptDemo!$L$29,IF(P189=$W$13,ConceptDemo!$L$27,""),"")</f>
        <v/>
      </c>
      <c r="T189" s="19" t="str">
        <f>IF(3&lt;=ConceptDemo!$L$29,IF(P189=$W$14,ConceptDemo!$L$27,""),"")</f>
        <v/>
      </c>
      <c r="U189" s="19" t="str">
        <f>IF(4&lt;=ConceptDemo!$L$29,IF(P189=$W$15,ConceptDemo!$L$27,""),"")</f>
        <v/>
      </c>
      <c r="W189" s="18">
        <f>IF($P189&lt;ConceptDemo!$C$17+$E$24-10,$G$27,0)</f>
        <v>0</v>
      </c>
      <c r="X189" s="18">
        <f>IF($P189&lt;ConceptDemo!$C$17+$E$24-10,$H$27,0)</f>
        <v>0</v>
      </c>
      <c r="Y189" s="10">
        <f t="shared" si="19"/>
        <v>0</v>
      </c>
      <c r="Z189" s="10">
        <f t="shared" si="20"/>
        <v>0</v>
      </c>
      <c r="AA189" s="10">
        <f t="shared" si="21"/>
        <v>0</v>
      </c>
      <c r="AB189" s="10">
        <f t="shared" si="22"/>
        <v>0</v>
      </c>
      <c r="AC189" s="18">
        <f t="shared" si="23"/>
        <v>0</v>
      </c>
      <c r="AD189" s="18">
        <f>IF(P189&lt;=ConceptDemo!$C$18,AD188+SUM(W189:AB189)-(Q189-Q188)-AC189,0)</f>
        <v>0</v>
      </c>
      <c r="AE189" s="18" t="e">
        <f>IF(ConceptDemo!$C$7=Backend!$A$2,AD189,IF(AE188&lt;&gt;AD188,IF(P189&lt;=ConceptDemo!$C$18,AE188+SUM(W189:AB189)-(Q189-Q188)-AC189,0),IF(P189=ConceptDemo!#REF!,ConceptDemo!#REF!,AD189)))</f>
        <v>#REF!</v>
      </c>
      <c r="AF189" s="18" t="e">
        <f t="shared" si="25"/>
        <v>#REF!</v>
      </c>
      <c r="AG189" s="18" t="e">
        <f t="shared" si="26"/>
        <v>#REF!</v>
      </c>
      <c r="AH189" s="18" t="e">
        <f t="shared" si="24"/>
        <v>#REF!</v>
      </c>
    </row>
    <row r="190" spans="16:34" x14ac:dyDescent="0.25">
      <c r="P190" s="12" t="str">
        <f>IFERROR(IF(P189+1=ConceptDemo!$C$18+10,"",Backend!P189+1),"")</f>
        <v/>
      </c>
      <c r="Q190" s="10">
        <f>IF(OR(P190&lt;ConceptDemo!$C$17,Backend!P190&gt;ConceptDemo!$C$18),0,IF(Backend!P190&lt;=Backend!$R$12,Backend!Q189+Backend!$T$12,IF(Backend!P190&lt;=Backend!$R$13,Backend!Q189+Backend!$T$13,IF(Backend!P190&lt;=Backend!$R$14,Backend!Q189+Backend!$T$14,IF(Backend!P190&lt;=Backend!$R$15,Backend!Q189+Backend!$T$15,IF(Backend!P190&lt;=Backend!$X$16,Backend!Q189+Backend!$Z$16))))))</f>
        <v>0</v>
      </c>
      <c r="R190" s="19" t="str">
        <f>IF(1&lt;=ConceptDemo!$L$29,IF(P190=$W$12,ConceptDemo!$L$27,""),"")</f>
        <v/>
      </c>
      <c r="S190" s="19" t="str">
        <f>IF(2&lt;=ConceptDemo!$L$29,IF(P190=$W$13,ConceptDemo!$L$27,""),"")</f>
        <v/>
      </c>
      <c r="T190" s="19" t="str">
        <f>IF(3&lt;=ConceptDemo!$L$29,IF(P190=$W$14,ConceptDemo!$L$27,""),"")</f>
        <v/>
      </c>
      <c r="U190" s="19" t="str">
        <f>IF(4&lt;=ConceptDemo!$L$29,IF(P190=$W$15,ConceptDemo!$L$27,""),"")</f>
        <v/>
      </c>
      <c r="W190" s="18">
        <f>IF($P190&lt;ConceptDemo!$C$17+$E$24-10,$G$27,0)</f>
        <v>0</v>
      </c>
      <c r="X190" s="18">
        <f>IF($P190&lt;ConceptDemo!$C$17+$E$24-10,$H$27,0)</f>
        <v>0</v>
      </c>
      <c r="Y190" s="10">
        <f t="shared" si="19"/>
        <v>0</v>
      </c>
      <c r="Z190" s="10">
        <f t="shared" si="20"/>
        <v>0</v>
      </c>
      <c r="AA190" s="10">
        <f t="shared" si="21"/>
        <v>0</v>
      </c>
      <c r="AB190" s="10">
        <f t="shared" si="22"/>
        <v>0</v>
      </c>
      <c r="AC190" s="18">
        <f t="shared" si="23"/>
        <v>0</v>
      </c>
      <c r="AD190" s="18">
        <f>IF(P190&lt;=ConceptDemo!$C$18,AD189+SUM(W190:AB190)-(Q190-Q189)-AC190,0)</f>
        <v>0</v>
      </c>
      <c r="AE190" s="18" t="e">
        <f>IF(ConceptDemo!$C$7=Backend!$A$2,AD190,IF(AE189&lt;&gt;AD189,IF(P190&lt;=ConceptDemo!$C$18,AE189+SUM(W190:AB190)-(Q190-Q189)-AC190,0),IF(P190=ConceptDemo!#REF!,ConceptDemo!#REF!,AD190)))</f>
        <v>#REF!</v>
      </c>
      <c r="AF190" s="18" t="e">
        <f t="shared" si="25"/>
        <v>#REF!</v>
      </c>
      <c r="AG190" s="18" t="e">
        <f t="shared" si="26"/>
        <v>#REF!</v>
      </c>
      <c r="AH190" s="18" t="e">
        <f t="shared" si="24"/>
        <v>#REF!</v>
      </c>
    </row>
    <row r="191" spans="16:34" x14ac:dyDescent="0.25">
      <c r="P191" s="12" t="str">
        <f>IFERROR(IF(P190+1=ConceptDemo!$C$18+10,"",Backend!P190+1),"")</f>
        <v/>
      </c>
      <c r="Q191" s="10">
        <f>IF(OR(P191&lt;ConceptDemo!$C$17,Backend!P191&gt;ConceptDemo!$C$18),0,IF(Backend!P191&lt;=Backend!$R$12,Backend!Q190+Backend!$T$12,IF(Backend!P191&lt;=Backend!$R$13,Backend!Q190+Backend!$T$13,IF(Backend!P191&lt;=Backend!$R$14,Backend!Q190+Backend!$T$14,IF(Backend!P191&lt;=Backend!$R$15,Backend!Q190+Backend!$T$15,IF(Backend!P191&lt;=Backend!$X$16,Backend!Q190+Backend!$Z$16))))))</f>
        <v>0</v>
      </c>
      <c r="R191" s="19" t="str">
        <f>IF(1&lt;=ConceptDemo!$L$29,IF(P191=$W$12,ConceptDemo!$L$27,""),"")</f>
        <v/>
      </c>
      <c r="S191" s="19" t="str">
        <f>IF(2&lt;=ConceptDemo!$L$29,IF(P191=$W$13,ConceptDemo!$L$27,""),"")</f>
        <v/>
      </c>
      <c r="T191" s="19" t="str">
        <f>IF(3&lt;=ConceptDemo!$L$29,IF(P191=$W$14,ConceptDemo!$L$27,""),"")</f>
        <v/>
      </c>
      <c r="U191" s="19" t="str">
        <f>IF(4&lt;=ConceptDemo!$L$29,IF(P191=$W$15,ConceptDemo!$L$27,""),"")</f>
        <v/>
      </c>
      <c r="W191" s="18">
        <f>IF($P191&lt;ConceptDemo!$C$17+$E$24-10,$G$27,0)</f>
        <v>0</v>
      </c>
      <c r="X191" s="18">
        <f>IF($P191&lt;ConceptDemo!$C$17+$E$24-10,$H$27,0)</f>
        <v>0</v>
      </c>
      <c r="Y191" s="10">
        <f t="shared" si="19"/>
        <v>0</v>
      </c>
      <c r="Z191" s="10">
        <f t="shared" si="20"/>
        <v>0</v>
      </c>
      <c r="AA191" s="10">
        <f t="shared" si="21"/>
        <v>0</v>
      </c>
      <c r="AB191" s="10">
        <f t="shared" si="22"/>
        <v>0</v>
      </c>
      <c r="AC191" s="18">
        <f t="shared" si="23"/>
        <v>0</v>
      </c>
      <c r="AD191" s="18">
        <f>IF(P191&lt;=ConceptDemo!$C$18,AD190+SUM(W191:AB191)-(Q191-Q190)-AC191,0)</f>
        <v>0</v>
      </c>
      <c r="AE191" s="18" t="e">
        <f>IF(ConceptDemo!$C$7=Backend!$A$2,AD191,IF(AE190&lt;&gt;AD190,IF(P191&lt;=ConceptDemo!$C$18,AE190+SUM(W191:AB191)-(Q191-Q190)-AC191,0),IF(P191=ConceptDemo!#REF!,ConceptDemo!#REF!,AD191)))</f>
        <v>#REF!</v>
      </c>
      <c r="AF191" s="18" t="e">
        <f t="shared" si="25"/>
        <v>#REF!</v>
      </c>
      <c r="AG191" s="18" t="e">
        <f t="shared" si="26"/>
        <v>#REF!</v>
      </c>
      <c r="AH191" s="18" t="e">
        <f t="shared" si="24"/>
        <v>#REF!</v>
      </c>
    </row>
    <row r="192" spans="16:34" x14ac:dyDescent="0.25">
      <c r="P192" s="12" t="str">
        <f>IFERROR(IF(P191+1=ConceptDemo!$C$18+10,"",Backend!P191+1),"")</f>
        <v/>
      </c>
      <c r="Q192" s="10">
        <f>IF(OR(P192&lt;ConceptDemo!$C$17,Backend!P192&gt;ConceptDemo!$C$18),0,IF(Backend!P192&lt;=Backend!$R$12,Backend!Q191+Backend!$T$12,IF(Backend!P192&lt;=Backend!$R$13,Backend!Q191+Backend!$T$13,IF(Backend!P192&lt;=Backend!$R$14,Backend!Q191+Backend!$T$14,IF(Backend!P192&lt;=Backend!$R$15,Backend!Q191+Backend!$T$15,IF(Backend!P192&lt;=Backend!$X$16,Backend!Q191+Backend!$Z$16))))))</f>
        <v>0</v>
      </c>
      <c r="R192" s="19" t="str">
        <f>IF(1&lt;=ConceptDemo!$L$29,IF(P192=$W$12,ConceptDemo!$L$27,""),"")</f>
        <v/>
      </c>
      <c r="S192" s="19" t="str">
        <f>IF(2&lt;=ConceptDemo!$L$29,IF(P192=$W$13,ConceptDemo!$L$27,""),"")</f>
        <v/>
      </c>
      <c r="T192" s="19" t="str">
        <f>IF(3&lt;=ConceptDemo!$L$29,IF(P192=$W$14,ConceptDemo!$L$27,""),"")</f>
        <v/>
      </c>
      <c r="U192" s="19" t="str">
        <f>IF(4&lt;=ConceptDemo!$L$29,IF(P192=$W$15,ConceptDemo!$L$27,""),"")</f>
        <v/>
      </c>
      <c r="W192" s="18">
        <f>IF($P192&lt;ConceptDemo!$C$17+$E$24-10,$G$27,0)</f>
        <v>0</v>
      </c>
      <c r="X192" s="18">
        <f>IF($P192&lt;ConceptDemo!$C$17+$E$24-10,$H$27,0)</f>
        <v>0</v>
      </c>
      <c r="Y192" s="10">
        <f t="shared" si="19"/>
        <v>0</v>
      </c>
      <c r="Z192" s="10">
        <f t="shared" si="20"/>
        <v>0</v>
      </c>
      <c r="AA192" s="10">
        <f t="shared" si="21"/>
        <v>0</v>
      </c>
      <c r="AB192" s="10">
        <f t="shared" si="22"/>
        <v>0</v>
      </c>
      <c r="AC192" s="18">
        <f t="shared" si="23"/>
        <v>0</v>
      </c>
      <c r="AD192" s="18">
        <f>IF(P192&lt;=ConceptDemo!$C$18,AD191+SUM(W192:AB192)-(Q192-Q191)-AC192,0)</f>
        <v>0</v>
      </c>
      <c r="AE192" s="18" t="e">
        <f>IF(ConceptDemo!$C$7=Backend!$A$2,AD192,IF(AE191&lt;&gt;AD191,IF(P192&lt;=ConceptDemo!$C$18,AE191+SUM(W192:AB192)-(Q192-Q191)-AC192,0),IF(P192=ConceptDemo!#REF!,ConceptDemo!#REF!,AD192)))</f>
        <v>#REF!</v>
      </c>
      <c r="AF192" s="18" t="e">
        <f t="shared" si="25"/>
        <v>#REF!</v>
      </c>
      <c r="AG192" s="18" t="e">
        <f t="shared" si="26"/>
        <v>#REF!</v>
      </c>
      <c r="AH192" s="18" t="e">
        <f t="shared" si="24"/>
        <v>#REF!</v>
      </c>
    </row>
    <row r="193" spans="16:34" x14ac:dyDescent="0.25">
      <c r="P193" s="12" t="str">
        <f>IFERROR(IF(P192+1=ConceptDemo!$C$18+10,"",Backend!P192+1),"")</f>
        <v/>
      </c>
      <c r="Q193" s="10">
        <f>IF(OR(P193&lt;ConceptDemo!$C$17,Backend!P193&gt;ConceptDemo!$C$18),0,IF(Backend!P193&lt;=Backend!$R$12,Backend!Q192+Backend!$T$12,IF(Backend!P193&lt;=Backend!$R$13,Backend!Q192+Backend!$T$13,IF(Backend!P193&lt;=Backend!$R$14,Backend!Q192+Backend!$T$14,IF(Backend!P193&lt;=Backend!$R$15,Backend!Q192+Backend!$T$15,IF(Backend!P193&lt;=Backend!$X$16,Backend!Q192+Backend!$Z$16))))))</f>
        <v>0</v>
      </c>
      <c r="R193" s="19" t="str">
        <f>IF(1&lt;=ConceptDemo!$L$29,IF(P193=$W$12,ConceptDemo!$L$27,""),"")</f>
        <v/>
      </c>
      <c r="S193" s="19" t="str">
        <f>IF(2&lt;=ConceptDemo!$L$29,IF(P193=$W$13,ConceptDemo!$L$27,""),"")</f>
        <v/>
      </c>
      <c r="T193" s="19" t="str">
        <f>IF(3&lt;=ConceptDemo!$L$29,IF(P193=$W$14,ConceptDemo!$L$27,""),"")</f>
        <v/>
      </c>
      <c r="U193" s="19" t="str">
        <f>IF(4&lt;=ConceptDemo!$L$29,IF(P193=$W$15,ConceptDemo!$L$27,""),"")</f>
        <v/>
      </c>
      <c r="W193" s="18">
        <f>IF($P193&lt;ConceptDemo!$C$17+$E$24-10,$G$27,0)</f>
        <v>0</v>
      </c>
      <c r="X193" s="18">
        <f>IF($P193&lt;ConceptDemo!$C$17+$E$24-10,$H$27,0)</f>
        <v>0</v>
      </c>
      <c r="Y193" s="10">
        <f t="shared" si="19"/>
        <v>0</v>
      </c>
      <c r="Z193" s="10">
        <f t="shared" si="20"/>
        <v>0</v>
      </c>
      <c r="AA193" s="10">
        <f t="shared" si="21"/>
        <v>0</v>
      </c>
      <c r="AB193" s="10">
        <f t="shared" si="22"/>
        <v>0</v>
      </c>
      <c r="AC193" s="18">
        <f t="shared" si="23"/>
        <v>0</v>
      </c>
      <c r="AD193" s="18">
        <f>IF(P193&lt;=ConceptDemo!$C$18,AD192+SUM(W193:AB193)-(Q193-Q192)-AC193,0)</f>
        <v>0</v>
      </c>
      <c r="AE193" s="18" t="e">
        <f>IF(ConceptDemo!$C$7=Backend!$A$2,AD193,IF(AE192&lt;&gt;AD192,IF(P193&lt;=ConceptDemo!$C$18,AE192+SUM(W193:AB193)-(Q193-Q192)-AC193,0),IF(P193=ConceptDemo!#REF!,ConceptDemo!#REF!,AD193)))</f>
        <v>#REF!</v>
      </c>
      <c r="AF193" s="18" t="e">
        <f t="shared" si="25"/>
        <v>#REF!</v>
      </c>
      <c r="AG193" s="18" t="e">
        <f t="shared" si="26"/>
        <v>#REF!</v>
      </c>
      <c r="AH193" s="18" t="e">
        <f t="shared" si="24"/>
        <v>#REF!</v>
      </c>
    </row>
    <row r="194" spans="16:34" x14ac:dyDescent="0.25">
      <c r="P194" s="12" t="str">
        <f>IFERROR(IF(P193+1=ConceptDemo!$C$18+10,"",Backend!P193+1),"")</f>
        <v/>
      </c>
      <c r="Q194" s="10">
        <f>IF(OR(P194&lt;ConceptDemo!$C$17,Backend!P194&gt;ConceptDemo!$C$18),0,IF(Backend!P194&lt;=Backend!$R$12,Backend!Q193+Backend!$T$12,IF(Backend!P194&lt;=Backend!$R$13,Backend!Q193+Backend!$T$13,IF(Backend!P194&lt;=Backend!$R$14,Backend!Q193+Backend!$T$14,IF(Backend!P194&lt;=Backend!$R$15,Backend!Q193+Backend!$T$15,IF(Backend!P194&lt;=Backend!$X$16,Backend!Q193+Backend!$Z$16))))))</f>
        <v>0</v>
      </c>
      <c r="R194" s="19" t="str">
        <f>IF(1&lt;=ConceptDemo!$L$29,IF(P194=$W$12,ConceptDemo!$L$27,""),"")</f>
        <v/>
      </c>
      <c r="S194" s="19" t="str">
        <f>IF(2&lt;=ConceptDemo!$L$29,IF(P194=$W$13,ConceptDemo!$L$27,""),"")</f>
        <v/>
      </c>
      <c r="T194" s="19" t="str">
        <f>IF(3&lt;=ConceptDemo!$L$29,IF(P194=$W$14,ConceptDemo!$L$27,""),"")</f>
        <v/>
      </c>
      <c r="U194" s="19" t="str">
        <f>IF(4&lt;=ConceptDemo!$L$29,IF(P194=$W$15,ConceptDemo!$L$27,""),"")</f>
        <v/>
      </c>
      <c r="W194" s="18">
        <f>IF($P194&lt;ConceptDemo!$C$17+$E$24-10,$G$27,0)</f>
        <v>0</v>
      </c>
      <c r="X194" s="18">
        <f>IF($P194&lt;ConceptDemo!$C$17+$E$24-10,$H$27,0)</f>
        <v>0</v>
      </c>
      <c r="Y194" s="10">
        <f t="shared" si="19"/>
        <v>0</v>
      </c>
      <c r="Z194" s="10">
        <f t="shared" si="20"/>
        <v>0</v>
      </c>
      <c r="AA194" s="10">
        <f t="shared" si="21"/>
        <v>0</v>
      </c>
      <c r="AB194" s="10">
        <f t="shared" si="22"/>
        <v>0</v>
      </c>
      <c r="AC194" s="18">
        <f t="shared" si="23"/>
        <v>0</v>
      </c>
      <c r="AD194" s="18">
        <f>IF(P194&lt;=ConceptDemo!$C$18,AD193+SUM(W194:AB194)-(Q194-Q193)-AC194,0)</f>
        <v>0</v>
      </c>
      <c r="AE194" s="18" t="e">
        <f>IF(ConceptDemo!$C$7=Backend!$A$2,AD194,IF(AE193&lt;&gt;AD193,IF(P194&lt;=ConceptDemo!$C$18,AE193+SUM(W194:AB194)-(Q194-Q193)-AC194,0),IF(P194=ConceptDemo!#REF!,ConceptDemo!#REF!,AD194)))</f>
        <v>#REF!</v>
      </c>
      <c r="AF194" s="18" t="e">
        <f t="shared" si="25"/>
        <v>#REF!</v>
      </c>
      <c r="AG194" s="18" t="e">
        <f t="shared" si="26"/>
        <v>#REF!</v>
      </c>
      <c r="AH194" s="18" t="e">
        <f t="shared" si="24"/>
        <v>#REF!</v>
      </c>
    </row>
    <row r="195" spans="16:34" x14ac:dyDescent="0.25">
      <c r="P195" s="12" t="str">
        <f>IFERROR(IF(P194+1=ConceptDemo!$C$18+10,"",Backend!P194+1),"")</f>
        <v/>
      </c>
      <c r="Q195" s="10">
        <f>IF(OR(P195&lt;ConceptDemo!$C$17,Backend!P195&gt;ConceptDemo!$C$18),0,IF(Backend!P195&lt;=Backend!$R$12,Backend!Q194+Backend!$T$12,IF(Backend!P195&lt;=Backend!$R$13,Backend!Q194+Backend!$T$13,IF(Backend!P195&lt;=Backend!$R$14,Backend!Q194+Backend!$T$14,IF(Backend!P195&lt;=Backend!$R$15,Backend!Q194+Backend!$T$15,IF(Backend!P195&lt;=Backend!$X$16,Backend!Q194+Backend!$Z$16))))))</f>
        <v>0</v>
      </c>
      <c r="R195" s="19" t="str">
        <f>IF(1&lt;=ConceptDemo!$L$29,IF(P195=$W$12,ConceptDemo!$L$27,""),"")</f>
        <v/>
      </c>
      <c r="S195" s="19" t="str">
        <f>IF(2&lt;=ConceptDemo!$L$29,IF(P195=$W$13,ConceptDemo!$L$27,""),"")</f>
        <v/>
      </c>
      <c r="T195" s="19" t="str">
        <f>IF(3&lt;=ConceptDemo!$L$29,IF(P195=$W$14,ConceptDemo!$L$27,""),"")</f>
        <v/>
      </c>
      <c r="U195" s="19" t="str">
        <f>IF(4&lt;=ConceptDemo!$L$29,IF(P195=$W$15,ConceptDemo!$L$27,""),"")</f>
        <v/>
      </c>
      <c r="W195" s="18">
        <f>IF($P195&lt;ConceptDemo!$C$17+$E$24-10,$G$27,0)</f>
        <v>0</v>
      </c>
      <c r="X195" s="18">
        <f>IF($P195&lt;ConceptDemo!$C$17+$E$24-10,$H$27,0)</f>
        <v>0</v>
      </c>
      <c r="Y195" s="10">
        <f t="shared" si="19"/>
        <v>0</v>
      </c>
      <c r="Z195" s="10">
        <f t="shared" si="20"/>
        <v>0</v>
      </c>
      <c r="AA195" s="10">
        <f t="shared" si="21"/>
        <v>0</v>
      </c>
      <c r="AB195" s="10">
        <f t="shared" si="22"/>
        <v>0</v>
      </c>
      <c r="AC195" s="18">
        <f t="shared" si="23"/>
        <v>0</v>
      </c>
      <c r="AD195" s="18">
        <f>IF(P195&lt;=ConceptDemo!$C$18,AD194+SUM(W195:AB195)-(Q195-Q194)-AC195,0)</f>
        <v>0</v>
      </c>
      <c r="AE195" s="18" t="e">
        <f>IF(ConceptDemo!$C$7=Backend!$A$2,AD195,IF(AE194&lt;&gt;AD194,IF(P195&lt;=ConceptDemo!$C$18,AE194+SUM(W195:AB195)-(Q195-Q194)-AC195,0),IF(P195=ConceptDemo!#REF!,ConceptDemo!#REF!,AD195)))</f>
        <v>#REF!</v>
      </c>
      <c r="AF195" s="18" t="e">
        <f t="shared" si="25"/>
        <v>#REF!</v>
      </c>
      <c r="AG195" s="18" t="e">
        <f t="shared" si="26"/>
        <v>#REF!</v>
      </c>
      <c r="AH195" s="18" t="e">
        <f t="shared" si="24"/>
        <v>#REF!</v>
      </c>
    </row>
    <row r="196" spans="16:34" x14ac:dyDescent="0.25">
      <c r="P196" s="12" t="str">
        <f>IFERROR(IF(P195+1=ConceptDemo!$C$18+10,"",Backend!P195+1),"")</f>
        <v/>
      </c>
      <c r="Q196" s="10">
        <f>IF(OR(P196&lt;ConceptDemo!$C$17,Backend!P196&gt;ConceptDemo!$C$18),0,IF(Backend!P196&lt;=Backend!$R$12,Backend!Q195+Backend!$T$12,IF(Backend!P196&lt;=Backend!$R$13,Backend!Q195+Backend!$T$13,IF(Backend!P196&lt;=Backend!$R$14,Backend!Q195+Backend!$T$14,IF(Backend!P196&lt;=Backend!$R$15,Backend!Q195+Backend!$T$15,IF(Backend!P196&lt;=Backend!$X$16,Backend!Q195+Backend!$Z$16))))))</f>
        <v>0</v>
      </c>
      <c r="R196" s="19" t="str">
        <f>IF(1&lt;=ConceptDemo!$L$29,IF(P196=$W$12,ConceptDemo!$L$27,""),"")</f>
        <v/>
      </c>
      <c r="S196" s="19" t="str">
        <f>IF(2&lt;=ConceptDemo!$L$29,IF(P196=$W$13,ConceptDemo!$L$27,""),"")</f>
        <v/>
      </c>
      <c r="T196" s="19" t="str">
        <f>IF(3&lt;=ConceptDemo!$L$29,IF(P196=$W$14,ConceptDemo!$L$27,""),"")</f>
        <v/>
      </c>
      <c r="U196" s="19" t="str">
        <f>IF(4&lt;=ConceptDemo!$L$29,IF(P196=$W$15,ConceptDemo!$L$27,""),"")</f>
        <v/>
      </c>
      <c r="W196" s="18">
        <f>IF($P196&lt;ConceptDemo!$C$17+$E$24-10,$G$27,0)</f>
        <v>0</v>
      </c>
      <c r="X196" s="18">
        <f>IF($P196&lt;ConceptDemo!$C$17+$E$24-10,$H$27,0)</f>
        <v>0</v>
      </c>
      <c r="Y196" s="10">
        <f t="shared" si="19"/>
        <v>0</v>
      </c>
      <c r="Z196" s="10">
        <f t="shared" si="20"/>
        <v>0</v>
      </c>
      <c r="AA196" s="10">
        <f t="shared" si="21"/>
        <v>0</v>
      </c>
      <c r="AB196" s="10">
        <f t="shared" si="22"/>
        <v>0</v>
      </c>
      <c r="AC196" s="18">
        <f t="shared" si="23"/>
        <v>0</v>
      </c>
      <c r="AD196" s="18">
        <f>IF(P196&lt;=ConceptDemo!$C$18,AD195+SUM(W196:AB196)-(Q196-Q195)-AC196,0)</f>
        <v>0</v>
      </c>
      <c r="AE196" s="18" t="e">
        <f>IF(ConceptDemo!$C$7=Backend!$A$2,AD196,IF(AE195&lt;&gt;AD195,IF(P196&lt;=ConceptDemo!$C$18,AE195+SUM(W196:AB196)-(Q196-Q195)-AC196,0),IF(P196=ConceptDemo!#REF!,ConceptDemo!#REF!,AD196)))</f>
        <v>#REF!</v>
      </c>
      <c r="AF196" s="18" t="e">
        <f t="shared" si="25"/>
        <v>#REF!</v>
      </c>
      <c r="AG196" s="18" t="e">
        <f t="shared" si="26"/>
        <v>#REF!</v>
      </c>
      <c r="AH196" s="18" t="e">
        <f t="shared" si="24"/>
        <v>#REF!</v>
      </c>
    </row>
    <row r="197" spans="16:34" x14ac:dyDescent="0.25">
      <c r="P197" s="12" t="str">
        <f>IFERROR(IF(P196+1=ConceptDemo!$C$18+10,"",Backend!P196+1),"")</f>
        <v/>
      </c>
      <c r="Q197" s="10">
        <f>IF(OR(P197&lt;ConceptDemo!$C$17,Backend!P197&gt;ConceptDemo!$C$18),0,IF(Backend!P197&lt;=Backend!$R$12,Backend!Q196+Backend!$T$12,IF(Backend!P197&lt;=Backend!$R$13,Backend!Q196+Backend!$T$13,IF(Backend!P197&lt;=Backend!$R$14,Backend!Q196+Backend!$T$14,IF(Backend!P197&lt;=Backend!$R$15,Backend!Q196+Backend!$T$15,IF(Backend!P197&lt;=Backend!$X$16,Backend!Q196+Backend!$Z$16))))))</f>
        <v>0</v>
      </c>
      <c r="R197" s="19" t="str">
        <f>IF(1&lt;=ConceptDemo!$L$29,IF(P197=$W$12,ConceptDemo!$L$27,""),"")</f>
        <v/>
      </c>
      <c r="S197" s="19" t="str">
        <f>IF(2&lt;=ConceptDemo!$L$29,IF(P197=$W$13,ConceptDemo!$L$27,""),"")</f>
        <v/>
      </c>
      <c r="T197" s="19" t="str">
        <f>IF(3&lt;=ConceptDemo!$L$29,IF(P197=$W$14,ConceptDemo!$L$27,""),"")</f>
        <v/>
      </c>
      <c r="U197" s="19" t="str">
        <f>IF(4&lt;=ConceptDemo!$L$29,IF(P197=$W$15,ConceptDemo!$L$27,""),"")</f>
        <v/>
      </c>
      <c r="W197" s="18">
        <f>IF($P197&lt;ConceptDemo!$C$17+$E$24-10,$G$27,0)</f>
        <v>0</v>
      </c>
      <c r="X197" s="18">
        <f>IF($P197&lt;ConceptDemo!$C$17+$E$24-10,$H$27,0)</f>
        <v>0</v>
      </c>
      <c r="Y197" s="10">
        <f t="shared" si="19"/>
        <v>0</v>
      </c>
      <c r="Z197" s="10">
        <f t="shared" si="20"/>
        <v>0</v>
      </c>
      <c r="AA197" s="10">
        <f t="shared" si="21"/>
        <v>0</v>
      </c>
      <c r="AB197" s="10">
        <f t="shared" si="22"/>
        <v>0</v>
      </c>
      <c r="AC197" s="18">
        <f t="shared" si="23"/>
        <v>0</v>
      </c>
      <c r="AD197" s="18">
        <f>IF(P197&lt;=ConceptDemo!$C$18,AD196+SUM(W197:AB197)-(Q197-Q196)-AC197,0)</f>
        <v>0</v>
      </c>
      <c r="AE197" s="18" t="e">
        <f>IF(ConceptDemo!$C$7=Backend!$A$2,AD197,IF(AE196&lt;&gt;AD196,IF(P197&lt;=ConceptDemo!$C$18,AE196+SUM(W197:AB197)-(Q197-Q196)-AC197,0),IF(P197=ConceptDemo!#REF!,ConceptDemo!#REF!,AD197)))</f>
        <v>#REF!</v>
      </c>
      <c r="AF197" s="18" t="e">
        <f t="shared" si="25"/>
        <v>#REF!</v>
      </c>
      <c r="AG197" s="18" t="e">
        <f t="shared" si="26"/>
        <v>#REF!</v>
      </c>
      <c r="AH197" s="18" t="e">
        <f t="shared" si="24"/>
        <v>#REF!</v>
      </c>
    </row>
    <row r="198" spans="16:34" x14ac:dyDescent="0.25">
      <c r="P198" s="12" t="str">
        <f>IFERROR(IF(P197+1=ConceptDemo!$C$18+10,"",Backend!P197+1),"")</f>
        <v/>
      </c>
      <c r="Q198" s="10">
        <f>IF(OR(P198&lt;ConceptDemo!$C$17,Backend!P198&gt;ConceptDemo!$C$18),0,IF(Backend!P198&lt;=Backend!$R$12,Backend!Q197+Backend!$T$12,IF(Backend!P198&lt;=Backend!$R$13,Backend!Q197+Backend!$T$13,IF(Backend!P198&lt;=Backend!$R$14,Backend!Q197+Backend!$T$14,IF(Backend!P198&lt;=Backend!$R$15,Backend!Q197+Backend!$T$15,IF(Backend!P198&lt;=Backend!$X$16,Backend!Q197+Backend!$Z$16))))))</f>
        <v>0</v>
      </c>
      <c r="R198" s="19" t="str">
        <f>IF(1&lt;=ConceptDemo!$L$29,IF(P198=$W$12,ConceptDemo!$L$27,""),"")</f>
        <v/>
      </c>
      <c r="S198" s="19" t="str">
        <f>IF(2&lt;=ConceptDemo!$L$29,IF(P198=$W$13,ConceptDemo!$L$27,""),"")</f>
        <v/>
      </c>
      <c r="T198" s="19" t="str">
        <f>IF(3&lt;=ConceptDemo!$L$29,IF(P198=$W$14,ConceptDemo!$L$27,""),"")</f>
        <v/>
      </c>
      <c r="U198" s="19" t="str">
        <f>IF(4&lt;=ConceptDemo!$L$29,IF(P198=$W$15,ConceptDemo!$L$27,""),"")</f>
        <v/>
      </c>
      <c r="W198" s="18">
        <f>IF($P198&lt;ConceptDemo!$C$17+$E$24-10,$G$27,0)</f>
        <v>0</v>
      </c>
      <c r="X198" s="18">
        <f>IF($P198&lt;ConceptDemo!$C$17+$E$24-10,$H$27,0)</f>
        <v>0</v>
      </c>
      <c r="Y198" s="10">
        <f t="shared" si="19"/>
        <v>0</v>
      </c>
      <c r="Z198" s="10">
        <f t="shared" si="20"/>
        <v>0</v>
      </c>
      <c r="AA198" s="10">
        <f t="shared" si="21"/>
        <v>0</v>
      </c>
      <c r="AB198" s="10">
        <f t="shared" si="22"/>
        <v>0</v>
      </c>
      <c r="AC198" s="18">
        <f t="shared" si="23"/>
        <v>0</v>
      </c>
      <c r="AD198" s="18">
        <f>IF(P198&lt;=ConceptDemo!$C$18,AD197+SUM(W198:AB198)-(Q198-Q197)-AC198,0)</f>
        <v>0</v>
      </c>
      <c r="AE198" s="18" t="e">
        <f>IF(ConceptDemo!$C$7=Backend!$A$2,AD198,IF(AE197&lt;&gt;AD197,IF(P198&lt;=ConceptDemo!$C$18,AE197+SUM(W198:AB198)-(Q198-Q197)-AC198,0),IF(P198=ConceptDemo!#REF!,ConceptDemo!#REF!,AD198)))</f>
        <v>#REF!</v>
      </c>
      <c r="AF198" s="18" t="e">
        <f t="shared" si="25"/>
        <v>#REF!</v>
      </c>
      <c r="AG198" s="18" t="e">
        <f t="shared" si="26"/>
        <v>#REF!</v>
      </c>
      <c r="AH198" s="18" t="e">
        <f t="shared" si="24"/>
        <v>#REF!</v>
      </c>
    </row>
    <row r="199" spans="16:34" x14ac:dyDescent="0.25">
      <c r="P199" s="12" t="str">
        <f>IFERROR(IF(P198+1=ConceptDemo!$C$18+10,"",Backend!P198+1),"")</f>
        <v/>
      </c>
      <c r="Q199" s="10">
        <f>IF(OR(P199&lt;ConceptDemo!$C$17,Backend!P199&gt;ConceptDemo!$C$18),0,IF(Backend!P199&lt;=Backend!$R$12,Backend!Q198+Backend!$T$12,IF(Backend!P199&lt;=Backend!$R$13,Backend!Q198+Backend!$T$13,IF(Backend!P199&lt;=Backend!$R$14,Backend!Q198+Backend!$T$14,IF(Backend!P199&lt;=Backend!$R$15,Backend!Q198+Backend!$T$15,IF(Backend!P199&lt;=Backend!$X$16,Backend!Q198+Backend!$Z$16))))))</f>
        <v>0</v>
      </c>
      <c r="R199" s="19" t="str">
        <f>IF(1&lt;=ConceptDemo!$L$29,IF(P199=$W$12,ConceptDemo!$L$27,""),"")</f>
        <v/>
      </c>
      <c r="S199" s="19" t="str">
        <f>IF(2&lt;=ConceptDemo!$L$29,IF(P199=$W$13,ConceptDemo!$L$27,""),"")</f>
        <v/>
      </c>
      <c r="T199" s="19" t="str">
        <f>IF(3&lt;=ConceptDemo!$L$29,IF(P199=$W$14,ConceptDemo!$L$27,""),"")</f>
        <v/>
      </c>
      <c r="U199" s="19" t="str">
        <f>IF(4&lt;=ConceptDemo!$L$29,IF(P199=$W$15,ConceptDemo!$L$27,""),"")</f>
        <v/>
      </c>
      <c r="W199" s="18">
        <f>IF($P199&lt;ConceptDemo!$C$17+$E$24-10,$G$27,0)</f>
        <v>0</v>
      </c>
      <c r="X199" s="18">
        <f>IF($P199&lt;ConceptDemo!$C$17+$E$24-10,$H$27,0)</f>
        <v>0</v>
      </c>
      <c r="Y199" s="10">
        <f t="shared" si="19"/>
        <v>0</v>
      </c>
      <c r="Z199" s="10">
        <f t="shared" si="20"/>
        <v>0</v>
      </c>
      <c r="AA199" s="10">
        <f t="shared" si="21"/>
        <v>0</v>
      </c>
      <c r="AB199" s="10">
        <f t="shared" si="22"/>
        <v>0</v>
      </c>
      <c r="AC199" s="18">
        <f t="shared" si="23"/>
        <v>0</v>
      </c>
      <c r="AD199" s="18">
        <f>IF(P199&lt;=ConceptDemo!$C$18,AD198+SUM(W199:AB199)-(Q199-Q198)-AC199,0)</f>
        <v>0</v>
      </c>
      <c r="AE199" s="18" t="e">
        <f>IF(ConceptDemo!$C$7=Backend!$A$2,AD199,IF(AE198&lt;&gt;AD198,IF(P199&lt;=ConceptDemo!$C$18,AE198+SUM(W199:AB199)-(Q199-Q198)-AC199,0),IF(P199=ConceptDemo!#REF!,ConceptDemo!#REF!,AD199)))</f>
        <v>#REF!</v>
      </c>
      <c r="AF199" s="18" t="e">
        <f t="shared" si="25"/>
        <v>#REF!</v>
      </c>
      <c r="AG199" s="18" t="e">
        <f t="shared" si="26"/>
        <v>#REF!</v>
      </c>
      <c r="AH199" s="18" t="e">
        <f t="shared" si="24"/>
        <v>#REF!</v>
      </c>
    </row>
    <row r="200" spans="16:34" x14ac:dyDescent="0.25">
      <c r="P200" s="12" t="str">
        <f>IFERROR(IF(P199+1=ConceptDemo!$C$18+10,"",Backend!P199+1),"")</f>
        <v/>
      </c>
      <c r="Q200" s="10">
        <f>IF(OR(P200&lt;ConceptDemo!$C$17,Backend!P200&gt;ConceptDemo!$C$18),0,IF(Backend!P200&lt;=Backend!$R$12,Backend!Q199+Backend!$T$12,IF(Backend!P200&lt;=Backend!$R$13,Backend!Q199+Backend!$T$13,IF(Backend!P200&lt;=Backend!$R$14,Backend!Q199+Backend!$T$14,IF(Backend!P200&lt;=Backend!$R$15,Backend!Q199+Backend!$T$15,IF(Backend!P200&lt;=Backend!$X$16,Backend!Q199+Backend!$Z$16))))))</f>
        <v>0</v>
      </c>
      <c r="R200" s="19" t="str">
        <f>IF(1&lt;=ConceptDemo!$L$29,IF(P200=$W$12,ConceptDemo!$L$27,""),"")</f>
        <v/>
      </c>
      <c r="S200" s="19" t="str">
        <f>IF(2&lt;=ConceptDemo!$L$29,IF(P200=$W$13,ConceptDemo!$L$27,""),"")</f>
        <v/>
      </c>
      <c r="T200" s="19" t="str">
        <f>IF(3&lt;=ConceptDemo!$L$29,IF(P200=$W$14,ConceptDemo!$L$27,""),"")</f>
        <v/>
      </c>
      <c r="U200" s="19" t="str">
        <f>IF(4&lt;=ConceptDemo!$L$29,IF(P200=$W$15,ConceptDemo!$L$27,""),"")</f>
        <v/>
      </c>
      <c r="W200" s="18">
        <f>IF($P200&lt;ConceptDemo!$C$17+$E$24-10,$G$27,0)</f>
        <v>0</v>
      </c>
      <c r="X200" s="18">
        <f>IF($P200&lt;ConceptDemo!$C$17+$E$24-10,$H$27,0)</f>
        <v>0</v>
      </c>
      <c r="Y200" s="10">
        <f t="shared" si="19"/>
        <v>0</v>
      </c>
      <c r="Z200" s="10">
        <f t="shared" si="20"/>
        <v>0</v>
      </c>
      <c r="AA200" s="10">
        <f t="shared" si="21"/>
        <v>0</v>
      </c>
      <c r="AB200" s="10">
        <f t="shared" si="22"/>
        <v>0</v>
      </c>
      <c r="AC200" s="18">
        <f t="shared" si="23"/>
        <v>0</v>
      </c>
      <c r="AD200" s="18">
        <f>IF(P200&lt;=ConceptDemo!$C$18,AD199+SUM(W200:AB200)-(Q200-Q199)-AC200,0)</f>
        <v>0</v>
      </c>
      <c r="AE200" s="18" t="e">
        <f>IF(ConceptDemo!$C$7=Backend!$A$2,AD200,IF(AE199&lt;&gt;AD199,IF(P200&lt;=ConceptDemo!$C$18,AE199+SUM(W200:AB200)-(Q200-Q199)-AC200,0),IF(P200=ConceptDemo!#REF!,ConceptDemo!#REF!,AD200)))</f>
        <v>#REF!</v>
      </c>
      <c r="AF200" s="18" t="e">
        <f t="shared" si="25"/>
        <v>#REF!</v>
      </c>
      <c r="AG200" s="18" t="e">
        <f t="shared" si="26"/>
        <v>#REF!</v>
      </c>
      <c r="AH200" s="18" t="e">
        <f t="shared" si="24"/>
        <v>#REF!</v>
      </c>
    </row>
    <row r="201" spans="16:34" x14ac:dyDescent="0.25">
      <c r="P201" s="12" t="str">
        <f>IFERROR(IF(P200+1=ConceptDemo!$C$18+10,"",Backend!P200+1),"")</f>
        <v/>
      </c>
      <c r="Q201" s="10">
        <f>IF(OR(P201&lt;ConceptDemo!$C$17,Backend!P201&gt;ConceptDemo!$C$18),0,IF(Backend!P201&lt;=Backend!$R$12,Backend!Q200+Backend!$T$12,IF(Backend!P201&lt;=Backend!$R$13,Backend!Q200+Backend!$T$13,IF(Backend!P201&lt;=Backend!$R$14,Backend!Q200+Backend!$T$14,IF(Backend!P201&lt;=Backend!$R$15,Backend!Q200+Backend!$T$15,IF(Backend!P201&lt;=Backend!$X$16,Backend!Q200+Backend!$Z$16))))))</f>
        <v>0</v>
      </c>
      <c r="R201" s="19" t="str">
        <f>IF(1&lt;=ConceptDemo!$L$29,IF(P201=$W$12,ConceptDemo!$L$27,""),"")</f>
        <v/>
      </c>
      <c r="S201" s="19" t="str">
        <f>IF(2&lt;=ConceptDemo!$L$29,IF(P201=$W$13,ConceptDemo!$L$27,""),"")</f>
        <v/>
      </c>
      <c r="T201" s="19" t="str">
        <f>IF(3&lt;=ConceptDemo!$L$29,IF(P201=$W$14,ConceptDemo!$L$27,""),"")</f>
        <v/>
      </c>
      <c r="U201" s="19" t="str">
        <f>IF(4&lt;=ConceptDemo!$L$29,IF(P201=$W$15,ConceptDemo!$L$27,""),"")</f>
        <v/>
      </c>
      <c r="W201" s="18">
        <f>IF($P201&lt;ConceptDemo!$C$17+$E$24-10,$G$27,0)</f>
        <v>0</v>
      </c>
      <c r="X201" s="18">
        <f>IF($P201&lt;ConceptDemo!$C$17+$E$24-10,$H$27,0)</f>
        <v>0</v>
      </c>
      <c r="Y201" s="10">
        <f t="shared" si="19"/>
        <v>0</v>
      </c>
      <c r="Z201" s="10">
        <f t="shared" si="20"/>
        <v>0</v>
      </c>
      <c r="AA201" s="10">
        <f t="shared" si="21"/>
        <v>0</v>
      </c>
      <c r="AB201" s="10">
        <f t="shared" si="22"/>
        <v>0</v>
      </c>
      <c r="AC201" s="18">
        <f t="shared" si="23"/>
        <v>0</v>
      </c>
      <c r="AD201" s="18">
        <f>IF(P201&lt;=ConceptDemo!$C$18,AD200+SUM(W201:AB201)-(Q201-Q200)-AC201,0)</f>
        <v>0</v>
      </c>
      <c r="AE201" s="18" t="e">
        <f>IF(ConceptDemo!$C$7=Backend!$A$2,AD201,IF(AE200&lt;&gt;AD200,IF(P201&lt;=ConceptDemo!$C$18,AE200+SUM(W201:AB201)-(Q201-Q200)-AC201,0),IF(P201=ConceptDemo!#REF!,ConceptDemo!#REF!,AD201)))</f>
        <v>#REF!</v>
      </c>
      <c r="AF201" s="18" t="e">
        <f t="shared" si="25"/>
        <v>#REF!</v>
      </c>
      <c r="AG201" s="18" t="e">
        <f t="shared" si="26"/>
        <v>#REF!</v>
      </c>
      <c r="AH201" s="18" t="e">
        <f t="shared" si="24"/>
        <v>#REF!</v>
      </c>
    </row>
    <row r="202" spans="16:34" x14ac:dyDescent="0.25">
      <c r="P202" s="12" t="str">
        <f>IFERROR(IF(P201+1=ConceptDemo!$C$18+10,"",Backend!P201+1),"")</f>
        <v/>
      </c>
      <c r="Q202" s="10">
        <f>IF(OR(P202&lt;ConceptDemo!$C$17,Backend!P202&gt;ConceptDemo!$C$18),0,IF(Backend!P202&lt;=Backend!$R$12,Backend!Q201+Backend!$T$12,IF(Backend!P202&lt;=Backend!$R$13,Backend!Q201+Backend!$T$13,IF(Backend!P202&lt;=Backend!$R$14,Backend!Q201+Backend!$T$14,IF(Backend!P202&lt;=Backend!$R$15,Backend!Q201+Backend!$T$15,IF(Backend!P202&lt;=Backend!$X$16,Backend!Q201+Backend!$Z$16))))))</f>
        <v>0</v>
      </c>
      <c r="R202" s="19" t="str">
        <f>IF(1&lt;=ConceptDemo!$L$29,IF(P202=$W$12,ConceptDemo!$L$27,""),"")</f>
        <v/>
      </c>
      <c r="S202" s="19" t="str">
        <f>IF(2&lt;=ConceptDemo!$L$29,IF(P202=$W$13,ConceptDemo!$L$27,""),"")</f>
        <v/>
      </c>
      <c r="T202" s="19" t="str">
        <f>IF(3&lt;=ConceptDemo!$L$29,IF(P202=$W$14,ConceptDemo!$L$27,""),"")</f>
        <v/>
      </c>
      <c r="U202" s="19" t="str">
        <f>IF(4&lt;=ConceptDemo!$L$29,IF(P202=$W$15,ConceptDemo!$L$27,""),"")</f>
        <v/>
      </c>
      <c r="W202" s="18">
        <f>IF($P202&lt;ConceptDemo!$C$17+$E$24-10,$G$27,0)</f>
        <v>0</v>
      </c>
      <c r="X202" s="18">
        <f>IF($P202&lt;ConceptDemo!$C$17+$E$24-10,$H$27,0)</f>
        <v>0</v>
      </c>
      <c r="Y202" s="10">
        <f t="shared" si="19"/>
        <v>0</v>
      </c>
      <c r="Z202" s="10">
        <f t="shared" si="20"/>
        <v>0</v>
      </c>
      <c r="AA202" s="10">
        <f t="shared" si="21"/>
        <v>0</v>
      </c>
      <c r="AB202" s="10">
        <f t="shared" si="22"/>
        <v>0</v>
      </c>
      <c r="AC202" s="18">
        <f t="shared" si="23"/>
        <v>0</v>
      </c>
      <c r="AD202" s="18">
        <f>IF(P202&lt;=ConceptDemo!$C$18,AD201+SUM(W202:AB202)-(Q202-Q201)-AC202,0)</f>
        <v>0</v>
      </c>
      <c r="AE202" s="18" t="e">
        <f>IF(ConceptDemo!$C$7=Backend!$A$2,AD202,IF(AE201&lt;&gt;AD201,IF(P202&lt;=ConceptDemo!$C$18,AE201+SUM(W202:AB202)-(Q202-Q201)-AC202,0),IF(P202=ConceptDemo!#REF!,ConceptDemo!#REF!,AD202)))</f>
        <v>#REF!</v>
      </c>
      <c r="AF202" s="18" t="e">
        <f t="shared" si="25"/>
        <v>#REF!</v>
      </c>
      <c r="AG202" s="18" t="e">
        <f t="shared" si="26"/>
        <v>#REF!</v>
      </c>
      <c r="AH202" s="18" t="e">
        <f t="shared" si="24"/>
        <v>#REF!</v>
      </c>
    </row>
    <row r="203" spans="16:34" x14ac:dyDescent="0.25">
      <c r="P203" s="12" t="str">
        <f>IFERROR(IF(P202+1=ConceptDemo!$C$18+10,"",Backend!P202+1),"")</f>
        <v/>
      </c>
      <c r="Q203" s="10">
        <f>IF(OR(P203&lt;ConceptDemo!$C$17,Backend!P203&gt;ConceptDemo!$C$18),0,IF(Backend!P203&lt;=Backend!$R$12,Backend!Q202+Backend!$T$12,IF(Backend!P203&lt;=Backend!$R$13,Backend!Q202+Backend!$T$13,IF(Backend!P203&lt;=Backend!$R$14,Backend!Q202+Backend!$T$14,IF(Backend!P203&lt;=Backend!$R$15,Backend!Q202+Backend!$T$15,IF(Backend!P203&lt;=Backend!$X$16,Backend!Q202+Backend!$Z$16))))))</f>
        <v>0</v>
      </c>
      <c r="R203" s="19" t="str">
        <f>IF(1&lt;=ConceptDemo!$L$29,IF(P203=$W$12,ConceptDemo!$L$27,""),"")</f>
        <v/>
      </c>
      <c r="S203" s="19" t="str">
        <f>IF(2&lt;=ConceptDemo!$L$29,IF(P203=$W$13,ConceptDemo!$L$27,""),"")</f>
        <v/>
      </c>
      <c r="T203" s="19" t="str">
        <f>IF(3&lt;=ConceptDemo!$L$29,IF(P203=$W$14,ConceptDemo!$L$27,""),"")</f>
        <v/>
      </c>
      <c r="U203" s="19" t="str">
        <f>IF(4&lt;=ConceptDemo!$L$29,IF(P203=$W$15,ConceptDemo!$L$27,""),"")</f>
        <v/>
      </c>
      <c r="W203" s="18">
        <f>IF($P203&lt;ConceptDemo!$C$17+$E$24-10,$G$27,0)</f>
        <v>0</v>
      </c>
      <c r="X203" s="18">
        <f>IF($P203&lt;ConceptDemo!$C$17+$E$24-10,$H$27,0)</f>
        <v>0</v>
      </c>
      <c r="Y203" s="10">
        <f t="shared" si="19"/>
        <v>0</v>
      </c>
      <c r="Z203" s="10">
        <f t="shared" si="20"/>
        <v>0</v>
      </c>
      <c r="AA203" s="10">
        <f t="shared" si="21"/>
        <v>0</v>
      </c>
      <c r="AB203" s="10">
        <f t="shared" si="22"/>
        <v>0</v>
      </c>
      <c r="AC203" s="18">
        <f t="shared" si="23"/>
        <v>0</v>
      </c>
      <c r="AD203" s="18">
        <f>IF(P203&lt;=ConceptDemo!$C$18,AD202+SUM(W203:AB203)-(Q203-Q202)-AC203,0)</f>
        <v>0</v>
      </c>
      <c r="AE203" s="18" t="e">
        <f>IF(ConceptDemo!$C$7=Backend!$A$2,AD203,IF(AE202&lt;&gt;AD202,IF(P203&lt;=ConceptDemo!$C$18,AE202+SUM(W203:AB203)-(Q203-Q202)-AC203,0),IF(P203=ConceptDemo!#REF!,ConceptDemo!#REF!,AD203)))</f>
        <v>#REF!</v>
      </c>
      <c r="AF203" s="18" t="e">
        <f t="shared" si="25"/>
        <v>#REF!</v>
      </c>
      <c r="AG203" s="18" t="e">
        <f t="shared" si="26"/>
        <v>#REF!</v>
      </c>
      <c r="AH203" s="18" t="e">
        <f t="shared" si="24"/>
        <v>#REF!</v>
      </c>
    </row>
    <row r="204" spans="16:34" x14ac:dyDescent="0.25">
      <c r="P204" s="12" t="str">
        <f>IFERROR(IF(P203+1=ConceptDemo!$C$18+10,"",Backend!P203+1),"")</f>
        <v/>
      </c>
      <c r="Q204" s="10">
        <f>IF(OR(P204&lt;ConceptDemo!$C$17,Backend!P204&gt;ConceptDemo!$C$18),0,IF(Backend!P204&lt;=Backend!$R$12,Backend!Q203+Backend!$T$12,IF(Backend!P204&lt;=Backend!$R$13,Backend!Q203+Backend!$T$13,IF(Backend!P204&lt;=Backend!$R$14,Backend!Q203+Backend!$T$14,IF(Backend!P204&lt;=Backend!$R$15,Backend!Q203+Backend!$T$15,IF(Backend!P204&lt;=Backend!$X$16,Backend!Q203+Backend!$Z$16))))))</f>
        <v>0</v>
      </c>
      <c r="R204" s="19" t="str">
        <f>IF(1&lt;=ConceptDemo!$L$29,IF(P204=$W$12,ConceptDemo!$L$27,""),"")</f>
        <v/>
      </c>
      <c r="S204" s="19" t="str">
        <f>IF(2&lt;=ConceptDemo!$L$29,IF(P204=$W$13,ConceptDemo!$L$27,""),"")</f>
        <v/>
      </c>
      <c r="T204" s="19" t="str">
        <f>IF(3&lt;=ConceptDemo!$L$29,IF(P204=$W$14,ConceptDemo!$L$27,""),"")</f>
        <v/>
      </c>
      <c r="U204" s="19" t="str">
        <f>IF(4&lt;=ConceptDemo!$L$29,IF(P204=$W$15,ConceptDemo!$L$27,""),"")</f>
        <v/>
      </c>
      <c r="W204" s="18">
        <f>IF($P204&lt;ConceptDemo!$C$17+$E$24-10,$G$27,0)</f>
        <v>0</v>
      </c>
      <c r="X204" s="18">
        <f>IF($P204&lt;ConceptDemo!$C$17+$E$24-10,$H$27,0)</f>
        <v>0</v>
      </c>
      <c r="Y204" s="10">
        <f t="shared" si="19"/>
        <v>0</v>
      </c>
      <c r="Z204" s="10">
        <f t="shared" si="20"/>
        <v>0</v>
      </c>
      <c r="AA204" s="10">
        <f t="shared" si="21"/>
        <v>0</v>
      </c>
      <c r="AB204" s="10">
        <f t="shared" si="22"/>
        <v>0</v>
      </c>
      <c r="AC204" s="18">
        <f t="shared" si="23"/>
        <v>0</v>
      </c>
      <c r="AD204" s="18">
        <f>IF(P204&lt;=ConceptDemo!$C$18,AD203+SUM(W204:AB204)-(Q204-Q203)-AC204,0)</f>
        <v>0</v>
      </c>
      <c r="AE204" s="18" t="e">
        <f>IF(ConceptDemo!$C$7=Backend!$A$2,AD204,IF(AE203&lt;&gt;AD203,IF(P204&lt;=ConceptDemo!$C$18,AE203+SUM(W204:AB204)-(Q204-Q203)-AC204,0),IF(P204=ConceptDemo!#REF!,ConceptDemo!#REF!,AD204)))</f>
        <v>#REF!</v>
      </c>
      <c r="AF204" s="18" t="e">
        <f t="shared" si="25"/>
        <v>#REF!</v>
      </c>
      <c r="AG204" s="18" t="e">
        <f t="shared" si="26"/>
        <v>#REF!</v>
      </c>
      <c r="AH204" s="18" t="e">
        <f t="shared" si="24"/>
        <v>#REF!</v>
      </c>
    </row>
    <row r="205" spans="16:34" x14ac:dyDescent="0.25">
      <c r="P205" s="12" t="str">
        <f>IFERROR(IF(P204+1=ConceptDemo!$C$18+10,"",Backend!P204+1),"")</f>
        <v/>
      </c>
      <c r="Q205" s="10">
        <f>IF(OR(P205&lt;ConceptDemo!$C$17,Backend!P205&gt;ConceptDemo!$C$18),0,IF(Backend!P205&lt;=Backend!$R$12,Backend!Q204+Backend!$T$12,IF(Backend!P205&lt;=Backend!$R$13,Backend!Q204+Backend!$T$13,IF(Backend!P205&lt;=Backend!$R$14,Backend!Q204+Backend!$T$14,IF(Backend!P205&lt;=Backend!$R$15,Backend!Q204+Backend!$T$15,IF(Backend!P205&lt;=Backend!$X$16,Backend!Q204+Backend!$Z$16))))))</f>
        <v>0</v>
      </c>
      <c r="R205" s="19" t="str">
        <f>IF(1&lt;=ConceptDemo!$L$29,IF(P205=$W$12,ConceptDemo!$L$27,""),"")</f>
        <v/>
      </c>
      <c r="S205" s="19" t="str">
        <f>IF(2&lt;=ConceptDemo!$L$29,IF(P205=$W$13,ConceptDemo!$L$27,""),"")</f>
        <v/>
      </c>
      <c r="T205" s="19" t="str">
        <f>IF(3&lt;=ConceptDemo!$L$29,IF(P205=$W$14,ConceptDemo!$L$27,""),"")</f>
        <v/>
      </c>
      <c r="U205" s="19" t="str">
        <f>IF(4&lt;=ConceptDemo!$L$29,IF(P205=$W$15,ConceptDemo!$L$27,""),"")</f>
        <v/>
      </c>
      <c r="W205" s="18">
        <f>IF($P205&lt;ConceptDemo!$C$17+$E$24-10,$G$27,0)</f>
        <v>0</v>
      </c>
      <c r="X205" s="18">
        <f>IF($P205&lt;ConceptDemo!$C$17+$E$24-10,$H$27,0)</f>
        <v>0</v>
      </c>
      <c r="Y205" s="10">
        <f t="shared" si="19"/>
        <v>0</v>
      </c>
      <c r="Z205" s="10">
        <f t="shared" si="20"/>
        <v>0</v>
      </c>
      <c r="AA205" s="10">
        <f t="shared" si="21"/>
        <v>0</v>
      </c>
      <c r="AB205" s="10">
        <f t="shared" si="22"/>
        <v>0</v>
      </c>
      <c r="AC205" s="18">
        <f t="shared" si="23"/>
        <v>0</v>
      </c>
      <c r="AD205" s="18">
        <f>IF(P205&lt;=ConceptDemo!$C$18,AD204+SUM(W205:AB205)-(Q205-Q204)-AC205,0)</f>
        <v>0</v>
      </c>
      <c r="AE205" s="18" t="e">
        <f>IF(ConceptDemo!$C$7=Backend!$A$2,AD205,IF(AE204&lt;&gt;AD204,IF(P205&lt;=ConceptDemo!$C$18,AE204+SUM(W205:AB205)-(Q205-Q204)-AC205,0),IF(P205=ConceptDemo!#REF!,ConceptDemo!#REF!,AD205)))</f>
        <v>#REF!</v>
      </c>
      <c r="AF205" s="18" t="e">
        <f t="shared" si="25"/>
        <v>#REF!</v>
      </c>
      <c r="AG205" s="18" t="e">
        <f t="shared" si="26"/>
        <v>#REF!</v>
      </c>
      <c r="AH205" s="18" t="e">
        <f t="shared" si="24"/>
        <v>#REF!</v>
      </c>
    </row>
    <row r="206" spans="16:34" x14ac:dyDescent="0.25">
      <c r="P206" s="12" t="str">
        <f>IFERROR(IF(P205+1=ConceptDemo!$C$18+10,"",Backend!P205+1),"")</f>
        <v/>
      </c>
      <c r="Q206" s="10">
        <f>IF(OR(P206&lt;ConceptDemo!$C$17,Backend!P206&gt;ConceptDemo!$C$18),0,IF(Backend!P206&lt;=Backend!$R$12,Backend!Q205+Backend!$T$12,IF(Backend!P206&lt;=Backend!$R$13,Backend!Q205+Backend!$T$13,IF(Backend!P206&lt;=Backend!$R$14,Backend!Q205+Backend!$T$14,IF(Backend!P206&lt;=Backend!$R$15,Backend!Q205+Backend!$T$15,IF(Backend!P206&lt;=Backend!$X$16,Backend!Q205+Backend!$Z$16))))))</f>
        <v>0</v>
      </c>
      <c r="R206" s="19" t="str">
        <f>IF(1&lt;=ConceptDemo!$L$29,IF(P206=$W$12,ConceptDemo!$L$27,""),"")</f>
        <v/>
      </c>
      <c r="S206" s="19" t="str">
        <f>IF(2&lt;=ConceptDemo!$L$29,IF(P206=$W$13,ConceptDemo!$L$27,""),"")</f>
        <v/>
      </c>
      <c r="T206" s="19" t="str">
        <f>IF(3&lt;=ConceptDemo!$L$29,IF(P206=$W$14,ConceptDemo!$L$27,""),"")</f>
        <v/>
      </c>
      <c r="U206" s="19" t="str">
        <f>IF(4&lt;=ConceptDemo!$L$29,IF(P206=$W$15,ConceptDemo!$L$27,""),"")</f>
        <v/>
      </c>
      <c r="W206" s="18">
        <f>IF($P206&lt;ConceptDemo!$C$17+$E$24-10,$G$27,0)</f>
        <v>0</v>
      </c>
      <c r="X206" s="18">
        <f>IF($P206&lt;ConceptDemo!$C$17+$E$24-10,$H$27,0)</f>
        <v>0</v>
      </c>
      <c r="Y206" s="10">
        <f t="shared" si="19"/>
        <v>0</v>
      </c>
      <c r="Z206" s="10">
        <f t="shared" si="20"/>
        <v>0</v>
      </c>
      <c r="AA206" s="10">
        <f t="shared" si="21"/>
        <v>0</v>
      </c>
      <c r="AB206" s="10">
        <f t="shared" si="22"/>
        <v>0</v>
      </c>
      <c r="AC206" s="18">
        <f t="shared" si="23"/>
        <v>0</v>
      </c>
      <c r="AD206" s="18">
        <f>IF(P206&lt;=ConceptDemo!$C$18,AD205+SUM(W206:AB206)-(Q206-Q205)-AC206,0)</f>
        <v>0</v>
      </c>
      <c r="AE206" s="18" t="e">
        <f>IF(ConceptDemo!$C$7=Backend!$A$2,AD206,IF(AE205&lt;&gt;AD205,IF(P206&lt;=ConceptDemo!$C$18,AE205+SUM(W206:AB206)-(Q206-Q205)-AC206,0),IF(P206=ConceptDemo!#REF!,ConceptDemo!#REF!,AD206)))</f>
        <v>#REF!</v>
      </c>
      <c r="AF206" s="18" t="e">
        <f t="shared" si="25"/>
        <v>#REF!</v>
      </c>
      <c r="AG206" s="18" t="e">
        <f t="shared" si="26"/>
        <v>#REF!</v>
      </c>
      <c r="AH206" s="18" t="e">
        <f t="shared" si="24"/>
        <v>#REF!</v>
      </c>
    </row>
    <row r="207" spans="16:34" x14ac:dyDescent="0.25">
      <c r="P207" s="12" t="str">
        <f>IFERROR(IF(P206+1=ConceptDemo!$C$18+10,"",Backend!P206+1),"")</f>
        <v/>
      </c>
      <c r="Q207" s="10">
        <f>IF(OR(P207&lt;ConceptDemo!$C$17,Backend!P207&gt;ConceptDemo!$C$18),0,IF(Backend!P207&lt;=Backend!$R$12,Backend!Q206+Backend!$T$12,IF(Backend!P207&lt;=Backend!$R$13,Backend!Q206+Backend!$T$13,IF(Backend!P207&lt;=Backend!$R$14,Backend!Q206+Backend!$T$14,IF(Backend!P207&lt;=Backend!$R$15,Backend!Q206+Backend!$T$15,IF(Backend!P207&lt;=Backend!$X$16,Backend!Q206+Backend!$Z$16))))))</f>
        <v>0</v>
      </c>
      <c r="R207" s="19" t="str">
        <f>IF(1&lt;=ConceptDemo!$L$29,IF(P207=$W$12,ConceptDemo!$L$27,""),"")</f>
        <v/>
      </c>
      <c r="S207" s="19" t="str">
        <f>IF(2&lt;=ConceptDemo!$L$29,IF(P207=$W$13,ConceptDemo!$L$27,""),"")</f>
        <v/>
      </c>
      <c r="T207" s="19" t="str">
        <f>IF(3&lt;=ConceptDemo!$L$29,IF(P207=$W$14,ConceptDemo!$L$27,""),"")</f>
        <v/>
      </c>
      <c r="U207" s="19" t="str">
        <f>IF(4&lt;=ConceptDemo!$L$29,IF(P207=$W$15,ConceptDemo!$L$27,""),"")</f>
        <v/>
      </c>
      <c r="W207" s="18">
        <f>IF($P207&lt;ConceptDemo!$C$17+$E$24-10,$G$27,0)</f>
        <v>0</v>
      </c>
      <c r="X207" s="18">
        <f>IF($P207&lt;ConceptDemo!$C$17+$E$24-10,$H$27,0)</f>
        <v>0</v>
      </c>
      <c r="Y207" s="10">
        <f t="shared" si="19"/>
        <v>0</v>
      </c>
      <c r="Z207" s="10">
        <f t="shared" si="20"/>
        <v>0</v>
      </c>
      <c r="AA207" s="10">
        <f t="shared" si="21"/>
        <v>0</v>
      </c>
      <c r="AB207" s="10">
        <f t="shared" si="22"/>
        <v>0</v>
      </c>
      <c r="AC207" s="18">
        <f t="shared" si="23"/>
        <v>0</v>
      </c>
      <c r="AD207" s="18">
        <f>IF(P207&lt;=ConceptDemo!$C$18,AD206+SUM(W207:AB207)-(Q207-Q206)-AC207,0)</f>
        <v>0</v>
      </c>
      <c r="AE207" s="18" t="e">
        <f>IF(ConceptDemo!$C$7=Backend!$A$2,AD207,IF(AE206&lt;&gt;AD206,IF(P207&lt;=ConceptDemo!$C$18,AE206+SUM(W207:AB207)-(Q207-Q206)-AC207,0),IF(P207=ConceptDemo!#REF!,ConceptDemo!#REF!,AD207)))</f>
        <v>#REF!</v>
      </c>
      <c r="AF207" s="18" t="e">
        <f t="shared" si="25"/>
        <v>#REF!</v>
      </c>
      <c r="AG207" s="18" t="e">
        <f t="shared" si="26"/>
        <v>#REF!</v>
      </c>
      <c r="AH207" s="18" t="e">
        <f t="shared" si="24"/>
        <v>#REF!</v>
      </c>
    </row>
    <row r="208" spans="16:34" x14ac:dyDescent="0.25">
      <c r="P208" s="12" t="str">
        <f>IFERROR(IF(P207+1=ConceptDemo!$C$18+10,"",Backend!P207+1),"")</f>
        <v/>
      </c>
      <c r="Q208" s="10">
        <f>IF(OR(P208&lt;ConceptDemo!$C$17,Backend!P208&gt;ConceptDemo!$C$18),0,IF(Backend!P208&lt;=Backend!$R$12,Backend!Q207+Backend!$T$12,IF(Backend!P208&lt;=Backend!$R$13,Backend!Q207+Backend!$T$13,IF(Backend!P208&lt;=Backend!$R$14,Backend!Q207+Backend!$T$14,IF(Backend!P208&lt;=Backend!$R$15,Backend!Q207+Backend!$T$15,IF(Backend!P208&lt;=Backend!$X$16,Backend!Q207+Backend!$Z$16))))))</f>
        <v>0</v>
      </c>
      <c r="R208" s="19" t="str">
        <f>IF(1&lt;=ConceptDemo!$L$29,IF(P208=$W$12,ConceptDemo!$L$27,""),"")</f>
        <v/>
      </c>
      <c r="S208" s="19" t="str">
        <f>IF(2&lt;=ConceptDemo!$L$29,IF(P208=$W$13,ConceptDemo!$L$27,""),"")</f>
        <v/>
      </c>
      <c r="T208" s="19" t="str">
        <f>IF(3&lt;=ConceptDemo!$L$29,IF(P208=$W$14,ConceptDemo!$L$27,""),"")</f>
        <v/>
      </c>
      <c r="U208" s="19" t="str">
        <f>IF(4&lt;=ConceptDemo!$L$29,IF(P208=$W$15,ConceptDemo!$L$27,""),"")</f>
        <v/>
      </c>
      <c r="W208" s="18">
        <f>IF($P208&lt;ConceptDemo!$C$17+$E$24-10,$G$27,0)</f>
        <v>0</v>
      </c>
      <c r="X208" s="18">
        <f>IF($P208&lt;ConceptDemo!$C$17+$E$24-10,$H$27,0)</f>
        <v>0</v>
      </c>
      <c r="Y208" s="10">
        <f t="shared" si="19"/>
        <v>0</v>
      </c>
      <c r="Z208" s="10">
        <f t="shared" si="20"/>
        <v>0</v>
      </c>
      <c r="AA208" s="10">
        <f t="shared" si="21"/>
        <v>0</v>
      </c>
      <c r="AB208" s="10">
        <f t="shared" si="22"/>
        <v>0</v>
      </c>
      <c r="AC208" s="18">
        <f t="shared" si="23"/>
        <v>0</v>
      </c>
      <c r="AD208" s="18">
        <f>IF(P208&lt;=ConceptDemo!$C$18,AD207+SUM(W208:AB208)-(Q208-Q207)-AC208,0)</f>
        <v>0</v>
      </c>
      <c r="AE208" s="18" t="e">
        <f>IF(ConceptDemo!$C$7=Backend!$A$2,AD208,IF(AE207&lt;&gt;AD207,IF(P208&lt;=ConceptDemo!$C$18,AE207+SUM(W208:AB208)-(Q208-Q207)-AC208,0),IF(P208=ConceptDemo!#REF!,ConceptDemo!#REF!,AD208)))</f>
        <v>#REF!</v>
      </c>
      <c r="AF208" s="18" t="e">
        <f t="shared" si="25"/>
        <v>#REF!</v>
      </c>
      <c r="AG208" s="18" t="e">
        <f t="shared" si="26"/>
        <v>#REF!</v>
      </c>
      <c r="AH208" s="18" t="e">
        <f t="shared" si="24"/>
        <v>#REF!</v>
      </c>
    </row>
    <row r="209" spans="16:34" x14ac:dyDescent="0.25">
      <c r="P209" s="12" t="str">
        <f>IFERROR(IF(P208+1=ConceptDemo!$C$18+10,"",Backend!P208+1),"")</f>
        <v/>
      </c>
      <c r="Q209" s="10">
        <f>IF(OR(P209&lt;ConceptDemo!$C$17,Backend!P209&gt;ConceptDemo!$C$18),0,IF(Backend!P209&lt;=Backend!$R$12,Backend!Q208+Backend!$T$12,IF(Backend!P209&lt;=Backend!$R$13,Backend!Q208+Backend!$T$13,IF(Backend!P209&lt;=Backend!$R$14,Backend!Q208+Backend!$T$14,IF(Backend!P209&lt;=Backend!$R$15,Backend!Q208+Backend!$T$15,IF(Backend!P209&lt;=Backend!$X$16,Backend!Q208+Backend!$Z$16))))))</f>
        <v>0</v>
      </c>
      <c r="R209" s="19" t="str">
        <f>IF(1&lt;=ConceptDemo!$L$29,IF(P209=$W$12,ConceptDemo!$L$27,""),"")</f>
        <v/>
      </c>
      <c r="S209" s="19" t="str">
        <f>IF(2&lt;=ConceptDemo!$L$29,IF(P209=$W$13,ConceptDemo!$L$27,""),"")</f>
        <v/>
      </c>
      <c r="T209" s="19" t="str">
        <f>IF(3&lt;=ConceptDemo!$L$29,IF(P209=$W$14,ConceptDemo!$L$27,""),"")</f>
        <v/>
      </c>
      <c r="U209" s="19" t="str">
        <f>IF(4&lt;=ConceptDemo!$L$29,IF(P209=$W$15,ConceptDemo!$L$27,""),"")</f>
        <v/>
      </c>
      <c r="W209" s="18">
        <f>IF($P209&lt;ConceptDemo!$C$17+$E$24-10,$G$27,0)</f>
        <v>0</v>
      </c>
      <c r="X209" s="18">
        <f>IF($P209&lt;ConceptDemo!$C$17+$E$24-10,$H$27,0)</f>
        <v>0</v>
      </c>
      <c r="Y209" s="10">
        <f t="shared" si="19"/>
        <v>0</v>
      </c>
      <c r="Z209" s="10">
        <f t="shared" si="20"/>
        <v>0</v>
      </c>
      <c r="AA209" s="10">
        <f t="shared" si="21"/>
        <v>0</v>
      </c>
      <c r="AB209" s="10">
        <f t="shared" si="22"/>
        <v>0</v>
      </c>
      <c r="AC209" s="18">
        <f t="shared" si="23"/>
        <v>0</v>
      </c>
      <c r="AD209" s="18">
        <f>IF(P209&lt;=ConceptDemo!$C$18,AD208+SUM(W209:AB209)-(Q209-Q208)-AC209,0)</f>
        <v>0</v>
      </c>
      <c r="AE209" s="18" t="e">
        <f>IF(ConceptDemo!$C$7=Backend!$A$2,AD209,IF(AE208&lt;&gt;AD208,IF(P209&lt;=ConceptDemo!$C$18,AE208+SUM(W209:AB209)-(Q209-Q208)-AC209,0),IF(P209=ConceptDemo!#REF!,ConceptDemo!#REF!,AD209)))</f>
        <v>#REF!</v>
      </c>
      <c r="AF209" s="18" t="e">
        <f t="shared" si="25"/>
        <v>#REF!</v>
      </c>
      <c r="AG209" s="18" t="e">
        <f t="shared" si="26"/>
        <v>#REF!</v>
      </c>
      <c r="AH209" s="18" t="e">
        <f t="shared" si="24"/>
        <v>#REF!</v>
      </c>
    </row>
    <row r="210" spans="16:34" x14ac:dyDescent="0.25">
      <c r="P210" s="12" t="str">
        <f>IFERROR(IF(P209+1=ConceptDemo!$C$18+10,"",Backend!P209+1),"")</f>
        <v/>
      </c>
      <c r="Q210" s="10">
        <f>IF(OR(P210&lt;ConceptDemo!$C$17,Backend!P210&gt;ConceptDemo!$C$18),0,IF(Backend!P210&lt;=Backend!$R$12,Backend!Q209+Backend!$T$12,IF(Backend!P210&lt;=Backend!$R$13,Backend!Q209+Backend!$T$13,IF(Backend!P210&lt;=Backend!$R$14,Backend!Q209+Backend!$T$14,IF(Backend!P210&lt;=Backend!$R$15,Backend!Q209+Backend!$T$15,IF(Backend!P210&lt;=Backend!$X$16,Backend!Q209+Backend!$Z$16))))))</f>
        <v>0</v>
      </c>
      <c r="R210" s="19" t="str">
        <f>IF(1&lt;=ConceptDemo!$L$29,IF(P210=$W$12,ConceptDemo!$L$27,""),"")</f>
        <v/>
      </c>
      <c r="S210" s="19" t="str">
        <f>IF(2&lt;=ConceptDemo!$L$29,IF(P210=$W$13,ConceptDemo!$L$27,""),"")</f>
        <v/>
      </c>
      <c r="T210" s="19" t="str">
        <f>IF(3&lt;=ConceptDemo!$L$29,IF(P210=$W$14,ConceptDemo!$L$27,""),"")</f>
        <v/>
      </c>
      <c r="U210" s="19" t="str">
        <f>IF(4&lt;=ConceptDemo!$L$29,IF(P210=$W$15,ConceptDemo!$L$27,""),"")</f>
        <v/>
      </c>
      <c r="W210" s="18">
        <f>IF($P210&lt;ConceptDemo!$C$17+$E$24-10,$G$27,0)</f>
        <v>0</v>
      </c>
      <c r="X210" s="18">
        <f>IF($P210&lt;ConceptDemo!$C$17+$E$24-10,$H$27,0)</f>
        <v>0</v>
      </c>
      <c r="Y210" s="10">
        <f t="shared" si="19"/>
        <v>0</v>
      </c>
      <c r="Z210" s="10">
        <f t="shared" si="20"/>
        <v>0</v>
      </c>
      <c r="AA210" s="10">
        <f t="shared" si="21"/>
        <v>0</v>
      </c>
      <c r="AB210" s="10">
        <f t="shared" si="22"/>
        <v>0</v>
      </c>
      <c r="AC210" s="18">
        <f t="shared" si="23"/>
        <v>0</v>
      </c>
      <c r="AD210" s="18">
        <f>IF(P210&lt;=ConceptDemo!$C$18,AD209+SUM(W210:AB210)-(Q210-Q209)-AC210,0)</f>
        <v>0</v>
      </c>
      <c r="AE210" s="18" t="e">
        <f>IF(ConceptDemo!$C$7=Backend!$A$2,AD210,IF(AE209&lt;&gt;AD209,IF(P210&lt;=ConceptDemo!$C$18,AE209+SUM(W210:AB210)-(Q210-Q209)-AC210,0),IF(P210=ConceptDemo!#REF!,ConceptDemo!#REF!,AD210)))</f>
        <v>#REF!</v>
      </c>
      <c r="AF210" s="18" t="e">
        <f t="shared" si="25"/>
        <v>#REF!</v>
      </c>
      <c r="AG210" s="18" t="e">
        <f t="shared" si="26"/>
        <v>#REF!</v>
      </c>
      <c r="AH210" s="18" t="e">
        <f t="shared" si="24"/>
        <v>#REF!</v>
      </c>
    </row>
    <row r="211" spans="16:34" x14ac:dyDescent="0.25">
      <c r="P211" s="12" t="str">
        <f>IFERROR(IF(P210+1=ConceptDemo!$C$18+10,"",Backend!P210+1),"")</f>
        <v/>
      </c>
      <c r="Q211" s="10">
        <f>IF(OR(P211&lt;ConceptDemo!$C$17,Backend!P211&gt;ConceptDemo!$C$18),0,IF(Backend!P211&lt;=Backend!$R$12,Backend!Q210+Backend!$T$12,IF(Backend!P211&lt;=Backend!$R$13,Backend!Q210+Backend!$T$13,IF(Backend!P211&lt;=Backend!$R$14,Backend!Q210+Backend!$T$14,IF(Backend!P211&lt;=Backend!$R$15,Backend!Q210+Backend!$T$15,IF(Backend!P211&lt;=Backend!$X$16,Backend!Q210+Backend!$Z$16))))))</f>
        <v>0</v>
      </c>
      <c r="R211" s="19" t="str">
        <f>IF(1&lt;=ConceptDemo!$L$29,IF(P211=$W$12,ConceptDemo!$L$27,""),"")</f>
        <v/>
      </c>
      <c r="S211" s="19" t="str">
        <f>IF(2&lt;=ConceptDemo!$L$29,IF(P211=$W$13,ConceptDemo!$L$27,""),"")</f>
        <v/>
      </c>
      <c r="T211" s="19" t="str">
        <f>IF(3&lt;=ConceptDemo!$L$29,IF(P211=$W$14,ConceptDemo!$L$27,""),"")</f>
        <v/>
      </c>
      <c r="U211" s="19" t="str">
        <f>IF(4&lt;=ConceptDemo!$L$29,IF(P211=$W$15,ConceptDemo!$L$27,""),"")</f>
        <v/>
      </c>
      <c r="W211" s="18">
        <f>IF($P211&lt;ConceptDemo!$C$17+$E$24-10,$G$27,0)</f>
        <v>0</v>
      </c>
      <c r="X211" s="18">
        <f>IF($P211&lt;ConceptDemo!$C$17+$E$24-10,$H$27,0)</f>
        <v>0</v>
      </c>
      <c r="Y211" s="10">
        <f t="shared" si="19"/>
        <v>0</v>
      </c>
      <c r="Z211" s="10">
        <f t="shared" si="20"/>
        <v>0</v>
      </c>
      <c r="AA211" s="10">
        <f t="shared" si="21"/>
        <v>0</v>
      </c>
      <c r="AB211" s="10">
        <f t="shared" si="22"/>
        <v>0</v>
      </c>
      <c r="AC211" s="18">
        <f t="shared" si="23"/>
        <v>0</v>
      </c>
      <c r="AD211" s="18">
        <f>IF(P211&lt;=ConceptDemo!$C$18,AD210+SUM(W211:AB211)-(Q211-Q210)-AC211,0)</f>
        <v>0</v>
      </c>
      <c r="AE211" s="18" t="e">
        <f>IF(ConceptDemo!$C$7=Backend!$A$2,AD211,IF(AE210&lt;&gt;AD210,IF(P211&lt;=ConceptDemo!$C$18,AE210+SUM(W211:AB211)-(Q211-Q210)-AC211,0),IF(P211=ConceptDemo!#REF!,ConceptDemo!#REF!,AD211)))</f>
        <v>#REF!</v>
      </c>
      <c r="AF211" s="18" t="e">
        <f t="shared" si="25"/>
        <v>#REF!</v>
      </c>
      <c r="AG211" s="18" t="e">
        <f t="shared" si="26"/>
        <v>#REF!</v>
      </c>
      <c r="AH211" s="18" t="e">
        <f t="shared" si="24"/>
        <v>#REF!</v>
      </c>
    </row>
    <row r="212" spans="16:34" x14ac:dyDescent="0.25">
      <c r="P212" s="12" t="str">
        <f>IFERROR(IF(P211+1=ConceptDemo!$C$18+10,"",Backend!P211+1),"")</f>
        <v/>
      </c>
      <c r="Q212" s="10">
        <f>IF(OR(P212&lt;ConceptDemo!$C$17,Backend!P212&gt;ConceptDemo!$C$18),0,IF(Backend!P212&lt;=Backend!$R$12,Backend!Q211+Backend!$T$12,IF(Backend!P212&lt;=Backend!$R$13,Backend!Q211+Backend!$T$13,IF(Backend!P212&lt;=Backend!$R$14,Backend!Q211+Backend!$T$14,IF(Backend!P212&lt;=Backend!$R$15,Backend!Q211+Backend!$T$15,IF(Backend!P212&lt;=Backend!$X$16,Backend!Q211+Backend!$Z$16))))))</f>
        <v>0</v>
      </c>
      <c r="R212" s="19" t="str">
        <f>IF(1&lt;=ConceptDemo!$L$29,IF(P212=$W$12,ConceptDemo!$L$27,""),"")</f>
        <v/>
      </c>
      <c r="S212" s="19" t="str">
        <f>IF(2&lt;=ConceptDemo!$L$29,IF(P212=$W$13,ConceptDemo!$L$27,""),"")</f>
        <v/>
      </c>
      <c r="T212" s="19" t="str">
        <f>IF(3&lt;=ConceptDemo!$L$29,IF(P212=$W$14,ConceptDemo!$L$27,""),"")</f>
        <v/>
      </c>
      <c r="U212" s="19" t="str">
        <f>IF(4&lt;=ConceptDemo!$L$29,IF(P212=$W$15,ConceptDemo!$L$27,""),"")</f>
        <v/>
      </c>
      <c r="W212" s="18">
        <f>IF($P212&lt;ConceptDemo!$C$17+$E$24-10,$G$27,0)</f>
        <v>0</v>
      </c>
      <c r="X212" s="18">
        <f>IF($P212&lt;ConceptDemo!$C$17+$E$24-10,$H$27,0)</f>
        <v>0</v>
      </c>
      <c r="Y212" s="10">
        <f t="shared" si="19"/>
        <v>0</v>
      </c>
      <c r="Z212" s="10">
        <f t="shared" si="20"/>
        <v>0</v>
      </c>
      <c r="AA212" s="10">
        <f t="shared" si="21"/>
        <v>0</v>
      </c>
      <c r="AB212" s="10">
        <f t="shared" si="22"/>
        <v>0</v>
      </c>
      <c r="AC212" s="18">
        <f t="shared" si="23"/>
        <v>0</v>
      </c>
      <c r="AD212" s="18">
        <f>IF(P212&lt;=ConceptDemo!$C$18,AD211+SUM(W212:AB212)-(Q212-Q211)-AC212,0)</f>
        <v>0</v>
      </c>
      <c r="AE212" s="18" t="e">
        <f>IF(ConceptDemo!$C$7=Backend!$A$2,AD212,IF(AE211&lt;&gt;AD211,IF(P212&lt;=ConceptDemo!$C$18,AE211+SUM(W212:AB212)-(Q212-Q211)-AC212,0),IF(P212=ConceptDemo!#REF!,ConceptDemo!#REF!,AD212)))</f>
        <v>#REF!</v>
      </c>
      <c r="AF212" s="18" t="e">
        <f t="shared" si="25"/>
        <v>#REF!</v>
      </c>
      <c r="AG212" s="18" t="e">
        <f t="shared" si="26"/>
        <v>#REF!</v>
      </c>
      <c r="AH212" s="18" t="e">
        <f t="shared" si="24"/>
        <v>#REF!</v>
      </c>
    </row>
    <row r="213" spans="16:34" x14ac:dyDescent="0.25">
      <c r="P213" s="12" t="str">
        <f>IFERROR(IF(P212+1=ConceptDemo!$C$18+10,"",Backend!P212+1),"")</f>
        <v/>
      </c>
      <c r="Q213" s="10">
        <f>IF(OR(P213&lt;ConceptDemo!$C$17,Backend!P213&gt;ConceptDemo!$C$18),0,IF(Backend!P213&lt;=Backend!$R$12,Backend!Q212+Backend!$T$12,IF(Backend!P213&lt;=Backend!$R$13,Backend!Q212+Backend!$T$13,IF(Backend!P213&lt;=Backend!$R$14,Backend!Q212+Backend!$T$14,IF(Backend!P213&lt;=Backend!$R$15,Backend!Q212+Backend!$T$15,IF(Backend!P213&lt;=Backend!$X$16,Backend!Q212+Backend!$Z$16))))))</f>
        <v>0</v>
      </c>
      <c r="R213" s="19" t="str">
        <f>IF(1&lt;=ConceptDemo!$L$29,IF(P213=$W$12,ConceptDemo!$L$27,""),"")</f>
        <v/>
      </c>
      <c r="S213" s="19" t="str">
        <f>IF(2&lt;=ConceptDemo!$L$29,IF(P213=$W$13,ConceptDemo!$L$27,""),"")</f>
        <v/>
      </c>
      <c r="T213" s="19" t="str">
        <f>IF(3&lt;=ConceptDemo!$L$29,IF(P213=$W$14,ConceptDemo!$L$27,""),"")</f>
        <v/>
      </c>
      <c r="U213" s="19" t="str">
        <f>IF(4&lt;=ConceptDemo!$L$29,IF(P213=$W$15,ConceptDemo!$L$27,""),"")</f>
        <v/>
      </c>
      <c r="W213" s="18">
        <f>IF($P213&lt;ConceptDemo!$C$17+$E$24-10,$G$27,0)</f>
        <v>0</v>
      </c>
      <c r="X213" s="18">
        <f>IF($P213&lt;ConceptDemo!$C$17+$E$24-10,$H$27,0)</f>
        <v>0</v>
      </c>
      <c r="Y213" s="10">
        <f t="shared" si="19"/>
        <v>0</v>
      </c>
      <c r="Z213" s="10">
        <f t="shared" si="20"/>
        <v>0</v>
      </c>
      <c r="AA213" s="10">
        <f t="shared" si="21"/>
        <v>0</v>
      </c>
      <c r="AB213" s="10">
        <f t="shared" si="22"/>
        <v>0</v>
      </c>
      <c r="AC213" s="18">
        <f t="shared" si="23"/>
        <v>0</v>
      </c>
      <c r="AD213" s="18">
        <f>IF(P213&lt;=ConceptDemo!$C$18,AD212+SUM(W213:AB213)-(Q213-Q212)-AC213,0)</f>
        <v>0</v>
      </c>
      <c r="AE213" s="18" t="e">
        <f>IF(ConceptDemo!$C$7=Backend!$A$2,AD213,IF(AE212&lt;&gt;AD212,IF(P213&lt;=ConceptDemo!$C$18,AE212+SUM(W213:AB213)-(Q213-Q212)-AC213,0),IF(P213=ConceptDemo!#REF!,ConceptDemo!#REF!,AD213)))</f>
        <v>#REF!</v>
      </c>
      <c r="AF213" s="18" t="e">
        <f t="shared" si="25"/>
        <v>#REF!</v>
      </c>
      <c r="AG213" s="18" t="e">
        <f t="shared" si="26"/>
        <v>#REF!</v>
      </c>
      <c r="AH213" s="18" t="e">
        <f t="shared" si="24"/>
        <v>#REF!</v>
      </c>
    </row>
    <row r="214" spans="16:34" x14ac:dyDescent="0.25">
      <c r="P214" s="12" t="str">
        <f>IFERROR(IF(P213+1=ConceptDemo!$C$18+10,"",Backend!P213+1),"")</f>
        <v/>
      </c>
      <c r="Q214" s="10">
        <f>IF(OR(P214&lt;ConceptDemo!$C$17,Backend!P214&gt;ConceptDemo!$C$18),0,IF(Backend!P214&lt;=Backend!$R$12,Backend!Q213+Backend!$T$12,IF(Backend!P214&lt;=Backend!$R$13,Backend!Q213+Backend!$T$13,IF(Backend!P214&lt;=Backend!$R$14,Backend!Q213+Backend!$T$14,IF(Backend!P214&lt;=Backend!$R$15,Backend!Q213+Backend!$T$15,IF(Backend!P214&lt;=Backend!$X$16,Backend!Q213+Backend!$Z$16))))))</f>
        <v>0</v>
      </c>
      <c r="R214" s="19" t="str">
        <f>IF(1&lt;=ConceptDemo!$L$29,IF(P214=$W$12,ConceptDemo!$L$27,""),"")</f>
        <v/>
      </c>
      <c r="S214" s="19" t="str">
        <f>IF(2&lt;=ConceptDemo!$L$29,IF(P214=$W$13,ConceptDemo!$L$27,""),"")</f>
        <v/>
      </c>
      <c r="T214" s="19" t="str">
        <f>IF(3&lt;=ConceptDemo!$L$29,IF(P214=$W$14,ConceptDemo!$L$27,""),"")</f>
        <v/>
      </c>
      <c r="U214" s="19" t="str">
        <f>IF(4&lt;=ConceptDemo!$L$29,IF(P214=$W$15,ConceptDemo!$L$27,""),"")</f>
        <v/>
      </c>
      <c r="W214" s="18">
        <f>IF($P214&lt;ConceptDemo!$C$17+$E$24-10,$G$27,0)</f>
        <v>0</v>
      </c>
      <c r="X214" s="18">
        <f>IF($P214&lt;ConceptDemo!$C$17+$E$24-10,$H$27,0)</f>
        <v>0</v>
      </c>
      <c r="Y214" s="10">
        <f t="shared" si="19"/>
        <v>0</v>
      </c>
      <c r="Z214" s="10">
        <f t="shared" si="20"/>
        <v>0</v>
      </c>
      <c r="AA214" s="10">
        <f t="shared" si="21"/>
        <v>0</v>
      </c>
      <c r="AB214" s="10">
        <f t="shared" si="22"/>
        <v>0</v>
      </c>
      <c r="AC214" s="18">
        <f t="shared" si="23"/>
        <v>0</v>
      </c>
      <c r="AD214" s="18">
        <f>IF(P214&lt;=ConceptDemo!$C$18,AD213+SUM(W214:AB214)-(Q214-Q213)-AC214,0)</f>
        <v>0</v>
      </c>
      <c r="AE214" s="18" t="e">
        <f>IF(ConceptDemo!$C$7=Backend!$A$2,AD214,IF(AE213&lt;&gt;AD213,IF(P214&lt;=ConceptDemo!$C$18,AE213+SUM(W214:AB214)-(Q214-Q213)-AC214,0),IF(P214=ConceptDemo!#REF!,ConceptDemo!#REF!,AD214)))</f>
        <v>#REF!</v>
      </c>
      <c r="AF214" s="18" t="e">
        <f t="shared" si="25"/>
        <v>#REF!</v>
      </c>
      <c r="AG214" s="18" t="e">
        <f t="shared" si="26"/>
        <v>#REF!</v>
      </c>
      <c r="AH214" s="18" t="e">
        <f t="shared" si="24"/>
        <v>#REF!</v>
      </c>
    </row>
    <row r="215" spans="16:34" x14ac:dyDescent="0.25">
      <c r="P215" s="12" t="str">
        <f>IFERROR(IF(P214+1=ConceptDemo!$C$18+10,"",Backend!P214+1),"")</f>
        <v/>
      </c>
      <c r="Q215" s="10">
        <f>IF(OR(P215&lt;ConceptDemo!$C$17,Backend!P215&gt;ConceptDemo!$C$18),0,IF(Backend!P215&lt;=Backend!$R$12,Backend!Q214+Backend!$T$12,IF(Backend!P215&lt;=Backend!$R$13,Backend!Q214+Backend!$T$13,IF(Backend!P215&lt;=Backend!$R$14,Backend!Q214+Backend!$T$14,IF(Backend!P215&lt;=Backend!$R$15,Backend!Q214+Backend!$T$15,IF(Backend!P215&lt;=Backend!$X$16,Backend!Q214+Backend!$Z$16))))))</f>
        <v>0</v>
      </c>
      <c r="R215" s="19" t="str">
        <f>IF(1&lt;=ConceptDemo!$L$29,IF(P215=$W$12,ConceptDemo!$L$27,""),"")</f>
        <v/>
      </c>
      <c r="S215" s="19" t="str">
        <f>IF(2&lt;=ConceptDemo!$L$29,IF(P215=$W$13,ConceptDemo!$L$27,""),"")</f>
        <v/>
      </c>
      <c r="T215" s="19" t="str">
        <f>IF(3&lt;=ConceptDemo!$L$29,IF(P215=$W$14,ConceptDemo!$L$27,""),"")</f>
        <v/>
      </c>
      <c r="U215" s="19" t="str">
        <f>IF(4&lt;=ConceptDemo!$L$29,IF(P215=$W$15,ConceptDemo!$L$27,""),"")</f>
        <v/>
      </c>
      <c r="W215" s="18">
        <f>IF($P215&lt;ConceptDemo!$C$17+$E$24-10,$G$27,0)</f>
        <v>0</v>
      </c>
      <c r="X215" s="18">
        <f>IF($P215&lt;ConceptDemo!$C$17+$E$24-10,$H$27,0)</f>
        <v>0</v>
      </c>
      <c r="Y215" s="10">
        <f t="shared" si="19"/>
        <v>0</v>
      </c>
      <c r="Z215" s="10">
        <f t="shared" si="20"/>
        <v>0</v>
      </c>
      <c r="AA215" s="10">
        <f t="shared" si="21"/>
        <v>0</v>
      </c>
      <c r="AB215" s="10">
        <f t="shared" si="22"/>
        <v>0</v>
      </c>
      <c r="AC215" s="18">
        <f t="shared" si="23"/>
        <v>0</v>
      </c>
      <c r="AD215" s="18">
        <f>IF(P215&lt;=ConceptDemo!$C$18,AD214+SUM(W215:AB215)-(Q215-Q214)-AC215,0)</f>
        <v>0</v>
      </c>
      <c r="AE215" s="18" t="e">
        <f>IF(ConceptDemo!$C$7=Backend!$A$2,AD215,IF(AE214&lt;&gt;AD214,IF(P215&lt;=ConceptDemo!$C$18,AE214+SUM(W215:AB215)-(Q215-Q214)-AC215,0),IF(P215=ConceptDemo!#REF!,ConceptDemo!#REF!,AD215)))</f>
        <v>#REF!</v>
      </c>
      <c r="AF215" s="18" t="e">
        <f t="shared" si="25"/>
        <v>#REF!</v>
      </c>
      <c r="AG215" s="18" t="e">
        <f t="shared" si="26"/>
        <v>#REF!</v>
      </c>
      <c r="AH215" s="18" t="e">
        <f t="shared" si="24"/>
        <v>#REF!</v>
      </c>
    </row>
    <row r="216" spans="16:34" x14ac:dyDescent="0.25">
      <c r="P216" s="12" t="str">
        <f>IFERROR(IF(P215+1=ConceptDemo!$C$18+10,"",Backend!P215+1),"")</f>
        <v/>
      </c>
      <c r="Q216" s="10">
        <f>IF(OR(P216&lt;ConceptDemo!$C$17,Backend!P216&gt;ConceptDemo!$C$18),0,IF(Backend!P216&lt;=Backend!$R$12,Backend!Q215+Backend!$T$12,IF(Backend!P216&lt;=Backend!$R$13,Backend!Q215+Backend!$T$13,IF(Backend!P216&lt;=Backend!$R$14,Backend!Q215+Backend!$T$14,IF(Backend!P216&lt;=Backend!$R$15,Backend!Q215+Backend!$T$15,IF(Backend!P216&lt;=Backend!$X$16,Backend!Q215+Backend!$Z$16))))))</f>
        <v>0</v>
      </c>
      <c r="R216" s="19" t="str">
        <f>IF(1&lt;=ConceptDemo!$L$29,IF(P216=$W$12,ConceptDemo!$L$27,""),"")</f>
        <v/>
      </c>
      <c r="S216" s="19" t="str">
        <f>IF(2&lt;=ConceptDemo!$L$29,IF(P216=$W$13,ConceptDemo!$L$27,""),"")</f>
        <v/>
      </c>
      <c r="T216" s="19" t="str">
        <f>IF(3&lt;=ConceptDemo!$L$29,IF(P216=$W$14,ConceptDemo!$L$27,""),"")</f>
        <v/>
      </c>
      <c r="U216" s="19" t="str">
        <f>IF(4&lt;=ConceptDemo!$L$29,IF(P216=$W$15,ConceptDemo!$L$27,""),"")</f>
        <v/>
      </c>
      <c r="W216" s="18">
        <f>IF($P216&lt;ConceptDemo!$C$17+$E$24-10,$G$27,0)</f>
        <v>0</v>
      </c>
      <c r="X216" s="18">
        <f>IF($P216&lt;ConceptDemo!$C$17+$E$24-10,$H$27,0)</f>
        <v>0</v>
      </c>
      <c r="Y216" s="10">
        <f t="shared" si="19"/>
        <v>0</v>
      </c>
      <c r="Z216" s="10">
        <f t="shared" si="20"/>
        <v>0</v>
      </c>
      <c r="AA216" s="10">
        <f t="shared" si="21"/>
        <v>0</v>
      </c>
      <c r="AB216" s="10">
        <f t="shared" si="22"/>
        <v>0</v>
      </c>
      <c r="AC216" s="18">
        <f t="shared" si="23"/>
        <v>0</v>
      </c>
      <c r="AD216" s="18">
        <f>IF(P216&lt;=ConceptDemo!$C$18,AD215+SUM(W216:AB216)-(Q216-Q215)-AC216,0)</f>
        <v>0</v>
      </c>
      <c r="AE216" s="18" t="e">
        <f>IF(ConceptDemo!$C$7=Backend!$A$2,AD216,IF(AE215&lt;&gt;AD215,IF(P216&lt;=ConceptDemo!$C$18,AE215+SUM(W216:AB216)-(Q216-Q215)-AC216,0),IF(P216=ConceptDemo!#REF!,ConceptDemo!#REF!,AD216)))</f>
        <v>#REF!</v>
      </c>
      <c r="AF216" s="18" t="e">
        <f t="shared" si="25"/>
        <v>#REF!</v>
      </c>
      <c r="AG216" s="18" t="e">
        <f t="shared" si="26"/>
        <v>#REF!</v>
      </c>
      <c r="AH216" s="18" t="e">
        <f t="shared" si="24"/>
        <v>#REF!</v>
      </c>
    </row>
    <row r="217" spans="16:34" x14ac:dyDescent="0.25">
      <c r="P217" s="12" t="str">
        <f>IFERROR(IF(P216+1=ConceptDemo!$C$18+10,"",Backend!P216+1),"")</f>
        <v/>
      </c>
      <c r="Q217" s="10">
        <f>IF(OR(P217&lt;ConceptDemo!$C$17,Backend!P217&gt;ConceptDemo!$C$18),0,IF(Backend!P217&lt;=Backend!$R$12,Backend!Q216+Backend!$T$12,IF(Backend!P217&lt;=Backend!$R$13,Backend!Q216+Backend!$T$13,IF(Backend!P217&lt;=Backend!$R$14,Backend!Q216+Backend!$T$14,IF(Backend!P217&lt;=Backend!$R$15,Backend!Q216+Backend!$T$15,IF(Backend!P217&lt;=Backend!$X$16,Backend!Q216+Backend!$Z$16))))))</f>
        <v>0</v>
      </c>
      <c r="R217" s="19" t="str">
        <f>IF(1&lt;=ConceptDemo!$L$29,IF(P217=$W$12,ConceptDemo!$L$27,""),"")</f>
        <v/>
      </c>
      <c r="S217" s="19" t="str">
        <f>IF(2&lt;=ConceptDemo!$L$29,IF(P217=$W$13,ConceptDemo!$L$27,""),"")</f>
        <v/>
      </c>
      <c r="T217" s="19" t="str">
        <f>IF(3&lt;=ConceptDemo!$L$29,IF(P217=$W$14,ConceptDemo!$L$27,""),"")</f>
        <v/>
      </c>
      <c r="U217" s="19" t="str">
        <f>IF(4&lt;=ConceptDemo!$L$29,IF(P217=$W$15,ConceptDemo!$L$27,""),"")</f>
        <v/>
      </c>
      <c r="W217" s="18">
        <f>IF($P217&lt;ConceptDemo!$C$17+$E$24-10,$G$27,0)</f>
        <v>0</v>
      </c>
      <c r="X217" s="18">
        <f>IF($P217&lt;ConceptDemo!$C$17+$E$24-10,$H$27,0)</f>
        <v>0</v>
      </c>
      <c r="Y217" s="10">
        <f t="shared" si="19"/>
        <v>0</v>
      </c>
      <c r="Z217" s="10">
        <f t="shared" si="20"/>
        <v>0</v>
      </c>
      <c r="AA217" s="10">
        <f t="shared" si="21"/>
        <v>0</v>
      </c>
      <c r="AB217" s="10">
        <f t="shared" si="22"/>
        <v>0</v>
      </c>
      <c r="AC217" s="18">
        <f t="shared" si="23"/>
        <v>0</v>
      </c>
      <c r="AD217" s="18">
        <f>IF(P217&lt;=ConceptDemo!$C$18,AD216+SUM(W217:AB217)-(Q217-Q216)-AC217,0)</f>
        <v>0</v>
      </c>
      <c r="AE217" s="18" t="e">
        <f>IF(ConceptDemo!$C$7=Backend!$A$2,AD217,IF(AE216&lt;&gt;AD216,IF(P217&lt;=ConceptDemo!$C$18,AE216+SUM(W217:AB217)-(Q217-Q216)-AC217,0),IF(P217=ConceptDemo!#REF!,ConceptDemo!#REF!,AD217)))</f>
        <v>#REF!</v>
      </c>
      <c r="AF217" s="18" t="e">
        <f t="shared" si="25"/>
        <v>#REF!</v>
      </c>
      <c r="AG217" s="18" t="e">
        <f t="shared" si="26"/>
        <v>#REF!</v>
      </c>
      <c r="AH217" s="18" t="e">
        <f t="shared" si="24"/>
        <v>#REF!</v>
      </c>
    </row>
    <row r="218" spans="16:34" x14ac:dyDescent="0.25">
      <c r="P218" s="12" t="str">
        <f>IFERROR(IF(P217+1=ConceptDemo!$C$18+10,"",Backend!P217+1),"")</f>
        <v/>
      </c>
      <c r="Q218" s="10">
        <f>IF(OR(P218&lt;ConceptDemo!$C$17,Backend!P218&gt;ConceptDemo!$C$18),0,IF(Backend!P218&lt;=Backend!$R$12,Backend!Q217+Backend!$T$12,IF(Backend!P218&lt;=Backend!$R$13,Backend!Q217+Backend!$T$13,IF(Backend!P218&lt;=Backend!$R$14,Backend!Q217+Backend!$T$14,IF(Backend!P218&lt;=Backend!$R$15,Backend!Q217+Backend!$T$15,IF(Backend!P218&lt;=Backend!$X$16,Backend!Q217+Backend!$Z$16))))))</f>
        <v>0</v>
      </c>
      <c r="R218" s="19" t="str">
        <f>IF(1&lt;=ConceptDemo!$L$29,IF(P218=$W$12,ConceptDemo!$L$27,""),"")</f>
        <v/>
      </c>
      <c r="S218" s="19" t="str">
        <f>IF(2&lt;=ConceptDemo!$L$29,IF(P218=$W$13,ConceptDemo!$L$27,""),"")</f>
        <v/>
      </c>
      <c r="T218" s="19" t="str">
        <f>IF(3&lt;=ConceptDemo!$L$29,IF(P218=$W$14,ConceptDemo!$L$27,""),"")</f>
        <v/>
      </c>
      <c r="U218" s="19" t="str">
        <f>IF(4&lt;=ConceptDemo!$L$29,IF(P218=$W$15,ConceptDemo!$L$27,""),"")</f>
        <v/>
      </c>
      <c r="W218" s="18">
        <f>IF($P218&lt;ConceptDemo!$C$17+$E$24-10,$G$27,0)</f>
        <v>0</v>
      </c>
      <c r="X218" s="18">
        <f>IF($P218&lt;ConceptDemo!$C$17+$E$24-10,$H$27,0)</f>
        <v>0</v>
      </c>
      <c r="Y218" s="10">
        <f t="shared" si="19"/>
        <v>0</v>
      </c>
      <c r="Z218" s="10">
        <f t="shared" si="20"/>
        <v>0</v>
      </c>
      <c r="AA218" s="10">
        <f t="shared" si="21"/>
        <v>0</v>
      </c>
      <c r="AB218" s="10">
        <f t="shared" si="22"/>
        <v>0</v>
      </c>
      <c r="AC218" s="18">
        <f t="shared" si="23"/>
        <v>0</v>
      </c>
      <c r="AD218" s="18">
        <f>IF(P218&lt;=ConceptDemo!$C$18,AD217+SUM(W218:AB218)-(Q218-Q217)-AC218,0)</f>
        <v>0</v>
      </c>
      <c r="AE218" s="18" t="e">
        <f>IF(ConceptDemo!$C$7=Backend!$A$2,AD218,IF(AE217&lt;&gt;AD217,IF(P218&lt;=ConceptDemo!$C$18,AE217+SUM(W218:AB218)-(Q218-Q217)-AC218,0),IF(P218=ConceptDemo!#REF!,ConceptDemo!#REF!,AD218)))</f>
        <v>#REF!</v>
      </c>
      <c r="AF218" s="18" t="e">
        <f t="shared" si="25"/>
        <v>#REF!</v>
      </c>
      <c r="AG218" s="18" t="e">
        <f t="shared" si="26"/>
        <v>#REF!</v>
      </c>
      <c r="AH218" s="18" t="e">
        <f t="shared" si="24"/>
        <v>#REF!</v>
      </c>
    </row>
    <row r="219" spans="16:34" x14ac:dyDescent="0.25">
      <c r="P219" s="12" t="str">
        <f>IFERROR(IF(P218+1=ConceptDemo!$C$18+10,"",Backend!P218+1),"")</f>
        <v/>
      </c>
      <c r="Q219" s="10">
        <f>IF(OR(P219&lt;ConceptDemo!$C$17,Backend!P219&gt;ConceptDemo!$C$18),0,IF(Backend!P219&lt;=Backend!$R$12,Backend!Q218+Backend!$T$12,IF(Backend!P219&lt;=Backend!$R$13,Backend!Q218+Backend!$T$13,IF(Backend!P219&lt;=Backend!$R$14,Backend!Q218+Backend!$T$14,IF(Backend!P219&lt;=Backend!$R$15,Backend!Q218+Backend!$T$15,IF(Backend!P219&lt;=Backend!$X$16,Backend!Q218+Backend!$Z$16))))))</f>
        <v>0</v>
      </c>
      <c r="R219" s="19" t="str">
        <f>IF(1&lt;=ConceptDemo!$L$29,IF(P219=$W$12,ConceptDemo!$L$27,""),"")</f>
        <v/>
      </c>
      <c r="S219" s="19" t="str">
        <f>IF(2&lt;=ConceptDemo!$L$29,IF(P219=$W$13,ConceptDemo!$L$27,""),"")</f>
        <v/>
      </c>
      <c r="T219" s="19" t="str">
        <f>IF(3&lt;=ConceptDemo!$L$29,IF(P219=$W$14,ConceptDemo!$L$27,""),"")</f>
        <v/>
      </c>
      <c r="U219" s="19" t="str">
        <f>IF(4&lt;=ConceptDemo!$L$29,IF(P219=$W$15,ConceptDemo!$L$27,""),"")</f>
        <v/>
      </c>
      <c r="W219" s="18">
        <f>IF($P219&lt;ConceptDemo!$C$17+$E$24-10,$G$27,0)</f>
        <v>0</v>
      </c>
      <c r="X219" s="18">
        <f>IF($P219&lt;ConceptDemo!$C$17+$E$24-10,$H$27,0)</f>
        <v>0</v>
      </c>
      <c r="Y219" s="10">
        <f t="shared" ref="Y219:Y251" si="27">IFERROR(IF(AND($P219&gt;=$W$12,$P219&lt;$W$12+$I$25),$I$27,0),0)</f>
        <v>0</v>
      </c>
      <c r="Z219" s="10">
        <f t="shared" ref="Z219:Z251" si="28">IFERROR(IF(AND($P219&gt;=$W$13,$P219&lt;$W$13+$I$25),$I$27,0),0)</f>
        <v>0</v>
      </c>
      <c r="AA219" s="10">
        <f t="shared" ref="AA219:AA251" si="29">IFERROR(IF(AND($P219&gt;=$W$14,$P219&lt;$W$14+$I$25),$I$27,0),0)</f>
        <v>0</v>
      </c>
      <c r="AB219" s="10">
        <f t="shared" ref="AB219:AB251" si="30">IFERROR(IF(AND($P219&gt;=$W$15,$P219&lt;$W$15+$I$25),$I$27,0),0)</f>
        <v>0</v>
      </c>
      <c r="AC219" s="18">
        <f t="shared" ref="AC219:AC251" si="31">IF(Q219&gt;0,$J$27,0)</f>
        <v>0</v>
      </c>
      <c r="AD219" s="18">
        <f>IF(P219&lt;=ConceptDemo!$C$18,AD218+SUM(W219:AB219)-(Q219-Q218)-AC219,0)</f>
        <v>0</v>
      </c>
      <c r="AE219" s="18" t="e">
        <f>IF(ConceptDemo!$C$7=Backend!$A$2,AD219,IF(AE218&lt;&gt;AD218,IF(P219&lt;=ConceptDemo!$C$18,AE218+SUM(W219:AB219)-(Q219-Q218)-AC219,0),IF(P219=ConceptDemo!#REF!,ConceptDemo!#REF!,AD219)))</f>
        <v>#REF!</v>
      </c>
      <c r="AF219" s="18" t="e">
        <f t="shared" si="25"/>
        <v>#REF!</v>
      </c>
      <c r="AG219" s="18" t="e">
        <f t="shared" si="26"/>
        <v>#REF!</v>
      </c>
      <c r="AH219" s="18" t="e">
        <f t="shared" ref="AH219:AH251" si="32">AG219-AF219</f>
        <v>#REF!</v>
      </c>
    </row>
    <row r="220" spans="16:34" x14ac:dyDescent="0.25">
      <c r="P220" s="12" t="str">
        <f>IFERROR(IF(P219+1=ConceptDemo!$C$18+10,"",Backend!P219+1),"")</f>
        <v/>
      </c>
      <c r="Q220" s="10">
        <f>IF(OR(P220&lt;ConceptDemo!$C$17,Backend!P220&gt;ConceptDemo!$C$18),0,IF(Backend!P220&lt;=Backend!$R$12,Backend!Q219+Backend!$T$12,IF(Backend!P220&lt;=Backend!$R$13,Backend!Q219+Backend!$T$13,IF(Backend!P220&lt;=Backend!$R$14,Backend!Q219+Backend!$T$14,IF(Backend!P220&lt;=Backend!$R$15,Backend!Q219+Backend!$T$15,IF(Backend!P220&lt;=Backend!$X$16,Backend!Q219+Backend!$Z$16))))))</f>
        <v>0</v>
      </c>
      <c r="R220" s="19" t="str">
        <f>IF(1&lt;=ConceptDemo!$L$29,IF(P220=$W$12,ConceptDemo!$L$27,""),"")</f>
        <v/>
      </c>
      <c r="S220" s="19" t="str">
        <f>IF(2&lt;=ConceptDemo!$L$29,IF(P220=$W$13,ConceptDemo!$L$27,""),"")</f>
        <v/>
      </c>
      <c r="T220" s="19" t="str">
        <f>IF(3&lt;=ConceptDemo!$L$29,IF(P220=$W$14,ConceptDemo!$L$27,""),"")</f>
        <v/>
      </c>
      <c r="U220" s="19" t="str">
        <f>IF(4&lt;=ConceptDemo!$L$29,IF(P220=$W$15,ConceptDemo!$L$27,""),"")</f>
        <v/>
      </c>
      <c r="W220" s="18">
        <f>IF($P220&lt;ConceptDemo!$C$17+$E$24-10,$G$27,0)</f>
        <v>0</v>
      </c>
      <c r="X220" s="18">
        <f>IF($P220&lt;ConceptDemo!$C$17+$E$24-10,$H$27,0)</f>
        <v>0</v>
      </c>
      <c r="Y220" s="10">
        <f t="shared" si="27"/>
        <v>0</v>
      </c>
      <c r="Z220" s="10">
        <f t="shared" si="28"/>
        <v>0</v>
      </c>
      <c r="AA220" s="10">
        <f t="shared" si="29"/>
        <v>0</v>
      </c>
      <c r="AB220" s="10">
        <f t="shared" si="30"/>
        <v>0</v>
      </c>
      <c r="AC220" s="18">
        <f t="shared" si="31"/>
        <v>0</v>
      </c>
      <c r="AD220" s="18">
        <f>IF(P220&lt;=ConceptDemo!$C$18,AD219+SUM(W220:AB220)-(Q220-Q219)-AC220,0)</f>
        <v>0</v>
      </c>
      <c r="AE220" s="18" t="e">
        <f>IF(ConceptDemo!$C$7=Backend!$A$2,AD220,IF(AE219&lt;&gt;AD219,IF(P220&lt;=ConceptDemo!$C$18,AE219+SUM(W220:AB220)-(Q220-Q219)-AC220,0),IF(P220=ConceptDemo!#REF!,ConceptDemo!#REF!,AD220)))</f>
        <v>#REF!</v>
      </c>
      <c r="AF220" s="18" t="e">
        <f t="shared" ref="AF220:AF251" si="33">IF(AE220=0,0,IF(AE220-(AE220*($AF$22+0.1%))&gt;=AE220-(AE220*$AG$22),AE220-(AE220*$AG$22),AE220-(AE220*($AF$22+0.1%))))</f>
        <v>#REF!</v>
      </c>
      <c r="AG220" s="18" t="e">
        <f t="shared" ref="AG220:AG251" si="34">IF(AE220=0,0,IF(AE220+(AE220*($AF$22+0.1%))&gt;=AE220+(AE220*$AG$22),AE220+(AE220*$AG$22),AE220+(AE220*($AF$22+0.1%))))</f>
        <v>#REF!</v>
      </c>
      <c r="AH220" s="18" t="e">
        <f t="shared" si="32"/>
        <v>#REF!</v>
      </c>
    </row>
    <row r="221" spans="16:34" x14ac:dyDescent="0.25">
      <c r="P221" s="12" t="str">
        <f>IFERROR(IF(P220+1=ConceptDemo!$C$18+10,"",Backend!P220+1),"")</f>
        <v/>
      </c>
      <c r="Q221" s="10">
        <f>IF(OR(P221&lt;ConceptDemo!$C$17,Backend!P221&gt;ConceptDemo!$C$18),0,IF(Backend!P221&lt;=Backend!$R$12,Backend!Q220+Backend!$T$12,IF(Backend!P221&lt;=Backend!$R$13,Backend!Q220+Backend!$T$13,IF(Backend!P221&lt;=Backend!$R$14,Backend!Q220+Backend!$T$14,IF(Backend!P221&lt;=Backend!$R$15,Backend!Q220+Backend!$T$15,IF(Backend!P221&lt;=Backend!$X$16,Backend!Q220+Backend!$Z$16))))))</f>
        <v>0</v>
      </c>
      <c r="R221" s="19" t="str">
        <f>IF(1&lt;=ConceptDemo!$L$29,IF(P221=$W$12,ConceptDemo!$L$27,""),"")</f>
        <v/>
      </c>
      <c r="S221" s="19" t="str">
        <f>IF(2&lt;=ConceptDemo!$L$29,IF(P221=$W$13,ConceptDemo!$L$27,""),"")</f>
        <v/>
      </c>
      <c r="T221" s="19" t="str">
        <f>IF(3&lt;=ConceptDemo!$L$29,IF(P221=$W$14,ConceptDemo!$L$27,""),"")</f>
        <v/>
      </c>
      <c r="U221" s="19" t="str">
        <f>IF(4&lt;=ConceptDemo!$L$29,IF(P221=$W$15,ConceptDemo!$L$27,""),"")</f>
        <v/>
      </c>
      <c r="W221" s="18">
        <f>IF($P221&lt;ConceptDemo!$C$17+$E$24-10,$G$27,0)</f>
        <v>0</v>
      </c>
      <c r="X221" s="18">
        <f>IF($P221&lt;ConceptDemo!$C$17+$E$24-10,$H$27,0)</f>
        <v>0</v>
      </c>
      <c r="Y221" s="10">
        <f t="shared" si="27"/>
        <v>0</v>
      </c>
      <c r="Z221" s="10">
        <f t="shared" si="28"/>
        <v>0</v>
      </c>
      <c r="AA221" s="10">
        <f t="shared" si="29"/>
        <v>0</v>
      </c>
      <c r="AB221" s="10">
        <f t="shared" si="30"/>
        <v>0</v>
      </c>
      <c r="AC221" s="18">
        <f t="shared" si="31"/>
        <v>0</v>
      </c>
      <c r="AD221" s="18">
        <f>IF(P221&lt;=ConceptDemo!$C$18,AD220+SUM(W221:AB221)-(Q221-Q220)-AC221,0)</f>
        <v>0</v>
      </c>
      <c r="AE221" s="18" t="e">
        <f>IF(ConceptDemo!$C$7=Backend!$A$2,AD221,IF(AE220&lt;&gt;AD220,IF(P221&lt;=ConceptDemo!$C$18,AE220+SUM(W221:AB221)-(Q221-Q220)-AC221,0),IF(P221=ConceptDemo!#REF!,ConceptDemo!#REF!,AD221)))</f>
        <v>#REF!</v>
      </c>
      <c r="AF221" s="18" t="e">
        <f t="shared" si="33"/>
        <v>#REF!</v>
      </c>
      <c r="AG221" s="18" t="e">
        <f t="shared" si="34"/>
        <v>#REF!</v>
      </c>
      <c r="AH221" s="18" t="e">
        <f t="shared" si="32"/>
        <v>#REF!</v>
      </c>
    </row>
    <row r="222" spans="16:34" x14ac:dyDescent="0.25">
      <c r="P222" s="12" t="str">
        <f>IFERROR(IF(P221+1=ConceptDemo!$C$18+10,"",Backend!P221+1),"")</f>
        <v/>
      </c>
      <c r="Q222" s="10">
        <f>IF(OR(P222&lt;ConceptDemo!$C$17,Backend!P222&gt;ConceptDemo!$C$18),0,IF(Backend!P222&lt;=Backend!$R$12,Backend!Q221+Backend!$T$12,IF(Backend!P222&lt;=Backend!$R$13,Backend!Q221+Backend!$T$13,IF(Backend!P222&lt;=Backend!$R$14,Backend!Q221+Backend!$T$14,IF(Backend!P222&lt;=Backend!$R$15,Backend!Q221+Backend!$T$15,IF(Backend!P222&lt;=Backend!$X$16,Backend!Q221+Backend!$Z$16))))))</f>
        <v>0</v>
      </c>
      <c r="R222" s="19" t="str">
        <f>IF(1&lt;=ConceptDemo!$L$29,IF(P222=$W$12,ConceptDemo!$L$27,""),"")</f>
        <v/>
      </c>
      <c r="S222" s="19" t="str">
        <f>IF(2&lt;=ConceptDemo!$L$29,IF(P222=$W$13,ConceptDemo!$L$27,""),"")</f>
        <v/>
      </c>
      <c r="T222" s="19" t="str">
        <f>IF(3&lt;=ConceptDemo!$L$29,IF(P222=$W$14,ConceptDemo!$L$27,""),"")</f>
        <v/>
      </c>
      <c r="U222" s="19" t="str">
        <f>IF(4&lt;=ConceptDemo!$L$29,IF(P222=$W$15,ConceptDemo!$L$27,""),"")</f>
        <v/>
      </c>
      <c r="W222" s="18">
        <f>IF($P222&lt;ConceptDemo!$C$17+$E$24-10,$G$27,0)</f>
        <v>0</v>
      </c>
      <c r="X222" s="18">
        <f>IF($P222&lt;ConceptDemo!$C$17+$E$24-10,$H$27,0)</f>
        <v>0</v>
      </c>
      <c r="Y222" s="10">
        <f t="shared" si="27"/>
        <v>0</v>
      </c>
      <c r="Z222" s="10">
        <f t="shared" si="28"/>
        <v>0</v>
      </c>
      <c r="AA222" s="10">
        <f t="shared" si="29"/>
        <v>0</v>
      </c>
      <c r="AB222" s="10">
        <f t="shared" si="30"/>
        <v>0</v>
      </c>
      <c r="AC222" s="18">
        <f t="shared" si="31"/>
        <v>0</v>
      </c>
      <c r="AD222" s="18">
        <f>IF(P222&lt;=ConceptDemo!$C$18,AD221+SUM(W222:AB222)-(Q222-Q221)-AC222,0)</f>
        <v>0</v>
      </c>
      <c r="AE222" s="18" t="e">
        <f>IF(ConceptDemo!$C$7=Backend!$A$2,AD222,IF(AE221&lt;&gt;AD221,IF(P222&lt;=ConceptDemo!$C$18,AE221+SUM(W222:AB222)-(Q222-Q221)-AC222,0),IF(P222=ConceptDemo!#REF!,ConceptDemo!#REF!,AD222)))</f>
        <v>#REF!</v>
      </c>
      <c r="AF222" s="18" t="e">
        <f t="shared" si="33"/>
        <v>#REF!</v>
      </c>
      <c r="AG222" s="18" t="e">
        <f t="shared" si="34"/>
        <v>#REF!</v>
      </c>
      <c r="AH222" s="18" t="e">
        <f t="shared" si="32"/>
        <v>#REF!</v>
      </c>
    </row>
    <row r="223" spans="16:34" x14ac:dyDescent="0.25">
      <c r="P223" s="12" t="str">
        <f>IFERROR(IF(P222+1=ConceptDemo!$C$18+10,"",Backend!P222+1),"")</f>
        <v/>
      </c>
      <c r="Q223" s="10">
        <f>IF(OR(P223&lt;ConceptDemo!$C$17,Backend!P223&gt;ConceptDemo!$C$18),0,IF(Backend!P223&lt;=Backend!$R$12,Backend!Q222+Backend!$T$12,IF(Backend!P223&lt;=Backend!$R$13,Backend!Q222+Backend!$T$13,IF(Backend!P223&lt;=Backend!$R$14,Backend!Q222+Backend!$T$14,IF(Backend!P223&lt;=Backend!$R$15,Backend!Q222+Backend!$T$15,IF(Backend!P223&lt;=Backend!$X$16,Backend!Q222+Backend!$Z$16))))))</f>
        <v>0</v>
      </c>
      <c r="R223" s="19" t="str">
        <f>IF(1&lt;=ConceptDemo!$L$29,IF(P223=$W$12,ConceptDemo!$L$27,""),"")</f>
        <v/>
      </c>
      <c r="S223" s="19" t="str">
        <f>IF(2&lt;=ConceptDemo!$L$29,IF(P223=$W$13,ConceptDemo!$L$27,""),"")</f>
        <v/>
      </c>
      <c r="T223" s="19" t="str">
        <f>IF(3&lt;=ConceptDemo!$L$29,IF(P223=$W$14,ConceptDemo!$L$27,""),"")</f>
        <v/>
      </c>
      <c r="U223" s="19" t="str">
        <f>IF(4&lt;=ConceptDemo!$L$29,IF(P223=$W$15,ConceptDemo!$L$27,""),"")</f>
        <v/>
      </c>
      <c r="W223" s="18">
        <f>IF($P223&lt;ConceptDemo!$C$17+$E$24-10,$G$27,0)</f>
        <v>0</v>
      </c>
      <c r="X223" s="18">
        <f>IF($P223&lt;ConceptDemo!$C$17+$E$24-10,$H$27,0)</f>
        <v>0</v>
      </c>
      <c r="Y223" s="10">
        <f t="shared" si="27"/>
        <v>0</v>
      </c>
      <c r="Z223" s="10">
        <f t="shared" si="28"/>
        <v>0</v>
      </c>
      <c r="AA223" s="10">
        <f t="shared" si="29"/>
        <v>0</v>
      </c>
      <c r="AB223" s="10">
        <f t="shared" si="30"/>
        <v>0</v>
      </c>
      <c r="AC223" s="18">
        <f t="shared" si="31"/>
        <v>0</v>
      </c>
      <c r="AD223" s="18">
        <f>IF(P223&lt;=ConceptDemo!$C$18,AD222+SUM(W223:AB223)-(Q223-Q222)-AC223,0)</f>
        <v>0</v>
      </c>
      <c r="AE223" s="18" t="e">
        <f>IF(ConceptDemo!$C$7=Backend!$A$2,AD223,IF(AE222&lt;&gt;AD222,IF(P223&lt;=ConceptDemo!$C$18,AE222+SUM(W223:AB223)-(Q223-Q222)-AC223,0),IF(P223=ConceptDemo!#REF!,ConceptDemo!#REF!,AD223)))</f>
        <v>#REF!</v>
      </c>
      <c r="AF223" s="18" t="e">
        <f t="shared" si="33"/>
        <v>#REF!</v>
      </c>
      <c r="AG223" s="18" t="e">
        <f t="shared" si="34"/>
        <v>#REF!</v>
      </c>
      <c r="AH223" s="18" t="e">
        <f t="shared" si="32"/>
        <v>#REF!</v>
      </c>
    </row>
    <row r="224" spans="16:34" x14ac:dyDescent="0.25">
      <c r="P224" s="12" t="str">
        <f>IFERROR(IF(P223+1=ConceptDemo!$C$18+10,"",Backend!P223+1),"")</f>
        <v/>
      </c>
      <c r="Q224" s="10">
        <f>IF(OR(P224&lt;ConceptDemo!$C$17,Backend!P224&gt;ConceptDemo!$C$18),0,IF(Backend!P224&lt;=Backend!$R$12,Backend!Q223+Backend!$T$12,IF(Backend!P224&lt;=Backend!$R$13,Backend!Q223+Backend!$T$13,IF(Backend!P224&lt;=Backend!$R$14,Backend!Q223+Backend!$T$14,IF(Backend!P224&lt;=Backend!$R$15,Backend!Q223+Backend!$T$15,IF(Backend!P224&lt;=Backend!$X$16,Backend!Q223+Backend!$Z$16))))))</f>
        <v>0</v>
      </c>
      <c r="R224" s="19" t="str">
        <f>IF(1&lt;=ConceptDemo!$L$29,IF(P224=$W$12,ConceptDemo!$L$27,""),"")</f>
        <v/>
      </c>
      <c r="S224" s="19" t="str">
        <f>IF(2&lt;=ConceptDemo!$L$29,IF(P224=$W$13,ConceptDemo!$L$27,""),"")</f>
        <v/>
      </c>
      <c r="T224" s="19" t="str">
        <f>IF(3&lt;=ConceptDemo!$L$29,IF(P224=$W$14,ConceptDemo!$L$27,""),"")</f>
        <v/>
      </c>
      <c r="U224" s="19" t="str">
        <f>IF(4&lt;=ConceptDemo!$L$29,IF(P224=$W$15,ConceptDemo!$L$27,""),"")</f>
        <v/>
      </c>
      <c r="W224" s="18">
        <f>IF($P224&lt;ConceptDemo!$C$17+$E$24-10,$G$27,0)</f>
        <v>0</v>
      </c>
      <c r="X224" s="18">
        <f>IF($P224&lt;ConceptDemo!$C$17+$E$24-10,$H$27,0)</f>
        <v>0</v>
      </c>
      <c r="Y224" s="10">
        <f t="shared" si="27"/>
        <v>0</v>
      </c>
      <c r="Z224" s="10">
        <f t="shared" si="28"/>
        <v>0</v>
      </c>
      <c r="AA224" s="10">
        <f t="shared" si="29"/>
        <v>0</v>
      </c>
      <c r="AB224" s="10">
        <f t="shared" si="30"/>
        <v>0</v>
      </c>
      <c r="AC224" s="18">
        <f t="shared" si="31"/>
        <v>0</v>
      </c>
      <c r="AD224" s="18">
        <f>IF(P224&lt;=ConceptDemo!$C$18,AD223+SUM(W224:AB224)-(Q224-Q223)-AC224,0)</f>
        <v>0</v>
      </c>
      <c r="AE224" s="18" t="e">
        <f>IF(ConceptDemo!$C$7=Backend!$A$2,AD224,IF(AE223&lt;&gt;AD223,IF(P224&lt;=ConceptDemo!$C$18,AE223+SUM(W224:AB224)-(Q224-Q223)-AC224,0),IF(P224=ConceptDemo!#REF!,ConceptDemo!#REF!,AD224)))</f>
        <v>#REF!</v>
      </c>
      <c r="AF224" s="18" t="e">
        <f t="shared" si="33"/>
        <v>#REF!</v>
      </c>
      <c r="AG224" s="18" t="e">
        <f t="shared" si="34"/>
        <v>#REF!</v>
      </c>
      <c r="AH224" s="18" t="e">
        <f t="shared" si="32"/>
        <v>#REF!</v>
      </c>
    </row>
    <row r="225" spans="16:34" x14ac:dyDescent="0.25">
      <c r="P225" s="12" t="str">
        <f>IFERROR(IF(P224+1=ConceptDemo!$C$18+10,"",Backend!P224+1),"")</f>
        <v/>
      </c>
      <c r="Q225" s="10">
        <f>IF(OR(P225&lt;ConceptDemo!$C$17,Backend!P225&gt;ConceptDemo!$C$18),0,IF(Backend!P225&lt;=Backend!$R$12,Backend!Q224+Backend!$T$12,IF(Backend!P225&lt;=Backend!$R$13,Backend!Q224+Backend!$T$13,IF(Backend!P225&lt;=Backend!$R$14,Backend!Q224+Backend!$T$14,IF(Backend!P225&lt;=Backend!$R$15,Backend!Q224+Backend!$T$15,IF(Backend!P225&lt;=Backend!$X$16,Backend!Q224+Backend!$Z$16))))))</f>
        <v>0</v>
      </c>
      <c r="R225" s="19" t="str">
        <f>IF(1&lt;=ConceptDemo!$L$29,IF(P225=$W$12,ConceptDemo!$L$27,""),"")</f>
        <v/>
      </c>
      <c r="S225" s="19" t="str">
        <f>IF(2&lt;=ConceptDemo!$L$29,IF(P225=$W$13,ConceptDemo!$L$27,""),"")</f>
        <v/>
      </c>
      <c r="T225" s="19" t="str">
        <f>IF(3&lt;=ConceptDemo!$L$29,IF(P225=$W$14,ConceptDemo!$L$27,""),"")</f>
        <v/>
      </c>
      <c r="U225" s="19" t="str">
        <f>IF(4&lt;=ConceptDemo!$L$29,IF(P225=$W$15,ConceptDemo!$L$27,""),"")</f>
        <v/>
      </c>
      <c r="W225" s="18">
        <f>IF($P225&lt;ConceptDemo!$C$17+$E$24-10,$G$27,0)</f>
        <v>0</v>
      </c>
      <c r="X225" s="18">
        <f>IF($P225&lt;ConceptDemo!$C$17+$E$24-10,$H$27,0)</f>
        <v>0</v>
      </c>
      <c r="Y225" s="10">
        <f t="shared" si="27"/>
        <v>0</v>
      </c>
      <c r="Z225" s="10">
        <f t="shared" si="28"/>
        <v>0</v>
      </c>
      <c r="AA225" s="10">
        <f t="shared" si="29"/>
        <v>0</v>
      </c>
      <c r="AB225" s="10">
        <f t="shared" si="30"/>
        <v>0</v>
      </c>
      <c r="AC225" s="18">
        <f t="shared" si="31"/>
        <v>0</v>
      </c>
      <c r="AD225" s="18">
        <f>IF(P225&lt;=ConceptDemo!$C$18,AD224+SUM(W225:AB225)-(Q225-Q224)-AC225,0)</f>
        <v>0</v>
      </c>
      <c r="AE225" s="18" t="e">
        <f>IF(ConceptDemo!$C$7=Backend!$A$2,AD225,IF(AE224&lt;&gt;AD224,IF(P225&lt;=ConceptDemo!$C$18,AE224+SUM(W225:AB225)-(Q225-Q224)-AC225,0),IF(P225=ConceptDemo!#REF!,ConceptDemo!#REF!,AD225)))</f>
        <v>#REF!</v>
      </c>
      <c r="AF225" s="18" t="e">
        <f t="shared" si="33"/>
        <v>#REF!</v>
      </c>
      <c r="AG225" s="18" t="e">
        <f t="shared" si="34"/>
        <v>#REF!</v>
      </c>
      <c r="AH225" s="18" t="e">
        <f t="shared" si="32"/>
        <v>#REF!</v>
      </c>
    </row>
    <row r="226" spans="16:34" x14ac:dyDescent="0.25">
      <c r="P226" s="12" t="str">
        <f>IFERROR(IF(P225+1=ConceptDemo!$C$18+10,"",Backend!P225+1),"")</f>
        <v/>
      </c>
      <c r="Q226" s="10">
        <f>IF(OR(P226&lt;ConceptDemo!$C$17,Backend!P226&gt;ConceptDemo!$C$18),0,IF(Backend!P226&lt;=Backend!$R$12,Backend!Q225+Backend!$T$12,IF(Backend!P226&lt;=Backend!$R$13,Backend!Q225+Backend!$T$13,IF(Backend!P226&lt;=Backend!$R$14,Backend!Q225+Backend!$T$14,IF(Backend!P226&lt;=Backend!$R$15,Backend!Q225+Backend!$T$15,IF(Backend!P226&lt;=Backend!$X$16,Backend!Q225+Backend!$Z$16))))))</f>
        <v>0</v>
      </c>
      <c r="R226" s="19" t="str">
        <f>IF(1&lt;=ConceptDemo!$L$29,IF(P226=$W$12,ConceptDemo!$L$27,""),"")</f>
        <v/>
      </c>
      <c r="S226" s="19" t="str">
        <f>IF(2&lt;=ConceptDemo!$L$29,IF(P226=$W$13,ConceptDemo!$L$27,""),"")</f>
        <v/>
      </c>
      <c r="T226" s="19" t="str">
        <f>IF(3&lt;=ConceptDemo!$L$29,IF(P226=$W$14,ConceptDemo!$L$27,""),"")</f>
        <v/>
      </c>
      <c r="U226" s="19" t="str">
        <f>IF(4&lt;=ConceptDemo!$L$29,IF(P226=$W$15,ConceptDemo!$L$27,""),"")</f>
        <v/>
      </c>
      <c r="W226" s="18">
        <f>IF($P226&lt;ConceptDemo!$C$17+$E$24-10,$G$27,0)</f>
        <v>0</v>
      </c>
      <c r="X226" s="18">
        <f>IF($P226&lt;ConceptDemo!$C$17+$E$24-10,$H$27,0)</f>
        <v>0</v>
      </c>
      <c r="Y226" s="10">
        <f t="shared" si="27"/>
        <v>0</v>
      </c>
      <c r="Z226" s="10">
        <f t="shared" si="28"/>
        <v>0</v>
      </c>
      <c r="AA226" s="10">
        <f t="shared" si="29"/>
        <v>0</v>
      </c>
      <c r="AB226" s="10">
        <f t="shared" si="30"/>
        <v>0</v>
      </c>
      <c r="AC226" s="18">
        <f t="shared" si="31"/>
        <v>0</v>
      </c>
      <c r="AD226" s="18">
        <f>IF(P226&lt;=ConceptDemo!$C$18,AD225+SUM(W226:AB226)-(Q226-Q225)-AC226,0)</f>
        <v>0</v>
      </c>
      <c r="AE226" s="18" t="e">
        <f>IF(ConceptDemo!$C$7=Backend!$A$2,AD226,IF(AE225&lt;&gt;AD225,IF(P226&lt;=ConceptDemo!$C$18,AE225+SUM(W226:AB226)-(Q226-Q225)-AC226,0),IF(P226=ConceptDemo!#REF!,ConceptDemo!#REF!,AD226)))</f>
        <v>#REF!</v>
      </c>
      <c r="AF226" s="18" t="e">
        <f t="shared" si="33"/>
        <v>#REF!</v>
      </c>
      <c r="AG226" s="18" t="e">
        <f t="shared" si="34"/>
        <v>#REF!</v>
      </c>
      <c r="AH226" s="18" t="e">
        <f t="shared" si="32"/>
        <v>#REF!</v>
      </c>
    </row>
    <row r="227" spans="16:34" x14ac:dyDescent="0.25">
      <c r="P227" s="12" t="str">
        <f>IFERROR(IF(P226+1=ConceptDemo!$C$18+10,"",Backend!P226+1),"")</f>
        <v/>
      </c>
      <c r="Q227" s="10">
        <f>IF(OR(P227&lt;ConceptDemo!$C$17,Backend!P227&gt;ConceptDemo!$C$18),0,IF(Backend!P227&lt;=Backend!$R$12,Backend!Q226+Backend!$T$12,IF(Backend!P227&lt;=Backend!$R$13,Backend!Q226+Backend!$T$13,IF(Backend!P227&lt;=Backend!$R$14,Backend!Q226+Backend!$T$14,IF(Backend!P227&lt;=Backend!$R$15,Backend!Q226+Backend!$T$15,IF(Backend!P227&lt;=Backend!$X$16,Backend!Q226+Backend!$Z$16))))))</f>
        <v>0</v>
      </c>
      <c r="R227" s="19" t="str">
        <f>IF(1&lt;=ConceptDemo!$L$29,IF(P227=$W$12,ConceptDemo!$L$27,""),"")</f>
        <v/>
      </c>
      <c r="S227" s="19" t="str">
        <f>IF(2&lt;=ConceptDemo!$L$29,IF(P227=$W$13,ConceptDemo!$L$27,""),"")</f>
        <v/>
      </c>
      <c r="T227" s="19" t="str">
        <f>IF(3&lt;=ConceptDemo!$L$29,IF(P227=$W$14,ConceptDemo!$L$27,""),"")</f>
        <v/>
      </c>
      <c r="U227" s="19" t="str">
        <f>IF(4&lt;=ConceptDemo!$L$29,IF(P227=$W$15,ConceptDemo!$L$27,""),"")</f>
        <v/>
      </c>
      <c r="W227" s="18">
        <f>IF($P227&lt;ConceptDemo!$C$17+$E$24-10,$G$27,0)</f>
        <v>0</v>
      </c>
      <c r="X227" s="18">
        <f>IF($P227&lt;ConceptDemo!$C$17+$E$24-10,$H$27,0)</f>
        <v>0</v>
      </c>
      <c r="Y227" s="10">
        <f t="shared" si="27"/>
        <v>0</v>
      </c>
      <c r="Z227" s="10">
        <f t="shared" si="28"/>
        <v>0</v>
      </c>
      <c r="AA227" s="10">
        <f t="shared" si="29"/>
        <v>0</v>
      </c>
      <c r="AB227" s="10">
        <f t="shared" si="30"/>
        <v>0</v>
      </c>
      <c r="AC227" s="18">
        <f t="shared" si="31"/>
        <v>0</v>
      </c>
      <c r="AD227" s="18">
        <f>IF(P227&lt;=ConceptDemo!$C$18,AD226+SUM(W227:AB227)-(Q227-Q226)-AC227,0)</f>
        <v>0</v>
      </c>
      <c r="AE227" s="18" t="e">
        <f>IF(ConceptDemo!$C$7=Backend!$A$2,AD227,IF(AE226&lt;&gt;AD226,IF(P227&lt;=ConceptDemo!$C$18,AE226+SUM(W227:AB227)-(Q227-Q226)-AC227,0),IF(P227=ConceptDemo!#REF!,ConceptDemo!#REF!,AD227)))</f>
        <v>#REF!</v>
      </c>
      <c r="AF227" s="18" t="e">
        <f t="shared" si="33"/>
        <v>#REF!</v>
      </c>
      <c r="AG227" s="18" t="e">
        <f t="shared" si="34"/>
        <v>#REF!</v>
      </c>
      <c r="AH227" s="18" t="e">
        <f t="shared" si="32"/>
        <v>#REF!</v>
      </c>
    </row>
    <row r="228" spans="16:34" x14ac:dyDescent="0.25">
      <c r="P228" s="12" t="str">
        <f>IFERROR(IF(P227+1=ConceptDemo!$C$18+10,"",Backend!P227+1),"")</f>
        <v/>
      </c>
      <c r="Q228" s="10">
        <f>IF(OR(P228&lt;ConceptDemo!$C$17,Backend!P228&gt;ConceptDemo!$C$18),0,IF(Backend!P228&lt;=Backend!$R$12,Backend!Q227+Backend!$T$12,IF(Backend!P228&lt;=Backend!$R$13,Backend!Q227+Backend!$T$13,IF(Backend!P228&lt;=Backend!$R$14,Backend!Q227+Backend!$T$14,IF(Backend!P228&lt;=Backend!$R$15,Backend!Q227+Backend!$T$15,IF(Backend!P228&lt;=Backend!$X$16,Backend!Q227+Backend!$Z$16))))))</f>
        <v>0</v>
      </c>
      <c r="R228" s="19" t="str">
        <f>IF(1&lt;=ConceptDemo!$L$29,IF(P228=$W$12,ConceptDemo!$L$27,""),"")</f>
        <v/>
      </c>
      <c r="S228" s="19" t="str">
        <f>IF(2&lt;=ConceptDemo!$L$29,IF(P228=$W$13,ConceptDemo!$L$27,""),"")</f>
        <v/>
      </c>
      <c r="T228" s="19" t="str">
        <f>IF(3&lt;=ConceptDemo!$L$29,IF(P228=$W$14,ConceptDemo!$L$27,""),"")</f>
        <v/>
      </c>
      <c r="U228" s="19" t="str">
        <f>IF(4&lt;=ConceptDemo!$L$29,IF(P228=$W$15,ConceptDemo!$L$27,""),"")</f>
        <v/>
      </c>
      <c r="W228" s="18">
        <f>IF($P228&lt;ConceptDemo!$C$17+$E$24-10,$G$27,0)</f>
        <v>0</v>
      </c>
      <c r="X228" s="18">
        <f>IF($P228&lt;ConceptDemo!$C$17+$E$24-10,$H$27,0)</f>
        <v>0</v>
      </c>
      <c r="Y228" s="10">
        <f t="shared" si="27"/>
        <v>0</v>
      </c>
      <c r="Z228" s="10">
        <f t="shared" si="28"/>
        <v>0</v>
      </c>
      <c r="AA228" s="10">
        <f t="shared" si="29"/>
        <v>0</v>
      </c>
      <c r="AB228" s="10">
        <f t="shared" si="30"/>
        <v>0</v>
      </c>
      <c r="AC228" s="18">
        <f t="shared" si="31"/>
        <v>0</v>
      </c>
      <c r="AD228" s="18">
        <f>IF(P228&lt;=ConceptDemo!$C$18,AD227+SUM(W228:AB228)-(Q228-Q227)-AC228,0)</f>
        <v>0</v>
      </c>
      <c r="AE228" s="18" t="e">
        <f>IF(ConceptDemo!$C$7=Backend!$A$2,AD228,IF(AE227&lt;&gt;AD227,IF(P228&lt;=ConceptDemo!$C$18,AE227+SUM(W228:AB228)-(Q228-Q227)-AC228,0),IF(P228=ConceptDemo!#REF!,ConceptDemo!#REF!,AD228)))</f>
        <v>#REF!</v>
      </c>
      <c r="AF228" s="18" t="e">
        <f t="shared" si="33"/>
        <v>#REF!</v>
      </c>
      <c r="AG228" s="18" t="e">
        <f t="shared" si="34"/>
        <v>#REF!</v>
      </c>
      <c r="AH228" s="18" t="e">
        <f t="shared" si="32"/>
        <v>#REF!</v>
      </c>
    </row>
    <row r="229" spans="16:34" x14ac:dyDescent="0.25">
      <c r="P229" s="12" t="str">
        <f>IFERROR(IF(P228+1=ConceptDemo!$C$18+10,"",Backend!P228+1),"")</f>
        <v/>
      </c>
      <c r="Q229" s="10">
        <f>IF(OR(P229&lt;ConceptDemo!$C$17,Backend!P229&gt;ConceptDemo!$C$18),0,IF(Backend!P229&lt;=Backend!$R$12,Backend!Q228+Backend!$T$12,IF(Backend!P229&lt;=Backend!$R$13,Backend!Q228+Backend!$T$13,IF(Backend!P229&lt;=Backend!$R$14,Backend!Q228+Backend!$T$14,IF(Backend!P229&lt;=Backend!$R$15,Backend!Q228+Backend!$T$15,IF(Backend!P229&lt;=Backend!$X$16,Backend!Q228+Backend!$Z$16))))))</f>
        <v>0</v>
      </c>
      <c r="R229" s="19" t="str">
        <f>IF(1&lt;=ConceptDemo!$L$29,IF(P229=$W$12,ConceptDemo!$L$27,""),"")</f>
        <v/>
      </c>
      <c r="S229" s="19" t="str">
        <f>IF(2&lt;=ConceptDemo!$L$29,IF(P229=$W$13,ConceptDemo!$L$27,""),"")</f>
        <v/>
      </c>
      <c r="T229" s="19" t="str">
        <f>IF(3&lt;=ConceptDemo!$L$29,IF(P229=$W$14,ConceptDemo!$L$27,""),"")</f>
        <v/>
      </c>
      <c r="U229" s="19" t="str">
        <f>IF(4&lt;=ConceptDemo!$L$29,IF(P229=$W$15,ConceptDemo!$L$27,""),"")</f>
        <v/>
      </c>
      <c r="W229" s="18">
        <f>IF($P229&lt;ConceptDemo!$C$17+$E$24-10,$G$27,0)</f>
        <v>0</v>
      </c>
      <c r="X229" s="18">
        <f>IF($P229&lt;ConceptDemo!$C$17+$E$24-10,$H$27,0)</f>
        <v>0</v>
      </c>
      <c r="Y229" s="10">
        <f t="shared" si="27"/>
        <v>0</v>
      </c>
      <c r="Z229" s="10">
        <f t="shared" si="28"/>
        <v>0</v>
      </c>
      <c r="AA229" s="10">
        <f t="shared" si="29"/>
        <v>0</v>
      </c>
      <c r="AB229" s="10">
        <f t="shared" si="30"/>
        <v>0</v>
      </c>
      <c r="AC229" s="18">
        <f t="shared" si="31"/>
        <v>0</v>
      </c>
      <c r="AD229" s="18">
        <f>IF(P229&lt;=ConceptDemo!$C$18,AD228+SUM(W229:AB229)-(Q229-Q228)-AC229,0)</f>
        <v>0</v>
      </c>
      <c r="AE229" s="18" t="e">
        <f>IF(ConceptDemo!$C$7=Backend!$A$2,AD229,IF(AE228&lt;&gt;AD228,IF(P229&lt;=ConceptDemo!$C$18,AE228+SUM(W229:AB229)-(Q229-Q228)-AC229,0),IF(P229=ConceptDemo!#REF!,ConceptDemo!#REF!,AD229)))</f>
        <v>#REF!</v>
      </c>
      <c r="AF229" s="18" t="e">
        <f t="shared" si="33"/>
        <v>#REF!</v>
      </c>
      <c r="AG229" s="18" t="e">
        <f t="shared" si="34"/>
        <v>#REF!</v>
      </c>
      <c r="AH229" s="18" t="e">
        <f t="shared" si="32"/>
        <v>#REF!</v>
      </c>
    </row>
    <row r="230" spans="16:34" x14ac:dyDescent="0.25">
      <c r="P230" s="12" t="str">
        <f>IFERROR(IF(P229+1=ConceptDemo!$C$18+10,"",Backend!P229+1),"")</f>
        <v/>
      </c>
      <c r="Q230" s="10">
        <f>IF(OR(P230&lt;ConceptDemo!$C$17,Backend!P230&gt;ConceptDemo!$C$18),0,IF(Backend!P230&lt;=Backend!$R$12,Backend!Q229+Backend!$T$12,IF(Backend!P230&lt;=Backend!$R$13,Backend!Q229+Backend!$T$13,IF(Backend!P230&lt;=Backend!$R$14,Backend!Q229+Backend!$T$14,IF(Backend!P230&lt;=Backend!$R$15,Backend!Q229+Backend!$T$15,IF(Backend!P230&lt;=Backend!$X$16,Backend!Q229+Backend!$Z$16))))))</f>
        <v>0</v>
      </c>
      <c r="R230" s="19" t="str">
        <f>IF(1&lt;=ConceptDemo!$L$29,IF(P230=$W$12,ConceptDemo!$L$27,""),"")</f>
        <v/>
      </c>
      <c r="S230" s="19" t="str">
        <f>IF(2&lt;=ConceptDemo!$L$29,IF(P230=$W$13,ConceptDemo!$L$27,""),"")</f>
        <v/>
      </c>
      <c r="T230" s="19" t="str">
        <f>IF(3&lt;=ConceptDemo!$L$29,IF(P230=$W$14,ConceptDemo!$L$27,""),"")</f>
        <v/>
      </c>
      <c r="U230" s="19" t="str">
        <f>IF(4&lt;=ConceptDemo!$L$29,IF(P230=$W$15,ConceptDemo!$L$27,""),"")</f>
        <v/>
      </c>
      <c r="W230" s="18">
        <f>IF($P230&lt;ConceptDemo!$C$17+$E$24-10,$G$27,0)</f>
        <v>0</v>
      </c>
      <c r="X230" s="18">
        <f>IF($P230&lt;ConceptDemo!$C$17+$E$24-10,$H$27,0)</f>
        <v>0</v>
      </c>
      <c r="Y230" s="10">
        <f t="shared" si="27"/>
        <v>0</v>
      </c>
      <c r="Z230" s="10">
        <f t="shared" si="28"/>
        <v>0</v>
      </c>
      <c r="AA230" s="10">
        <f t="shared" si="29"/>
        <v>0</v>
      </c>
      <c r="AB230" s="10">
        <f t="shared" si="30"/>
        <v>0</v>
      </c>
      <c r="AC230" s="18">
        <f t="shared" si="31"/>
        <v>0</v>
      </c>
      <c r="AD230" s="18">
        <f>IF(P230&lt;=ConceptDemo!$C$18,AD229+SUM(W230:AB230)-(Q230-Q229)-AC230,0)</f>
        <v>0</v>
      </c>
      <c r="AE230" s="18" t="e">
        <f>IF(ConceptDemo!$C$7=Backend!$A$2,AD230,IF(AE229&lt;&gt;AD229,IF(P230&lt;=ConceptDemo!$C$18,AE229+SUM(W230:AB230)-(Q230-Q229)-AC230,0),IF(P230=ConceptDemo!#REF!,ConceptDemo!#REF!,AD230)))</f>
        <v>#REF!</v>
      </c>
      <c r="AF230" s="18" t="e">
        <f t="shared" si="33"/>
        <v>#REF!</v>
      </c>
      <c r="AG230" s="18" t="e">
        <f t="shared" si="34"/>
        <v>#REF!</v>
      </c>
      <c r="AH230" s="18" t="e">
        <f t="shared" si="32"/>
        <v>#REF!</v>
      </c>
    </row>
    <row r="231" spans="16:34" x14ac:dyDescent="0.25">
      <c r="P231" s="12" t="str">
        <f>IFERROR(IF(P230+1=ConceptDemo!$C$18+10,"",Backend!P230+1),"")</f>
        <v/>
      </c>
      <c r="Q231" s="10">
        <f>IF(OR(P231&lt;ConceptDemo!$C$17,Backend!P231&gt;ConceptDemo!$C$18),0,IF(Backend!P231&lt;=Backend!$R$12,Backend!Q230+Backend!$T$12,IF(Backend!P231&lt;=Backend!$R$13,Backend!Q230+Backend!$T$13,IF(Backend!P231&lt;=Backend!$R$14,Backend!Q230+Backend!$T$14,IF(Backend!P231&lt;=Backend!$R$15,Backend!Q230+Backend!$T$15,IF(Backend!P231&lt;=Backend!$X$16,Backend!Q230+Backend!$Z$16))))))</f>
        <v>0</v>
      </c>
      <c r="R231" s="19" t="str">
        <f>IF(1&lt;=ConceptDemo!$L$29,IF(P231=$W$12,ConceptDemo!$L$27,""),"")</f>
        <v/>
      </c>
      <c r="S231" s="19" t="str">
        <f>IF(2&lt;=ConceptDemo!$L$29,IF(P231=$W$13,ConceptDemo!$L$27,""),"")</f>
        <v/>
      </c>
      <c r="T231" s="19" t="str">
        <f>IF(3&lt;=ConceptDemo!$L$29,IF(P231=$W$14,ConceptDemo!$L$27,""),"")</f>
        <v/>
      </c>
      <c r="U231" s="19" t="str">
        <f>IF(4&lt;=ConceptDemo!$L$29,IF(P231=$W$15,ConceptDemo!$L$27,""),"")</f>
        <v/>
      </c>
      <c r="W231" s="18">
        <f>IF($P231&lt;ConceptDemo!$C$17+$E$24-10,$G$27,0)</f>
        <v>0</v>
      </c>
      <c r="X231" s="18">
        <f>IF($P231&lt;ConceptDemo!$C$17+$E$24-10,$H$27,0)</f>
        <v>0</v>
      </c>
      <c r="Y231" s="10">
        <f t="shared" si="27"/>
        <v>0</v>
      </c>
      <c r="Z231" s="10">
        <f t="shared" si="28"/>
        <v>0</v>
      </c>
      <c r="AA231" s="10">
        <f t="shared" si="29"/>
        <v>0</v>
      </c>
      <c r="AB231" s="10">
        <f t="shared" si="30"/>
        <v>0</v>
      </c>
      <c r="AC231" s="18">
        <f t="shared" si="31"/>
        <v>0</v>
      </c>
      <c r="AD231" s="18">
        <f>IF(P231&lt;=ConceptDemo!$C$18,AD230+SUM(W231:AB231)-(Q231-Q230)-AC231,0)</f>
        <v>0</v>
      </c>
      <c r="AE231" s="18" t="e">
        <f>IF(ConceptDemo!$C$7=Backend!$A$2,AD231,IF(AE230&lt;&gt;AD230,IF(P231&lt;=ConceptDemo!$C$18,AE230+SUM(W231:AB231)-(Q231-Q230)-AC231,0),IF(P231=ConceptDemo!#REF!,ConceptDemo!#REF!,AD231)))</f>
        <v>#REF!</v>
      </c>
      <c r="AF231" s="18" t="e">
        <f t="shared" si="33"/>
        <v>#REF!</v>
      </c>
      <c r="AG231" s="18" t="e">
        <f t="shared" si="34"/>
        <v>#REF!</v>
      </c>
      <c r="AH231" s="18" t="e">
        <f t="shared" si="32"/>
        <v>#REF!</v>
      </c>
    </row>
    <row r="232" spans="16:34" x14ac:dyDescent="0.25">
      <c r="P232" s="12" t="str">
        <f>IFERROR(IF(P231+1=ConceptDemo!$C$18+10,"",Backend!P231+1),"")</f>
        <v/>
      </c>
      <c r="Q232" s="10">
        <f>IF(OR(P232&lt;ConceptDemo!$C$17,Backend!P232&gt;ConceptDemo!$C$18),0,IF(Backend!P232&lt;=Backend!$R$12,Backend!Q231+Backend!$T$12,IF(Backend!P232&lt;=Backend!$R$13,Backend!Q231+Backend!$T$13,IF(Backend!P232&lt;=Backend!$R$14,Backend!Q231+Backend!$T$14,IF(Backend!P232&lt;=Backend!$R$15,Backend!Q231+Backend!$T$15,IF(Backend!P232&lt;=Backend!$X$16,Backend!Q231+Backend!$Z$16))))))</f>
        <v>0</v>
      </c>
      <c r="R232" s="19" t="str">
        <f>IF(1&lt;=ConceptDemo!$L$29,IF(P232=$W$12,ConceptDemo!$L$27,""),"")</f>
        <v/>
      </c>
      <c r="S232" s="19" t="str">
        <f>IF(2&lt;=ConceptDemo!$L$29,IF(P232=$W$13,ConceptDemo!$L$27,""),"")</f>
        <v/>
      </c>
      <c r="T232" s="19" t="str">
        <f>IF(3&lt;=ConceptDemo!$L$29,IF(P232=$W$14,ConceptDemo!$L$27,""),"")</f>
        <v/>
      </c>
      <c r="U232" s="19" t="str">
        <f>IF(4&lt;=ConceptDemo!$L$29,IF(P232=$W$15,ConceptDemo!$L$27,""),"")</f>
        <v/>
      </c>
      <c r="W232" s="18">
        <f>IF($P232&lt;ConceptDemo!$C$17+$E$24-10,$G$27,0)</f>
        <v>0</v>
      </c>
      <c r="X232" s="18">
        <f>IF($P232&lt;ConceptDemo!$C$17+$E$24-10,$H$27,0)</f>
        <v>0</v>
      </c>
      <c r="Y232" s="10">
        <f t="shared" si="27"/>
        <v>0</v>
      </c>
      <c r="Z232" s="10">
        <f t="shared" si="28"/>
        <v>0</v>
      </c>
      <c r="AA232" s="10">
        <f t="shared" si="29"/>
        <v>0</v>
      </c>
      <c r="AB232" s="10">
        <f t="shared" si="30"/>
        <v>0</v>
      </c>
      <c r="AC232" s="18">
        <f t="shared" si="31"/>
        <v>0</v>
      </c>
      <c r="AD232" s="18">
        <f>IF(P232&lt;=ConceptDemo!$C$18,AD231+SUM(W232:AB232)-(Q232-Q231)-AC232,0)</f>
        <v>0</v>
      </c>
      <c r="AE232" s="18" t="e">
        <f>IF(ConceptDemo!$C$7=Backend!$A$2,AD232,IF(AE231&lt;&gt;AD231,IF(P232&lt;=ConceptDemo!$C$18,AE231+SUM(W232:AB232)-(Q232-Q231)-AC232,0),IF(P232=ConceptDemo!#REF!,ConceptDemo!#REF!,AD232)))</f>
        <v>#REF!</v>
      </c>
      <c r="AF232" s="18" t="e">
        <f t="shared" si="33"/>
        <v>#REF!</v>
      </c>
      <c r="AG232" s="18" t="e">
        <f t="shared" si="34"/>
        <v>#REF!</v>
      </c>
      <c r="AH232" s="18" t="e">
        <f t="shared" si="32"/>
        <v>#REF!</v>
      </c>
    </row>
    <row r="233" spans="16:34" x14ac:dyDescent="0.25">
      <c r="P233" s="12" t="str">
        <f>IFERROR(IF(P232+1=ConceptDemo!$C$18+10,"",Backend!P232+1),"")</f>
        <v/>
      </c>
      <c r="Q233" s="10">
        <f>IF(OR(P233&lt;ConceptDemo!$C$17,Backend!P233&gt;ConceptDemo!$C$18),0,IF(Backend!P233&lt;=Backend!$R$12,Backend!Q232+Backend!$T$12,IF(Backend!P233&lt;=Backend!$R$13,Backend!Q232+Backend!$T$13,IF(Backend!P233&lt;=Backend!$R$14,Backend!Q232+Backend!$T$14,IF(Backend!P233&lt;=Backend!$R$15,Backend!Q232+Backend!$T$15,IF(Backend!P233&lt;=Backend!$X$16,Backend!Q232+Backend!$Z$16))))))</f>
        <v>0</v>
      </c>
      <c r="R233" s="19" t="str">
        <f>IF(1&lt;=ConceptDemo!$L$29,IF(P233=$W$12,ConceptDemo!$L$27,""),"")</f>
        <v/>
      </c>
      <c r="S233" s="19" t="str">
        <f>IF(2&lt;=ConceptDemo!$L$29,IF(P233=$W$13,ConceptDemo!$L$27,""),"")</f>
        <v/>
      </c>
      <c r="T233" s="19" t="str">
        <f>IF(3&lt;=ConceptDemo!$L$29,IF(P233=$W$14,ConceptDemo!$L$27,""),"")</f>
        <v/>
      </c>
      <c r="U233" s="19" t="str">
        <f>IF(4&lt;=ConceptDemo!$L$29,IF(P233=$W$15,ConceptDemo!$L$27,""),"")</f>
        <v/>
      </c>
      <c r="W233" s="18">
        <f>IF($P233&lt;ConceptDemo!$C$17+$E$24-10,$G$27,0)</f>
        <v>0</v>
      </c>
      <c r="X233" s="18">
        <f>IF($P233&lt;ConceptDemo!$C$17+$E$24-10,$H$27,0)</f>
        <v>0</v>
      </c>
      <c r="Y233" s="10">
        <f t="shared" si="27"/>
        <v>0</v>
      </c>
      <c r="Z233" s="10">
        <f t="shared" si="28"/>
        <v>0</v>
      </c>
      <c r="AA233" s="10">
        <f t="shared" si="29"/>
        <v>0</v>
      </c>
      <c r="AB233" s="10">
        <f t="shared" si="30"/>
        <v>0</v>
      </c>
      <c r="AC233" s="18">
        <f t="shared" si="31"/>
        <v>0</v>
      </c>
      <c r="AD233" s="18">
        <f>IF(P233&lt;=ConceptDemo!$C$18,AD232+SUM(W233:AB233)-(Q233-Q232)-AC233,0)</f>
        <v>0</v>
      </c>
      <c r="AE233" s="18" t="e">
        <f>IF(ConceptDemo!$C$7=Backend!$A$2,AD233,IF(AE232&lt;&gt;AD232,IF(P233&lt;=ConceptDemo!$C$18,AE232+SUM(W233:AB233)-(Q233-Q232)-AC233,0),IF(P233=ConceptDemo!#REF!,ConceptDemo!#REF!,AD233)))</f>
        <v>#REF!</v>
      </c>
      <c r="AF233" s="18" t="e">
        <f t="shared" si="33"/>
        <v>#REF!</v>
      </c>
      <c r="AG233" s="18" t="e">
        <f t="shared" si="34"/>
        <v>#REF!</v>
      </c>
      <c r="AH233" s="18" t="e">
        <f t="shared" si="32"/>
        <v>#REF!</v>
      </c>
    </row>
    <row r="234" spans="16:34" x14ac:dyDescent="0.25">
      <c r="P234" s="12" t="str">
        <f>IFERROR(IF(P233+1=ConceptDemo!$C$18+10,"",Backend!P233+1),"")</f>
        <v/>
      </c>
      <c r="Q234" s="10">
        <f>IF(OR(P234&lt;ConceptDemo!$C$17,Backend!P234&gt;ConceptDemo!$C$18),0,IF(Backend!P234&lt;=Backend!$R$12,Backend!Q233+Backend!$T$12,IF(Backend!P234&lt;=Backend!$R$13,Backend!Q233+Backend!$T$13,IF(Backend!P234&lt;=Backend!$R$14,Backend!Q233+Backend!$T$14,IF(Backend!P234&lt;=Backend!$R$15,Backend!Q233+Backend!$T$15,IF(Backend!P234&lt;=Backend!$X$16,Backend!Q233+Backend!$Z$16))))))</f>
        <v>0</v>
      </c>
      <c r="R234" s="19" t="str">
        <f>IF(1&lt;=ConceptDemo!$L$29,IF(P234=$W$12,ConceptDemo!$L$27,""),"")</f>
        <v/>
      </c>
      <c r="S234" s="19" t="str">
        <f>IF(2&lt;=ConceptDemo!$L$29,IF(P234=$W$13,ConceptDemo!$L$27,""),"")</f>
        <v/>
      </c>
      <c r="T234" s="19" t="str">
        <f>IF(3&lt;=ConceptDemo!$L$29,IF(P234=$W$14,ConceptDemo!$L$27,""),"")</f>
        <v/>
      </c>
      <c r="U234" s="19" t="str">
        <f>IF(4&lt;=ConceptDemo!$L$29,IF(P234=$W$15,ConceptDemo!$L$27,""),"")</f>
        <v/>
      </c>
      <c r="W234" s="18">
        <f>IF($P234&lt;ConceptDemo!$C$17+$E$24-10,$G$27,0)</f>
        <v>0</v>
      </c>
      <c r="X234" s="18">
        <f>IF($P234&lt;ConceptDemo!$C$17+$E$24-10,$H$27,0)</f>
        <v>0</v>
      </c>
      <c r="Y234" s="10">
        <f t="shared" si="27"/>
        <v>0</v>
      </c>
      <c r="Z234" s="10">
        <f t="shared" si="28"/>
        <v>0</v>
      </c>
      <c r="AA234" s="10">
        <f t="shared" si="29"/>
        <v>0</v>
      </c>
      <c r="AB234" s="10">
        <f t="shared" si="30"/>
        <v>0</v>
      </c>
      <c r="AC234" s="18">
        <f t="shared" si="31"/>
        <v>0</v>
      </c>
      <c r="AD234" s="18">
        <f>IF(P234&lt;=ConceptDemo!$C$18,AD233+SUM(W234:AB234)-(Q234-Q233)-AC234,0)</f>
        <v>0</v>
      </c>
      <c r="AE234" s="18" t="e">
        <f>IF(ConceptDemo!$C$7=Backend!$A$2,AD234,IF(AE233&lt;&gt;AD233,IF(P234&lt;=ConceptDemo!$C$18,AE233+SUM(W234:AB234)-(Q234-Q233)-AC234,0),IF(P234=ConceptDemo!#REF!,ConceptDemo!#REF!,AD234)))</f>
        <v>#REF!</v>
      </c>
      <c r="AF234" s="18" t="e">
        <f t="shared" si="33"/>
        <v>#REF!</v>
      </c>
      <c r="AG234" s="18" t="e">
        <f t="shared" si="34"/>
        <v>#REF!</v>
      </c>
      <c r="AH234" s="18" t="e">
        <f t="shared" si="32"/>
        <v>#REF!</v>
      </c>
    </row>
    <row r="235" spans="16:34" x14ac:dyDescent="0.25">
      <c r="P235" s="12" t="str">
        <f>IFERROR(IF(P234+1=ConceptDemo!$C$18+10,"",Backend!P234+1),"")</f>
        <v/>
      </c>
      <c r="Q235" s="10">
        <f>IF(OR(P235&lt;ConceptDemo!$C$17,Backend!P235&gt;ConceptDemo!$C$18),0,IF(Backend!P235&lt;=Backend!$R$12,Backend!Q234+Backend!$T$12,IF(Backend!P235&lt;=Backend!$R$13,Backend!Q234+Backend!$T$13,IF(Backend!P235&lt;=Backend!$R$14,Backend!Q234+Backend!$T$14,IF(Backend!P235&lt;=Backend!$R$15,Backend!Q234+Backend!$T$15,IF(Backend!P235&lt;=Backend!$X$16,Backend!Q234+Backend!$Z$16))))))</f>
        <v>0</v>
      </c>
      <c r="R235" s="19" t="str">
        <f>IF(1&lt;=ConceptDemo!$L$29,IF(P235=$W$12,ConceptDemo!$L$27,""),"")</f>
        <v/>
      </c>
      <c r="S235" s="19" t="str">
        <f>IF(2&lt;=ConceptDemo!$L$29,IF(P235=$W$13,ConceptDemo!$L$27,""),"")</f>
        <v/>
      </c>
      <c r="T235" s="19" t="str">
        <f>IF(3&lt;=ConceptDemo!$L$29,IF(P235=$W$14,ConceptDemo!$L$27,""),"")</f>
        <v/>
      </c>
      <c r="U235" s="19" t="str">
        <f>IF(4&lt;=ConceptDemo!$L$29,IF(P235=$W$15,ConceptDemo!$L$27,""),"")</f>
        <v/>
      </c>
      <c r="W235" s="18">
        <f>IF($P235&lt;ConceptDemo!$C$17+$E$24-10,$G$27,0)</f>
        <v>0</v>
      </c>
      <c r="X235" s="18">
        <f>IF($P235&lt;ConceptDemo!$C$17+$E$24-10,$H$27,0)</f>
        <v>0</v>
      </c>
      <c r="Y235" s="10">
        <f t="shared" si="27"/>
        <v>0</v>
      </c>
      <c r="Z235" s="10">
        <f t="shared" si="28"/>
        <v>0</v>
      </c>
      <c r="AA235" s="10">
        <f t="shared" si="29"/>
        <v>0</v>
      </c>
      <c r="AB235" s="10">
        <f t="shared" si="30"/>
        <v>0</v>
      </c>
      <c r="AC235" s="18">
        <f t="shared" si="31"/>
        <v>0</v>
      </c>
      <c r="AD235" s="18">
        <f>IF(P235&lt;=ConceptDemo!$C$18,AD234+SUM(W235:AB235)-(Q235-Q234)-AC235,0)</f>
        <v>0</v>
      </c>
      <c r="AE235" s="18" t="e">
        <f>IF(ConceptDemo!$C$7=Backend!$A$2,AD235,IF(AE234&lt;&gt;AD234,IF(P235&lt;=ConceptDemo!$C$18,AE234+SUM(W235:AB235)-(Q235-Q234)-AC235,0),IF(P235=ConceptDemo!#REF!,ConceptDemo!#REF!,AD235)))</f>
        <v>#REF!</v>
      </c>
      <c r="AF235" s="18" t="e">
        <f t="shared" si="33"/>
        <v>#REF!</v>
      </c>
      <c r="AG235" s="18" t="e">
        <f t="shared" si="34"/>
        <v>#REF!</v>
      </c>
      <c r="AH235" s="18" t="e">
        <f t="shared" si="32"/>
        <v>#REF!</v>
      </c>
    </row>
    <row r="236" spans="16:34" x14ac:dyDescent="0.25">
      <c r="P236" s="12" t="str">
        <f>IFERROR(IF(P235+1=ConceptDemo!$C$18+10,"",Backend!P235+1),"")</f>
        <v/>
      </c>
      <c r="Q236" s="10">
        <f>IF(OR(P236&lt;ConceptDemo!$C$17,Backend!P236&gt;ConceptDemo!$C$18),0,IF(Backend!P236&lt;=Backend!$R$12,Backend!Q235+Backend!$T$12,IF(Backend!P236&lt;=Backend!$R$13,Backend!Q235+Backend!$T$13,IF(Backend!P236&lt;=Backend!$R$14,Backend!Q235+Backend!$T$14,IF(Backend!P236&lt;=Backend!$R$15,Backend!Q235+Backend!$T$15,IF(Backend!P236&lt;=Backend!$X$16,Backend!Q235+Backend!$Z$16))))))</f>
        <v>0</v>
      </c>
      <c r="R236" s="19" t="str">
        <f>IF(1&lt;=ConceptDemo!$L$29,IF(P236=$W$12,ConceptDemo!$L$27,""),"")</f>
        <v/>
      </c>
      <c r="S236" s="19" t="str">
        <f>IF(2&lt;=ConceptDemo!$L$29,IF(P236=$W$13,ConceptDemo!$L$27,""),"")</f>
        <v/>
      </c>
      <c r="T236" s="19" t="str">
        <f>IF(3&lt;=ConceptDemo!$L$29,IF(P236=$W$14,ConceptDemo!$L$27,""),"")</f>
        <v/>
      </c>
      <c r="U236" s="19" t="str">
        <f>IF(4&lt;=ConceptDemo!$L$29,IF(P236=$W$15,ConceptDemo!$L$27,""),"")</f>
        <v/>
      </c>
      <c r="W236" s="18">
        <f>IF($P236&lt;ConceptDemo!$C$17+$E$24-10,$G$27,0)</f>
        <v>0</v>
      </c>
      <c r="X236" s="18">
        <f>IF($P236&lt;ConceptDemo!$C$17+$E$24-10,$H$27,0)</f>
        <v>0</v>
      </c>
      <c r="Y236" s="10">
        <f t="shared" si="27"/>
        <v>0</v>
      </c>
      <c r="Z236" s="10">
        <f t="shared" si="28"/>
        <v>0</v>
      </c>
      <c r="AA236" s="10">
        <f t="shared" si="29"/>
        <v>0</v>
      </c>
      <c r="AB236" s="10">
        <f t="shared" si="30"/>
        <v>0</v>
      </c>
      <c r="AC236" s="18">
        <f t="shared" si="31"/>
        <v>0</v>
      </c>
      <c r="AD236" s="18">
        <f>IF(P236&lt;=ConceptDemo!$C$18,AD235+SUM(W236:AB236)-(Q236-Q235)-AC236,0)</f>
        <v>0</v>
      </c>
      <c r="AE236" s="18" t="e">
        <f>IF(ConceptDemo!$C$7=Backend!$A$2,AD236,IF(AE235&lt;&gt;AD235,IF(P236&lt;=ConceptDemo!$C$18,AE235+SUM(W236:AB236)-(Q236-Q235)-AC236,0),IF(P236=ConceptDemo!#REF!,ConceptDemo!#REF!,AD236)))</f>
        <v>#REF!</v>
      </c>
      <c r="AF236" s="18" t="e">
        <f t="shared" si="33"/>
        <v>#REF!</v>
      </c>
      <c r="AG236" s="18" t="e">
        <f t="shared" si="34"/>
        <v>#REF!</v>
      </c>
      <c r="AH236" s="18" t="e">
        <f t="shared" si="32"/>
        <v>#REF!</v>
      </c>
    </row>
    <row r="237" spans="16:34" x14ac:dyDescent="0.25">
      <c r="P237" s="12" t="str">
        <f>IFERROR(IF(P236+1=ConceptDemo!$C$18+10,"",Backend!P236+1),"")</f>
        <v/>
      </c>
      <c r="Q237" s="10">
        <f>IF(OR(P237&lt;ConceptDemo!$C$17,Backend!P237&gt;ConceptDemo!$C$18),0,IF(Backend!P237&lt;=Backend!$R$12,Backend!Q236+Backend!$T$12,IF(Backend!P237&lt;=Backend!$R$13,Backend!Q236+Backend!$T$13,IF(Backend!P237&lt;=Backend!$R$14,Backend!Q236+Backend!$T$14,IF(Backend!P237&lt;=Backend!$R$15,Backend!Q236+Backend!$T$15,IF(Backend!P237&lt;=Backend!$X$16,Backend!Q236+Backend!$Z$16))))))</f>
        <v>0</v>
      </c>
      <c r="R237" s="19" t="str">
        <f>IF(1&lt;=ConceptDemo!$L$29,IF(P237=$W$12,ConceptDemo!$L$27,""),"")</f>
        <v/>
      </c>
      <c r="S237" s="19" t="str">
        <f>IF(2&lt;=ConceptDemo!$L$29,IF(P237=$W$13,ConceptDemo!$L$27,""),"")</f>
        <v/>
      </c>
      <c r="T237" s="19" t="str">
        <f>IF(3&lt;=ConceptDemo!$L$29,IF(P237=$W$14,ConceptDemo!$L$27,""),"")</f>
        <v/>
      </c>
      <c r="U237" s="19" t="str">
        <f>IF(4&lt;=ConceptDemo!$L$29,IF(P237=$W$15,ConceptDemo!$L$27,""),"")</f>
        <v/>
      </c>
      <c r="W237" s="18">
        <f>IF($P237&lt;ConceptDemo!$C$17+$E$24-10,$G$27,0)</f>
        <v>0</v>
      </c>
      <c r="X237" s="18">
        <f>IF($P237&lt;ConceptDemo!$C$17+$E$24-10,$H$27,0)</f>
        <v>0</v>
      </c>
      <c r="Y237" s="10">
        <f t="shared" si="27"/>
        <v>0</v>
      </c>
      <c r="Z237" s="10">
        <f t="shared" si="28"/>
        <v>0</v>
      </c>
      <c r="AA237" s="10">
        <f t="shared" si="29"/>
        <v>0</v>
      </c>
      <c r="AB237" s="10">
        <f t="shared" si="30"/>
        <v>0</v>
      </c>
      <c r="AC237" s="18">
        <f t="shared" si="31"/>
        <v>0</v>
      </c>
      <c r="AD237" s="18">
        <f>IF(P237&lt;=ConceptDemo!$C$18,AD236+SUM(W237:AB237)-(Q237-Q236)-AC237,0)</f>
        <v>0</v>
      </c>
      <c r="AE237" s="18" t="e">
        <f>IF(ConceptDemo!$C$7=Backend!$A$2,AD237,IF(AE236&lt;&gt;AD236,IF(P237&lt;=ConceptDemo!$C$18,AE236+SUM(W237:AB237)-(Q237-Q236)-AC237,0),IF(P237=ConceptDemo!#REF!,ConceptDemo!#REF!,AD237)))</f>
        <v>#REF!</v>
      </c>
      <c r="AF237" s="18" t="e">
        <f t="shared" si="33"/>
        <v>#REF!</v>
      </c>
      <c r="AG237" s="18" t="e">
        <f t="shared" si="34"/>
        <v>#REF!</v>
      </c>
      <c r="AH237" s="18" t="e">
        <f t="shared" si="32"/>
        <v>#REF!</v>
      </c>
    </row>
    <row r="238" spans="16:34" x14ac:dyDescent="0.25">
      <c r="P238" s="12" t="str">
        <f>IFERROR(IF(P237+1=ConceptDemo!$C$18+10,"",Backend!P237+1),"")</f>
        <v/>
      </c>
      <c r="Q238" s="10">
        <f>IF(OR(P238&lt;ConceptDemo!$C$17,Backend!P238&gt;ConceptDemo!$C$18),0,IF(Backend!P238&lt;=Backend!$R$12,Backend!Q237+Backend!$T$12,IF(Backend!P238&lt;=Backend!$R$13,Backend!Q237+Backend!$T$13,IF(Backend!P238&lt;=Backend!$R$14,Backend!Q237+Backend!$T$14,IF(Backend!P238&lt;=Backend!$R$15,Backend!Q237+Backend!$T$15,IF(Backend!P238&lt;=Backend!$X$16,Backend!Q237+Backend!$Z$16))))))</f>
        <v>0</v>
      </c>
      <c r="R238" s="19" t="str">
        <f>IF(1&lt;=ConceptDemo!$L$29,IF(P238=$W$12,ConceptDemo!$L$27,""),"")</f>
        <v/>
      </c>
      <c r="S238" s="19" t="str">
        <f>IF(2&lt;=ConceptDemo!$L$29,IF(P238=$W$13,ConceptDemo!$L$27,""),"")</f>
        <v/>
      </c>
      <c r="T238" s="19" t="str">
        <f>IF(3&lt;=ConceptDemo!$L$29,IF(P238=$W$14,ConceptDemo!$L$27,""),"")</f>
        <v/>
      </c>
      <c r="U238" s="19" t="str">
        <f>IF(4&lt;=ConceptDemo!$L$29,IF(P238=$W$15,ConceptDemo!$L$27,""),"")</f>
        <v/>
      </c>
      <c r="W238" s="18">
        <f>IF($P238&lt;ConceptDemo!$C$17+$E$24-10,$G$27,0)</f>
        <v>0</v>
      </c>
      <c r="X238" s="18">
        <f>IF($P238&lt;ConceptDemo!$C$17+$E$24-10,$H$27,0)</f>
        <v>0</v>
      </c>
      <c r="Y238" s="10">
        <f t="shared" si="27"/>
        <v>0</v>
      </c>
      <c r="Z238" s="10">
        <f t="shared" si="28"/>
        <v>0</v>
      </c>
      <c r="AA238" s="10">
        <f t="shared" si="29"/>
        <v>0</v>
      </c>
      <c r="AB238" s="10">
        <f t="shared" si="30"/>
        <v>0</v>
      </c>
      <c r="AC238" s="18">
        <f t="shared" si="31"/>
        <v>0</v>
      </c>
      <c r="AD238" s="18">
        <f>IF(P238&lt;=ConceptDemo!$C$18,AD237+SUM(W238:AB238)-(Q238-Q237)-AC238,0)</f>
        <v>0</v>
      </c>
      <c r="AE238" s="18" t="e">
        <f>IF(ConceptDemo!$C$7=Backend!$A$2,AD238,IF(AE237&lt;&gt;AD237,IF(P238&lt;=ConceptDemo!$C$18,AE237+SUM(W238:AB238)-(Q238-Q237)-AC238,0),IF(P238=ConceptDemo!#REF!,ConceptDemo!#REF!,AD238)))</f>
        <v>#REF!</v>
      </c>
      <c r="AF238" s="18" t="e">
        <f t="shared" si="33"/>
        <v>#REF!</v>
      </c>
      <c r="AG238" s="18" t="e">
        <f t="shared" si="34"/>
        <v>#REF!</v>
      </c>
      <c r="AH238" s="18" t="e">
        <f t="shared" si="32"/>
        <v>#REF!</v>
      </c>
    </row>
    <row r="239" spans="16:34" x14ac:dyDescent="0.25">
      <c r="P239" s="12" t="str">
        <f>IFERROR(IF(P238+1=ConceptDemo!$C$18+10,"",Backend!P238+1),"")</f>
        <v/>
      </c>
      <c r="Q239" s="10">
        <f>IF(OR(P239&lt;ConceptDemo!$C$17,Backend!P239&gt;ConceptDemo!$C$18),0,IF(Backend!P239&lt;=Backend!$R$12,Backend!Q238+Backend!$T$12,IF(Backend!P239&lt;=Backend!$R$13,Backend!Q238+Backend!$T$13,IF(Backend!P239&lt;=Backend!$R$14,Backend!Q238+Backend!$T$14,IF(Backend!P239&lt;=Backend!$R$15,Backend!Q238+Backend!$T$15,IF(Backend!P239&lt;=Backend!$X$16,Backend!Q238+Backend!$Z$16))))))</f>
        <v>0</v>
      </c>
      <c r="R239" s="19" t="str">
        <f>IF(1&lt;=ConceptDemo!$L$29,IF(P239=$W$12,ConceptDemo!$L$27,""),"")</f>
        <v/>
      </c>
      <c r="S239" s="19" t="str">
        <f>IF(2&lt;=ConceptDemo!$L$29,IF(P239=$W$13,ConceptDemo!$L$27,""),"")</f>
        <v/>
      </c>
      <c r="T239" s="19" t="str">
        <f>IF(3&lt;=ConceptDemo!$L$29,IF(P239=$W$14,ConceptDemo!$L$27,""),"")</f>
        <v/>
      </c>
      <c r="U239" s="19" t="str">
        <f>IF(4&lt;=ConceptDemo!$L$29,IF(P239=$W$15,ConceptDemo!$L$27,""),"")</f>
        <v/>
      </c>
      <c r="W239" s="18">
        <f>IF($P239&lt;ConceptDemo!$C$17+$E$24-10,$G$27,0)</f>
        <v>0</v>
      </c>
      <c r="X239" s="18">
        <f>IF($P239&lt;ConceptDemo!$C$17+$E$24-10,$H$27,0)</f>
        <v>0</v>
      </c>
      <c r="Y239" s="10">
        <f t="shared" si="27"/>
        <v>0</v>
      </c>
      <c r="Z239" s="10">
        <f t="shared" si="28"/>
        <v>0</v>
      </c>
      <c r="AA239" s="10">
        <f t="shared" si="29"/>
        <v>0</v>
      </c>
      <c r="AB239" s="10">
        <f t="shared" si="30"/>
        <v>0</v>
      </c>
      <c r="AC239" s="18">
        <f t="shared" si="31"/>
        <v>0</v>
      </c>
      <c r="AD239" s="18">
        <f>IF(P239&lt;=ConceptDemo!$C$18,AD238+SUM(W239:AB239)-(Q239-Q238)-AC239,0)</f>
        <v>0</v>
      </c>
      <c r="AE239" s="18" t="e">
        <f>IF(ConceptDemo!$C$7=Backend!$A$2,AD239,IF(AE238&lt;&gt;AD238,IF(P239&lt;=ConceptDemo!$C$18,AE238+SUM(W239:AB239)-(Q239-Q238)-AC239,0),IF(P239=ConceptDemo!#REF!,ConceptDemo!#REF!,AD239)))</f>
        <v>#REF!</v>
      </c>
      <c r="AF239" s="18" t="e">
        <f t="shared" si="33"/>
        <v>#REF!</v>
      </c>
      <c r="AG239" s="18" t="e">
        <f t="shared" si="34"/>
        <v>#REF!</v>
      </c>
      <c r="AH239" s="18" t="e">
        <f t="shared" si="32"/>
        <v>#REF!</v>
      </c>
    </row>
    <row r="240" spans="16:34" x14ac:dyDescent="0.25">
      <c r="P240" s="12" t="str">
        <f>IFERROR(IF(P239+1=ConceptDemo!$C$18+10,"",Backend!P239+1),"")</f>
        <v/>
      </c>
      <c r="Q240" s="10">
        <f>IF(OR(P240&lt;ConceptDemo!$C$17,Backend!P240&gt;ConceptDemo!$C$18),0,IF(Backend!P240&lt;=Backend!$R$12,Backend!Q239+Backend!$T$12,IF(Backend!P240&lt;=Backend!$R$13,Backend!Q239+Backend!$T$13,IF(Backend!P240&lt;=Backend!$R$14,Backend!Q239+Backend!$T$14,IF(Backend!P240&lt;=Backend!$R$15,Backend!Q239+Backend!$T$15,IF(Backend!P240&lt;=Backend!$X$16,Backend!Q239+Backend!$Z$16))))))</f>
        <v>0</v>
      </c>
      <c r="R240" s="19" t="str">
        <f>IF(1&lt;=ConceptDemo!$L$29,IF(P240=$W$12,ConceptDemo!$L$27,""),"")</f>
        <v/>
      </c>
      <c r="S240" s="19" t="str">
        <f>IF(2&lt;=ConceptDemo!$L$29,IF(P240=$W$13,ConceptDemo!$L$27,""),"")</f>
        <v/>
      </c>
      <c r="T240" s="19" t="str">
        <f>IF(3&lt;=ConceptDemo!$L$29,IF(P240=$W$14,ConceptDemo!$L$27,""),"")</f>
        <v/>
      </c>
      <c r="U240" s="19" t="str">
        <f>IF(4&lt;=ConceptDemo!$L$29,IF(P240=$W$15,ConceptDemo!$L$27,""),"")</f>
        <v/>
      </c>
      <c r="W240" s="18">
        <f>IF($P240&lt;ConceptDemo!$C$17+$E$24-10,$G$27,0)</f>
        <v>0</v>
      </c>
      <c r="X240" s="18">
        <f>IF($P240&lt;ConceptDemo!$C$17+$E$24-10,$H$27,0)</f>
        <v>0</v>
      </c>
      <c r="Y240" s="10">
        <f t="shared" si="27"/>
        <v>0</v>
      </c>
      <c r="Z240" s="10">
        <f t="shared" si="28"/>
        <v>0</v>
      </c>
      <c r="AA240" s="10">
        <f t="shared" si="29"/>
        <v>0</v>
      </c>
      <c r="AB240" s="10">
        <f t="shared" si="30"/>
        <v>0</v>
      </c>
      <c r="AC240" s="18">
        <f t="shared" si="31"/>
        <v>0</v>
      </c>
      <c r="AD240" s="18">
        <f>IF(P240&lt;=ConceptDemo!$C$18,AD239+SUM(W240:AB240)-(Q240-Q239)-AC240,0)</f>
        <v>0</v>
      </c>
      <c r="AE240" s="18" t="e">
        <f>IF(ConceptDemo!$C$7=Backend!$A$2,AD240,IF(AE239&lt;&gt;AD239,IF(P240&lt;=ConceptDemo!$C$18,AE239+SUM(W240:AB240)-(Q240-Q239)-AC240,0),IF(P240=ConceptDemo!#REF!,ConceptDemo!#REF!,AD240)))</f>
        <v>#REF!</v>
      </c>
      <c r="AF240" s="18" t="e">
        <f t="shared" si="33"/>
        <v>#REF!</v>
      </c>
      <c r="AG240" s="18" t="e">
        <f t="shared" si="34"/>
        <v>#REF!</v>
      </c>
      <c r="AH240" s="18" t="e">
        <f t="shared" si="32"/>
        <v>#REF!</v>
      </c>
    </row>
    <row r="241" spans="16:34" x14ac:dyDescent="0.25">
      <c r="P241" s="12" t="str">
        <f>IFERROR(IF(P240+1=ConceptDemo!$C$18+10,"",Backend!P240+1),"")</f>
        <v/>
      </c>
      <c r="Q241" s="10">
        <f>IF(OR(P241&lt;ConceptDemo!$C$17,Backend!P241&gt;ConceptDemo!$C$18),0,IF(Backend!P241&lt;=Backend!$R$12,Backend!Q240+Backend!$T$12,IF(Backend!P241&lt;=Backend!$R$13,Backend!Q240+Backend!$T$13,IF(Backend!P241&lt;=Backend!$R$14,Backend!Q240+Backend!$T$14,IF(Backend!P241&lt;=Backend!$R$15,Backend!Q240+Backend!$T$15,IF(Backend!P241&lt;=Backend!$X$16,Backend!Q240+Backend!$Z$16))))))</f>
        <v>0</v>
      </c>
      <c r="R241" s="19" t="str">
        <f>IF(1&lt;=ConceptDemo!$L$29,IF(P241=$W$12,ConceptDemo!$L$27,""),"")</f>
        <v/>
      </c>
      <c r="S241" s="19" t="str">
        <f>IF(2&lt;=ConceptDemo!$L$29,IF(P241=$W$13,ConceptDemo!$L$27,""),"")</f>
        <v/>
      </c>
      <c r="T241" s="19" t="str">
        <f>IF(3&lt;=ConceptDemo!$L$29,IF(P241=$W$14,ConceptDemo!$L$27,""),"")</f>
        <v/>
      </c>
      <c r="U241" s="19" t="str">
        <f>IF(4&lt;=ConceptDemo!$L$29,IF(P241=$W$15,ConceptDemo!$L$27,""),"")</f>
        <v/>
      </c>
      <c r="W241" s="18">
        <f>IF($P241&lt;ConceptDemo!$C$17+$E$24-10,$G$27,0)</f>
        <v>0</v>
      </c>
      <c r="X241" s="18">
        <f>IF($P241&lt;ConceptDemo!$C$17+$E$24-10,$H$27,0)</f>
        <v>0</v>
      </c>
      <c r="Y241" s="10">
        <f t="shared" si="27"/>
        <v>0</v>
      </c>
      <c r="Z241" s="10">
        <f t="shared" si="28"/>
        <v>0</v>
      </c>
      <c r="AA241" s="10">
        <f t="shared" si="29"/>
        <v>0</v>
      </c>
      <c r="AB241" s="10">
        <f t="shared" si="30"/>
        <v>0</v>
      </c>
      <c r="AC241" s="18">
        <f t="shared" si="31"/>
        <v>0</v>
      </c>
      <c r="AD241" s="18">
        <f>IF(P241&lt;=ConceptDemo!$C$18,AD240+SUM(W241:AB241)-(Q241-Q240)-AC241,0)</f>
        <v>0</v>
      </c>
      <c r="AE241" s="18" t="e">
        <f>IF(ConceptDemo!$C$7=Backend!$A$2,AD241,IF(AE240&lt;&gt;AD240,IF(P241&lt;=ConceptDemo!$C$18,AE240+SUM(W241:AB241)-(Q241-Q240)-AC241,0),IF(P241=ConceptDemo!#REF!,ConceptDemo!#REF!,AD241)))</f>
        <v>#REF!</v>
      </c>
      <c r="AF241" s="18" t="e">
        <f t="shared" si="33"/>
        <v>#REF!</v>
      </c>
      <c r="AG241" s="18" t="e">
        <f t="shared" si="34"/>
        <v>#REF!</v>
      </c>
      <c r="AH241" s="18" t="e">
        <f t="shared" si="32"/>
        <v>#REF!</v>
      </c>
    </row>
    <row r="242" spans="16:34" x14ac:dyDescent="0.25">
      <c r="P242" s="12" t="str">
        <f>IFERROR(IF(P241+1=ConceptDemo!$C$18+10,"",Backend!P241+1),"")</f>
        <v/>
      </c>
      <c r="Q242" s="10">
        <f>IF(OR(P242&lt;ConceptDemo!$C$17,Backend!P242&gt;ConceptDemo!$C$18),0,IF(Backend!P242&lt;=Backend!$R$12,Backend!Q241+Backend!$T$12,IF(Backend!P242&lt;=Backend!$R$13,Backend!Q241+Backend!$T$13,IF(Backend!P242&lt;=Backend!$R$14,Backend!Q241+Backend!$T$14,IF(Backend!P242&lt;=Backend!$R$15,Backend!Q241+Backend!$T$15,IF(Backend!P242&lt;=Backend!$X$16,Backend!Q241+Backend!$Z$16))))))</f>
        <v>0</v>
      </c>
      <c r="R242" s="19" t="str">
        <f>IF(1&lt;=ConceptDemo!$L$29,IF(P242=$W$12,ConceptDemo!$L$27,""),"")</f>
        <v/>
      </c>
      <c r="S242" s="19" t="str">
        <f>IF(2&lt;=ConceptDemo!$L$29,IF(P242=$W$13,ConceptDemo!$L$27,""),"")</f>
        <v/>
      </c>
      <c r="T242" s="19" t="str">
        <f>IF(3&lt;=ConceptDemo!$L$29,IF(P242=$W$14,ConceptDemo!$L$27,""),"")</f>
        <v/>
      </c>
      <c r="U242" s="19" t="str">
        <f>IF(4&lt;=ConceptDemo!$L$29,IF(P242=$W$15,ConceptDemo!$L$27,""),"")</f>
        <v/>
      </c>
      <c r="W242" s="18">
        <f>IF($P242&lt;ConceptDemo!$C$17+$E$24-10,$G$27,0)</f>
        <v>0</v>
      </c>
      <c r="X242" s="18">
        <f>IF($P242&lt;ConceptDemo!$C$17+$E$24-10,$H$27,0)</f>
        <v>0</v>
      </c>
      <c r="Y242" s="10">
        <f t="shared" si="27"/>
        <v>0</v>
      </c>
      <c r="Z242" s="10">
        <f t="shared" si="28"/>
        <v>0</v>
      </c>
      <c r="AA242" s="10">
        <f t="shared" si="29"/>
        <v>0</v>
      </c>
      <c r="AB242" s="10">
        <f t="shared" si="30"/>
        <v>0</v>
      </c>
      <c r="AC242" s="18">
        <f t="shared" si="31"/>
        <v>0</v>
      </c>
      <c r="AD242" s="18">
        <f>IF(P242&lt;=ConceptDemo!$C$18,AD241+SUM(W242:AB242)-(Q242-Q241)-AC242,0)</f>
        <v>0</v>
      </c>
      <c r="AE242" s="18" t="e">
        <f>IF(ConceptDemo!$C$7=Backend!$A$2,AD242,IF(AE241&lt;&gt;AD241,IF(P242&lt;=ConceptDemo!$C$18,AE241+SUM(W242:AB242)-(Q242-Q241)-AC242,0),IF(P242=ConceptDemo!#REF!,ConceptDemo!#REF!,AD242)))</f>
        <v>#REF!</v>
      </c>
      <c r="AF242" s="18" t="e">
        <f t="shared" si="33"/>
        <v>#REF!</v>
      </c>
      <c r="AG242" s="18" t="e">
        <f t="shared" si="34"/>
        <v>#REF!</v>
      </c>
      <c r="AH242" s="18" t="e">
        <f t="shared" si="32"/>
        <v>#REF!</v>
      </c>
    </row>
    <row r="243" spans="16:34" x14ac:dyDescent="0.25">
      <c r="P243" s="12" t="str">
        <f>IFERROR(IF(P242+1=ConceptDemo!$C$18+10,"",Backend!P242+1),"")</f>
        <v/>
      </c>
      <c r="Q243" s="10">
        <f>IF(OR(P243&lt;ConceptDemo!$C$17,Backend!P243&gt;ConceptDemo!$C$18),0,IF(Backend!P243&lt;=Backend!$R$12,Backend!Q242+Backend!$T$12,IF(Backend!P243&lt;=Backend!$R$13,Backend!Q242+Backend!$T$13,IF(Backend!P243&lt;=Backend!$R$14,Backend!Q242+Backend!$T$14,IF(Backend!P243&lt;=Backend!$R$15,Backend!Q242+Backend!$T$15,IF(Backend!P243&lt;=Backend!$X$16,Backend!Q242+Backend!$Z$16))))))</f>
        <v>0</v>
      </c>
      <c r="R243" s="19" t="str">
        <f>IF(1&lt;=ConceptDemo!$L$29,IF(P243=$W$12,ConceptDemo!$L$27,""),"")</f>
        <v/>
      </c>
      <c r="S243" s="19" t="str">
        <f>IF(2&lt;=ConceptDemo!$L$29,IF(P243=$W$13,ConceptDemo!$L$27,""),"")</f>
        <v/>
      </c>
      <c r="T243" s="19" t="str">
        <f>IF(3&lt;=ConceptDemo!$L$29,IF(P243=$W$14,ConceptDemo!$L$27,""),"")</f>
        <v/>
      </c>
      <c r="U243" s="19" t="str">
        <f>IF(4&lt;=ConceptDemo!$L$29,IF(P243=$W$15,ConceptDemo!$L$27,""),"")</f>
        <v/>
      </c>
      <c r="W243" s="18">
        <f>IF($P243&lt;ConceptDemo!$C$17+$E$24-10,$G$27,0)</f>
        <v>0</v>
      </c>
      <c r="X243" s="18">
        <f>IF($P243&lt;ConceptDemo!$C$17+$E$24-10,$H$27,0)</f>
        <v>0</v>
      </c>
      <c r="Y243" s="10">
        <f t="shared" si="27"/>
        <v>0</v>
      </c>
      <c r="Z243" s="10">
        <f t="shared" si="28"/>
        <v>0</v>
      </c>
      <c r="AA243" s="10">
        <f t="shared" si="29"/>
        <v>0</v>
      </c>
      <c r="AB243" s="10">
        <f t="shared" si="30"/>
        <v>0</v>
      </c>
      <c r="AC243" s="18">
        <f t="shared" si="31"/>
        <v>0</v>
      </c>
      <c r="AD243" s="18">
        <f>IF(P243&lt;=ConceptDemo!$C$18,AD242+SUM(W243:AB243)-(Q243-Q242)-AC243,0)</f>
        <v>0</v>
      </c>
      <c r="AE243" s="18" t="e">
        <f>IF(ConceptDemo!$C$7=Backend!$A$2,AD243,IF(AE242&lt;&gt;AD242,IF(P243&lt;=ConceptDemo!$C$18,AE242+SUM(W243:AB243)-(Q243-Q242)-AC243,0),IF(P243=ConceptDemo!#REF!,ConceptDemo!#REF!,AD243)))</f>
        <v>#REF!</v>
      </c>
      <c r="AF243" s="18" t="e">
        <f t="shared" si="33"/>
        <v>#REF!</v>
      </c>
      <c r="AG243" s="18" t="e">
        <f t="shared" si="34"/>
        <v>#REF!</v>
      </c>
      <c r="AH243" s="18" t="e">
        <f t="shared" si="32"/>
        <v>#REF!</v>
      </c>
    </row>
    <row r="244" spans="16:34" x14ac:dyDescent="0.25">
      <c r="P244" s="12" t="str">
        <f>IFERROR(IF(P243+1=ConceptDemo!$C$18+10,"",Backend!P243+1),"")</f>
        <v/>
      </c>
      <c r="Q244" s="10">
        <f>IF(OR(P244&lt;ConceptDemo!$C$17,Backend!P244&gt;ConceptDemo!$C$18),0,IF(Backend!P244&lt;=Backend!$R$12,Backend!Q243+Backend!$T$12,IF(Backend!P244&lt;=Backend!$R$13,Backend!Q243+Backend!$T$13,IF(Backend!P244&lt;=Backend!$R$14,Backend!Q243+Backend!$T$14,IF(Backend!P244&lt;=Backend!$R$15,Backend!Q243+Backend!$T$15,IF(Backend!P244&lt;=Backend!$X$16,Backend!Q243+Backend!$Z$16))))))</f>
        <v>0</v>
      </c>
      <c r="R244" s="19" t="str">
        <f>IF(1&lt;=ConceptDemo!$L$29,IF(P244=$W$12,ConceptDemo!$L$27,""),"")</f>
        <v/>
      </c>
      <c r="S244" s="19" t="str">
        <f>IF(2&lt;=ConceptDemo!$L$29,IF(P244=$W$13,ConceptDemo!$L$27,""),"")</f>
        <v/>
      </c>
      <c r="T244" s="19" t="str">
        <f>IF(3&lt;=ConceptDemo!$L$29,IF(P244=$W$14,ConceptDemo!$L$27,""),"")</f>
        <v/>
      </c>
      <c r="U244" s="19" t="str">
        <f>IF(4&lt;=ConceptDemo!$L$29,IF(P244=$W$15,ConceptDemo!$L$27,""),"")</f>
        <v/>
      </c>
      <c r="W244" s="18">
        <f>IF($P244&lt;ConceptDemo!$C$17+$E$24-10,$G$27,0)</f>
        <v>0</v>
      </c>
      <c r="X244" s="18">
        <f>IF($P244&lt;ConceptDemo!$C$17+$E$24-10,$H$27,0)</f>
        <v>0</v>
      </c>
      <c r="Y244" s="10">
        <f t="shared" si="27"/>
        <v>0</v>
      </c>
      <c r="Z244" s="10">
        <f t="shared" si="28"/>
        <v>0</v>
      </c>
      <c r="AA244" s="10">
        <f t="shared" si="29"/>
        <v>0</v>
      </c>
      <c r="AB244" s="10">
        <f t="shared" si="30"/>
        <v>0</v>
      </c>
      <c r="AC244" s="18">
        <f t="shared" si="31"/>
        <v>0</v>
      </c>
      <c r="AD244" s="18">
        <f>IF(P244&lt;=ConceptDemo!$C$18,AD243+SUM(W244:AB244)-(Q244-Q243)-AC244,0)</f>
        <v>0</v>
      </c>
      <c r="AE244" s="18" t="e">
        <f>IF(ConceptDemo!$C$7=Backend!$A$2,AD244,IF(AE243&lt;&gt;AD243,IF(P244&lt;=ConceptDemo!$C$18,AE243+SUM(W244:AB244)-(Q244-Q243)-AC244,0),IF(P244=ConceptDemo!#REF!,ConceptDemo!#REF!,AD244)))</f>
        <v>#REF!</v>
      </c>
      <c r="AF244" s="18" t="e">
        <f t="shared" si="33"/>
        <v>#REF!</v>
      </c>
      <c r="AG244" s="18" t="e">
        <f t="shared" si="34"/>
        <v>#REF!</v>
      </c>
      <c r="AH244" s="18" t="e">
        <f t="shared" si="32"/>
        <v>#REF!</v>
      </c>
    </row>
    <row r="245" spans="16:34" x14ac:dyDescent="0.25">
      <c r="P245" s="12" t="str">
        <f>IFERROR(IF(P244+1=ConceptDemo!$C$18+10,"",Backend!P244+1),"")</f>
        <v/>
      </c>
      <c r="Q245" s="10">
        <f>IF(OR(P245&lt;ConceptDemo!$C$17,Backend!P245&gt;ConceptDemo!$C$18),0,IF(Backend!P245&lt;=Backend!$R$12,Backend!Q244+Backend!$T$12,IF(Backend!P245&lt;=Backend!$R$13,Backend!Q244+Backend!$T$13,IF(Backend!P245&lt;=Backend!$R$14,Backend!Q244+Backend!$T$14,IF(Backend!P245&lt;=Backend!$R$15,Backend!Q244+Backend!$T$15,IF(Backend!P245&lt;=Backend!$X$16,Backend!Q244+Backend!$Z$16))))))</f>
        <v>0</v>
      </c>
      <c r="R245" s="19" t="str">
        <f>IF(1&lt;=ConceptDemo!$L$29,IF(P245=$W$12,ConceptDemo!$L$27,""),"")</f>
        <v/>
      </c>
      <c r="S245" s="19" t="str">
        <f>IF(2&lt;=ConceptDemo!$L$29,IF(P245=$W$13,ConceptDemo!$L$27,""),"")</f>
        <v/>
      </c>
      <c r="T245" s="19" t="str">
        <f>IF(3&lt;=ConceptDemo!$L$29,IF(P245=$W$14,ConceptDemo!$L$27,""),"")</f>
        <v/>
      </c>
      <c r="U245" s="19" t="str">
        <f>IF(4&lt;=ConceptDemo!$L$29,IF(P245=$W$15,ConceptDemo!$L$27,""),"")</f>
        <v/>
      </c>
      <c r="W245" s="18">
        <f>IF($P245&lt;ConceptDemo!$C$17+$E$24-10,$G$27,0)</f>
        <v>0</v>
      </c>
      <c r="X245" s="18">
        <f>IF($P245&lt;ConceptDemo!$C$17+$E$24-10,$H$27,0)</f>
        <v>0</v>
      </c>
      <c r="Y245" s="10">
        <f t="shared" si="27"/>
        <v>0</v>
      </c>
      <c r="Z245" s="10">
        <f t="shared" si="28"/>
        <v>0</v>
      </c>
      <c r="AA245" s="10">
        <f t="shared" si="29"/>
        <v>0</v>
      </c>
      <c r="AB245" s="10">
        <f t="shared" si="30"/>
        <v>0</v>
      </c>
      <c r="AC245" s="18">
        <f t="shared" si="31"/>
        <v>0</v>
      </c>
      <c r="AD245" s="18">
        <f>IF(P245&lt;=ConceptDemo!$C$18,AD244+SUM(W245:AB245)-(Q245-Q244)-AC245,0)</f>
        <v>0</v>
      </c>
      <c r="AE245" s="18" t="e">
        <f>IF(ConceptDemo!$C$7=Backend!$A$2,AD245,IF(AE244&lt;&gt;AD244,IF(P245&lt;=ConceptDemo!$C$18,AE244+SUM(W245:AB245)-(Q245-Q244)-AC245,0),IF(P245=ConceptDemo!#REF!,ConceptDemo!#REF!,AD245)))</f>
        <v>#REF!</v>
      </c>
      <c r="AF245" s="18" t="e">
        <f t="shared" si="33"/>
        <v>#REF!</v>
      </c>
      <c r="AG245" s="18" t="e">
        <f t="shared" si="34"/>
        <v>#REF!</v>
      </c>
      <c r="AH245" s="18" t="e">
        <f t="shared" si="32"/>
        <v>#REF!</v>
      </c>
    </row>
    <row r="246" spans="16:34" x14ac:dyDescent="0.25">
      <c r="P246" s="12" t="str">
        <f>IFERROR(IF(P245+1=ConceptDemo!$C$18+10,"",Backend!P245+1),"")</f>
        <v/>
      </c>
      <c r="Q246" s="10">
        <f>IF(OR(P246&lt;ConceptDemo!$C$17,Backend!P246&gt;ConceptDemo!$C$18),0,IF(Backend!P246&lt;=Backend!$R$12,Backend!Q245+Backend!$T$12,IF(Backend!P246&lt;=Backend!$R$13,Backend!Q245+Backend!$T$13,IF(Backend!P246&lt;=Backend!$R$14,Backend!Q245+Backend!$T$14,IF(Backend!P246&lt;=Backend!$R$15,Backend!Q245+Backend!$T$15,IF(Backend!P246&lt;=Backend!$X$16,Backend!Q245+Backend!$Z$16))))))</f>
        <v>0</v>
      </c>
      <c r="R246" s="19" t="str">
        <f>IF(1&lt;=ConceptDemo!$L$29,IF(P246=$W$12,ConceptDemo!$L$27,""),"")</f>
        <v/>
      </c>
      <c r="S246" s="19" t="str">
        <f>IF(2&lt;=ConceptDemo!$L$29,IF(P246=$W$13,ConceptDemo!$L$27,""),"")</f>
        <v/>
      </c>
      <c r="T246" s="19" t="str">
        <f>IF(3&lt;=ConceptDemo!$L$29,IF(P246=$W$14,ConceptDemo!$L$27,""),"")</f>
        <v/>
      </c>
      <c r="U246" s="19" t="str">
        <f>IF(4&lt;=ConceptDemo!$L$29,IF(P246=$W$15,ConceptDemo!$L$27,""),"")</f>
        <v/>
      </c>
      <c r="W246" s="18">
        <f>IF($P246&lt;ConceptDemo!$C$17+$E$24-10,$G$27,0)</f>
        <v>0</v>
      </c>
      <c r="X246" s="18">
        <f>IF($P246&lt;ConceptDemo!$C$17+$E$24-10,$H$27,0)</f>
        <v>0</v>
      </c>
      <c r="Y246" s="10">
        <f t="shared" si="27"/>
        <v>0</v>
      </c>
      <c r="Z246" s="10">
        <f t="shared" si="28"/>
        <v>0</v>
      </c>
      <c r="AA246" s="10">
        <f t="shared" si="29"/>
        <v>0</v>
      </c>
      <c r="AB246" s="10">
        <f t="shared" si="30"/>
        <v>0</v>
      </c>
      <c r="AC246" s="18">
        <f t="shared" si="31"/>
        <v>0</v>
      </c>
      <c r="AD246" s="18">
        <f>IF(P246&lt;=ConceptDemo!$C$18,AD245+SUM(W246:AB246)-(Q246-Q245)-AC246,0)</f>
        <v>0</v>
      </c>
      <c r="AE246" s="18" t="e">
        <f>IF(ConceptDemo!$C$7=Backend!$A$2,AD246,IF(AE245&lt;&gt;AD245,IF(P246&lt;=ConceptDemo!$C$18,AE245+SUM(W246:AB246)-(Q246-Q245)-AC246,0),IF(P246=ConceptDemo!#REF!,ConceptDemo!#REF!,AD246)))</f>
        <v>#REF!</v>
      </c>
      <c r="AF246" s="18" t="e">
        <f t="shared" si="33"/>
        <v>#REF!</v>
      </c>
      <c r="AG246" s="18" t="e">
        <f t="shared" si="34"/>
        <v>#REF!</v>
      </c>
      <c r="AH246" s="18" t="e">
        <f t="shared" si="32"/>
        <v>#REF!</v>
      </c>
    </row>
    <row r="247" spans="16:34" x14ac:dyDescent="0.25">
      <c r="P247" s="12" t="str">
        <f>IFERROR(IF(P246+1=ConceptDemo!$C$18+10,"",Backend!P246+1),"")</f>
        <v/>
      </c>
      <c r="Q247" s="10">
        <f>IF(OR(P247&lt;ConceptDemo!$C$17,Backend!P247&gt;ConceptDemo!$C$18),0,IF(Backend!P247&lt;=Backend!$R$12,Backend!Q246+Backend!$T$12,IF(Backend!P247&lt;=Backend!$R$13,Backend!Q246+Backend!$T$13,IF(Backend!P247&lt;=Backend!$R$14,Backend!Q246+Backend!$T$14,IF(Backend!P247&lt;=Backend!$R$15,Backend!Q246+Backend!$T$15,IF(Backend!P247&lt;=Backend!$X$16,Backend!Q246+Backend!$Z$16))))))</f>
        <v>0</v>
      </c>
      <c r="R247" s="19" t="str">
        <f>IF(1&lt;=ConceptDemo!$L$29,IF(P247=$W$12,ConceptDemo!$L$27,""),"")</f>
        <v/>
      </c>
      <c r="S247" s="19" t="str">
        <f>IF(2&lt;=ConceptDemo!$L$29,IF(P247=$W$13,ConceptDemo!$L$27,""),"")</f>
        <v/>
      </c>
      <c r="T247" s="19" t="str">
        <f>IF(3&lt;=ConceptDemo!$L$29,IF(P247=$W$14,ConceptDemo!$L$27,""),"")</f>
        <v/>
      </c>
      <c r="U247" s="19" t="str">
        <f>IF(4&lt;=ConceptDemo!$L$29,IF(P247=$W$15,ConceptDemo!$L$27,""),"")</f>
        <v/>
      </c>
      <c r="W247" s="18">
        <f>IF($P247&lt;ConceptDemo!$C$17+$E$24-10,$G$27,0)</f>
        <v>0</v>
      </c>
      <c r="X247" s="18">
        <f>IF($P247&lt;ConceptDemo!$C$17+$E$24-10,$H$27,0)</f>
        <v>0</v>
      </c>
      <c r="Y247" s="10">
        <f t="shared" si="27"/>
        <v>0</v>
      </c>
      <c r="Z247" s="10">
        <f t="shared" si="28"/>
        <v>0</v>
      </c>
      <c r="AA247" s="10">
        <f t="shared" si="29"/>
        <v>0</v>
      </c>
      <c r="AB247" s="10">
        <f t="shared" si="30"/>
        <v>0</v>
      </c>
      <c r="AC247" s="18">
        <f t="shared" si="31"/>
        <v>0</v>
      </c>
      <c r="AD247" s="18">
        <f>IF(P247&lt;=ConceptDemo!$C$18,AD246+SUM(W247:AB247)-(Q247-Q246)-AC247,0)</f>
        <v>0</v>
      </c>
      <c r="AE247" s="18" t="e">
        <f>IF(ConceptDemo!$C$7=Backend!$A$2,AD247,IF(AE246&lt;&gt;AD246,IF(P247&lt;=ConceptDemo!$C$18,AE246+SUM(W247:AB247)-(Q247-Q246)-AC247,0),IF(P247=ConceptDemo!#REF!,ConceptDemo!#REF!,AD247)))</f>
        <v>#REF!</v>
      </c>
      <c r="AF247" s="18" t="e">
        <f t="shared" si="33"/>
        <v>#REF!</v>
      </c>
      <c r="AG247" s="18" t="e">
        <f t="shared" si="34"/>
        <v>#REF!</v>
      </c>
      <c r="AH247" s="18" t="e">
        <f t="shared" si="32"/>
        <v>#REF!</v>
      </c>
    </row>
    <row r="248" spans="16:34" x14ac:dyDescent="0.25">
      <c r="P248" s="12" t="str">
        <f>IFERROR(IF(P247+1=ConceptDemo!$C$18+10,"",Backend!P247+1),"")</f>
        <v/>
      </c>
      <c r="Q248" s="10">
        <f>IF(OR(P248&lt;ConceptDemo!$C$17,Backend!P248&gt;ConceptDemo!$C$18),0,IF(Backend!P248&lt;=Backend!$R$12,Backend!Q247+Backend!$T$12,IF(Backend!P248&lt;=Backend!$R$13,Backend!Q247+Backend!$T$13,IF(Backend!P248&lt;=Backend!$R$14,Backend!Q247+Backend!$T$14,IF(Backend!P248&lt;=Backend!$R$15,Backend!Q247+Backend!$T$15,IF(Backend!P248&lt;=Backend!$X$16,Backend!Q247+Backend!$Z$16))))))</f>
        <v>0</v>
      </c>
      <c r="R248" s="19" t="str">
        <f>IF(1&lt;=ConceptDemo!$L$29,IF(P248=$W$12,ConceptDemo!$L$27,""),"")</f>
        <v/>
      </c>
      <c r="S248" s="19" t="str">
        <f>IF(2&lt;=ConceptDemo!$L$29,IF(P248=$W$13,ConceptDemo!$L$27,""),"")</f>
        <v/>
      </c>
      <c r="T248" s="19" t="str">
        <f>IF(3&lt;=ConceptDemo!$L$29,IF(P248=$W$14,ConceptDemo!$L$27,""),"")</f>
        <v/>
      </c>
      <c r="U248" s="19" t="str">
        <f>IF(4&lt;=ConceptDemo!$L$29,IF(P248=$W$15,ConceptDemo!$L$27,""),"")</f>
        <v/>
      </c>
      <c r="W248" s="18">
        <f>IF($P248&lt;ConceptDemo!$C$17+$E$24-10,$G$27,0)</f>
        <v>0</v>
      </c>
      <c r="X248" s="18">
        <f>IF($P248&lt;ConceptDemo!$C$17+$E$24-10,$H$27,0)</f>
        <v>0</v>
      </c>
      <c r="Y248" s="10">
        <f t="shared" si="27"/>
        <v>0</v>
      </c>
      <c r="Z248" s="10">
        <f t="shared" si="28"/>
        <v>0</v>
      </c>
      <c r="AA248" s="10">
        <f t="shared" si="29"/>
        <v>0</v>
      </c>
      <c r="AB248" s="10">
        <f t="shared" si="30"/>
        <v>0</v>
      </c>
      <c r="AC248" s="18">
        <f t="shared" si="31"/>
        <v>0</v>
      </c>
      <c r="AD248" s="18">
        <f>IF(P248&lt;=ConceptDemo!$C$18,AD247+SUM(W248:AB248)-(Q248-Q247)-AC248,0)</f>
        <v>0</v>
      </c>
      <c r="AE248" s="18" t="e">
        <f>IF(ConceptDemo!$C$7=Backend!$A$2,AD248,IF(AE247&lt;&gt;AD247,IF(P248&lt;=ConceptDemo!$C$18,AE247+SUM(W248:AB248)-(Q248-Q247)-AC248,0),IF(P248=ConceptDemo!#REF!,ConceptDemo!#REF!,AD248)))</f>
        <v>#REF!</v>
      </c>
      <c r="AF248" s="18" t="e">
        <f t="shared" si="33"/>
        <v>#REF!</v>
      </c>
      <c r="AG248" s="18" t="e">
        <f t="shared" si="34"/>
        <v>#REF!</v>
      </c>
      <c r="AH248" s="18" t="e">
        <f t="shared" si="32"/>
        <v>#REF!</v>
      </c>
    </row>
    <row r="249" spans="16:34" x14ac:dyDescent="0.25">
      <c r="P249" s="12" t="str">
        <f>IFERROR(IF(P248+1=ConceptDemo!$C$18+10,"",Backend!P248+1),"")</f>
        <v/>
      </c>
      <c r="Q249" s="10">
        <f>IF(OR(P249&lt;ConceptDemo!$C$17,Backend!P249&gt;ConceptDemo!$C$18),0,IF(Backend!P249&lt;=Backend!$R$12,Backend!Q248+Backend!$T$12,IF(Backend!P249&lt;=Backend!$R$13,Backend!Q248+Backend!$T$13,IF(Backend!P249&lt;=Backend!$R$14,Backend!Q248+Backend!$T$14,IF(Backend!P249&lt;=Backend!$R$15,Backend!Q248+Backend!$T$15,IF(Backend!P249&lt;=Backend!$X$16,Backend!Q248+Backend!$Z$16))))))</f>
        <v>0</v>
      </c>
      <c r="R249" s="19" t="str">
        <f>IF(1&lt;=ConceptDemo!$L$29,IF(P249=$W$12,ConceptDemo!$L$27,""),"")</f>
        <v/>
      </c>
      <c r="S249" s="19" t="str">
        <f>IF(2&lt;=ConceptDemo!$L$29,IF(P249=$W$13,ConceptDemo!$L$27,""),"")</f>
        <v/>
      </c>
      <c r="T249" s="19" t="str">
        <f>IF(3&lt;=ConceptDemo!$L$29,IF(P249=$W$14,ConceptDemo!$L$27,""),"")</f>
        <v/>
      </c>
      <c r="U249" s="19" t="str">
        <f>IF(4&lt;=ConceptDemo!$L$29,IF(P249=$W$15,ConceptDemo!$L$27,""),"")</f>
        <v/>
      </c>
      <c r="W249" s="18">
        <f>IF($P249&lt;ConceptDemo!$C$17+$E$24-10,$G$27,0)</f>
        <v>0</v>
      </c>
      <c r="X249" s="18">
        <f>IF($P249&lt;ConceptDemo!$C$17+$E$24-10,$H$27,0)</f>
        <v>0</v>
      </c>
      <c r="Y249" s="10">
        <f t="shared" si="27"/>
        <v>0</v>
      </c>
      <c r="Z249" s="10">
        <f t="shared" si="28"/>
        <v>0</v>
      </c>
      <c r="AA249" s="10">
        <f t="shared" si="29"/>
        <v>0</v>
      </c>
      <c r="AB249" s="10">
        <f t="shared" si="30"/>
        <v>0</v>
      </c>
      <c r="AC249" s="18">
        <f t="shared" si="31"/>
        <v>0</v>
      </c>
      <c r="AD249" s="18">
        <f>IF(P249&lt;=ConceptDemo!$C$18,AD248+SUM(W249:AB249)-(Q249-Q248)-AC249,0)</f>
        <v>0</v>
      </c>
      <c r="AE249" s="18" t="e">
        <f>IF(ConceptDemo!$C$7=Backend!$A$2,AD249,IF(AE248&lt;&gt;AD248,IF(P249&lt;=ConceptDemo!$C$18,AE248+SUM(W249:AB249)-(Q249-Q248)-AC249,0),IF(P249=ConceptDemo!#REF!,ConceptDemo!#REF!,AD249)))</f>
        <v>#REF!</v>
      </c>
      <c r="AF249" s="18" t="e">
        <f t="shared" si="33"/>
        <v>#REF!</v>
      </c>
      <c r="AG249" s="18" t="e">
        <f t="shared" si="34"/>
        <v>#REF!</v>
      </c>
      <c r="AH249" s="18" t="e">
        <f t="shared" si="32"/>
        <v>#REF!</v>
      </c>
    </row>
    <row r="250" spans="16:34" x14ac:dyDescent="0.25">
      <c r="P250" s="12" t="str">
        <f>IFERROR(IF(P249+1=ConceptDemo!$C$18+10,"",Backend!P249+1),"")</f>
        <v/>
      </c>
      <c r="Q250" s="10">
        <f>IF(OR(P250&lt;ConceptDemo!$C$17,Backend!P250&gt;ConceptDemo!$C$18),0,IF(Backend!P250&lt;=Backend!$R$12,Backend!Q249+Backend!$T$12,IF(Backend!P250&lt;=Backend!$R$13,Backend!Q249+Backend!$T$13,IF(Backend!P250&lt;=Backend!$R$14,Backend!Q249+Backend!$T$14,IF(Backend!P250&lt;=Backend!$R$15,Backend!Q249+Backend!$T$15,IF(Backend!P250&lt;=Backend!$X$16,Backend!Q249+Backend!$Z$16))))))</f>
        <v>0</v>
      </c>
      <c r="R250" s="19" t="str">
        <f>IF(1&lt;=ConceptDemo!$L$29,IF(P250=$W$12,ConceptDemo!$L$27,""),"")</f>
        <v/>
      </c>
      <c r="S250" s="19" t="str">
        <f>IF(2&lt;=ConceptDemo!$L$29,IF(P250=$W$13,ConceptDemo!$L$27,""),"")</f>
        <v/>
      </c>
      <c r="T250" s="19" t="str">
        <f>IF(3&lt;=ConceptDemo!$L$29,IF(P250=$W$14,ConceptDemo!$L$27,""),"")</f>
        <v/>
      </c>
      <c r="U250" s="19" t="str">
        <f>IF(4&lt;=ConceptDemo!$L$29,IF(P250=$W$15,ConceptDemo!$L$27,""),"")</f>
        <v/>
      </c>
      <c r="W250" s="18">
        <f>IF($P250&lt;ConceptDemo!$C$17+$E$24-10,$G$27,0)</f>
        <v>0</v>
      </c>
      <c r="X250" s="18">
        <f>IF($P250&lt;ConceptDemo!$C$17+$E$24-10,$H$27,0)</f>
        <v>0</v>
      </c>
      <c r="Y250" s="10">
        <f t="shared" si="27"/>
        <v>0</v>
      </c>
      <c r="Z250" s="10">
        <f t="shared" si="28"/>
        <v>0</v>
      </c>
      <c r="AA250" s="10">
        <f t="shared" si="29"/>
        <v>0</v>
      </c>
      <c r="AB250" s="10">
        <f t="shared" si="30"/>
        <v>0</v>
      </c>
      <c r="AC250" s="18">
        <f t="shared" si="31"/>
        <v>0</v>
      </c>
      <c r="AD250" s="18">
        <f>IF(P250&lt;=ConceptDemo!$C$18,AD249+SUM(W250:AB250)-(Q250-Q249)-AC250,0)</f>
        <v>0</v>
      </c>
      <c r="AE250" s="18" t="e">
        <f>IF(ConceptDemo!$C$7=Backend!$A$2,AD250,IF(AE249&lt;&gt;AD249,IF(P250&lt;=ConceptDemo!$C$18,AE249+SUM(W250:AB250)-(Q250-Q249)-AC250,0),IF(P250=ConceptDemo!#REF!,ConceptDemo!#REF!,AD250)))</f>
        <v>#REF!</v>
      </c>
      <c r="AF250" s="18" t="e">
        <f t="shared" si="33"/>
        <v>#REF!</v>
      </c>
      <c r="AG250" s="18" t="e">
        <f t="shared" si="34"/>
        <v>#REF!</v>
      </c>
      <c r="AH250" s="18" t="e">
        <f t="shared" si="32"/>
        <v>#REF!</v>
      </c>
    </row>
    <row r="251" spans="16:34" x14ac:dyDescent="0.25">
      <c r="P251" s="12" t="str">
        <f>IFERROR(IF(P250+1=ConceptDemo!$C$18+10,"",Backend!P250+1),"")</f>
        <v/>
      </c>
      <c r="Q251" s="10">
        <f>IF(OR(P251&lt;ConceptDemo!$C$17,Backend!P251&gt;ConceptDemo!$C$18),0,IF(Backend!P251&lt;=Backend!$R$12,Backend!Q250+Backend!$T$12,IF(Backend!P251&lt;=Backend!$R$13,Backend!Q250+Backend!$T$13,IF(Backend!P251&lt;=Backend!$R$14,Backend!Q250+Backend!$T$14,IF(Backend!P251&lt;=Backend!$R$15,Backend!Q250+Backend!$T$15,IF(Backend!P251&lt;=Backend!$X$16,Backend!Q250+Backend!$Z$16))))))</f>
        <v>0</v>
      </c>
      <c r="R251" s="19" t="str">
        <f>IF(1&lt;=ConceptDemo!$L$29,IF(P251=$W$12,ConceptDemo!$L$27,""),"")</f>
        <v/>
      </c>
      <c r="S251" s="19" t="str">
        <f>IF(2&lt;=ConceptDemo!$L$29,IF(P251=$W$13,ConceptDemo!$L$27,""),"")</f>
        <v/>
      </c>
      <c r="T251" s="19" t="str">
        <f>IF(3&lt;=ConceptDemo!$L$29,IF(P251=$W$14,ConceptDemo!$L$27,""),"")</f>
        <v/>
      </c>
      <c r="U251" s="19" t="str">
        <f>IF(4&lt;=ConceptDemo!$L$29,IF(P251=$W$15,ConceptDemo!$L$27,""),"")</f>
        <v/>
      </c>
      <c r="W251" s="18">
        <f>IF($P251&lt;ConceptDemo!$C$17+$E$24-10,$G$27,0)</f>
        <v>0</v>
      </c>
      <c r="X251" s="18">
        <f>IF($P251&lt;ConceptDemo!$C$17+$E$24-10,$H$27,0)</f>
        <v>0</v>
      </c>
      <c r="Y251" s="10">
        <f t="shared" si="27"/>
        <v>0</v>
      </c>
      <c r="Z251" s="10">
        <f t="shared" si="28"/>
        <v>0</v>
      </c>
      <c r="AA251" s="10">
        <f t="shared" si="29"/>
        <v>0</v>
      </c>
      <c r="AB251" s="10">
        <f t="shared" si="30"/>
        <v>0</v>
      </c>
      <c r="AC251" s="18">
        <f t="shared" si="31"/>
        <v>0</v>
      </c>
      <c r="AD251" s="18">
        <f>IF(P251&lt;=ConceptDemo!$C$18,AD250+SUM(W251:AB251)-(Q251-Q250)-AC251,0)</f>
        <v>0</v>
      </c>
      <c r="AE251" s="18" t="e">
        <f>IF(ConceptDemo!$C$7=Backend!$A$2,AD251,IF(AE250&lt;&gt;AD250,IF(P251&lt;=ConceptDemo!$C$18,AE250+SUM(W251:AB251)-(Q251-Q250)-AC251,0),IF(P251=ConceptDemo!#REF!,ConceptDemo!#REF!,AD251)))</f>
        <v>#REF!</v>
      </c>
      <c r="AF251" s="18" t="e">
        <f t="shared" si="33"/>
        <v>#REF!</v>
      </c>
      <c r="AG251" s="18" t="e">
        <f t="shared" si="34"/>
        <v>#REF!</v>
      </c>
      <c r="AH251" s="18" t="e">
        <f t="shared" si="32"/>
        <v>#REF!</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9D3D-86EC-4CDB-A5D3-4DA78B18B0CC}">
  <dimension ref="A1:AC495"/>
  <sheetViews>
    <sheetView zoomScale="105" workbookViewId="0">
      <selection activeCell="B35" sqref="B35"/>
    </sheetView>
  </sheetViews>
  <sheetFormatPr defaultRowHeight="15" x14ac:dyDescent="0.25"/>
  <cols>
    <col min="1" max="1" width="26.7109375" bestFit="1" customWidth="1"/>
    <col min="2" max="2" width="29.85546875" bestFit="1" customWidth="1"/>
    <col min="3" max="3" width="5" customWidth="1"/>
    <col min="12" max="12" width="10.7109375" bestFit="1" customWidth="1"/>
    <col min="13" max="13" width="12.5703125" bestFit="1" customWidth="1"/>
    <col min="14" max="14" width="11.7109375" bestFit="1" customWidth="1"/>
    <col min="15" max="25" width="11.7109375" customWidth="1"/>
    <col min="26" max="26" width="10.7109375" bestFit="1" customWidth="1"/>
    <col min="29" max="29" width="6.140625" customWidth="1"/>
    <col min="36" max="36" width="3.7109375" customWidth="1"/>
    <col min="37" max="37" width="14.140625" customWidth="1"/>
    <col min="38" max="38" width="12.5703125" customWidth="1"/>
    <col min="39" max="39" width="6.28515625" customWidth="1"/>
    <col min="40" max="40" width="15.140625" bestFit="1" customWidth="1"/>
    <col min="41" max="41" width="17.42578125" bestFit="1" customWidth="1"/>
    <col min="42" max="42" width="12.42578125" bestFit="1" customWidth="1"/>
    <col min="43" max="43" width="6" bestFit="1" customWidth="1"/>
  </cols>
  <sheetData>
    <row r="1" spans="1:29" ht="48" thickBot="1" x14ac:dyDescent="0.45">
      <c r="A1" s="127" t="s">
        <v>407</v>
      </c>
      <c r="B1" s="128"/>
      <c r="K1" s="104" t="s">
        <v>406</v>
      </c>
      <c r="L1" s="93"/>
      <c r="M1" s="92" t="s">
        <v>62</v>
      </c>
      <c r="N1" s="93"/>
      <c r="O1" s="92" t="s">
        <v>57</v>
      </c>
      <c r="P1" s="94" t="s">
        <v>6</v>
      </c>
      <c r="Q1" s="94" t="s">
        <v>59</v>
      </c>
      <c r="R1" s="92" t="s">
        <v>15</v>
      </c>
      <c r="S1" s="92" t="s">
        <v>61</v>
      </c>
      <c r="T1" s="95" t="s">
        <v>60</v>
      </c>
    </row>
    <row r="2" spans="1:29" ht="15.75" thickBot="1" x14ac:dyDescent="0.3">
      <c r="A2" s="32" t="s">
        <v>140</v>
      </c>
      <c r="B2" s="33">
        <f>ConceptDemo!C68</f>
        <v>50</v>
      </c>
      <c r="D2" s="125" t="str">
        <f>ConceptDemo!B35</f>
        <v>Soil Mineral N Test Results</v>
      </c>
      <c r="E2" s="126"/>
      <c r="K2" s="45" t="s">
        <v>0</v>
      </c>
      <c r="L2" s="102">
        <f>B24</f>
        <v>44454</v>
      </c>
      <c r="M2" s="96">
        <f>VLOOKUP(L2,ModelOutputs,2,FALSE)</f>
        <v>25.454783476593263</v>
      </c>
      <c r="N2" s="97"/>
      <c r="O2" s="96">
        <f>SUMIF($K$6:$K$495,TRUE,O6:O495)</f>
        <v>0.94184944696874529</v>
      </c>
      <c r="P2" s="96">
        <f t="shared" ref="P2:Q2" si="0">SUMIF($K$6:$K$495,TRUE,P6:P495)</f>
        <v>0</v>
      </c>
      <c r="Q2" s="96">
        <f t="shared" si="0"/>
        <v>63</v>
      </c>
      <c r="R2" s="96"/>
      <c r="S2" s="97"/>
      <c r="T2" s="46"/>
    </row>
    <row r="3" spans="1:29" ht="15.75" thickBot="1" x14ac:dyDescent="0.3">
      <c r="A3" s="45" t="s">
        <v>149</v>
      </c>
      <c r="B3" s="46">
        <f>ConceptDemo!C55</f>
        <v>0</v>
      </c>
      <c r="D3" s="89" t="str">
        <f>ConceptDemo!B36</f>
        <v>Date</v>
      </c>
      <c r="E3" s="90" t="str">
        <f>ConceptDemo!C36</f>
        <v>Value</v>
      </c>
      <c r="K3" s="47" t="s">
        <v>58</v>
      </c>
      <c r="L3" s="103">
        <f>B26</f>
        <v>44515</v>
      </c>
      <c r="M3" s="98">
        <f>VLOOKUP(L3,ModelOutputs,2,FALSE)</f>
        <v>-29.783709704542176</v>
      </c>
      <c r="N3" s="99"/>
      <c r="O3" s="99"/>
      <c r="P3" s="99"/>
      <c r="Q3" s="99"/>
      <c r="R3" s="98">
        <f>VLOOKUP($L$3,ModelOutputs,R4,FALSE)-VLOOKUP($L$3,ModelOutputs,S4,FALSE)</f>
        <v>20.925525762438802</v>
      </c>
      <c r="S3" s="100">
        <f>VLOOKUP($L$3,ModelOutputs,S4,FALSE)</f>
        <v>38.469148371352297</v>
      </c>
      <c r="T3" s="101">
        <f>SUMIF($K$6:$K$495,TRUE,T6:T495)</f>
        <v>15.749999999999996</v>
      </c>
    </row>
    <row r="4" spans="1:29" x14ac:dyDescent="0.25">
      <c r="A4" s="45" t="s">
        <v>150</v>
      </c>
      <c r="B4" s="46">
        <f>ConceptDemo!C69</f>
        <v>30</v>
      </c>
      <c r="D4" s="88">
        <f>IF(ConceptDemo!B37="","",ConceptDemo!B37)</f>
        <v>44444</v>
      </c>
      <c r="E4" s="87">
        <f>IF(ConceptDemo!C37="","",ConceptDemo!C37)</f>
        <v>20</v>
      </c>
      <c r="I4" t="str">
        <f>ConceptDemo!C11</f>
        <v>Pukekohe</v>
      </c>
      <c r="R4">
        <v>7</v>
      </c>
      <c r="S4">
        <v>8</v>
      </c>
    </row>
    <row r="5" spans="1:29" x14ac:dyDescent="0.25">
      <c r="A5" s="45" t="s">
        <v>151</v>
      </c>
      <c r="B5" s="46">
        <f>ConceptDemo!C70</f>
        <v>80</v>
      </c>
      <c r="D5" s="88" t="str">
        <f>IF(ConceptDemo!B38="","",ConceptDemo!B38)</f>
        <v/>
      </c>
      <c r="E5" s="87" t="str">
        <f>IF(ConceptDemo!C38="","",ConceptDemo!C38)</f>
        <v/>
      </c>
      <c r="G5" t="s">
        <v>389</v>
      </c>
      <c r="H5" t="s">
        <v>72</v>
      </c>
      <c r="I5" t="s">
        <v>139</v>
      </c>
      <c r="K5" t="s">
        <v>405</v>
      </c>
      <c r="L5" t="str">
        <f t="array" ref="L5:T495">_xll.GetDailyNBalance(H5:I495,A2:B39,D2:E9,D13:E19)</f>
        <v>Date</v>
      </c>
      <c r="M5" s="12" t="str">
        <v>SoilMineralN</v>
      </c>
      <c r="N5" t="str">
        <v>UptakeN</v>
      </c>
      <c r="O5" t="str">
        <v>ResidueN</v>
      </c>
      <c r="P5" t="str">
        <v>SoilOMN</v>
      </c>
      <c r="Q5" t="str">
        <v>FertiliserN</v>
      </c>
      <c r="R5" t="str">
        <v>CropN</v>
      </c>
      <c r="S5" t="str">
        <v>ProductN</v>
      </c>
      <c r="T5" t="str">
        <v>LostN</v>
      </c>
    </row>
    <row r="6" spans="1:29" ht="15.75" thickBot="1" x14ac:dyDescent="0.3">
      <c r="A6" s="45" t="s">
        <v>152</v>
      </c>
      <c r="B6" s="46">
        <f>Splits</f>
        <v>1</v>
      </c>
      <c r="D6" s="88" t="str">
        <f>IF(ConceptDemo!B39="","",ConceptDemo!B39)</f>
        <v/>
      </c>
      <c r="E6" s="87" t="str">
        <f>IF(ConceptDemo!C39="","",ConceptDemo!C39)</f>
        <v/>
      </c>
      <c r="G6" s="19">
        <f>H6-DATE(YEAR(H6),1,0)+1</f>
        <v>199</v>
      </c>
      <c r="H6" s="34">
        <f>B13</f>
        <v>44394</v>
      </c>
      <c r="I6">
        <f>HLOOKUP($I$4,meanT!$A$2:$D$368,G6,FALSE)</f>
        <v>10.689655172413699</v>
      </c>
      <c r="K6" t="b">
        <f>AND(IF(L6&gt;($B$24-1),TRUE,FALSE),IF(L6&lt;($B$26+1),TRUE,FALSE))</f>
        <v>0</v>
      </c>
      <c r="L6" s="12">
        <v>44394</v>
      </c>
      <c r="M6">
        <v>50.012827586206896</v>
      </c>
      <c r="N6">
        <v>0</v>
      </c>
      <c r="O6">
        <v>1.2827586206896441E-2</v>
      </c>
      <c r="P6" s="30">
        <v>0</v>
      </c>
      <c r="Q6">
        <v>0</v>
      </c>
      <c r="R6">
        <v>0.71293275069747797</v>
      </c>
      <c r="S6">
        <v>0.67324663336242896</v>
      </c>
      <c r="T6">
        <v>0</v>
      </c>
      <c r="Y6" s="19"/>
      <c r="Z6" s="19"/>
      <c r="AB6" s="19"/>
      <c r="AC6" s="19"/>
    </row>
    <row r="7" spans="1:29" x14ac:dyDescent="0.25">
      <c r="A7" s="35" t="s">
        <v>447</v>
      </c>
      <c r="B7" s="106" t="str">
        <f>PriorCropNameFull</f>
        <v>Annual ryegrass Fodder General</v>
      </c>
      <c r="D7" s="88" t="str">
        <f>IF(ConceptDemo!B40="","",ConceptDemo!B40)</f>
        <v/>
      </c>
      <c r="E7" s="87" t="str">
        <f>IF(ConceptDemo!C40="","",ConceptDemo!C40)</f>
        <v/>
      </c>
      <c r="G7" s="19">
        <f t="shared" ref="G7:G70" si="1">H7-DATE(YEAR(H7),1,0)+1</f>
        <v>200</v>
      </c>
      <c r="H7" s="34">
        <f>H6+1</f>
        <v>44395</v>
      </c>
      <c r="I7">
        <f>HLOOKUP($I$4,meanT!$A$2:$D$368,G7,FALSE)</f>
        <v>10.322413793103401</v>
      </c>
      <c r="K7" t="b">
        <f t="shared" ref="K7:K70" si="2">AND(IF(L7&gt;($B$24-1),TRUE,FALSE),IF(L7&lt;($B$26+1),TRUE,FALSE))</f>
        <v>0</v>
      </c>
      <c r="L7" s="12">
        <v>44395</v>
      </c>
      <c r="M7">
        <v>49.940827361487507</v>
      </c>
      <c r="N7">
        <v>8.42547096183245E-2</v>
      </c>
      <c r="O7">
        <v>1.2254484898929791E-2</v>
      </c>
      <c r="P7" s="30">
        <v>0</v>
      </c>
      <c r="Q7">
        <v>0</v>
      </c>
      <c r="R7">
        <v>0.79718746031580201</v>
      </c>
      <c r="S7">
        <v>0.75281121998013101</v>
      </c>
      <c r="T7">
        <v>0</v>
      </c>
      <c r="X7" s="19"/>
      <c r="Y7" s="19"/>
      <c r="Z7" s="19"/>
      <c r="AA7" s="19"/>
      <c r="AC7" s="19"/>
    </row>
    <row r="8" spans="1:29" x14ac:dyDescent="0.25">
      <c r="A8" s="36" t="s">
        <v>409</v>
      </c>
      <c r="B8" s="107">
        <f>PriorSaleableYield</f>
        <v>5</v>
      </c>
      <c r="D8" s="88" t="str">
        <f>IF(ConceptDemo!B41="","",ConceptDemo!B41)</f>
        <v/>
      </c>
      <c r="E8" s="87" t="str">
        <f>IF(ConceptDemo!C41="","",ConceptDemo!C41)</f>
        <v/>
      </c>
      <c r="G8" s="19">
        <f t="shared" si="1"/>
        <v>201</v>
      </c>
      <c r="H8" s="34">
        <f t="shared" ref="H8:H71" si="3">H7+1</f>
        <v>44396</v>
      </c>
      <c r="I8">
        <f>HLOOKUP($I$4,meanT!$A$2:$D$368,G8,FALSE)</f>
        <v>10.189655172413699</v>
      </c>
      <c r="K8" t="b">
        <f t="shared" si="2"/>
        <v>0</v>
      </c>
      <c r="L8" s="12">
        <v>44396</v>
      </c>
      <c r="M8">
        <v>49.860118248917892</v>
      </c>
      <c r="N8">
        <v>9.2681121120933102E-2</v>
      </c>
      <c r="O8">
        <v>1.1972008551318112E-2</v>
      </c>
      <c r="P8" s="30">
        <v>0</v>
      </c>
      <c r="Q8">
        <v>0</v>
      </c>
      <c r="R8">
        <v>0.88986858143673597</v>
      </c>
      <c r="S8">
        <v>0.84033315344423298</v>
      </c>
      <c r="T8">
        <v>0</v>
      </c>
    </row>
    <row r="9" spans="1:29" ht="15.75" thickBot="1" x14ac:dyDescent="0.3">
      <c r="A9" s="36" t="s">
        <v>410</v>
      </c>
      <c r="B9" s="107" t="str">
        <f>PriorUnits</f>
        <v>t/ha</v>
      </c>
      <c r="D9" s="111" t="str">
        <f>IF(ConceptDemo!B42="","",ConceptDemo!B42)</f>
        <v/>
      </c>
      <c r="E9" s="90" t="str">
        <f>IF(ConceptDemo!C42="","",ConceptDemo!C42)</f>
        <v/>
      </c>
      <c r="G9" s="19">
        <f t="shared" si="1"/>
        <v>202</v>
      </c>
      <c r="H9" s="34">
        <f t="shared" si="3"/>
        <v>44397</v>
      </c>
      <c r="I9">
        <f>HLOOKUP($I$4,meanT!$A$2:$D$368,G9,FALSE)</f>
        <v>10.668333333333299</v>
      </c>
      <c r="K9" t="b">
        <f t="shared" si="2"/>
        <v>0</v>
      </c>
      <c r="L9" s="12">
        <v>44397</v>
      </c>
      <c r="M9">
        <v>49.764257827916254</v>
      </c>
      <c r="N9">
        <v>0.108267115728493</v>
      </c>
      <c r="O9">
        <v>1.240669472685766E-2</v>
      </c>
      <c r="P9" s="30">
        <v>0</v>
      </c>
      <c r="Q9">
        <v>0</v>
      </c>
      <c r="R9">
        <v>0.99813569716522899</v>
      </c>
      <c r="S9">
        <v>0.942573471478098</v>
      </c>
      <c r="T9">
        <v>0</v>
      </c>
    </row>
    <row r="10" spans="1:29" x14ac:dyDescent="0.25">
      <c r="A10" s="36" t="s">
        <v>411</v>
      </c>
      <c r="B10" s="107">
        <f>PriorFieldLoss</f>
        <v>0</v>
      </c>
      <c r="G10" s="19">
        <f t="shared" si="1"/>
        <v>203</v>
      </c>
      <c r="H10" s="34">
        <f t="shared" si="3"/>
        <v>44398</v>
      </c>
      <c r="I10">
        <f>HLOOKUP($I$4,meanT!$A$2:$D$368,G10,FALSE)</f>
        <v>10.181666666666599</v>
      </c>
      <c r="K10" t="b">
        <f t="shared" si="2"/>
        <v>0</v>
      </c>
      <c r="L10" s="12">
        <v>44398</v>
      </c>
      <c r="M10">
        <v>49.660778043836046</v>
      </c>
      <c r="N10">
        <v>0.115194190962359</v>
      </c>
      <c r="O10">
        <v>1.1714406882146811E-2</v>
      </c>
      <c r="P10" s="30">
        <v>0</v>
      </c>
      <c r="Q10">
        <v>0</v>
      </c>
      <c r="R10">
        <v>1.1133298881275899</v>
      </c>
      <c r="S10">
        <v>1.05135526214832</v>
      </c>
      <c r="T10">
        <v>0</v>
      </c>
    </row>
    <row r="11" spans="1:29" ht="15.75" thickBot="1" x14ac:dyDescent="0.3">
      <c r="A11" s="36" t="s">
        <v>412</v>
      </c>
      <c r="B11" s="107">
        <f>PriorDressingLoss</f>
        <v>0</v>
      </c>
      <c r="G11" s="19">
        <f t="shared" si="1"/>
        <v>204</v>
      </c>
      <c r="H11" s="34">
        <f t="shared" si="3"/>
        <v>44399</v>
      </c>
      <c r="I11">
        <f>HLOOKUP($I$4,meanT!$A$2:$D$368,G11,FALSE)</f>
        <v>10.761666666666599</v>
      </c>
      <c r="K11" t="b">
        <f t="shared" si="2"/>
        <v>0</v>
      </c>
      <c r="L11" s="12">
        <v>44399</v>
      </c>
      <c r="M11">
        <v>49.537321930459235</v>
      </c>
      <c r="N11">
        <v>0.13571176646774699</v>
      </c>
      <c r="O11">
        <v>1.225565309094072E-2</v>
      </c>
      <c r="P11" s="30">
        <v>0</v>
      </c>
      <c r="Q11">
        <v>0</v>
      </c>
      <c r="R11">
        <v>1.24904165459534</v>
      </c>
      <c r="S11">
        <v>1.1795124968842601</v>
      </c>
      <c r="T11">
        <v>0</v>
      </c>
    </row>
    <row r="12" spans="1:29" x14ac:dyDescent="0.25">
      <c r="A12" s="36" t="s">
        <v>413</v>
      </c>
      <c r="B12" s="107">
        <f>PriorMoistureContent</f>
        <v>80</v>
      </c>
      <c r="D12" s="125" t="str">
        <f>ConceptDemo!B26</f>
        <v>Fertiliser already applied or planned</v>
      </c>
      <c r="E12" s="126"/>
      <c r="G12" s="19">
        <f t="shared" si="1"/>
        <v>205</v>
      </c>
      <c r="H12" s="34">
        <f t="shared" si="3"/>
        <v>44400</v>
      </c>
      <c r="I12">
        <f>HLOOKUP($I$4,meanT!$A$2:$D$368,G12,FALSE)</f>
        <v>10.623333333333299</v>
      </c>
      <c r="K12" t="b">
        <f t="shared" si="2"/>
        <v>0</v>
      </c>
      <c r="L12" s="12">
        <v>44400</v>
      </c>
      <c r="M12">
        <v>49.399768984366183</v>
      </c>
      <c r="N12">
        <v>0.149520865862731</v>
      </c>
      <c r="O12">
        <v>1.1967919769679815E-2</v>
      </c>
      <c r="P12" s="30">
        <v>0</v>
      </c>
      <c r="Q12">
        <v>0</v>
      </c>
      <c r="R12">
        <v>1.3985625204580701</v>
      </c>
      <c r="S12">
        <v>1.32071013363336</v>
      </c>
      <c r="T12">
        <v>0</v>
      </c>
    </row>
    <row r="13" spans="1:29" ht="15.75" thickBot="1" x14ac:dyDescent="0.3">
      <c r="A13" s="36" t="s">
        <v>414</v>
      </c>
      <c r="B13" s="109">
        <f>PriorEstablishDate</f>
        <v>44394</v>
      </c>
      <c r="D13" s="89" t="str">
        <f>ConceptDemo!B27</f>
        <v>Date</v>
      </c>
      <c r="E13" s="90" t="str">
        <f>ConceptDemo!C27</f>
        <v>Amount</v>
      </c>
      <c r="G13" s="19">
        <f t="shared" si="1"/>
        <v>206</v>
      </c>
      <c r="H13" s="34">
        <f t="shared" si="3"/>
        <v>44401</v>
      </c>
      <c r="I13">
        <f>HLOOKUP($I$4,meanT!$A$2:$D$368,G13,FALSE)</f>
        <v>10.654999999999999</v>
      </c>
      <c r="K13" t="b">
        <f t="shared" si="2"/>
        <v>0</v>
      </c>
      <c r="L13" s="12">
        <v>44401</v>
      </c>
      <c r="M13">
        <v>49.244524212486098</v>
      </c>
      <c r="N13">
        <v>0.167120848154865</v>
      </c>
      <c r="O13">
        <v>1.1876076274779273E-2</v>
      </c>
      <c r="P13" s="30">
        <v>0</v>
      </c>
      <c r="Q13">
        <v>0</v>
      </c>
      <c r="R13">
        <v>1.5656833686129299</v>
      </c>
      <c r="S13">
        <v>1.47852803199034</v>
      </c>
      <c r="T13">
        <v>0</v>
      </c>
    </row>
    <row r="14" spans="1:29" x14ac:dyDescent="0.25">
      <c r="A14" s="36" t="s">
        <v>415</v>
      </c>
      <c r="B14" s="107" t="str">
        <f>PriorEstablishStage</f>
        <v>Seed</v>
      </c>
      <c r="D14" s="151">
        <f>IF(ConceptDemo!B28="","",ConceptDemo!B28)</f>
        <v>44454</v>
      </c>
      <c r="E14" s="152">
        <f>IF(ConceptDemo!C28="","",ConceptDemo!C28)</f>
        <v>60</v>
      </c>
      <c r="G14" s="19">
        <f t="shared" si="1"/>
        <v>207</v>
      </c>
      <c r="H14" s="34">
        <f t="shared" si="3"/>
        <v>44402</v>
      </c>
      <c r="I14">
        <f>HLOOKUP($I$4,meanT!$A$2:$D$368,G14,FALSE)</f>
        <v>10.085000000000001</v>
      </c>
      <c r="K14" t="b">
        <f t="shared" si="2"/>
        <v>0</v>
      </c>
      <c r="L14" s="12">
        <v>44402</v>
      </c>
      <c r="M14">
        <v>49.08004956920859</v>
      </c>
      <c r="N14">
        <v>0.175595626612912</v>
      </c>
      <c r="O14">
        <v>1.1120983335400385E-2</v>
      </c>
      <c r="P14" s="30">
        <v>0</v>
      </c>
      <c r="Q14">
        <v>0</v>
      </c>
      <c r="R14">
        <v>1.7412789952258401</v>
      </c>
      <c r="S14">
        <v>1.64434895175403</v>
      </c>
      <c r="T14">
        <v>0</v>
      </c>
    </row>
    <row r="15" spans="1:29" x14ac:dyDescent="0.25">
      <c r="A15" s="36" t="s">
        <v>416</v>
      </c>
      <c r="B15" s="109">
        <f>PriorHarvestDate</f>
        <v>44439</v>
      </c>
      <c r="D15" s="88" t="str">
        <f>IF(ConceptDemo!B29="","",ConceptDemo!B29)</f>
        <v/>
      </c>
      <c r="E15" s="87" t="str">
        <f>IF(ConceptDemo!C29="","",ConceptDemo!C29)</f>
        <v/>
      </c>
      <c r="G15" s="19">
        <f t="shared" si="1"/>
        <v>208</v>
      </c>
      <c r="H15" s="34">
        <f t="shared" si="3"/>
        <v>44403</v>
      </c>
      <c r="I15">
        <f>HLOOKUP($I$4,meanT!$A$2:$D$368,G15,FALSE)</f>
        <v>9.99</v>
      </c>
      <c r="K15" t="b">
        <f t="shared" si="2"/>
        <v>0</v>
      </c>
      <c r="L15" s="12">
        <v>44403</v>
      </c>
      <c r="M15">
        <v>48.898716238347831</v>
      </c>
      <c r="N15">
        <v>0.192238456681528</v>
      </c>
      <c r="O15">
        <v>1.0905125820767882E-2</v>
      </c>
      <c r="P15" s="30">
        <v>0</v>
      </c>
      <c r="Q15">
        <v>0</v>
      </c>
      <c r="R15">
        <v>1.9335174519073699</v>
      </c>
      <c r="S15">
        <v>1.8258862617415501</v>
      </c>
      <c r="T15">
        <v>0</v>
      </c>
    </row>
    <row r="16" spans="1:29" x14ac:dyDescent="0.25">
      <c r="A16" s="36" t="s">
        <v>417</v>
      </c>
      <c r="B16" s="107" t="str">
        <f>PriorHarvestStage</f>
        <v>EarlyReproductive</v>
      </c>
      <c r="D16" s="88" t="str">
        <f>IF(ConceptDemo!B30="","",ConceptDemo!B30)</f>
        <v/>
      </c>
      <c r="E16" s="87" t="str">
        <f>IF(ConceptDemo!C30="","",ConceptDemo!C30)</f>
        <v/>
      </c>
      <c r="G16" s="19">
        <f t="shared" si="1"/>
        <v>209</v>
      </c>
      <c r="H16" s="34">
        <f t="shared" si="3"/>
        <v>44404</v>
      </c>
      <c r="I16">
        <f>HLOOKUP($I$4,meanT!$A$2:$D$368,G16,FALSE)</f>
        <v>10.4116666666666</v>
      </c>
      <c r="K16" t="b">
        <f t="shared" si="2"/>
        <v>0</v>
      </c>
      <c r="L16" s="12">
        <v>44404</v>
      </c>
      <c r="M16">
        <v>48.688447966297396</v>
      </c>
      <c r="N16">
        <v>0.22152015043473999</v>
      </c>
      <c r="O16">
        <v>1.1251878384304836E-2</v>
      </c>
      <c r="P16" s="30">
        <v>0</v>
      </c>
      <c r="Q16">
        <v>0</v>
      </c>
      <c r="R16">
        <v>2.1550376023421101</v>
      </c>
      <c r="S16">
        <v>2.0350752706013999</v>
      </c>
      <c r="T16">
        <v>0</v>
      </c>
    </row>
    <row r="17" spans="1:20" ht="15.75" thickBot="1" x14ac:dyDescent="0.3">
      <c r="A17" s="36" t="s">
        <v>418</v>
      </c>
      <c r="B17" s="107">
        <v>0</v>
      </c>
      <c r="D17" s="88" t="str">
        <f>IF(ConceptDemo!B31="","",ConceptDemo!B31)</f>
        <v/>
      </c>
      <c r="E17" s="87" t="str">
        <f>IF(ConceptDemo!C31="","",ConceptDemo!C31)</f>
        <v/>
      </c>
      <c r="G17" s="19">
        <f t="shared" si="1"/>
        <v>210</v>
      </c>
      <c r="H17" s="34">
        <f t="shared" si="3"/>
        <v>44405</v>
      </c>
      <c r="I17">
        <f>HLOOKUP($I$4,meanT!$A$2:$D$368,G17,FALSE)</f>
        <v>10.494999999999999</v>
      </c>
      <c r="K17" t="b">
        <f t="shared" si="2"/>
        <v>0</v>
      </c>
      <c r="L17" s="12">
        <v>44405</v>
      </c>
      <c r="M17">
        <v>48.45253603008679</v>
      </c>
      <c r="N17">
        <v>0.24713578438630299</v>
      </c>
      <c r="O17">
        <v>1.1223848175698483E-2</v>
      </c>
      <c r="P17" s="30">
        <v>0</v>
      </c>
      <c r="Q17">
        <v>0</v>
      </c>
      <c r="R17">
        <v>2.4021733867284101</v>
      </c>
      <c r="S17">
        <v>2.2684539934313999</v>
      </c>
      <c r="T17">
        <v>0</v>
      </c>
    </row>
    <row r="18" spans="1:20" ht="15.75" thickBot="1" x14ac:dyDescent="0.3">
      <c r="A18" s="38" t="s">
        <v>448</v>
      </c>
      <c r="B18" s="44" t="str">
        <f>CurrentCropNameFull</f>
        <v>Lettuce Vegetable Ice berg</v>
      </c>
      <c r="D18" s="88" t="str">
        <f>IF(ConceptDemo!B32="","",ConceptDemo!B32)</f>
        <v/>
      </c>
      <c r="E18" s="87" t="str">
        <f>IF(ConceptDemo!C32="","",ConceptDemo!C32)</f>
        <v/>
      </c>
      <c r="G18" s="19">
        <f t="shared" si="1"/>
        <v>211</v>
      </c>
      <c r="H18" s="34">
        <f t="shared" si="3"/>
        <v>44406</v>
      </c>
      <c r="I18">
        <f>HLOOKUP($I$4,meanT!$A$2:$D$368,G18,FALSE)</f>
        <v>10.685</v>
      </c>
      <c r="K18" t="b">
        <f t="shared" si="2"/>
        <v>0</v>
      </c>
      <c r="L18" s="12">
        <v>44406</v>
      </c>
      <c r="M18">
        <v>48.185454572965625</v>
      </c>
      <c r="N18">
        <v>0.278388573443698</v>
      </c>
      <c r="O18">
        <v>1.1307116322532163E-2</v>
      </c>
      <c r="P18" s="30">
        <v>0</v>
      </c>
      <c r="Q18">
        <v>0</v>
      </c>
      <c r="R18">
        <v>2.6805619601721098</v>
      </c>
      <c r="S18">
        <v>2.5313457874388701</v>
      </c>
      <c r="T18">
        <v>0</v>
      </c>
    </row>
    <row r="19" spans="1:20" ht="15.75" thickBot="1" x14ac:dyDescent="0.3">
      <c r="A19" s="39" t="s">
        <v>419</v>
      </c>
      <c r="B19" s="44">
        <f>CurrentYieldperArea</f>
        <v>42660</v>
      </c>
      <c r="D19" s="111" t="str">
        <f>IF(ConceptDemo!B33="","",ConceptDemo!B33)</f>
        <v/>
      </c>
      <c r="E19" s="90" t="str">
        <f>IF(ConceptDemo!C33="","",ConceptDemo!C33)</f>
        <v/>
      </c>
      <c r="G19" s="19">
        <f t="shared" si="1"/>
        <v>212</v>
      </c>
      <c r="H19" s="34">
        <f t="shared" si="3"/>
        <v>44407</v>
      </c>
      <c r="I19">
        <f>HLOOKUP($I$4,meanT!$A$2:$D$368,G19,FALSE)</f>
        <v>10.678333333333301</v>
      </c>
      <c r="K19" t="b">
        <f t="shared" si="2"/>
        <v>0</v>
      </c>
      <c r="L19" s="12">
        <v>44407</v>
      </c>
      <c r="M19">
        <v>47.889115152743365</v>
      </c>
      <c r="N19">
        <v>0.30751874056543399</v>
      </c>
      <c r="O19">
        <v>1.1179320343175474E-2</v>
      </c>
      <c r="P19" s="30">
        <v>0</v>
      </c>
      <c r="Q19">
        <v>0</v>
      </c>
      <c r="R19">
        <v>2.9880807007375498</v>
      </c>
      <c r="S19">
        <v>2.8217461885692501</v>
      </c>
      <c r="T19">
        <v>0</v>
      </c>
    </row>
    <row r="20" spans="1:20" x14ac:dyDescent="0.25">
      <c r="A20" s="39" t="s">
        <v>420</v>
      </c>
      <c r="B20" s="105" t="str">
        <f>CurrentUnits</f>
        <v>kg/head</v>
      </c>
      <c r="G20" s="19">
        <f t="shared" si="1"/>
        <v>213</v>
      </c>
      <c r="H20" s="34">
        <f t="shared" si="3"/>
        <v>44408</v>
      </c>
      <c r="I20">
        <f>HLOOKUP($I$4,meanT!$A$2:$D$368,G20,FALSE)</f>
        <v>10.767241379310301</v>
      </c>
      <c r="K20" t="b">
        <f t="shared" si="2"/>
        <v>0</v>
      </c>
      <c r="L20" s="12">
        <v>44408</v>
      </c>
      <c r="M20">
        <v>47.55810417673635</v>
      </c>
      <c r="N20">
        <v>0.34216300518480303</v>
      </c>
      <c r="O20">
        <v>1.1152029177788738E-2</v>
      </c>
      <c r="P20" s="30">
        <v>0</v>
      </c>
      <c r="Q20">
        <v>0</v>
      </c>
      <c r="R20">
        <v>3.3302437059223502</v>
      </c>
      <c r="S20">
        <v>3.1448623465469501</v>
      </c>
      <c r="T20">
        <v>0</v>
      </c>
    </row>
    <row r="21" spans="1:20" x14ac:dyDescent="0.25">
      <c r="A21" s="39" t="s">
        <v>421</v>
      </c>
      <c r="B21" s="40">
        <f>CurrentFieldLoss</f>
        <v>0</v>
      </c>
      <c r="G21" s="19">
        <f t="shared" si="1"/>
        <v>214</v>
      </c>
      <c r="H21" s="34">
        <f t="shared" si="3"/>
        <v>44409</v>
      </c>
      <c r="I21">
        <f>HLOOKUP($I$4,meanT!$A$2:$D$368,G21,FALSE)</f>
        <v>10.815</v>
      </c>
      <c r="K21" t="b">
        <f t="shared" si="2"/>
        <v>0</v>
      </c>
      <c r="L21" s="12">
        <v>44409</v>
      </c>
      <c r="M21">
        <v>47.190584134752847</v>
      </c>
      <c r="N21">
        <v>0.37860092733134199</v>
      </c>
      <c r="O21">
        <v>1.1080885347839445E-2</v>
      </c>
      <c r="P21" s="30">
        <v>0</v>
      </c>
      <c r="Q21">
        <v>0</v>
      </c>
      <c r="R21">
        <v>3.70884463325369</v>
      </c>
      <c r="S21">
        <v>3.50238807315209</v>
      </c>
      <c r="T21">
        <v>0</v>
      </c>
    </row>
    <row r="22" spans="1:20" x14ac:dyDescent="0.25">
      <c r="A22" s="39" t="s">
        <v>422</v>
      </c>
      <c r="B22" s="40">
        <f>CurrentDressingLoss</f>
        <v>0</v>
      </c>
      <c r="G22" s="19">
        <f t="shared" si="1"/>
        <v>215</v>
      </c>
      <c r="H22" s="34">
        <f t="shared" si="3"/>
        <v>44410</v>
      </c>
      <c r="I22">
        <f>HLOOKUP($I$4,meanT!$A$2:$D$368,G22,FALSE)</f>
        <v>11.156666666666601</v>
      </c>
      <c r="K22" t="b">
        <f t="shared" si="2"/>
        <v>0</v>
      </c>
      <c r="L22" s="12">
        <v>44410</v>
      </c>
      <c r="M22">
        <v>46.772019886858637</v>
      </c>
      <c r="N22">
        <v>0.42987157399443099</v>
      </c>
      <c r="O22">
        <v>1.1307326100221901E-2</v>
      </c>
      <c r="P22" s="30">
        <v>0</v>
      </c>
      <c r="Q22">
        <v>0</v>
      </c>
      <c r="R22">
        <v>4.1387162072481196</v>
      </c>
      <c r="S22">
        <v>3.9083304143993201</v>
      </c>
      <c r="T22">
        <v>0</v>
      </c>
    </row>
    <row r="23" spans="1:20" x14ac:dyDescent="0.25">
      <c r="A23" s="39" t="s">
        <v>423</v>
      </c>
      <c r="B23" s="40">
        <f>CurrentMoistureContent</f>
        <v>95</v>
      </c>
      <c r="G23" s="19">
        <f t="shared" si="1"/>
        <v>216</v>
      </c>
      <c r="H23" s="34">
        <f t="shared" si="3"/>
        <v>44411</v>
      </c>
      <c r="I23">
        <f>HLOOKUP($I$4,meanT!$A$2:$D$368,G23,FALSE)</f>
        <v>11.0879310344827</v>
      </c>
      <c r="K23" t="b">
        <f t="shared" si="2"/>
        <v>0</v>
      </c>
      <c r="L23" s="12">
        <v>44411</v>
      </c>
      <c r="M23">
        <v>46.313755475582376</v>
      </c>
      <c r="N23">
        <v>0.46937669868752602</v>
      </c>
      <c r="O23">
        <v>1.1112287411267071E-2</v>
      </c>
      <c r="P23" s="30">
        <v>0</v>
      </c>
      <c r="Q23">
        <v>0</v>
      </c>
      <c r="R23">
        <v>4.6080929059356501</v>
      </c>
      <c r="S23">
        <v>4.3515787879114001</v>
      </c>
      <c r="T23">
        <v>0</v>
      </c>
    </row>
    <row r="24" spans="1:20" x14ac:dyDescent="0.25">
      <c r="A24" s="39" t="s">
        <v>424</v>
      </c>
      <c r="B24" s="129">
        <f>CurrentEstablishDate</f>
        <v>44454</v>
      </c>
      <c r="G24" s="19">
        <f t="shared" si="1"/>
        <v>217</v>
      </c>
      <c r="H24" s="34">
        <f t="shared" si="3"/>
        <v>44412</v>
      </c>
      <c r="I24">
        <f>HLOOKUP($I$4,meanT!$A$2:$D$368,G24,FALSE)</f>
        <v>10.9965517241379</v>
      </c>
      <c r="K24" t="b">
        <f t="shared" si="2"/>
        <v>0</v>
      </c>
      <c r="L24" s="12">
        <v>44412</v>
      </c>
      <c r="M24">
        <v>45.815217871856902</v>
      </c>
      <c r="N24">
        <v>0.50943611425414603</v>
      </c>
      <c r="O24">
        <v>1.0898510528666461E-2</v>
      </c>
      <c r="P24" s="30">
        <v>0</v>
      </c>
      <c r="Q24">
        <v>0</v>
      </c>
      <c r="R24">
        <v>5.1175290201897896</v>
      </c>
      <c r="S24">
        <v>4.8326566294038802</v>
      </c>
      <c r="T24">
        <v>0</v>
      </c>
    </row>
    <row r="25" spans="1:20" x14ac:dyDescent="0.25">
      <c r="A25" s="39" t="s">
        <v>425</v>
      </c>
      <c r="B25" s="40" t="str">
        <f>CurrentEstablishStage</f>
        <v>Seedling</v>
      </c>
      <c r="G25" s="19">
        <f t="shared" si="1"/>
        <v>218</v>
      </c>
      <c r="H25" s="34">
        <f t="shared" si="3"/>
        <v>44413</v>
      </c>
      <c r="I25">
        <f>HLOOKUP($I$4,meanT!$A$2:$D$368,G25,FALSE)</f>
        <v>10.706395995550601</v>
      </c>
      <c r="K25" t="b">
        <f t="shared" si="2"/>
        <v>0</v>
      </c>
      <c r="L25" s="12">
        <v>44413</v>
      </c>
      <c r="M25">
        <v>45.285626209750959</v>
      </c>
      <c r="N25">
        <v>0.54008592005789802</v>
      </c>
      <c r="O25">
        <v>1.0494257951954132E-2</v>
      </c>
      <c r="P25" s="30">
        <v>0</v>
      </c>
      <c r="Q25">
        <v>0</v>
      </c>
      <c r="R25">
        <v>5.6576149402476901</v>
      </c>
      <c r="S25">
        <v>5.3426781244883799</v>
      </c>
      <c r="T25">
        <v>0</v>
      </c>
    </row>
    <row r="26" spans="1:20" x14ac:dyDescent="0.25">
      <c r="A26" s="39" t="s">
        <v>426</v>
      </c>
      <c r="B26" s="129">
        <f>CurrentHarvestDate</f>
        <v>44515</v>
      </c>
      <c r="G26" s="19">
        <f t="shared" si="1"/>
        <v>219</v>
      </c>
      <c r="H26" s="34">
        <f t="shared" si="3"/>
        <v>44414</v>
      </c>
      <c r="I26">
        <f>HLOOKUP($I$4,meanT!$A$2:$D$368,G26,FALSE)</f>
        <v>10.6327586206896</v>
      </c>
      <c r="K26" t="b">
        <f t="shared" si="2"/>
        <v>0</v>
      </c>
      <c r="L26" s="12">
        <v>44414</v>
      </c>
      <c r="M26">
        <v>44.714825464032664</v>
      </c>
      <c r="N26">
        <v>0.58111124244503298</v>
      </c>
      <c r="O26">
        <v>1.031049672674083E-2</v>
      </c>
      <c r="P26" s="30">
        <v>0</v>
      </c>
      <c r="Q26">
        <v>0</v>
      </c>
      <c r="R26">
        <v>6.2387261826927203</v>
      </c>
      <c r="S26">
        <v>5.8914412262008797</v>
      </c>
      <c r="T26">
        <v>0</v>
      </c>
    </row>
    <row r="27" spans="1:20" x14ac:dyDescent="0.25">
      <c r="A27" s="39" t="s">
        <v>427</v>
      </c>
      <c r="B27" s="40" t="str">
        <f>CurrentHarvestStage</f>
        <v>Vegetative</v>
      </c>
      <c r="G27" s="19">
        <f t="shared" si="1"/>
        <v>220</v>
      </c>
      <c r="H27" s="34">
        <f t="shared" si="3"/>
        <v>44415</v>
      </c>
      <c r="I27">
        <f>HLOOKUP($I$4,meanT!$A$2:$D$368,G27,FALSE)</f>
        <v>10.7362068965517</v>
      </c>
      <c r="K27" t="b">
        <f t="shared" si="2"/>
        <v>0</v>
      </c>
      <c r="L27" s="12">
        <v>44415</v>
      </c>
      <c r="M27">
        <v>44.09182385743447</v>
      </c>
      <c r="N27">
        <v>0.63330172062308399</v>
      </c>
      <c r="O27">
        <v>1.0300114024886576E-2</v>
      </c>
      <c r="P27" s="30">
        <v>0</v>
      </c>
      <c r="Q27">
        <v>0</v>
      </c>
      <c r="R27">
        <v>6.8720279033158098</v>
      </c>
      <c r="S27">
        <v>6.4894895707256604</v>
      </c>
      <c r="T27">
        <v>0</v>
      </c>
    </row>
    <row r="28" spans="1:20" ht="15.75" thickBot="1" x14ac:dyDescent="0.3">
      <c r="A28" s="39" t="s">
        <v>428</v>
      </c>
      <c r="B28" s="40">
        <v>0</v>
      </c>
      <c r="G28" s="19">
        <f t="shared" si="1"/>
        <v>221</v>
      </c>
      <c r="H28" s="34">
        <f t="shared" si="3"/>
        <v>44416</v>
      </c>
      <c r="I28">
        <f>HLOOKUP($I$4,meanT!$A$2:$D$368,G28,FALSE)</f>
        <v>10.733333333333301</v>
      </c>
      <c r="K28" t="b">
        <f t="shared" si="2"/>
        <v>0</v>
      </c>
      <c r="L28" s="12">
        <v>44416</v>
      </c>
      <c r="M28">
        <v>43.421319272720659</v>
      </c>
      <c r="N28">
        <v>0.68069138733924694</v>
      </c>
      <c r="O28">
        <v>1.0186802625433325E-2</v>
      </c>
      <c r="P28" s="30">
        <v>0</v>
      </c>
      <c r="Q28">
        <v>0</v>
      </c>
      <c r="R28">
        <v>7.5527192906550598</v>
      </c>
      <c r="S28">
        <v>7.1322895885907602</v>
      </c>
      <c r="T28">
        <v>0</v>
      </c>
    </row>
    <row r="29" spans="1:20" x14ac:dyDescent="0.25">
      <c r="A29" s="35" t="s">
        <v>449</v>
      </c>
      <c r="B29" s="106" t="str">
        <f>FollowingCropFullName</f>
        <v>Annual ryegrass Fodder General</v>
      </c>
      <c r="G29" s="19">
        <f t="shared" si="1"/>
        <v>222</v>
      </c>
      <c r="H29" s="34">
        <f t="shared" si="3"/>
        <v>44417</v>
      </c>
      <c r="I29">
        <f>HLOOKUP($I$4,meanT!$A$2:$D$368,G29,FALSE)</f>
        <v>10.86</v>
      </c>
      <c r="K29" t="b">
        <f t="shared" si="2"/>
        <v>0</v>
      </c>
      <c r="L29" s="12">
        <v>44417</v>
      </c>
      <c r="M29">
        <v>42.694161207099071</v>
      </c>
      <c r="N29">
        <v>0.73735445649590403</v>
      </c>
      <c r="O29">
        <v>1.0196390874314462E-2</v>
      </c>
      <c r="P29" s="30">
        <v>0</v>
      </c>
      <c r="Q29">
        <v>0</v>
      </c>
      <c r="R29">
        <v>8.2900737471509593</v>
      </c>
      <c r="S29">
        <v>7.8285984689795303</v>
      </c>
      <c r="T29">
        <v>0</v>
      </c>
    </row>
    <row r="30" spans="1:20" x14ac:dyDescent="0.25">
      <c r="A30" s="36" t="s">
        <v>429</v>
      </c>
      <c r="B30" s="107">
        <f>FollowingYieldPerArea</f>
        <v>5</v>
      </c>
      <c r="G30" s="19">
        <f t="shared" si="1"/>
        <v>223</v>
      </c>
      <c r="H30" s="34">
        <f t="shared" si="3"/>
        <v>44418</v>
      </c>
      <c r="I30">
        <f>HLOOKUP($I$4,meanT!$A$2:$D$368,G30,FALSE)</f>
        <v>10.6416666666666</v>
      </c>
      <c r="K30" t="b">
        <f t="shared" si="2"/>
        <v>0</v>
      </c>
      <c r="L30" s="12">
        <v>44418</v>
      </c>
      <c r="M30">
        <v>41.934518989498798</v>
      </c>
      <c r="N30">
        <v>0.76952510998413703</v>
      </c>
      <c r="O30">
        <v>9.8828923838616533E-3</v>
      </c>
      <c r="P30" s="30">
        <v>0</v>
      </c>
      <c r="Q30">
        <v>0</v>
      </c>
      <c r="R30">
        <v>9.0595988571351</v>
      </c>
      <c r="S30">
        <v>8.5552871911315496</v>
      </c>
      <c r="T30">
        <v>0</v>
      </c>
    </row>
    <row r="31" spans="1:20" x14ac:dyDescent="0.25">
      <c r="A31" s="36" t="s">
        <v>430</v>
      </c>
      <c r="B31" s="107" t="str">
        <f>FollowingUnits</f>
        <v>t/ha</v>
      </c>
      <c r="G31" s="19">
        <f t="shared" si="1"/>
        <v>224</v>
      </c>
      <c r="H31" s="34">
        <f t="shared" si="3"/>
        <v>44419</v>
      </c>
      <c r="I31">
        <f>HLOOKUP($I$4,meanT!$A$2:$D$368,G31,FALSE)</f>
        <v>10.8983333333333</v>
      </c>
      <c r="K31" t="b">
        <f t="shared" si="2"/>
        <v>0</v>
      </c>
      <c r="L31" s="12">
        <v>44419</v>
      </c>
      <c r="M31">
        <v>41.10949440626279</v>
      </c>
      <c r="N31">
        <v>0.83503813433213003</v>
      </c>
      <c r="O31">
        <v>1.0013551096119745E-2</v>
      </c>
      <c r="P31" s="30">
        <v>0</v>
      </c>
      <c r="Q31">
        <v>0</v>
      </c>
      <c r="R31">
        <v>9.8946369914672303</v>
      </c>
      <c r="S31">
        <v>9.3438420893577199</v>
      </c>
      <c r="T31">
        <v>0</v>
      </c>
    </row>
    <row r="32" spans="1:20" x14ac:dyDescent="0.25">
      <c r="A32" s="36" t="s">
        <v>431</v>
      </c>
      <c r="B32" s="107">
        <f>FollowingFieldLoss</f>
        <v>0</v>
      </c>
      <c r="G32" s="19">
        <f t="shared" si="1"/>
        <v>225</v>
      </c>
      <c r="H32" s="34">
        <f t="shared" si="3"/>
        <v>44420</v>
      </c>
      <c r="I32">
        <f>HLOOKUP($I$4,meanT!$A$2:$D$368,G32,FALSE)</f>
        <v>10.62</v>
      </c>
      <c r="K32" t="b">
        <f t="shared" si="2"/>
        <v>0</v>
      </c>
      <c r="L32" s="12">
        <v>44420</v>
      </c>
      <c r="M32">
        <v>40.261773349212817</v>
      </c>
      <c r="N32">
        <v>0.85737252741849102</v>
      </c>
      <c r="O32">
        <v>9.6514703685146135E-3</v>
      </c>
      <c r="P32" s="30">
        <v>0</v>
      </c>
      <c r="Q32">
        <v>0</v>
      </c>
      <c r="R32">
        <v>10.7520095188857</v>
      </c>
      <c r="S32">
        <v>10.1534881142559</v>
      </c>
      <c r="T32">
        <v>0</v>
      </c>
    </row>
    <row r="33" spans="1:26" x14ac:dyDescent="0.25">
      <c r="A33" s="36" t="s">
        <v>432</v>
      </c>
      <c r="B33" s="107">
        <f>FollowingDressingLoss</f>
        <v>0</v>
      </c>
      <c r="G33" s="19">
        <f t="shared" si="1"/>
        <v>226</v>
      </c>
      <c r="H33" s="34">
        <f t="shared" si="3"/>
        <v>44421</v>
      </c>
      <c r="I33">
        <f>HLOOKUP($I$4,meanT!$A$2:$D$368,G33,FALSE)</f>
        <v>10.851666666666601</v>
      </c>
      <c r="K33" t="b">
        <f t="shared" si="2"/>
        <v>0</v>
      </c>
      <c r="L33" s="12">
        <v>44421</v>
      </c>
      <c r="M33">
        <v>39.353932909794658</v>
      </c>
      <c r="N33">
        <v>0.91759771422749603</v>
      </c>
      <c r="O33">
        <v>9.7572748093363564E-3</v>
      </c>
      <c r="P33" s="30">
        <v>0</v>
      </c>
      <c r="Q33">
        <v>0</v>
      </c>
      <c r="R33">
        <v>11.669607233113201</v>
      </c>
      <c r="S33">
        <v>11.020006830474699</v>
      </c>
      <c r="T33">
        <v>0</v>
      </c>
    </row>
    <row r="34" spans="1:26" x14ac:dyDescent="0.25">
      <c r="A34" s="36" t="s">
        <v>433</v>
      </c>
      <c r="B34" s="107">
        <f>FollowingMoistureLoss</f>
        <v>80</v>
      </c>
      <c r="G34" s="19">
        <f t="shared" si="1"/>
        <v>227</v>
      </c>
      <c r="H34" s="34">
        <f t="shared" si="3"/>
        <v>44422</v>
      </c>
      <c r="I34">
        <f>HLOOKUP($I$4,meanT!$A$2:$D$368,G34,FALSE)</f>
        <v>10.715517241379301</v>
      </c>
      <c r="K34" t="b">
        <f t="shared" si="2"/>
        <v>0</v>
      </c>
      <c r="L34" s="12">
        <v>44422</v>
      </c>
      <c r="M34">
        <v>38.420040299017039</v>
      </c>
      <c r="N34">
        <v>0.94342291260074695</v>
      </c>
      <c r="O34">
        <v>9.530301823125047E-3</v>
      </c>
      <c r="P34" s="30">
        <v>0</v>
      </c>
      <c r="Q34">
        <v>0</v>
      </c>
      <c r="R34">
        <v>12.613030145713999</v>
      </c>
      <c r="S34">
        <v>11.9109131594714</v>
      </c>
      <c r="T34">
        <v>0</v>
      </c>
    </row>
    <row r="35" spans="1:26" x14ac:dyDescent="0.25">
      <c r="A35" s="36" t="s">
        <v>434</v>
      </c>
      <c r="B35" s="109">
        <f>FollowingEstablishDate</f>
        <v>44530</v>
      </c>
      <c r="G35" s="19">
        <f t="shared" si="1"/>
        <v>228</v>
      </c>
      <c r="H35" s="34">
        <f t="shared" si="3"/>
        <v>44423</v>
      </c>
      <c r="I35">
        <f>HLOOKUP($I$4,meanT!$A$2:$D$368,G35,FALSE)</f>
        <v>10.171666666666599</v>
      </c>
      <c r="K35" t="b">
        <f t="shared" si="2"/>
        <v>0</v>
      </c>
      <c r="L35" s="12">
        <v>44423</v>
      </c>
      <c r="M35">
        <v>37.503384722054889</v>
      </c>
      <c r="N35">
        <v>0.925605243051006</v>
      </c>
      <c r="O35">
        <v>8.9496660888558777E-3</v>
      </c>
      <c r="P35" s="30">
        <v>0</v>
      </c>
      <c r="Q35">
        <v>0</v>
      </c>
      <c r="R35">
        <v>13.538635388765</v>
      </c>
      <c r="S35">
        <v>12.784993657382399</v>
      </c>
      <c r="T35">
        <v>0</v>
      </c>
    </row>
    <row r="36" spans="1:26" x14ac:dyDescent="0.25">
      <c r="A36" s="36" t="s">
        <v>435</v>
      </c>
      <c r="B36" s="107" t="str">
        <f>FollowingEstablishStage</f>
        <v>Seed</v>
      </c>
      <c r="G36" s="19">
        <f t="shared" si="1"/>
        <v>229</v>
      </c>
      <c r="H36" s="34">
        <f t="shared" si="3"/>
        <v>44424</v>
      </c>
      <c r="I36">
        <f>HLOOKUP($I$4,meanT!$A$2:$D$368,G36,FALSE)</f>
        <v>10.203333333333299</v>
      </c>
      <c r="K36" t="b">
        <f t="shared" si="2"/>
        <v>0</v>
      </c>
      <c r="L36" s="12">
        <v>44424</v>
      </c>
      <c r="M36">
        <v>36.559132433973197</v>
      </c>
      <c r="N36">
        <v>0.95313850005057799</v>
      </c>
      <c r="O36">
        <v>8.8862119688848853E-3</v>
      </c>
      <c r="P36">
        <v>0</v>
      </c>
      <c r="Q36">
        <v>0</v>
      </c>
      <c r="R36">
        <v>14.4917738888155</v>
      </c>
      <c r="S36">
        <v>13.685074745899399</v>
      </c>
      <c r="T36">
        <v>0</v>
      </c>
    </row>
    <row r="37" spans="1:26" x14ac:dyDescent="0.25">
      <c r="A37" s="36" t="s">
        <v>436</v>
      </c>
      <c r="B37" s="109">
        <f>FollowingHarvestDate</f>
        <v>44590</v>
      </c>
      <c r="G37" s="19">
        <f t="shared" si="1"/>
        <v>230</v>
      </c>
      <c r="H37" s="34">
        <f t="shared" si="3"/>
        <v>44425</v>
      </c>
      <c r="I37">
        <f>HLOOKUP($I$4,meanT!$A$2:$D$368,G37,FALSE)</f>
        <v>10.0833333333333</v>
      </c>
      <c r="K37" t="b">
        <f t="shared" si="2"/>
        <v>0</v>
      </c>
      <c r="L37" s="12">
        <v>44425</v>
      </c>
      <c r="M37">
        <v>35.606801750917462</v>
      </c>
      <c r="N37">
        <v>0.96102278287047904</v>
      </c>
      <c r="O37">
        <v>8.6920998147466469E-3</v>
      </c>
      <c r="P37">
        <v>0</v>
      </c>
      <c r="Q37">
        <v>0</v>
      </c>
      <c r="R37">
        <v>15.452796671686</v>
      </c>
      <c r="S37">
        <v>14.592601230717399</v>
      </c>
      <c r="T37">
        <v>0</v>
      </c>
    </row>
    <row r="38" spans="1:26" x14ac:dyDescent="0.25">
      <c r="A38" s="36" t="s">
        <v>437</v>
      </c>
      <c r="B38" s="107" t="str">
        <f>FollowingHarvestStage</f>
        <v>EarlyReproductive</v>
      </c>
      <c r="G38" s="19">
        <f t="shared" si="1"/>
        <v>231</v>
      </c>
      <c r="H38" s="34">
        <f t="shared" si="3"/>
        <v>44426</v>
      </c>
      <c r="I38">
        <f>HLOOKUP($I$4,meanT!$A$2:$D$368,G38,FALSE)</f>
        <v>10.0833333333333</v>
      </c>
      <c r="K38" t="b">
        <f t="shared" si="2"/>
        <v>0</v>
      </c>
      <c r="L38" s="12">
        <v>44426</v>
      </c>
      <c r="M38">
        <v>34.640969802782593</v>
      </c>
      <c r="N38">
        <v>0.97443640260981801</v>
      </c>
      <c r="O38">
        <v>8.6044544749479517E-3</v>
      </c>
      <c r="P38">
        <v>0</v>
      </c>
      <c r="Q38">
        <v>0</v>
      </c>
      <c r="R38">
        <v>16.427233074295799</v>
      </c>
      <c r="S38">
        <v>15.5127946526651</v>
      </c>
      <c r="T38">
        <v>0</v>
      </c>
    </row>
    <row r="39" spans="1:26" ht="15.75" thickBot="1" x14ac:dyDescent="0.3">
      <c r="A39" s="37" t="s">
        <v>438</v>
      </c>
      <c r="B39" s="108">
        <v>0</v>
      </c>
      <c r="G39" s="19">
        <f t="shared" si="1"/>
        <v>232</v>
      </c>
      <c r="H39" s="34">
        <f t="shared" si="3"/>
        <v>44427</v>
      </c>
      <c r="I39">
        <f>HLOOKUP($I$4,meanT!$A$2:$D$368,G39,FALSE)</f>
        <v>10.1383333333333</v>
      </c>
      <c r="K39" t="b">
        <f t="shared" si="2"/>
        <v>0</v>
      </c>
      <c r="L39" s="12">
        <v>44427</v>
      </c>
      <c r="M39">
        <v>33.662188423811386</v>
      </c>
      <c r="N39">
        <v>0.98734553200657904</v>
      </c>
      <c r="O39">
        <v>8.5641530353746092E-3</v>
      </c>
      <c r="P39">
        <v>0</v>
      </c>
      <c r="Q39">
        <v>0</v>
      </c>
      <c r="R39">
        <v>17.414578606302399</v>
      </c>
      <c r="S39">
        <v>16.4451786043611</v>
      </c>
      <c r="T39">
        <v>0</v>
      </c>
    </row>
    <row r="40" spans="1:26" x14ac:dyDescent="0.25">
      <c r="A40" s="45"/>
      <c r="B40" s="46"/>
      <c r="G40" s="19">
        <f t="shared" si="1"/>
        <v>233</v>
      </c>
      <c r="H40" s="34">
        <f t="shared" si="3"/>
        <v>44428</v>
      </c>
      <c r="I40">
        <f>HLOOKUP($I$4,meanT!$A$2:$D$368,G40,FALSE)</f>
        <v>10.421666666666599</v>
      </c>
      <c r="K40" t="b">
        <f t="shared" si="2"/>
        <v>0</v>
      </c>
      <c r="L40" s="12">
        <v>44428</v>
      </c>
      <c r="M40">
        <v>32.654491567414702</v>
      </c>
      <c r="N40">
        <v>1.0164110968147</v>
      </c>
      <c r="O40">
        <v>8.7142404180163193E-3</v>
      </c>
      <c r="P40">
        <v>0</v>
      </c>
      <c r="Q40">
        <v>0</v>
      </c>
      <c r="R40">
        <v>18.430989703117099</v>
      </c>
      <c r="S40">
        <v>17.405010157019099</v>
      </c>
      <c r="T40">
        <v>0</v>
      </c>
    </row>
    <row r="41" spans="1:26" ht="15.75" thickBot="1" x14ac:dyDescent="0.3">
      <c r="A41" s="47"/>
      <c r="B41" s="48"/>
      <c r="G41" s="19">
        <f t="shared" si="1"/>
        <v>234</v>
      </c>
      <c r="H41" s="34">
        <f t="shared" si="3"/>
        <v>44429</v>
      </c>
      <c r="I41">
        <f>HLOOKUP($I$4,meanT!$A$2:$D$368,G41,FALSE)</f>
        <v>10.703333333333299</v>
      </c>
      <c r="K41" t="b">
        <f t="shared" si="2"/>
        <v>0</v>
      </c>
      <c r="L41" s="12">
        <v>44429</v>
      </c>
      <c r="M41">
        <v>31.624910239815996</v>
      </c>
      <c r="N41">
        <v>1.0384378166080801</v>
      </c>
      <c r="O41">
        <v>8.8564890093732543E-3</v>
      </c>
      <c r="P41">
        <v>0</v>
      </c>
      <c r="Q41">
        <v>0</v>
      </c>
      <c r="R41">
        <v>19.469427519725201</v>
      </c>
      <c r="S41">
        <v>18.385642289998898</v>
      </c>
      <c r="T41">
        <v>0</v>
      </c>
    </row>
    <row r="42" spans="1:26" x14ac:dyDescent="0.25">
      <c r="G42" s="19">
        <f t="shared" si="1"/>
        <v>235</v>
      </c>
      <c r="H42" s="34">
        <f t="shared" si="3"/>
        <v>44430</v>
      </c>
      <c r="I42">
        <f>HLOOKUP($I$4,meanT!$A$2:$D$368,G42,FALSE)</f>
        <v>10.8266666666666</v>
      </c>
      <c r="K42" t="b">
        <f t="shared" si="2"/>
        <v>0</v>
      </c>
      <c r="L42" s="12">
        <v>44430</v>
      </c>
      <c r="M42">
        <v>30.596199149707399</v>
      </c>
      <c r="N42">
        <v>1.03757374521285</v>
      </c>
      <c r="O42">
        <v>8.8626551042521803E-3</v>
      </c>
      <c r="P42">
        <v>0</v>
      </c>
      <c r="Q42">
        <v>0</v>
      </c>
      <c r="R42">
        <v>20.507001264938101</v>
      </c>
      <c r="S42">
        <v>19.365458450985201</v>
      </c>
      <c r="T42">
        <v>0</v>
      </c>
    </row>
    <row r="43" spans="1:26" x14ac:dyDescent="0.25">
      <c r="G43" s="19">
        <f t="shared" si="1"/>
        <v>236</v>
      </c>
      <c r="H43" s="34">
        <f t="shared" si="3"/>
        <v>44431</v>
      </c>
      <c r="I43">
        <f>HLOOKUP($I$4,meanT!$A$2:$D$368,G43,FALSE)</f>
        <v>11.0766666666666</v>
      </c>
      <c r="K43" t="b">
        <f t="shared" si="2"/>
        <v>0</v>
      </c>
      <c r="L43" s="12">
        <v>44431</v>
      </c>
      <c r="M43">
        <v>29.564280486271297</v>
      </c>
      <c r="N43">
        <v>1.0408877986117699</v>
      </c>
      <c r="O43">
        <v>8.969135175669822E-3</v>
      </c>
      <c r="P43">
        <v>0</v>
      </c>
      <c r="Q43">
        <v>0</v>
      </c>
      <c r="R43">
        <v>21.5478890635498</v>
      </c>
      <c r="S43">
        <v>20.348404185260801</v>
      </c>
      <c r="T43">
        <v>0</v>
      </c>
      <c r="Z43" s="43"/>
    </row>
    <row r="44" spans="1:26" x14ac:dyDescent="0.25">
      <c r="G44" s="19">
        <f t="shared" si="1"/>
        <v>237</v>
      </c>
      <c r="H44" s="34">
        <f t="shared" si="3"/>
        <v>44432</v>
      </c>
      <c r="I44">
        <f>HLOOKUP($I$4,meanT!$A$2:$D$368,G44,FALSE)</f>
        <v>11.088333333333299</v>
      </c>
      <c r="K44" t="b">
        <f t="shared" si="2"/>
        <v>0</v>
      </c>
      <c r="L44" s="12">
        <v>44432</v>
      </c>
      <c r="M44">
        <v>28.558974572558164</v>
      </c>
      <c r="N44">
        <v>1.0141850430055199</v>
      </c>
      <c r="O44">
        <v>8.8791292923842378E-3</v>
      </c>
      <c r="P44">
        <v>0</v>
      </c>
      <c r="Q44">
        <v>0</v>
      </c>
      <c r="R44">
        <v>22.562074106555301</v>
      </c>
      <c r="S44">
        <v>21.306133599629799</v>
      </c>
      <c r="T44">
        <v>0</v>
      </c>
    </row>
    <row r="45" spans="1:26" x14ac:dyDescent="0.25">
      <c r="G45" s="19">
        <f t="shared" si="1"/>
        <v>238</v>
      </c>
      <c r="H45" s="34">
        <f t="shared" si="3"/>
        <v>44433</v>
      </c>
      <c r="I45">
        <f>HLOOKUP($I$4,meanT!$A$2:$D$368,G45,FALSE)</f>
        <v>11.283333333333299</v>
      </c>
      <c r="K45" t="b">
        <f t="shared" si="2"/>
        <v>0</v>
      </c>
      <c r="L45" s="12">
        <v>44433</v>
      </c>
      <c r="M45">
        <v>27.570816768579753</v>
      </c>
      <c r="N45">
        <v>0.99709289591945105</v>
      </c>
      <c r="O45">
        <v>8.9350919410393966E-3</v>
      </c>
      <c r="P45">
        <v>0</v>
      </c>
      <c r="Q45">
        <v>0</v>
      </c>
      <c r="R45">
        <v>23.559167002474801</v>
      </c>
      <c r="S45">
        <v>22.247722318440399</v>
      </c>
      <c r="T45">
        <v>0</v>
      </c>
    </row>
    <row r="46" spans="1:26" x14ac:dyDescent="0.25">
      <c r="G46" s="19">
        <f t="shared" si="1"/>
        <v>239</v>
      </c>
      <c r="H46" s="34">
        <f t="shared" si="3"/>
        <v>44434</v>
      </c>
      <c r="I46">
        <f>HLOOKUP($I$4,meanT!$A$2:$D$368,G46,FALSE)</f>
        <v>11.1383333333333</v>
      </c>
      <c r="K46" t="b">
        <f t="shared" si="2"/>
        <v>0</v>
      </c>
      <c r="L46" s="12">
        <v>44434</v>
      </c>
      <c r="M46">
        <v>26.63521011127699</v>
      </c>
      <c r="N46">
        <v>0.944327404021021</v>
      </c>
      <c r="O46">
        <v>8.7207467182564401E-3</v>
      </c>
      <c r="P46">
        <v>0</v>
      </c>
      <c r="Q46">
        <v>0</v>
      </c>
      <c r="R46">
        <v>24.5034944064958</v>
      </c>
      <c r="S46">
        <v>23.1394827894344</v>
      </c>
      <c r="T46">
        <v>0</v>
      </c>
    </row>
    <row r="47" spans="1:26" x14ac:dyDescent="0.25">
      <c r="G47" s="19">
        <f t="shared" si="1"/>
        <v>240</v>
      </c>
      <c r="H47" s="34">
        <f t="shared" si="3"/>
        <v>44435</v>
      </c>
      <c r="I47">
        <f>HLOOKUP($I$4,meanT!$A$2:$D$368,G47,FALSE)</f>
        <v>11.1133333333333</v>
      </c>
      <c r="K47" t="b">
        <f t="shared" si="2"/>
        <v>0</v>
      </c>
      <c r="L47" s="12">
        <v>44435</v>
      </c>
      <c r="M47">
        <v>25.745516251235113</v>
      </c>
      <c r="N47">
        <v>0.898298116470446</v>
      </c>
      <c r="O47">
        <v>8.6042564285698109E-3</v>
      </c>
      <c r="P47">
        <v>0</v>
      </c>
      <c r="Q47">
        <v>0</v>
      </c>
      <c r="R47">
        <v>25.4017925229663</v>
      </c>
      <c r="S47">
        <v>23.987776239381699</v>
      </c>
      <c r="T47">
        <v>0</v>
      </c>
    </row>
    <row r="48" spans="1:26" x14ac:dyDescent="0.25">
      <c r="G48" s="19">
        <f t="shared" si="1"/>
        <v>241</v>
      </c>
      <c r="H48" s="34">
        <f t="shared" si="3"/>
        <v>44436</v>
      </c>
      <c r="I48">
        <f>HLOOKUP($I$4,meanT!$A$2:$D$368,G48,FALSE)</f>
        <v>10.7724137931034</v>
      </c>
      <c r="K48" t="b">
        <f t="shared" si="2"/>
        <v>0</v>
      </c>
      <c r="L48" s="12">
        <v>44436</v>
      </c>
      <c r="M48">
        <v>24.928008267409457</v>
      </c>
      <c r="N48">
        <v>0.825755602110394</v>
      </c>
      <c r="O48">
        <v>8.2476182847375911E-3</v>
      </c>
      <c r="P48">
        <v>0</v>
      </c>
      <c r="Q48">
        <v>0</v>
      </c>
      <c r="R48">
        <v>26.227548125076702</v>
      </c>
      <c r="S48">
        <v>24.7675653268617</v>
      </c>
      <c r="T48">
        <v>0</v>
      </c>
    </row>
    <row r="49" spans="1:20" x14ac:dyDescent="0.25">
      <c r="A49" s="5"/>
      <c r="B49" s="5"/>
      <c r="G49" s="19">
        <f t="shared" si="1"/>
        <v>242</v>
      </c>
      <c r="H49" s="34">
        <f t="shared" si="3"/>
        <v>44437</v>
      </c>
      <c r="I49">
        <f>HLOOKUP($I$4,meanT!$A$2:$D$368,G49,FALSE)</f>
        <v>10.753448275862</v>
      </c>
      <c r="K49" t="b">
        <f t="shared" si="2"/>
        <v>0</v>
      </c>
      <c r="L49" s="12">
        <v>44437</v>
      </c>
      <c r="M49">
        <v>24.158138457896079</v>
      </c>
      <c r="N49">
        <v>0.77801421700676299</v>
      </c>
      <c r="O49">
        <v>8.1444074933869452E-3</v>
      </c>
      <c r="P49">
        <v>0</v>
      </c>
      <c r="Q49">
        <v>0</v>
      </c>
      <c r="R49">
        <v>27.005562342083401</v>
      </c>
      <c r="S49">
        <v>25.502270601370999</v>
      </c>
      <c r="T49">
        <v>0</v>
      </c>
    </row>
    <row r="50" spans="1:20" x14ac:dyDescent="0.25">
      <c r="G50" s="19">
        <f t="shared" si="1"/>
        <v>243</v>
      </c>
      <c r="H50" s="34">
        <f t="shared" si="3"/>
        <v>44438</v>
      </c>
      <c r="I50">
        <f>HLOOKUP($I$4,meanT!$A$2:$D$368,G50,FALSE)</f>
        <v>10.891379310344799</v>
      </c>
      <c r="K50" t="b">
        <f t="shared" si="2"/>
        <v>0</v>
      </c>
      <c r="L50" s="12">
        <v>44438</v>
      </c>
      <c r="M50">
        <v>23.426716795760523</v>
      </c>
      <c r="N50">
        <v>0.73958183150225698</v>
      </c>
      <c r="O50">
        <v>8.1601693666993654E-3</v>
      </c>
      <c r="P50">
        <v>0</v>
      </c>
      <c r="Q50">
        <v>0</v>
      </c>
      <c r="R50">
        <v>27.7451441735857</v>
      </c>
      <c r="S50">
        <v>26.200682867700198</v>
      </c>
      <c r="T50">
        <v>0</v>
      </c>
    </row>
    <row r="51" spans="1:20" x14ac:dyDescent="0.25">
      <c r="G51" s="19">
        <f t="shared" si="1"/>
        <v>244</v>
      </c>
      <c r="H51" s="34">
        <f t="shared" si="3"/>
        <v>44439</v>
      </c>
      <c r="I51">
        <f>HLOOKUP($I$4,meanT!$A$2:$D$368,G51,FALSE)</f>
        <v>10.953448275862</v>
      </c>
      <c r="K51" t="b">
        <f t="shared" si="2"/>
        <v>0</v>
      </c>
      <c r="L51" s="12">
        <v>44439</v>
      </c>
      <c r="M51">
        <v>22.740656376349829</v>
      </c>
      <c r="N51">
        <v>0.69417771083642799</v>
      </c>
      <c r="O51">
        <v>8.1172914257324515E-3</v>
      </c>
      <c r="P51">
        <v>0</v>
      </c>
      <c r="Q51">
        <v>0</v>
      </c>
      <c r="R51">
        <v>28.4393218844221</v>
      </c>
      <c r="S51">
        <v>26.856218479325101</v>
      </c>
      <c r="T51">
        <v>0</v>
      </c>
    </row>
    <row r="52" spans="1:20" x14ac:dyDescent="0.25">
      <c r="G52" s="19">
        <f t="shared" si="1"/>
        <v>245</v>
      </c>
      <c r="H52" s="34">
        <f t="shared" si="3"/>
        <v>44440</v>
      </c>
      <c r="I52">
        <f>HLOOKUP($I$4,meanT!$A$2:$D$368,G52,FALSE)</f>
        <v>10.803333333333301</v>
      </c>
      <c r="K52" t="b">
        <f t="shared" si="2"/>
        <v>0</v>
      </c>
      <c r="L52" s="12">
        <v>44440</v>
      </c>
      <c r="M52">
        <v>22.761718345972643</v>
      </c>
      <c r="N52">
        <v>0</v>
      </c>
      <c r="O52">
        <v>2.1061969622813148E-2</v>
      </c>
      <c r="P52">
        <v>0</v>
      </c>
      <c r="Q52">
        <v>0</v>
      </c>
      <c r="R52">
        <v>0</v>
      </c>
      <c r="S52">
        <v>0</v>
      </c>
      <c r="T52">
        <v>0</v>
      </c>
    </row>
    <row r="53" spans="1:20" x14ac:dyDescent="0.25">
      <c r="G53" s="19">
        <f t="shared" si="1"/>
        <v>246</v>
      </c>
      <c r="H53" s="34">
        <f t="shared" si="3"/>
        <v>44441</v>
      </c>
      <c r="I53">
        <f>HLOOKUP($I$4,meanT!$A$2:$D$368,G53,FALSE)</f>
        <v>10.862068965517199</v>
      </c>
      <c r="K53" t="b">
        <f t="shared" si="2"/>
        <v>0</v>
      </c>
      <c r="L53" s="12">
        <v>44441</v>
      </c>
      <c r="M53">
        <v>22.782666048880838</v>
      </c>
      <c r="N53">
        <v>0</v>
      </c>
      <c r="O53">
        <v>2.0947702908195285E-2</v>
      </c>
      <c r="P53">
        <v>0</v>
      </c>
      <c r="Q53">
        <v>0</v>
      </c>
      <c r="R53">
        <v>0</v>
      </c>
      <c r="S53">
        <v>0</v>
      </c>
      <c r="T53">
        <v>0</v>
      </c>
    </row>
    <row r="54" spans="1:20" x14ac:dyDescent="0.25">
      <c r="G54" s="19">
        <f t="shared" si="1"/>
        <v>247</v>
      </c>
      <c r="H54" s="34">
        <f t="shared" si="3"/>
        <v>44442</v>
      </c>
      <c r="I54">
        <f>HLOOKUP($I$4,meanT!$A$2:$D$368,G54,FALSE)</f>
        <v>11.4379310344827</v>
      </c>
      <c r="K54" t="b">
        <f t="shared" si="2"/>
        <v>0</v>
      </c>
      <c r="L54" s="12">
        <v>44442</v>
      </c>
      <c r="M54">
        <v>22.804484714165195</v>
      </c>
      <c r="N54">
        <v>0</v>
      </c>
      <c r="O54">
        <v>2.1818665284355609E-2</v>
      </c>
      <c r="P54">
        <v>0</v>
      </c>
      <c r="Q54">
        <v>0</v>
      </c>
      <c r="R54">
        <v>0</v>
      </c>
      <c r="S54">
        <v>0</v>
      </c>
      <c r="T54">
        <v>0</v>
      </c>
    </row>
    <row r="55" spans="1:20" x14ac:dyDescent="0.25">
      <c r="G55" s="19">
        <f t="shared" si="1"/>
        <v>248</v>
      </c>
      <c r="H55" s="34">
        <f t="shared" si="3"/>
        <v>44443</v>
      </c>
      <c r="I55">
        <f>HLOOKUP($I$4,meanT!$A$2:$D$368,G55,FALSE)</f>
        <v>11.5448275862068</v>
      </c>
      <c r="K55" t="b">
        <f t="shared" si="2"/>
        <v>0</v>
      </c>
      <c r="L55" s="12">
        <v>44443</v>
      </c>
      <c r="M55">
        <v>22.826255399480349</v>
      </c>
      <c r="N55">
        <v>0</v>
      </c>
      <c r="O55">
        <v>2.1770685315153363E-2</v>
      </c>
      <c r="P55">
        <v>0</v>
      </c>
      <c r="Q55">
        <v>0</v>
      </c>
      <c r="R55">
        <v>0</v>
      </c>
      <c r="S55">
        <v>0</v>
      </c>
      <c r="T55">
        <v>0</v>
      </c>
    </row>
    <row r="56" spans="1:20" x14ac:dyDescent="0.25">
      <c r="G56" s="19">
        <f t="shared" si="1"/>
        <v>249</v>
      </c>
      <c r="H56" s="34">
        <f t="shared" si="3"/>
        <v>44444</v>
      </c>
      <c r="I56">
        <f>HLOOKUP($I$4,meanT!$A$2:$D$368,G56,FALSE)</f>
        <v>11.734482758620601</v>
      </c>
      <c r="K56" t="b">
        <f t="shared" si="2"/>
        <v>0</v>
      </c>
      <c r="L56" s="12">
        <v>44444</v>
      </c>
      <c r="M56">
        <v>22.848128259743937</v>
      </c>
      <c r="N56">
        <v>0</v>
      </c>
      <c r="O56">
        <v>2.1872860263587802E-2</v>
      </c>
      <c r="P56">
        <v>0</v>
      </c>
      <c r="Q56">
        <v>0</v>
      </c>
      <c r="R56">
        <v>0</v>
      </c>
      <c r="S56">
        <v>0</v>
      </c>
      <c r="T56">
        <v>0</v>
      </c>
    </row>
    <row r="57" spans="1:20" x14ac:dyDescent="0.25">
      <c r="G57" s="19">
        <f t="shared" si="1"/>
        <v>250</v>
      </c>
      <c r="H57" s="34">
        <f t="shared" si="3"/>
        <v>44445</v>
      </c>
      <c r="I57">
        <f>HLOOKUP($I$4,meanT!$A$2:$D$368,G57,FALSE)</f>
        <v>11.682758620689601</v>
      </c>
      <c r="K57" t="b">
        <f t="shared" si="2"/>
        <v>0</v>
      </c>
      <c r="L57" s="12">
        <v>44445</v>
      </c>
      <c r="M57">
        <v>22.869649171817951</v>
      </c>
      <c r="N57">
        <v>0</v>
      </c>
      <c r="O57">
        <v>2.1520912074012084E-2</v>
      </c>
      <c r="P57">
        <v>0</v>
      </c>
      <c r="Q57">
        <v>0</v>
      </c>
      <c r="R57">
        <v>0</v>
      </c>
      <c r="S57">
        <v>0</v>
      </c>
      <c r="T57">
        <v>0</v>
      </c>
    </row>
    <row r="58" spans="1:20" x14ac:dyDescent="0.25">
      <c r="G58" s="19">
        <f t="shared" si="1"/>
        <v>251</v>
      </c>
      <c r="H58" s="34">
        <f t="shared" si="3"/>
        <v>44446</v>
      </c>
      <c r="I58">
        <f>HLOOKUP($I$4,meanT!$A$2:$D$368,G58,FALSE)</f>
        <v>11.389655172413701</v>
      </c>
      <c r="K58" t="b">
        <f t="shared" si="2"/>
        <v>0</v>
      </c>
      <c r="L58" s="12">
        <v>44446</v>
      </c>
      <c r="M58">
        <v>22.890385039692834</v>
      </c>
      <c r="N58">
        <v>0</v>
      </c>
      <c r="O58">
        <v>2.0735867874884257E-2</v>
      </c>
      <c r="P58">
        <v>0</v>
      </c>
      <c r="Q58">
        <v>0</v>
      </c>
      <c r="R58">
        <v>0</v>
      </c>
      <c r="S58">
        <v>0</v>
      </c>
      <c r="T58">
        <v>0</v>
      </c>
    </row>
    <row r="59" spans="1:20" x14ac:dyDescent="0.25">
      <c r="G59" s="19">
        <f t="shared" si="1"/>
        <v>252</v>
      </c>
      <c r="H59" s="34">
        <f t="shared" si="3"/>
        <v>44447</v>
      </c>
      <c r="I59">
        <f>HLOOKUP($I$4,meanT!$A$2:$D$368,G59,FALSE)</f>
        <v>11.834482758620601</v>
      </c>
      <c r="K59" t="b">
        <f t="shared" si="2"/>
        <v>0</v>
      </c>
      <c r="L59" s="12">
        <v>44447</v>
      </c>
      <c r="M59">
        <v>22.911685356997705</v>
      </c>
      <c r="N59">
        <v>0</v>
      </c>
      <c r="O59">
        <v>2.1300317304869545E-2</v>
      </c>
      <c r="P59">
        <v>0</v>
      </c>
      <c r="Q59">
        <v>0</v>
      </c>
      <c r="R59">
        <v>0</v>
      </c>
      <c r="S59">
        <v>0</v>
      </c>
      <c r="T59">
        <v>0</v>
      </c>
    </row>
    <row r="60" spans="1:20" x14ac:dyDescent="0.25">
      <c r="G60" s="19">
        <f t="shared" si="1"/>
        <v>253</v>
      </c>
      <c r="H60" s="34">
        <f t="shared" si="3"/>
        <v>44448</v>
      </c>
      <c r="I60">
        <f>HLOOKUP($I$4,meanT!$A$2:$D$368,G60,FALSE)</f>
        <v>11.465</v>
      </c>
      <c r="K60" t="b">
        <f t="shared" si="2"/>
        <v>0</v>
      </c>
      <c r="L60" s="12">
        <v>44448</v>
      </c>
      <c r="M60">
        <v>22.932076451887514</v>
      </c>
      <c r="N60">
        <v>0</v>
      </c>
      <c r="O60">
        <v>2.0391094889808302E-2</v>
      </c>
      <c r="P60">
        <v>0</v>
      </c>
      <c r="Q60">
        <v>0</v>
      </c>
      <c r="R60">
        <v>0</v>
      </c>
      <c r="S60">
        <v>0</v>
      </c>
      <c r="T60">
        <v>0</v>
      </c>
    </row>
    <row r="61" spans="1:20" x14ac:dyDescent="0.25">
      <c r="G61" s="19">
        <f t="shared" si="1"/>
        <v>254</v>
      </c>
      <c r="H61" s="34">
        <f t="shared" si="3"/>
        <v>44449</v>
      </c>
      <c r="I61">
        <f>HLOOKUP($I$4,meanT!$A$2:$D$368,G61,FALSE)</f>
        <v>11.62</v>
      </c>
      <c r="K61" t="b">
        <f t="shared" si="2"/>
        <v>0</v>
      </c>
      <c r="L61" s="12">
        <v>44449</v>
      </c>
      <c r="M61">
        <v>22.952506277763462</v>
      </c>
      <c r="N61">
        <v>0</v>
      </c>
      <c r="O61">
        <v>2.0429825875947584E-2</v>
      </c>
      <c r="P61">
        <v>0</v>
      </c>
      <c r="Q61">
        <v>0</v>
      </c>
      <c r="R61">
        <v>0</v>
      </c>
      <c r="S61">
        <v>0</v>
      </c>
      <c r="T61">
        <v>0</v>
      </c>
    </row>
    <row r="62" spans="1:20" x14ac:dyDescent="0.25">
      <c r="G62" s="19">
        <f t="shared" si="1"/>
        <v>255</v>
      </c>
      <c r="H62" s="34">
        <f t="shared" si="3"/>
        <v>44450</v>
      </c>
      <c r="I62">
        <f>HLOOKUP($I$4,meanT!$A$2:$D$368,G62,FALSE)</f>
        <v>11.7633333333333</v>
      </c>
      <c r="K62" t="b">
        <f t="shared" si="2"/>
        <v>0</v>
      </c>
      <c r="L62" s="12">
        <v>44450</v>
      </c>
      <c r="M62">
        <v>22.97294778380337</v>
      </c>
      <c r="N62">
        <v>0</v>
      </c>
      <c r="O62">
        <v>2.0441506039908311E-2</v>
      </c>
      <c r="P62">
        <v>0</v>
      </c>
      <c r="Q62">
        <v>0</v>
      </c>
      <c r="R62">
        <v>0</v>
      </c>
      <c r="S62">
        <v>0</v>
      </c>
      <c r="T62">
        <v>0</v>
      </c>
    </row>
    <row r="63" spans="1:20" x14ac:dyDescent="0.25">
      <c r="G63" s="19">
        <f t="shared" si="1"/>
        <v>256</v>
      </c>
      <c r="H63" s="34">
        <f t="shared" si="3"/>
        <v>44451</v>
      </c>
      <c r="I63">
        <f>HLOOKUP($I$4,meanT!$A$2:$D$368,G63,FALSE)</f>
        <v>12.158333333333299</v>
      </c>
      <c r="K63" t="b">
        <f t="shared" si="2"/>
        <v>0</v>
      </c>
      <c r="L63" s="12">
        <v>44451</v>
      </c>
      <c r="M63">
        <v>22.993827158844724</v>
      </c>
      <c r="N63">
        <v>0</v>
      </c>
      <c r="O63">
        <v>2.0879375041355019E-2</v>
      </c>
      <c r="P63">
        <v>0</v>
      </c>
      <c r="Q63">
        <v>0</v>
      </c>
      <c r="R63">
        <v>0</v>
      </c>
      <c r="S63">
        <v>0</v>
      </c>
      <c r="T63">
        <v>0</v>
      </c>
    </row>
    <row r="64" spans="1:20" x14ac:dyDescent="0.25">
      <c r="G64" s="19">
        <f t="shared" si="1"/>
        <v>257</v>
      </c>
      <c r="H64" s="34">
        <f t="shared" si="3"/>
        <v>44452</v>
      </c>
      <c r="I64">
        <f>HLOOKUP($I$4,meanT!$A$2:$D$368,G64,FALSE)</f>
        <v>11.908333333333299</v>
      </c>
      <c r="K64" t="b">
        <f t="shared" si="2"/>
        <v>0</v>
      </c>
      <c r="L64" s="12">
        <v>44452</v>
      </c>
      <c r="M64">
        <v>23.014028573017644</v>
      </c>
      <c r="N64">
        <v>0</v>
      </c>
      <c r="O64">
        <v>2.0201414172919298E-2</v>
      </c>
      <c r="P64">
        <v>0</v>
      </c>
      <c r="Q64">
        <v>0</v>
      </c>
      <c r="R64">
        <v>0</v>
      </c>
      <c r="S64">
        <v>0</v>
      </c>
      <c r="T64">
        <v>0</v>
      </c>
    </row>
    <row r="65" spans="7:20" x14ac:dyDescent="0.25">
      <c r="G65" s="19">
        <f t="shared" si="1"/>
        <v>258</v>
      </c>
      <c r="H65" s="34">
        <f t="shared" si="3"/>
        <v>44453</v>
      </c>
      <c r="I65">
        <f>HLOOKUP($I$4,meanT!$A$2:$D$368,G65,FALSE)</f>
        <v>12.074999999999999</v>
      </c>
      <c r="K65" t="b">
        <f t="shared" si="2"/>
        <v>0</v>
      </c>
      <c r="L65" s="12">
        <v>44453</v>
      </c>
      <c r="M65">
        <v>23.034268790092352</v>
      </c>
      <c r="N65">
        <v>0</v>
      </c>
      <c r="O65">
        <v>2.0240217074708852E-2</v>
      </c>
      <c r="P65">
        <v>0</v>
      </c>
      <c r="Q65">
        <v>0</v>
      </c>
      <c r="R65">
        <v>0</v>
      </c>
      <c r="S65">
        <v>0</v>
      </c>
      <c r="T65">
        <v>0</v>
      </c>
    </row>
    <row r="66" spans="7:20" x14ac:dyDescent="0.25">
      <c r="G66" s="19">
        <f t="shared" si="1"/>
        <v>259</v>
      </c>
      <c r="H66" s="34">
        <f t="shared" si="3"/>
        <v>44454</v>
      </c>
      <c r="I66">
        <f>HLOOKUP($I$4,meanT!$A$2:$D$368,G66,FALSE)</f>
        <v>12.3883333333333</v>
      </c>
      <c r="K66" t="b">
        <f t="shared" si="2"/>
        <v>1</v>
      </c>
      <c r="L66" s="12">
        <v>44454</v>
      </c>
      <c r="M66">
        <v>25.454783476593263</v>
      </c>
      <c r="N66">
        <v>0</v>
      </c>
      <c r="O66">
        <v>2.0514686500911119E-2</v>
      </c>
      <c r="P66">
        <v>0</v>
      </c>
      <c r="Q66">
        <v>63</v>
      </c>
      <c r="R66">
        <v>3.2348461921878702</v>
      </c>
      <c r="S66">
        <v>2.0951672846199001</v>
      </c>
      <c r="T66">
        <v>15.749999999999996</v>
      </c>
    </row>
    <row r="67" spans="7:20" x14ac:dyDescent="0.25">
      <c r="G67" s="19">
        <f t="shared" si="1"/>
        <v>260</v>
      </c>
      <c r="H67" s="34">
        <f t="shared" si="3"/>
        <v>44455</v>
      </c>
      <c r="I67">
        <f>HLOOKUP($I$4,meanT!$A$2:$D$368,G67,FALSE)</f>
        <v>12.5766666666666</v>
      </c>
      <c r="K67" t="b">
        <f t="shared" si="2"/>
        <v>1</v>
      </c>
      <c r="L67" s="12">
        <v>44455</v>
      </c>
      <c r="M67">
        <v>25.310490907057556</v>
      </c>
      <c r="N67">
        <v>0.16486112368056299</v>
      </c>
      <c r="O67">
        <v>2.0568554144857705E-2</v>
      </c>
      <c r="P67">
        <v>0</v>
      </c>
      <c r="Q67">
        <v>0</v>
      </c>
      <c r="R67">
        <v>3.3997073158684299</v>
      </c>
      <c r="S67">
        <v>2.2019456636585599</v>
      </c>
      <c r="T67">
        <v>0</v>
      </c>
    </row>
    <row r="68" spans="7:20" x14ac:dyDescent="0.25">
      <c r="G68" s="19">
        <f t="shared" si="1"/>
        <v>261</v>
      </c>
      <c r="H68" s="34">
        <f t="shared" si="3"/>
        <v>44456</v>
      </c>
      <c r="I68">
        <f>HLOOKUP($I$4,meanT!$A$2:$D$368,G68,FALSE)</f>
        <v>12.482258064516101</v>
      </c>
      <c r="K68" t="b">
        <f t="shared" si="2"/>
        <v>1</v>
      </c>
      <c r="L68" s="12">
        <v>44456</v>
      </c>
      <c r="M68">
        <v>25.158894733147747</v>
      </c>
      <c r="N68">
        <v>0.17175358517030201</v>
      </c>
      <c r="O68">
        <v>2.0157411260487371E-2</v>
      </c>
      <c r="P68">
        <v>0</v>
      </c>
      <c r="Q68">
        <v>0</v>
      </c>
      <c r="R68">
        <v>3.5714609010387401</v>
      </c>
      <c r="S68">
        <v>2.3131881992492902</v>
      </c>
      <c r="T68">
        <v>0</v>
      </c>
    </row>
    <row r="69" spans="7:20" x14ac:dyDescent="0.25">
      <c r="G69" s="19">
        <f t="shared" si="1"/>
        <v>262</v>
      </c>
      <c r="H69" s="34">
        <f t="shared" si="3"/>
        <v>44457</v>
      </c>
      <c r="I69">
        <f>HLOOKUP($I$4,meanT!$A$2:$D$368,G69,FALSE)</f>
        <v>12.261290322580599</v>
      </c>
      <c r="K69" t="b">
        <f t="shared" si="2"/>
        <v>1</v>
      </c>
      <c r="L69" s="12">
        <v>44457</v>
      </c>
      <c r="M69">
        <v>25.001478172518134</v>
      </c>
      <c r="N69">
        <v>0.17696997852750501</v>
      </c>
      <c r="O69">
        <v>1.955341789789182E-2</v>
      </c>
      <c r="P69">
        <v>0</v>
      </c>
      <c r="Q69">
        <v>0</v>
      </c>
      <c r="R69">
        <v>3.7484308795662402</v>
      </c>
      <c r="S69">
        <v>2.4278093241318701</v>
      </c>
      <c r="T69">
        <v>0</v>
      </c>
    </row>
    <row r="70" spans="7:20" x14ac:dyDescent="0.25">
      <c r="G70" s="19">
        <f t="shared" si="1"/>
        <v>263</v>
      </c>
      <c r="H70" s="34">
        <f t="shared" si="3"/>
        <v>44458</v>
      </c>
      <c r="I70">
        <f>HLOOKUP($I$4,meanT!$A$2:$D$368,G70,FALSE)</f>
        <v>12.1677419354838</v>
      </c>
      <c r="K70" t="b">
        <f t="shared" si="2"/>
        <v>1</v>
      </c>
      <c r="L70" s="12">
        <v>44458</v>
      </c>
      <c r="M70">
        <v>24.836560113390647</v>
      </c>
      <c r="N70">
        <v>0.18408437188905699</v>
      </c>
      <c r="O70">
        <v>1.9166312761573167E-2</v>
      </c>
      <c r="P70">
        <v>0</v>
      </c>
      <c r="Q70">
        <v>0</v>
      </c>
      <c r="R70">
        <v>3.9325152514553001</v>
      </c>
      <c r="S70">
        <v>2.5470383479176699</v>
      </c>
      <c r="T70">
        <v>0</v>
      </c>
    </row>
    <row r="71" spans="7:20" x14ac:dyDescent="0.25">
      <c r="G71" s="19">
        <f t="shared" ref="G71:G134" si="4">H71-DATE(YEAR(H71),1,0)+1</f>
        <v>264</v>
      </c>
      <c r="H71" s="34">
        <f t="shared" si="3"/>
        <v>44459</v>
      </c>
      <c r="I71">
        <f>HLOOKUP($I$4,meanT!$A$2:$D$368,G71,FALSE)</f>
        <v>12.1064516129032</v>
      </c>
      <c r="K71" t="b">
        <f t="shared" ref="K71:K134" si="5">AND(IF(L71&gt;($B$24-1),TRUE,FALSE),IF(L71&lt;($B$26+1),TRUE,FALSE))</f>
        <v>1</v>
      </c>
      <c r="L71" s="12">
        <v>44459</v>
      </c>
      <c r="M71">
        <v>24.663490226352394</v>
      </c>
      <c r="N71">
        <v>0.19190762082899701</v>
      </c>
      <c r="O71">
        <v>1.883773379074119E-2</v>
      </c>
      <c r="P71">
        <v>0</v>
      </c>
      <c r="Q71">
        <v>0</v>
      </c>
      <c r="R71">
        <v>4.1244228722842999</v>
      </c>
      <c r="S71">
        <v>2.6713343870311101</v>
      </c>
      <c r="T71">
        <v>0</v>
      </c>
    </row>
    <row r="72" spans="7:20" x14ac:dyDescent="0.25">
      <c r="G72" s="19">
        <f t="shared" si="4"/>
        <v>265</v>
      </c>
      <c r="H72" s="34">
        <f t="shared" ref="H72:H135" si="6">H71+1</f>
        <v>44460</v>
      </c>
      <c r="I72">
        <f>HLOOKUP($I$4,meanT!$A$2:$D$368,G72,FALSE)</f>
        <v>12.012903225806401</v>
      </c>
      <c r="K72" t="b">
        <f t="shared" si="5"/>
        <v>1</v>
      </c>
      <c r="L72" s="12">
        <v>44460</v>
      </c>
      <c r="M72">
        <v>24.482514854928773</v>
      </c>
      <c r="N72">
        <v>0.19944124731631199</v>
      </c>
      <c r="O72">
        <v>1.8465875892691094E-2</v>
      </c>
      <c r="P72">
        <v>0</v>
      </c>
      <c r="Q72">
        <v>0</v>
      </c>
      <c r="R72">
        <v>4.3238641196006098</v>
      </c>
      <c r="S72">
        <v>2.8005098568231701</v>
      </c>
      <c r="T72">
        <v>0</v>
      </c>
    </row>
    <row r="73" spans="7:20" x14ac:dyDescent="0.25">
      <c r="G73" s="19">
        <f t="shared" si="4"/>
        <v>266</v>
      </c>
      <c r="H73" s="34">
        <f t="shared" si="6"/>
        <v>44461</v>
      </c>
      <c r="I73">
        <f>HLOOKUP($I$4,meanT!$A$2:$D$368,G73,FALSE)</f>
        <v>12.1612903225806</v>
      </c>
      <c r="K73" t="b">
        <f t="shared" si="5"/>
        <v>1</v>
      </c>
      <c r="L73" s="12">
        <v>44461</v>
      </c>
      <c r="M73">
        <v>24.289520515653528</v>
      </c>
      <c r="N73">
        <v>0.211463742501489</v>
      </c>
      <c r="O73">
        <v>1.846940322624838E-2</v>
      </c>
      <c r="P73">
        <v>0</v>
      </c>
      <c r="Q73">
        <v>0</v>
      </c>
      <c r="R73">
        <v>4.5353278621020996</v>
      </c>
      <c r="S73">
        <v>2.9374721384433502</v>
      </c>
      <c r="T73">
        <v>0</v>
      </c>
    </row>
    <row r="74" spans="7:20" x14ac:dyDescent="0.25">
      <c r="G74" s="19">
        <f t="shared" si="4"/>
        <v>267</v>
      </c>
      <c r="H74" s="34">
        <f t="shared" si="6"/>
        <v>44462</v>
      </c>
      <c r="I74">
        <f>HLOOKUP($I$4,meanT!$A$2:$D$368,G74,FALSE)</f>
        <v>12.285483870967701</v>
      </c>
      <c r="K74" t="b">
        <f t="shared" si="5"/>
        <v>1</v>
      </c>
      <c r="L74" s="12">
        <v>44462</v>
      </c>
      <c r="M74">
        <v>24.084125233611573</v>
      </c>
      <c r="N74">
        <v>0.223826392981783</v>
      </c>
      <c r="O74">
        <v>1.8431110939827289E-2</v>
      </c>
      <c r="P74">
        <v>0</v>
      </c>
      <c r="Q74">
        <v>0</v>
      </c>
      <c r="R74">
        <v>4.7591542550838799</v>
      </c>
      <c r="S74">
        <v>3.0824415459973902</v>
      </c>
      <c r="T74">
        <v>0</v>
      </c>
    </row>
    <row r="75" spans="7:20" x14ac:dyDescent="0.25">
      <c r="G75" s="19">
        <f t="shared" si="4"/>
        <v>268</v>
      </c>
      <c r="H75" s="34">
        <f t="shared" si="6"/>
        <v>44463</v>
      </c>
      <c r="I75">
        <f>HLOOKUP($I$4,meanT!$A$2:$D$368,G75,FALSE)</f>
        <v>12.7274193548387</v>
      </c>
      <c r="K75" t="b">
        <f t="shared" si="5"/>
        <v>1</v>
      </c>
      <c r="L75" s="12">
        <v>44463</v>
      </c>
      <c r="M75">
        <v>23.859800382041882</v>
      </c>
      <c r="N75">
        <v>0.24318438904171799</v>
      </c>
      <c r="O75">
        <v>1.8859537472028155E-2</v>
      </c>
      <c r="P75">
        <v>0</v>
      </c>
      <c r="Q75">
        <v>0</v>
      </c>
      <c r="R75">
        <v>5.0023386441255999</v>
      </c>
      <c r="S75">
        <v>3.2399488727076799</v>
      </c>
      <c r="T75">
        <v>0</v>
      </c>
    </row>
    <row r="76" spans="7:20" x14ac:dyDescent="0.25">
      <c r="G76" s="19">
        <f t="shared" si="4"/>
        <v>269</v>
      </c>
      <c r="H76" s="34">
        <f t="shared" si="6"/>
        <v>44464</v>
      </c>
      <c r="I76">
        <f>HLOOKUP($I$4,meanT!$A$2:$D$368,G76,FALSE)</f>
        <v>12.4338709677419</v>
      </c>
      <c r="K76" t="b">
        <f t="shared" si="5"/>
        <v>1</v>
      </c>
      <c r="L76" s="12">
        <v>44464</v>
      </c>
      <c r="M76">
        <v>23.628798236398204</v>
      </c>
      <c r="N76">
        <v>0.24919220496535799</v>
      </c>
      <c r="O76">
        <v>1.8190059321682883E-2</v>
      </c>
      <c r="P76">
        <v>0</v>
      </c>
      <c r="Q76">
        <v>0</v>
      </c>
      <c r="R76">
        <v>5.25153084909096</v>
      </c>
      <c r="S76">
        <v>3.4013473826852501</v>
      </c>
      <c r="T76">
        <v>0</v>
      </c>
    </row>
    <row r="77" spans="7:20" x14ac:dyDescent="0.25">
      <c r="G77" s="19">
        <f t="shared" si="4"/>
        <v>270</v>
      </c>
      <c r="H77" s="34">
        <f t="shared" si="6"/>
        <v>44465</v>
      </c>
      <c r="I77">
        <f>HLOOKUP($I$4,meanT!$A$2:$D$368,G77,FALSE)</f>
        <v>12.341666666666599</v>
      </c>
      <c r="K77" t="b">
        <f t="shared" si="5"/>
        <v>1</v>
      </c>
      <c r="L77" s="12">
        <v>44465</v>
      </c>
      <c r="M77">
        <v>23.387417165254547</v>
      </c>
      <c r="N77">
        <v>0.25921174506977401</v>
      </c>
      <c r="O77">
        <v>1.7830673926112595E-2</v>
      </c>
      <c r="P77">
        <v>0</v>
      </c>
      <c r="Q77">
        <v>0</v>
      </c>
      <c r="R77">
        <v>5.51074259416073</v>
      </c>
      <c r="S77">
        <v>3.5692354168585498</v>
      </c>
      <c r="T77">
        <v>0</v>
      </c>
    </row>
    <row r="78" spans="7:20" x14ac:dyDescent="0.25">
      <c r="G78" s="19">
        <f t="shared" si="4"/>
        <v>271</v>
      </c>
      <c r="H78" s="34">
        <f t="shared" si="6"/>
        <v>44466</v>
      </c>
      <c r="I78">
        <f>HLOOKUP($I$4,meanT!$A$2:$D$368,G78,FALSE)</f>
        <v>12.7183333333333</v>
      </c>
      <c r="K78" t="b">
        <f t="shared" si="5"/>
        <v>1</v>
      </c>
      <c r="L78" s="12">
        <v>44466</v>
      </c>
      <c r="M78">
        <v>23.125516749118702</v>
      </c>
      <c r="N78">
        <v>0.28004850433087403</v>
      </c>
      <c r="O78">
        <v>1.8148088195033194E-2</v>
      </c>
      <c r="P78">
        <v>0</v>
      </c>
      <c r="Q78">
        <v>0</v>
      </c>
      <c r="R78">
        <v>5.7907910984916002</v>
      </c>
      <c r="S78">
        <v>3.7506191456422502</v>
      </c>
      <c r="T78">
        <v>0</v>
      </c>
    </row>
    <row r="79" spans="7:20" x14ac:dyDescent="0.25">
      <c r="G79" s="19">
        <f t="shared" si="4"/>
        <v>272</v>
      </c>
      <c r="H79" s="34">
        <f t="shared" si="6"/>
        <v>44467</v>
      </c>
      <c r="I79">
        <f>HLOOKUP($I$4,meanT!$A$2:$D$368,G79,FALSE)</f>
        <v>13.04</v>
      </c>
      <c r="K79" t="b">
        <f t="shared" si="5"/>
        <v>1</v>
      </c>
      <c r="L79" s="12">
        <v>44467</v>
      </c>
      <c r="M79">
        <v>22.842516761510275</v>
      </c>
      <c r="N79">
        <v>0.30137041844610601</v>
      </c>
      <c r="O79">
        <v>1.8370430837673642E-2</v>
      </c>
      <c r="P79">
        <v>0</v>
      </c>
      <c r="Q79">
        <v>0</v>
      </c>
      <c r="R79">
        <v>6.0921615169377104</v>
      </c>
      <c r="S79">
        <v>3.9458127974471999</v>
      </c>
      <c r="T79">
        <v>0</v>
      </c>
    </row>
    <row r="80" spans="7:20" x14ac:dyDescent="0.25">
      <c r="G80" s="19">
        <f t="shared" si="4"/>
        <v>273</v>
      </c>
      <c r="H80" s="34">
        <f t="shared" si="6"/>
        <v>44468</v>
      </c>
      <c r="I80">
        <f>HLOOKUP($I$4,meanT!$A$2:$D$368,G80,FALSE)</f>
        <v>13.381034482758601</v>
      </c>
      <c r="K80" t="b">
        <f t="shared" si="5"/>
        <v>1</v>
      </c>
      <c r="L80" s="12">
        <v>44468</v>
      </c>
      <c r="M80">
        <v>22.536190122227808</v>
      </c>
      <c r="N80">
        <v>0.32493169573160402</v>
      </c>
      <c r="O80">
        <v>1.860505644913929E-2</v>
      </c>
      <c r="P80">
        <v>0</v>
      </c>
      <c r="Q80">
        <v>0</v>
      </c>
      <c r="R80">
        <v>6.4170932126693101</v>
      </c>
      <c r="S80">
        <v>4.15626677831251</v>
      </c>
      <c r="T80">
        <v>0</v>
      </c>
    </row>
    <row r="81" spans="7:20" x14ac:dyDescent="0.25">
      <c r="G81" s="19">
        <f t="shared" si="4"/>
        <v>274</v>
      </c>
      <c r="H81" s="34">
        <f t="shared" si="6"/>
        <v>44469</v>
      </c>
      <c r="I81">
        <f>HLOOKUP($I$4,meanT!$A$2:$D$368,G81,FALSE)</f>
        <v>13.274137931034399</v>
      </c>
      <c r="K81" t="b">
        <f t="shared" si="5"/>
        <v>1</v>
      </c>
      <c r="L81" s="12">
        <v>44469</v>
      </c>
      <c r="M81">
        <v>22.215642959264414</v>
      </c>
      <c r="N81">
        <v>0.33875662383340999</v>
      </c>
      <c r="O81">
        <v>1.8209460870016448E-2</v>
      </c>
      <c r="P81">
        <v>0</v>
      </c>
      <c r="Q81">
        <v>0</v>
      </c>
      <c r="R81">
        <v>6.75584983650272</v>
      </c>
      <c r="S81">
        <v>4.3756749830729396</v>
      </c>
      <c r="T81">
        <v>0</v>
      </c>
    </row>
    <row r="82" spans="7:20" x14ac:dyDescent="0.25">
      <c r="G82" s="19">
        <f t="shared" si="4"/>
        <v>275</v>
      </c>
      <c r="H82" s="34">
        <f t="shared" si="6"/>
        <v>44470</v>
      </c>
      <c r="I82">
        <f>HLOOKUP($I$4,meanT!$A$2:$D$368,G82,FALSE)</f>
        <v>13.0233333333333</v>
      </c>
      <c r="K82" t="b">
        <f t="shared" si="5"/>
        <v>1</v>
      </c>
      <c r="L82" s="12">
        <v>44470</v>
      </c>
      <c r="M82">
        <v>21.884290471124487</v>
      </c>
      <c r="N82">
        <v>0.34898074741325302</v>
      </c>
      <c r="O82">
        <v>1.7628259273328038E-2</v>
      </c>
      <c r="P82">
        <v>0</v>
      </c>
      <c r="Q82">
        <v>0</v>
      </c>
      <c r="R82">
        <v>7.1048305839159802</v>
      </c>
      <c r="S82">
        <v>4.6017052180523397</v>
      </c>
      <c r="T82">
        <v>0</v>
      </c>
    </row>
    <row r="83" spans="7:20" x14ac:dyDescent="0.25">
      <c r="G83" s="19">
        <f t="shared" si="4"/>
        <v>276</v>
      </c>
      <c r="H83" s="34">
        <f t="shared" si="6"/>
        <v>44471</v>
      </c>
      <c r="I83">
        <f>HLOOKUP($I$4,meanT!$A$2:$D$368,G83,FALSE)</f>
        <v>12.938333333333301</v>
      </c>
      <c r="K83" t="b">
        <f t="shared" si="5"/>
        <v>1</v>
      </c>
      <c r="L83" s="12">
        <v>44471</v>
      </c>
      <c r="M83">
        <v>21.537834065291193</v>
      </c>
      <c r="N83">
        <v>0.363741529626119</v>
      </c>
      <c r="O83">
        <v>1.728512379282271E-2</v>
      </c>
      <c r="P83">
        <v>0</v>
      </c>
      <c r="Q83">
        <v>0</v>
      </c>
      <c r="R83">
        <v>7.4685721135421002</v>
      </c>
      <c r="S83">
        <v>4.8372958173119596</v>
      </c>
      <c r="T83">
        <v>0</v>
      </c>
    </row>
    <row r="84" spans="7:20" x14ac:dyDescent="0.25">
      <c r="G84" s="19">
        <f t="shared" si="4"/>
        <v>277</v>
      </c>
      <c r="H84" s="34">
        <f t="shared" si="6"/>
        <v>44472</v>
      </c>
      <c r="I84">
        <f>HLOOKUP($I$4,meanT!$A$2:$D$368,G84,FALSE)</f>
        <v>13.2433333333333</v>
      </c>
      <c r="K84" t="b">
        <f t="shared" si="5"/>
        <v>1</v>
      </c>
      <c r="L84" s="12">
        <v>44472</v>
      </c>
      <c r="M84">
        <v>21.164611800034507</v>
      </c>
      <c r="N84">
        <v>0.390685944853295</v>
      </c>
      <c r="O84">
        <v>1.746367959661134E-2</v>
      </c>
      <c r="P84">
        <v>0</v>
      </c>
      <c r="Q84">
        <v>0</v>
      </c>
      <c r="R84">
        <v>7.8592580583953904</v>
      </c>
      <c r="S84">
        <v>5.0903379595301104</v>
      </c>
      <c r="T84">
        <v>0</v>
      </c>
    </row>
    <row r="85" spans="7:20" x14ac:dyDescent="0.25">
      <c r="G85" s="19">
        <f t="shared" si="4"/>
        <v>278</v>
      </c>
      <c r="H85" s="34">
        <f t="shared" si="6"/>
        <v>44473</v>
      </c>
      <c r="I85">
        <f>HLOOKUP($I$4,meanT!$A$2:$D$368,G85,FALSE)</f>
        <v>12.85</v>
      </c>
      <c r="K85" t="b">
        <f t="shared" si="5"/>
        <v>1</v>
      </c>
      <c r="L85" s="12">
        <v>44473</v>
      </c>
      <c r="M85">
        <v>20.783708810612886</v>
      </c>
      <c r="N85">
        <v>0.39762358109977702</v>
      </c>
      <c r="O85">
        <v>1.6720591678154317E-2</v>
      </c>
      <c r="P85">
        <v>0</v>
      </c>
      <c r="Q85">
        <v>0</v>
      </c>
      <c r="R85">
        <v>8.2568816394951696</v>
      </c>
      <c r="S85">
        <v>5.3478735173954499</v>
      </c>
      <c r="T85">
        <v>0</v>
      </c>
    </row>
    <row r="86" spans="7:20" x14ac:dyDescent="0.25">
      <c r="G86" s="19">
        <f t="shared" si="4"/>
        <v>279</v>
      </c>
      <c r="H86" s="34">
        <f t="shared" si="6"/>
        <v>44474</v>
      </c>
      <c r="I86">
        <f>HLOOKUP($I$4,meanT!$A$2:$D$368,G86,FALSE)</f>
        <v>12.875806451612901</v>
      </c>
      <c r="K86" t="b">
        <f t="shared" si="5"/>
        <v>1</v>
      </c>
      <c r="L86" s="12">
        <v>44474</v>
      </c>
      <c r="M86">
        <v>20.382718542564284</v>
      </c>
      <c r="N86">
        <v>0.41752914832417098</v>
      </c>
      <c r="O86">
        <v>1.6538880275567183E-2</v>
      </c>
      <c r="P86">
        <v>0</v>
      </c>
      <c r="Q86">
        <v>0</v>
      </c>
      <c r="R86">
        <v>8.6744107878193404</v>
      </c>
      <c r="S86">
        <v>5.6183016490502498</v>
      </c>
      <c r="T86">
        <v>0</v>
      </c>
    </row>
    <row r="87" spans="7:20" x14ac:dyDescent="0.25">
      <c r="G87" s="19">
        <f t="shared" si="4"/>
        <v>280</v>
      </c>
      <c r="H87" s="34">
        <f t="shared" si="6"/>
        <v>44475</v>
      </c>
      <c r="I87">
        <f>HLOOKUP($I$4,meanT!$A$2:$D$368,G87,FALSE)</f>
        <v>12.9966666666666</v>
      </c>
      <c r="K87" t="b">
        <f t="shared" si="5"/>
        <v>1</v>
      </c>
      <c r="L87" s="12">
        <v>44475</v>
      </c>
      <c r="M87">
        <v>19.957532178007341</v>
      </c>
      <c r="N87">
        <v>0.44166553859076702</v>
      </c>
      <c r="O87">
        <v>1.647917403382029E-2</v>
      </c>
      <c r="P87">
        <v>0</v>
      </c>
      <c r="Q87">
        <v>0</v>
      </c>
      <c r="R87">
        <v>9.1160763264101092</v>
      </c>
      <c r="S87">
        <v>5.9043626028706004</v>
      </c>
      <c r="T87">
        <v>0</v>
      </c>
    </row>
    <row r="88" spans="7:20" x14ac:dyDescent="0.25">
      <c r="G88" s="19">
        <f t="shared" si="4"/>
        <v>281</v>
      </c>
      <c r="H88" s="34">
        <f t="shared" si="6"/>
        <v>44476</v>
      </c>
      <c r="I88">
        <f>HLOOKUP($I$4,meanT!$A$2:$D$368,G88,FALSE)</f>
        <v>12.7633333333333</v>
      </c>
      <c r="K88" t="b">
        <f t="shared" si="5"/>
        <v>1</v>
      </c>
      <c r="L88" s="12">
        <v>44476</v>
      </c>
      <c r="M88">
        <v>19.519177743751662</v>
      </c>
      <c r="N88">
        <v>0.45432742319099301</v>
      </c>
      <c r="O88">
        <v>1.5972988935318757E-2</v>
      </c>
      <c r="P88">
        <v>0</v>
      </c>
      <c r="Q88">
        <v>0</v>
      </c>
      <c r="R88">
        <v>9.5704037496011001</v>
      </c>
      <c r="S88">
        <v>6.1986244926241998</v>
      </c>
      <c r="T88">
        <v>0</v>
      </c>
    </row>
    <row r="89" spans="7:20" x14ac:dyDescent="0.25">
      <c r="G89" s="19">
        <f t="shared" si="4"/>
        <v>282</v>
      </c>
      <c r="H89" s="34">
        <f t="shared" si="6"/>
        <v>44477</v>
      </c>
      <c r="I89">
        <f>HLOOKUP($I$4,meanT!$A$2:$D$368,G89,FALSE)</f>
        <v>13.4816666666666</v>
      </c>
      <c r="K89" t="b">
        <f t="shared" si="5"/>
        <v>1</v>
      </c>
      <c r="L89" s="12">
        <v>44477</v>
      </c>
      <c r="M89">
        <v>19.032853145736865</v>
      </c>
      <c r="N89">
        <v>0.50298122044063798</v>
      </c>
      <c r="O89">
        <v>1.6656622425841767E-2</v>
      </c>
      <c r="P89">
        <v>0</v>
      </c>
      <c r="Q89">
        <v>0</v>
      </c>
      <c r="R89">
        <v>10.073384970041699</v>
      </c>
      <c r="S89">
        <v>6.5243988062192004</v>
      </c>
      <c r="T89">
        <v>0</v>
      </c>
    </row>
    <row r="90" spans="7:20" x14ac:dyDescent="0.25">
      <c r="G90" s="19">
        <f t="shared" si="4"/>
        <v>283</v>
      </c>
      <c r="H90" s="34">
        <f t="shared" si="6"/>
        <v>44478</v>
      </c>
      <c r="I90">
        <f>HLOOKUP($I$4,meanT!$A$2:$D$368,G90,FALSE)</f>
        <v>13.6933333333333</v>
      </c>
      <c r="K90" t="b">
        <f t="shared" si="5"/>
        <v>1</v>
      </c>
      <c r="L90" s="12">
        <v>44478</v>
      </c>
      <c r="M90">
        <v>18.513373405616697</v>
      </c>
      <c r="N90">
        <v>0.53616979239476803</v>
      </c>
      <c r="O90">
        <v>1.669005227460077E-2</v>
      </c>
      <c r="P90">
        <v>0</v>
      </c>
      <c r="Q90">
        <v>0</v>
      </c>
      <c r="R90">
        <v>10.609554762436501</v>
      </c>
      <c r="S90">
        <v>6.8716689208663499</v>
      </c>
      <c r="T90">
        <v>0</v>
      </c>
    </row>
    <row r="91" spans="7:20" x14ac:dyDescent="0.25">
      <c r="G91" s="19">
        <f t="shared" si="4"/>
        <v>284</v>
      </c>
      <c r="H91" s="34">
        <f t="shared" si="6"/>
        <v>44479</v>
      </c>
      <c r="I91">
        <f>HLOOKUP($I$4,meanT!$A$2:$D$368,G91,FALSE)</f>
        <v>12.9568965517241</v>
      </c>
      <c r="K91" t="b">
        <f t="shared" si="5"/>
        <v>1</v>
      </c>
      <c r="L91" s="12">
        <v>44479</v>
      </c>
      <c r="M91">
        <v>17.997177519854841</v>
      </c>
      <c r="N91">
        <v>0.53177208439089296</v>
      </c>
      <c r="O91">
        <v>1.5576198629035776E-2</v>
      </c>
      <c r="P91">
        <v>0</v>
      </c>
      <c r="Q91">
        <v>0</v>
      </c>
      <c r="R91">
        <v>11.1413268468274</v>
      </c>
      <c r="S91">
        <v>7.21609069794515</v>
      </c>
      <c r="T91">
        <v>0</v>
      </c>
    </row>
    <row r="92" spans="7:20" x14ac:dyDescent="0.25">
      <c r="G92" s="19">
        <f t="shared" si="4"/>
        <v>285</v>
      </c>
      <c r="H92" s="34">
        <f t="shared" si="6"/>
        <v>44480</v>
      </c>
      <c r="I92">
        <f>HLOOKUP($I$4,meanT!$A$2:$D$368,G92,FALSE)</f>
        <v>13.2293103448275</v>
      </c>
      <c r="K92" t="b">
        <f t="shared" si="5"/>
        <v>1</v>
      </c>
      <c r="L92" s="12">
        <v>44480</v>
      </c>
      <c r="M92">
        <v>17.444418515466925</v>
      </c>
      <c r="N92">
        <v>0.56845662426851196</v>
      </c>
      <c r="O92">
        <v>1.5697619880596779E-2</v>
      </c>
      <c r="P92">
        <v>0</v>
      </c>
      <c r="Q92">
        <v>0</v>
      </c>
      <c r="R92">
        <v>11.7097834710959</v>
      </c>
      <c r="S92">
        <v>7.5842725684678101</v>
      </c>
      <c r="T92">
        <v>0</v>
      </c>
    </row>
    <row r="93" spans="7:20" x14ac:dyDescent="0.25">
      <c r="G93" s="19">
        <f t="shared" si="4"/>
        <v>286</v>
      </c>
      <c r="H93" s="34">
        <f t="shared" si="6"/>
        <v>44481</v>
      </c>
      <c r="I93">
        <f>HLOOKUP($I$4,meanT!$A$2:$D$368,G93,FALSE)</f>
        <v>13.7431034482758</v>
      </c>
      <c r="K93" t="b">
        <f t="shared" si="5"/>
        <v>1</v>
      </c>
      <c r="L93" s="12">
        <v>44481</v>
      </c>
      <c r="M93">
        <v>16.841607038628872</v>
      </c>
      <c r="N93">
        <v>0.61890301873554798</v>
      </c>
      <c r="O93">
        <v>1.6091541897497719E-2</v>
      </c>
      <c r="P93">
        <v>0</v>
      </c>
      <c r="Q93">
        <v>0</v>
      </c>
      <c r="R93">
        <v>12.328686489831499</v>
      </c>
      <c r="S93">
        <v>7.9851279044460002</v>
      </c>
      <c r="T93">
        <v>0</v>
      </c>
    </row>
    <row r="94" spans="7:20" x14ac:dyDescent="0.25">
      <c r="G94" s="19">
        <f t="shared" si="4"/>
        <v>287</v>
      </c>
      <c r="H94" s="34">
        <f t="shared" si="6"/>
        <v>44482</v>
      </c>
      <c r="I94">
        <f>HLOOKUP($I$4,meanT!$A$2:$D$368,G94,FALSE)</f>
        <v>13.6551724137931</v>
      </c>
      <c r="K94" t="b">
        <f t="shared" si="5"/>
        <v>1</v>
      </c>
      <c r="L94" s="12">
        <v>44482</v>
      </c>
      <c r="M94">
        <v>16.212672668870418</v>
      </c>
      <c r="N94">
        <v>0.64470322207894903</v>
      </c>
      <c r="O94">
        <v>1.5768852320494416E-2</v>
      </c>
      <c r="P94">
        <v>0</v>
      </c>
      <c r="Q94">
        <v>0</v>
      </c>
      <c r="R94">
        <v>12.9733897119104</v>
      </c>
      <c r="S94">
        <v>8.4026936924117201</v>
      </c>
      <c r="T94">
        <v>0</v>
      </c>
    </row>
    <row r="95" spans="7:20" x14ac:dyDescent="0.25">
      <c r="G95" s="19">
        <f t="shared" si="4"/>
        <v>288</v>
      </c>
      <c r="H95" s="34">
        <f t="shared" si="6"/>
        <v>44483</v>
      </c>
      <c r="I95">
        <f>HLOOKUP($I$4,meanT!$A$2:$D$368,G95,FALSE)</f>
        <v>13.334482758620601</v>
      </c>
      <c r="K95" t="b">
        <f t="shared" si="5"/>
        <v>1</v>
      </c>
      <c r="L95" s="12">
        <v>44483</v>
      </c>
      <c r="M95">
        <v>15.568566427082491</v>
      </c>
      <c r="N95">
        <v>0.65929449551150698</v>
      </c>
      <c r="O95">
        <v>1.518825372357669E-2</v>
      </c>
      <c r="P95">
        <v>0</v>
      </c>
      <c r="Q95">
        <v>0</v>
      </c>
      <c r="R95">
        <v>13.632684207421899</v>
      </c>
      <c r="S95">
        <v>8.8297100560526296</v>
      </c>
      <c r="T95">
        <v>0</v>
      </c>
    </row>
    <row r="96" spans="7:20" x14ac:dyDescent="0.25">
      <c r="G96" s="19">
        <f t="shared" si="4"/>
        <v>289</v>
      </c>
      <c r="H96" s="34">
        <f t="shared" si="6"/>
        <v>44484</v>
      </c>
      <c r="I96">
        <f>HLOOKUP($I$4,meanT!$A$2:$D$368,G96,FALSE)</f>
        <v>13.0379310344827</v>
      </c>
      <c r="K96" t="b">
        <f t="shared" si="5"/>
        <v>1</v>
      </c>
      <c r="L96" s="12">
        <v>44484</v>
      </c>
      <c r="M96">
        <v>14.909130763769401</v>
      </c>
      <c r="N96">
        <v>0.67408811503880095</v>
      </c>
      <c r="O96">
        <v>1.4652451725710924E-2</v>
      </c>
      <c r="P96">
        <v>0</v>
      </c>
      <c r="Q96">
        <v>0</v>
      </c>
      <c r="R96">
        <v>14.3067723224607</v>
      </c>
      <c r="S96">
        <v>9.2663080522699293</v>
      </c>
      <c r="T96">
        <v>0</v>
      </c>
    </row>
    <row r="97" spans="7:20" x14ac:dyDescent="0.25">
      <c r="G97" s="19">
        <f t="shared" si="4"/>
        <v>290</v>
      </c>
      <c r="H97" s="34">
        <f t="shared" si="6"/>
        <v>44485</v>
      </c>
      <c r="I97">
        <f>HLOOKUP($I$4,meanT!$A$2:$D$368,G97,FALSE)</f>
        <v>13.094827586206801</v>
      </c>
      <c r="K97" t="b">
        <f t="shared" si="5"/>
        <v>1</v>
      </c>
      <c r="L97" s="12">
        <v>44485</v>
      </c>
      <c r="M97">
        <v>14.216269410694679</v>
      </c>
      <c r="N97">
        <v>0.70738587567012001</v>
      </c>
      <c r="O97">
        <v>1.4524522595397609E-2</v>
      </c>
      <c r="P97">
        <v>0</v>
      </c>
      <c r="Q97">
        <v>0</v>
      </c>
      <c r="R97">
        <v>15.014158198130801</v>
      </c>
      <c r="S97">
        <v>9.7244725696078707</v>
      </c>
      <c r="T97">
        <v>0</v>
      </c>
    </row>
    <row r="98" spans="7:20" x14ac:dyDescent="0.25">
      <c r="G98" s="19">
        <f t="shared" si="4"/>
        <v>291</v>
      </c>
      <c r="H98" s="34">
        <f t="shared" si="6"/>
        <v>44486</v>
      </c>
      <c r="I98">
        <f>HLOOKUP($I$4,meanT!$A$2:$D$368,G98,FALSE)</f>
        <v>13.6775862068965</v>
      </c>
      <c r="K98" t="b">
        <f t="shared" si="5"/>
        <v>1</v>
      </c>
      <c r="L98" s="12">
        <v>44486</v>
      </c>
      <c r="M98">
        <v>13.458761426335137</v>
      </c>
      <c r="N98">
        <v>0.77248023082906203</v>
      </c>
      <c r="O98">
        <v>1.4972246469519905E-2</v>
      </c>
      <c r="P98">
        <v>0</v>
      </c>
      <c r="Q98">
        <v>0</v>
      </c>
      <c r="R98">
        <v>15.7866384289599</v>
      </c>
      <c r="S98">
        <v>10.224797843668</v>
      </c>
      <c r="T98">
        <v>0</v>
      </c>
    </row>
    <row r="99" spans="7:20" x14ac:dyDescent="0.25">
      <c r="G99" s="19">
        <f t="shared" si="4"/>
        <v>292</v>
      </c>
      <c r="H99" s="34">
        <f t="shared" si="6"/>
        <v>44487</v>
      </c>
      <c r="I99">
        <f>HLOOKUP($I$4,meanT!$A$2:$D$368,G99,FALSE)</f>
        <v>13.189655172413699</v>
      </c>
      <c r="K99" t="b">
        <f t="shared" si="5"/>
        <v>1</v>
      </c>
      <c r="L99" s="12">
        <v>44487</v>
      </c>
      <c r="M99">
        <v>12.694448083607881</v>
      </c>
      <c r="N99">
        <v>0.77855399398460701</v>
      </c>
      <c r="O99">
        <v>1.4240651257352077E-2</v>
      </c>
      <c r="P99">
        <v>0</v>
      </c>
      <c r="Q99">
        <v>0</v>
      </c>
      <c r="R99">
        <v>16.565192422944499</v>
      </c>
      <c r="S99">
        <v>10.729057014149101</v>
      </c>
      <c r="T99">
        <v>0</v>
      </c>
    </row>
    <row r="100" spans="7:20" x14ac:dyDescent="0.25">
      <c r="G100" s="19">
        <f t="shared" si="4"/>
        <v>293</v>
      </c>
      <c r="H100" s="34">
        <f t="shared" si="6"/>
        <v>44488</v>
      </c>
      <c r="I100">
        <f>HLOOKUP($I$4,meanT!$A$2:$D$368,G100,FALSE)</f>
        <v>12.9428571428571</v>
      </c>
      <c r="K100" t="b">
        <f t="shared" si="5"/>
        <v>1</v>
      </c>
      <c r="L100" s="12">
        <v>44488</v>
      </c>
      <c r="M100">
        <v>11.911105393280039</v>
      </c>
      <c r="N100">
        <v>0.79713256314374104</v>
      </c>
      <c r="O100">
        <v>1.3789872815898817E-2</v>
      </c>
      <c r="P100">
        <v>0</v>
      </c>
      <c r="Q100">
        <v>0</v>
      </c>
      <c r="R100">
        <v>17.362324986088201</v>
      </c>
      <c r="S100">
        <v>11.245349279245801</v>
      </c>
      <c r="T100">
        <v>0</v>
      </c>
    </row>
    <row r="101" spans="7:20" x14ac:dyDescent="0.25">
      <c r="G101" s="19">
        <f t="shared" si="4"/>
        <v>294</v>
      </c>
      <c r="H101" s="34">
        <f t="shared" si="6"/>
        <v>44489</v>
      </c>
      <c r="I101">
        <f>HLOOKUP($I$4,meanT!$A$2:$D$368,G101,FALSE)</f>
        <v>12.819642857142799</v>
      </c>
      <c r="K101" t="b">
        <f t="shared" si="5"/>
        <v>1</v>
      </c>
      <c r="L101" s="12">
        <v>44489</v>
      </c>
      <c r="M101">
        <v>11.101681000831855</v>
      </c>
      <c r="N101">
        <v>0.822906206256803</v>
      </c>
      <c r="O101">
        <v>1.3481813808619424E-2</v>
      </c>
      <c r="P101">
        <v>0</v>
      </c>
      <c r="Q101">
        <v>0</v>
      </c>
      <c r="R101">
        <v>18.185231192345</v>
      </c>
      <c r="S101">
        <v>11.7783347936185</v>
      </c>
      <c r="T101">
        <v>0</v>
      </c>
    </row>
    <row r="102" spans="7:20" x14ac:dyDescent="0.25">
      <c r="G102" s="19">
        <f t="shared" si="4"/>
        <v>295</v>
      </c>
      <c r="H102" s="34">
        <f t="shared" si="6"/>
        <v>44490</v>
      </c>
      <c r="I102">
        <f>HLOOKUP($I$4,meanT!$A$2:$D$368,G102,FALSE)</f>
        <v>13.2785714285714</v>
      </c>
      <c r="K102" t="b">
        <f t="shared" si="5"/>
        <v>1</v>
      </c>
      <c r="L102" s="12">
        <v>44490</v>
      </c>
      <c r="M102">
        <v>10.227055640685005</v>
      </c>
      <c r="N102">
        <v>0.88841078826297004</v>
      </c>
      <c r="O102">
        <v>1.3785428116121287E-2</v>
      </c>
      <c r="P102">
        <v>0</v>
      </c>
      <c r="Q102">
        <v>0</v>
      </c>
      <c r="R102">
        <v>19.073641980607999</v>
      </c>
      <c r="S102">
        <v>12.3537467632408</v>
      </c>
      <c r="T102">
        <v>0</v>
      </c>
    </row>
    <row r="103" spans="7:20" x14ac:dyDescent="0.25">
      <c r="G103" s="19">
        <f t="shared" si="4"/>
        <v>296</v>
      </c>
      <c r="H103" s="34">
        <f t="shared" si="6"/>
        <v>44491</v>
      </c>
      <c r="I103">
        <f>HLOOKUP($I$4,meanT!$A$2:$D$368,G103,FALSE)</f>
        <v>13.5625</v>
      </c>
      <c r="K103" t="b">
        <f t="shared" si="5"/>
        <v>1</v>
      </c>
      <c r="L103" s="12">
        <v>44491</v>
      </c>
      <c r="M103">
        <v>9.2945842574760427</v>
      </c>
      <c r="N103">
        <v>0.94636461287240403</v>
      </c>
      <c r="O103">
        <v>1.3893229663442643E-2</v>
      </c>
      <c r="P103">
        <v>0</v>
      </c>
      <c r="Q103">
        <v>0</v>
      </c>
      <c r="R103">
        <v>20.020006593480399</v>
      </c>
      <c r="S103">
        <v>12.9666946619695</v>
      </c>
      <c r="T103">
        <v>0</v>
      </c>
    </row>
    <row r="104" spans="7:20" x14ac:dyDescent="0.25">
      <c r="G104" s="19">
        <f t="shared" si="4"/>
        <v>297</v>
      </c>
      <c r="H104" s="34">
        <f t="shared" si="6"/>
        <v>44492</v>
      </c>
      <c r="I104">
        <f>HLOOKUP($I$4,meanT!$A$2:$D$368,G104,FALSE)</f>
        <v>13.9310344827586</v>
      </c>
      <c r="K104" t="b">
        <f t="shared" si="5"/>
        <v>1</v>
      </c>
      <c r="L104" s="12">
        <v>44492</v>
      </c>
      <c r="M104">
        <v>8.2944330132247366</v>
      </c>
      <c r="N104">
        <v>1.0142284482694801</v>
      </c>
      <c r="O104">
        <v>1.4077204018172317E-2</v>
      </c>
      <c r="P104">
        <v>0</v>
      </c>
      <c r="Q104">
        <v>0</v>
      </c>
      <c r="R104">
        <v>21.034235041749898</v>
      </c>
      <c r="S104">
        <v>13.6235970733042</v>
      </c>
      <c r="T104">
        <v>0</v>
      </c>
    </row>
    <row r="105" spans="7:20" x14ac:dyDescent="0.25">
      <c r="G105" s="19">
        <f t="shared" si="4"/>
        <v>298</v>
      </c>
      <c r="H105" s="34">
        <f t="shared" si="6"/>
        <v>44493</v>
      </c>
      <c r="I105">
        <f>HLOOKUP($I$4,meanT!$A$2:$D$368,G105,FALSE)</f>
        <v>13.336206896551699</v>
      </c>
      <c r="K105" t="b">
        <f t="shared" si="5"/>
        <v>1</v>
      </c>
      <c r="L105" s="12">
        <v>44493</v>
      </c>
      <c r="M105">
        <v>7.2957083707550927</v>
      </c>
      <c r="N105">
        <v>1.01201304124658</v>
      </c>
      <c r="O105">
        <v>1.3288398776936564E-2</v>
      </c>
      <c r="P105">
        <v>0</v>
      </c>
      <c r="Q105">
        <v>0</v>
      </c>
      <c r="R105">
        <v>22.046248082996499</v>
      </c>
      <c r="S105">
        <v>14.279064594681</v>
      </c>
      <c r="T105">
        <v>0</v>
      </c>
    </row>
    <row r="106" spans="7:20" x14ac:dyDescent="0.25">
      <c r="G106" s="19">
        <f t="shared" si="4"/>
        <v>299</v>
      </c>
      <c r="H106" s="34">
        <f t="shared" si="6"/>
        <v>44494</v>
      </c>
      <c r="I106">
        <f>HLOOKUP($I$4,meanT!$A$2:$D$368,G106,FALSE)</f>
        <v>13.789655172413701</v>
      </c>
      <c r="K106" t="b">
        <f t="shared" si="5"/>
        <v>1</v>
      </c>
      <c r="L106" s="12">
        <v>44494</v>
      </c>
      <c r="M106">
        <v>6.2195026085773195</v>
      </c>
      <c r="N106">
        <v>1.08976274125577</v>
      </c>
      <c r="O106">
        <v>1.3556979077996644E-2</v>
      </c>
      <c r="P106">
        <v>0</v>
      </c>
      <c r="Q106">
        <v>0</v>
      </c>
      <c r="R106">
        <v>23.136010824252299</v>
      </c>
      <c r="S106">
        <v>14.984889573003199</v>
      </c>
      <c r="T106">
        <v>0</v>
      </c>
    </row>
    <row r="107" spans="7:20" x14ac:dyDescent="0.25">
      <c r="G107" s="19">
        <f t="shared" si="4"/>
        <v>300</v>
      </c>
      <c r="H107" s="34">
        <f t="shared" si="6"/>
        <v>44495</v>
      </c>
      <c r="I107">
        <f>HLOOKUP($I$4,meanT!$A$2:$D$368,G107,FALSE)</f>
        <v>14.0810344827586</v>
      </c>
      <c r="K107" t="b">
        <f t="shared" si="5"/>
        <v>1</v>
      </c>
      <c r="L107" s="12">
        <v>44495</v>
      </c>
      <c r="M107">
        <v>5.0738132461264893</v>
      </c>
      <c r="N107">
        <v>1.1593419080376699</v>
      </c>
      <c r="O107">
        <v>1.3652545586839772E-2</v>
      </c>
      <c r="P107">
        <v>0</v>
      </c>
      <c r="Q107">
        <v>0</v>
      </c>
      <c r="R107">
        <v>24.295352732289899</v>
      </c>
      <c r="S107">
        <v>15.735780061483201</v>
      </c>
      <c r="T107">
        <v>0</v>
      </c>
    </row>
    <row r="108" spans="7:20" x14ac:dyDescent="0.25">
      <c r="G108" s="19">
        <f t="shared" si="4"/>
        <v>301</v>
      </c>
      <c r="H108" s="34">
        <f t="shared" si="6"/>
        <v>44496</v>
      </c>
      <c r="I108">
        <f>HLOOKUP($I$4,meanT!$A$2:$D$368,G108,FALSE)</f>
        <v>14.8396551724137</v>
      </c>
      <c r="K108" t="b">
        <f t="shared" si="5"/>
        <v>1</v>
      </c>
      <c r="L108" s="12">
        <v>44496</v>
      </c>
      <c r="M108">
        <v>3.8141295768628325</v>
      </c>
      <c r="N108">
        <v>1.2738691514813101</v>
      </c>
      <c r="O108">
        <v>1.4185482217653462E-2</v>
      </c>
      <c r="P108">
        <v>0</v>
      </c>
      <c r="Q108">
        <v>0</v>
      </c>
      <c r="R108">
        <v>25.569221883771199</v>
      </c>
      <c r="S108">
        <v>16.5608483375315</v>
      </c>
      <c r="T108">
        <v>0</v>
      </c>
    </row>
    <row r="109" spans="7:20" x14ac:dyDescent="0.25">
      <c r="G109" s="19">
        <f t="shared" si="4"/>
        <v>302</v>
      </c>
      <c r="H109" s="34">
        <f t="shared" si="6"/>
        <v>44497</v>
      </c>
      <c r="I109">
        <f>HLOOKUP($I$4,meanT!$A$2:$D$368,G109,FALSE)</f>
        <v>14.274137931034399</v>
      </c>
      <c r="K109" t="b">
        <f t="shared" si="5"/>
        <v>1</v>
      </c>
      <c r="L109" s="12">
        <v>44497</v>
      </c>
      <c r="M109">
        <v>2.5507736230596985</v>
      </c>
      <c r="N109">
        <v>1.2767983628103401</v>
      </c>
      <c r="O109">
        <v>1.3442409007206287E-2</v>
      </c>
      <c r="P109">
        <v>0</v>
      </c>
      <c r="Q109">
        <v>0</v>
      </c>
      <c r="R109">
        <v>26.846020246581599</v>
      </c>
      <c r="S109">
        <v>17.3878138251881</v>
      </c>
      <c r="T109">
        <v>0</v>
      </c>
    </row>
    <row r="110" spans="7:20" x14ac:dyDescent="0.25">
      <c r="G110" s="19">
        <f t="shared" si="4"/>
        <v>303</v>
      </c>
      <c r="H110" s="34">
        <f t="shared" si="6"/>
        <v>44498</v>
      </c>
      <c r="I110">
        <f>HLOOKUP($I$4,meanT!$A$2:$D$368,G110,FALSE)</f>
        <v>14.29</v>
      </c>
      <c r="K110" t="b">
        <f t="shared" si="5"/>
        <v>1</v>
      </c>
      <c r="L110" s="12">
        <v>44498</v>
      </c>
      <c r="M110">
        <v>1.2343091633307139</v>
      </c>
      <c r="N110">
        <v>1.32972971452557</v>
      </c>
      <c r="O110">
        <v>1.3265254796585224E-2</v>
      </c>
      <c r="P110">
        <v>0</v>
      </c>
      <c r="Q110">
        <v>0</v>
      </c>
      <c r="R110">
        <v>28.175749961107101</v>
      </c>
      <c r="S110">
        <v>18.249062252389699</v>
      </c>
      <c r="T110">
        <v>0</v>
      </c>
    </row>
    <row r="111" spans="7:20" x14ac:dyDescent="0.25">
      <c r="G111" s="19">
        <f t="shared" si="4"/>
        <v>304</v>
      </c>
      <c r="H111" s="34">
        <f t="shared" si="6"/>
        <v>44499</v>
      </c>
      <c r="I111">
        <f>HLOOKUP($I$4,meanT!$A$2:$D$368,G111,FALSE)</f>
        <v>14.715</v>
      </c>
      <c r="K111" t="b">
        <f t="shared" si="5"/>
        <v>1</v>
      </c>
      <c r="L111" s="12">
        <v>44499</v>
      </c>
      <c r="M111">
        <v>-0.17625361494765635</v>
      </c>
      <c r="N111">
        <v>1.42402735782393</v>
      </c>
      <c r="O111">
        <v>1.3464579545559891E-2</v>
      </c>
      <c r="P111">
        <v>0</v>
      </c>
      <c r="Q111">
        <v>0</v>
      </c>
      <c r="R111">
        <v>29.5997773189311</v>
      </c>
      <c r="S111">
        <v>19.171386021514099</v>
      </c>
      <c r="T111">
        <v>0</v>
      </c>
    </row>
    <row r="112" spans="7:20" x14ac:dyDescent="0.25">
      <c r="G112" s="19">
        <f t="shared" si="4"/>
        <v>305</v>
      </c>
      <c r="H112" s="34">
        <f t="shared" si="6"/>
        <v>44500</v>
      </c>
      <c r="I112">
        <f>HLOOKUP($I$4,meanT!$A$2:$D$368,G112,FALSE)</f>
        <v>14.5266666666666</v>
      </c>
      <c r="K112" t="b">
        <f t="shared" si="5"/>
        <v>1</v>
      </c>
      <c r="L112" s="12">
        <v>44500</v>
      </c>
      <c r="M112">
        <v>-1.624215825988605</v>
      </c>
      <c r="N112">
        <v>1.4610588655899099</v>
      </c>
      <c r="O112">
        <v>1.3096654548961254E-2</v>
      </c>
      <c r="P112">
        <v>0</v>
      </c>
      <c r="Q112">
        <v>0</v>
      </c>
      <c r="R112">
        <v>31.060836184521001</v>
      </c>
      <c r="S112">
        <v>20.117694610615001</v>
      </c>
      <c r="T112">
        <v>0</v>
      </c>
    </row>
    <row r="113" spans="7:20" x14ac:dyDescent="0.25">
      <c r="G113" s="19">
        <f t="shared" si="4"/>
        <v>306</v>
      </c>
      <c r="H113" s="34">
        <f t="shared" si="6"/>
        <v>44501</v>
      </c>
      <c r="I113">
        <f>HLOOKUP($I$4,meanT!$A$2:$D$368,G113,FALSE)</f>
        <v>14.0416666666666</v>
      </c>
      <c r="K113" t="b">
        <f t="shared" si="5"/>
        <v>1</v>
      </c>
      <c r="L113" s="12">
        <v>44501</v>
      </c>
      <c r="M113">
        <v>-3.0767956805862768</v>
      </c>
      <c r="N113">
        <v>1.46505535392442</v>
      </c>
      <c r="O113">
        <v>1.2475499326748407E-2</v>
      </c>
      <c r="P113">
        <v>0</v>
      </c>
      <c r="Q113">
        <v>0</v>
      </c>
      <c r="R113">
        <v>32.5258915384454</v>
      </c>
      <c r="S113">
        <v>21.0665916725874</v>
      </c>
      <c r="T113">
        <v>0</v>
      </c>
    </row>
    <row r="114" spans="7:20" x14ac:dyDescent="0.25">
      <c r="G114" s="19">
        <f t="shared" si="4"/>
        <v>307</v>
      </c>
      <c r="H114" s="34">
        <f t="shared" si="6"/>
        <v>44502</v>
      </c>
      <c r="I114">
        <f>HLOOKUP($I$4,meanT!$A$2:$D$368,G114,FALSE)</f>
        <v>14.098333333333301</v>
      </c>
      <c r="K114" t="b">
        <f t="shared" si="5"/>
        <v>1</v>
      </c>
      <c r="L114" s="12">
        <v>44502</v>
      </c>
      <c r="M114">
        <v>-4.5880529138696993</v>
      </c>
      <c r="N114">
        <v>1.5236071950909</v>
      </c>
      <c r="O114">
        <v>1.2349961807477187E-2</v>
      </c>
      <c r="P114">
        <v>0</v>
      </c>
      <c r="Q114">
        <v>0</v>
      </c>
      <c r="R114">
        <v>34.049498733536304</v>
      </c>
      <c r="S114">
        <v>22.053411991116</v>
      </c>
      <c r="T114">
        <v>0</v>
      </c>
    </row>
    <row r="115" spans="7:20" x14ac:dyDescent="0.25">
      <c r="G115" s="19">
        <f t="shared" si="4"/>
        <v>308</v>
      </c>
      <c r="H115" s="34">
        <f t="shared" si="6"/>
        <v>44503</v>
      </c>
      <c r="I115">
        <f>HLOOKUP($I$4,meanT!$A$2:$D$368,G115,FALSE)</f>
        <v>13.9933333333333</v>
      </c>
      <c r="K115" t="b">
        <f t="shared" si="5"/>
        <v>1</v>
      </c>
      <c r="L115" s="12">
        <v>44503</v>
      </c>
      <c r="M115">
        <v>-6.1406773850977157</v>
      </c>
      <c r="N115">
        <v>1.5647096372303899</v>
      </c>
      <c r="O115">
        <v>1.2085166002373688E-2</v>
      </c>
      <c r="P115">
        <v>0</v>
      </c>
      <c r="Q115">
        <v>0</v>
      </c>
      <c r="R115">
        <v>35.614208370766697</v>
      </c>
      <c r="S115">
        <v>23.0668538202119</v>
      </c>
      <c r="T115">
        <v>0</v>
      </c>
    </row>
    <row r="116" spans="7:20" x14ac:dyDescent="0.25">
      <c r="G116" s="19">
        <f t="shared" si="4"/>
        <v>309</v>
      </c>
      <c r="H116" s="34">
        <f t="shared" si="6"/>
        <v>44504</v>
      </c>
      <c r="I116">
        <f>HLOOKUP($I$4,meanT!$A$2:$D$368,G116,FALSE)</f>
        <v>14.2016666666666</v>
      </c>
      <c r="K116" t="b">
        <f t="shared" si="5"/>
        <v>1</v>
      </c>
      <c r="L116" s="12">
        <v>44504</v>
      </c>
      <c r="M116">
        <v>-7.7701571370515889</v>
      </c>
      <c r="N116">
        <v>1.6415732129151801</v>
      </c>
      <c r="O116">
        <v>1.209346096130723E-2</v>
      </c>
      <c r="P116">
        <v>0</v>
      </c>
      <c r="Q116">
        <v>0</v>
      </c>
      <c r="R116">
        <v>37.255781583681902</v>
      </c>
      <c r="S116">
        <v>24.130079175196101</v>
      </c>
      <c r="T116">
        <v>0</v>
      </c>
    </row>
    <row r="117" spans="7:20" x14ac:dyDescent="0.25">
      <c r="G117" s="19">
        <f t="shared" si="4"/>
        <v>310</v>
      </c>
      <c r="H117" s="34">
        <f t="shared" si="6"/>
        <v>44505</v>
      </c>
      <c r="I117">
        <f>HLOOKUP($I$4,meanT!$A$2:$D$368,G117,FALSE)</f>
        <v>14.5483333333333</v>
      </c>
      <c r="K117" t="b">
        <f t="shared" si="5"/>
        <v>1</v>
      </c>
      <c r="L117" s="12">
        <v>44505</v>
      </c>
      <c r="M117">
        <v>-9.4955144912522886</v>
      </c>
      <c r="N117">
        <v>1.7375700802348699</v>
      </c>
      <c r="O117">
        <v>1.2212726034170413E-2</v>
      </c>
      <c r="P117">
        <v>0</v>
      </c>
      <c r="Q117">
        <v>0</v>
      </c>
      <c r="R117">
        <v>38.993351663916698</v>
      </c>
      <c r="S117">
        <v>25.255480437127598</v>
      </c>
      <c r="T117">
        <v>0</v>
      </c>
    </row>
    <row r="118" spans="7:20" x14ac:dyDescent="0.25">
      <c r="G118" s="19">
        <f t="shared" si="4"/>
        <v>311</v>
      </c>
      <c r="H118" s="34">
        <f t="shared" si="6"/>
        <v>44506</v>
      </c>
      <c r="I118">
        <f>HLOOKUP($I$4,meanT!$A$2:$D$368,G118,FALSE)</f>
        <v>14.156666666666601</v>
      </c>
      <c r="K118" t="b">
        <f t="shared" si="5"/>
        <v>1</v>
      </c>
      <c r="L118" s="12">
        <v>44506</v>
      </c>
      <c r="M118">
        <v>-11.228713022145147</v>
      </c>
      <c r="N118">
        <v>1.74490957741645</v>
      </c>
      <c r="O118">
        <v>1.1711046523592802E-2</v>
      </c>
      <c r="P118">
        <v>0</v>
      </c>
      <c r="Q118">
        <v>0</v>
      </c>
      <c r="R118">
        <v>40.738261241333198</v>
      </c>
      <c r="S118">
        <v>26.385635394742501</v>
      </c>
      <c r="T118">
        <v>0</v>
      </c>
    </row>
    <row r="119" spans="7:20" x14ac:dyDescent="0.25">
      <c r="G119" s="19">
        <f t="shared" si="4"/>
        <v>312</v>
      </c>
      <c r="H119" s="34">
        <f t="shared" si="6"/>
        <v>44507</v>
      </c>
      <c r="I119">
        <f>HLOOKUP($I$4,meanT!$A$2:$D$368,G119,FALSE)</f>
        <v>14.466666666666599</v>
      </c>
      <c r="K119" t="b">
        <f t="shared" si="5"/>
        <v>1</v>
      </c>
      <c r="L119" s="12">
        <v>44507</v>
      </c>
      <c r="M119">
        <v>-13.054752428223971</v>
      </c>
      <c r="N119">
        <v>1.8378374790702801</v>
      </c>
      <c r="O119">
        <v>1.1798072991457419E-2</v>
      </c>
      <c r="P119">
        <v>0</v>
      </c>
      <c r="Q119">
        <v>0</v>
      </c>
      <c r="R119">
        <v>42.5760987204035</v>
      </c>
      <c r="S119">
        <v>27.575978530652801</v>
      </c>
      <c r="T119">
        <v>0</v>
      </c>
    </row>
    <row r="120" spans="7:20" x14ac:dyDescent="0.25">
      <c r="G120" s="19">
        <f t="shared" si="4"/>
        <v>313</v>
      </c>
      <c r="H120" s="34">
        <f t="shared" si="6"/>
        <v>44508</v>
      </c>
      <c r="I120">
        <f>HLOOKUP($I$4,meanT!$A$2:$D$368,G120,FALSE)</f>
        <v>14.7283333333333</v>
      </c>
      <c r="K120" t="b">
        <f t="shared" si="5"/>
        <v>1</v>
      </c>
      <c r="L120" s="12">
        <v>44508</v>
      </c>
      <c r="M120">
        <v>-14.970142024696388</v>
      </c>
      <c r="N120">
        <v>1.9272273018370101</v>
      </c>
      <c r="O120">
        <v>1.1837705364593751E-2</v>
      </c>
      <c r="P120">
        <v>0</v>
      </c>
      <c r="Q120">
        <v>0</v>
      </c>
      <c r="R120">
        <v>44.5033260222405</v>
      </c>
      <c r="S120">
        <v>28.824218277750099</v>
      </c>
      <c r="T120">
        <v>0</v>
      </c>
    </row>
    <row r="121" spans="7:20" x14ac:dyDescent="0.25">
      <c r="G121" s="19">
        <f t="shared" si="4"/>
        <v>314</v>
      </c>
      <c r="H121" s="34">
        <f t="shared" si="6"/>
        <v>44509</v>
      </c>
      <c r="I121">
        <f>HLOOKUP($I$4,meanT!$A$2:$D$368,G121,FALSE)</f>
        <v>14.37</v>
      </c>
      <c r="K121" t="b">
        <f t="shared" si="5"/>
        <v>1</v>
      </c>
      <c r="L121" s="12">
        <v>44509</v>
      </c>
      <c r="M121">
        <v>-16.892813502236834</v>
      </c>
      <c r="N121">
        <v>1.9340510693469799</v>
      </c>
      <c r="O121">
        <v>1.1379591806538098E-2</v>
      </c>
      <c r="P121">
        <v>0</v>
      </c>
      <c r="Q121">
        <v>0</v>
      </c>
      <c r="R121">
        <v>46.4373770915875</v>
      </c>
      <c r="S121">
        <v>30.076877689213202</v>
      </c>
      <c r="T121">
        <v>0</v>
      </c>
    </row>
    <row r="122" spans="7:20" x14ac:dyDescent="0.25">
      <c r="G122" s="19">
        <f t="shared" si="4"/>
        <v>315</v>
      </c>
      <c r="H122" s="34">
        <f t="shared" si="6"/>
        <v>44510</v>
      </c>
      <c r="I122">
        <f>HLOOKUP($I$4,meanT!$A$2:$D$368,G122,FALSE)</f>
        <v>14.7216666666666</v>
      </c>
      <c r="K122" t="b">
        <f t="shared" si="5"/>
        <v>1</v>
      </c>
      <c r="L122" s="12">
        <v>44510</v>
      </c>
      <c r="M122">
        <v>-18.916555333535136</v>
      </c>
      <c r="N122">
        <v>2.0352323811068702</v>
      </c>
      <c r="O122">
        <v>1.1490549808563259E-2</v>
      </c>
      <c r="P122">
        <v>0</v>
      </c>
      <c r="Q122">
        <v>0</v>
      </c>
      <c r="R122">
        <v>48.472609472694302</v>
      </c>
      <c r="S122">
        <v>31.395070904022699</v>
      </c>
      <c r="T122">
        <v>0</v>
      </c>
    </row>
    <row r="123" spans="7:20" x14ac:dyDescent="0.25">
      <c r="G123" s="19">
        <f t="shared" si="4"/>
        <v>316</v>
      </c>
      <c r="H123" s="34">
        <f t="shared" si="6"/>
        <v>44511</v>
      </c>
      <c r="I123">
        <f>HLOOKUP($I$4,meanT!$A$2:$D$368,G123,FALSE)</f>
        <v>14.816666666666601</v>
      </c>
      <c r="K123" t="b">
        <f t="shared" si="5"/>
        <v>1</v>
      </c>
      <c r="L123" s="12">
        <v>44511</v>
      </c>
      <c r="M123">
        <v>-21.007102797438641</v>
      </c>
      <c r="N123">
        <v>2.1019419114305098</v>
      </c>
      <c r="O123">
        <v>1.1394447527011504E-2</v>
      </c>
      <c r="P123">
        <v>0</v>
      </c>
      <c r="Q123">
        <v>0</v>
      </c>
      <c r="R123">
        <v>50.574551384124803</v>
      </c>
      <c r="S123">
        <v>32.756471003241003</v>
      </c>
      <c r="T123">
        <v>0</v>
      </c>
    </row>
    <row r="124" spans="7:20" x14ac:dyDescent="0.25">
      <c r="G124" s="19">
        <f t="shared" si="4"/>
        <v>317</v>
      </c>
      <c r="H124" s="34">
        <f t="shared" si="6"/>
        <v>44512</v>
      </c>
      <c r="I124">
        <f>HLOOKUP($I$4,meanT!$A$2:$D$368,G124,FALSE)</f>
        <v>14.7883333333333</v>
      </c>
      <c r="K124" t="b">
        <f t="shared" si="5"/>
        <v>1</v>
      </c>
      <c r="L124" s="12">
        <v>44512</v>
      </c>
      <c r="M124">
        <v>-23.145676027244448</v>
      </c>
      <c r="N124">
        <v>2.1497773832873901</v>
      </c>
      <c r="O124">
        <v>1.1204153481582158E-2</v>
      </c>
      <c r="P124">
        <v>0</v>
      </c>
      <c r="Q124">
        <v>0</v>
      </c>
      <c r="R124">
        <v>52.724328767412203</v>
      </c>
      <c r="S124">
        <v>34.148853507718997</v>
      </c>
      <c r="T124">
        <v>0</v>
      </c>
    </row>
    <row r="125" spans="7:20" x14ac:dyDescent="0.25">
      <c r="G125" s="19">
        <f t="shared" si="4"/>
        <v>318</v>
      </c>
      <c r="H125" s="34">
        <f t="shared" si="6"/>
        <v>44513</v>
      </c>
      <c r="I125">
        <f>HLOOKUP($I$4,meanT!$A$2:$D$368,G125,FALSE)</f>
        <v>14.5583333333333</v>
      </c>
      <c r="K125" t="b">
        <f t="shared" si="5"/>
        <v>1</v>
      </c>
      <c r="L125" s="12">
        <v>44513</v>
      </c>
      <c r="M125">
        <v>-25.299797067111818</v>
      </c>
      <c r="N125">
        <v>2.1649878235825102</v>
      </c>
      <c r="O125">
        <v>1.0866783715139846E-2</v>
      </c>
      <c r="P125">
        <v>0</v>
      </c>
      <c r="Q125">
        <v>0</v>
      </c>
      <c r="R125">
        <v>54.889316590994802</v>
      </c>
      <c r="S125">
        <v>35.551087614096197</v>
      </c>
      <c r="T125">
        <v>0</v>
      </c>
    </row>
    <row r="126" spans="7:20" x14ac:dyDescent="0.25">
      <c r="G126" s="19">
        <f t="shared" si="4"/>
        <v>319</v>
      </c>
      <c r="H126" s="34">
        <f t="shared" si="6"/>
        <v>44514</v>
      </c>
      <c r="I126">
        <f>HLOOKUP($I$4,meanT!$A$2:$D$368,G126,FALSE)</f>
        <v>14.5066666666666</v>
      </c>
      <c r="K126" t="b">
        <f t="shared" si="5"/>
        <v>1</v>
      </c>
      <c r="L126" s="12">
        <v>44514</v>
      </c>
      <c r="M126">
        <v>-27.492260266614188</v>
      </c>
      <c r="N126">
        <v>2.2031337768336998</v>
      </c>
      <c r="O126">
        <v>1.0670577331326661E-2</v>
      </c>
      <c r="P126">
        <v>0</v>
      </c>
      <c r="Q126">
        <v>0</v>
      </c>
      <c r="R126">
        <v>57.092450367828498</v>
      </c>
      <c r="S126">
        <v>36.978028352116702</v>
      </c>
      <c r="T126">
        <v>0</v>
      </c>
    </row>
    <row r="127" spans="7:20" x14ac:dyDescent="0.25">
      <c r="G127" s="19">
        <f t="shared" si="4"/>
        <v>320</v>
      </c>
      <c r="H127" s="34">
        <f t="shared" si="6"/>
        <v>44515</v>
      </c>
      <c r="I127">
        <f>HLOOKUP($I$4,meanT!$A$2:$D$368,G127,FALSE)</f>
        <v>14.8633333333333</v>
      </c>
      <c r="K127" t="b">
        <f t="shared" si="5"/>
        <v>1</v>
      </c>
      <c r="L127" s="12">
        <v>44515</v>
      </c>
      <c r="M127">
        <v>-29.783709704542176</v>
      </c>
      <c r="N127">
        <v>2.3022237659626898</v>
      </c>
      <c r="O127">
        <v>1.0774328034706947E-2</v>
      </c>
      <c r="P127">
        <v>0</v>
      </c>
      <c r="Q127">
        <v>0</v>
      </c>
      <c r="R127">
        <v>59.394674133791099</v>
      </c>
      <c r="S127">
        <v>38.469148371352297</v>
      </c>
      <c r="T127">
        <v>0</v>
      </c>
    </row>
    <row r="128" spans="7:20" x14ac:dyDescent="0.25">
      <c r="G128" s="19">
        <f t="shared" si="4"/>
        <v>321</v>
      </c>
      <c r="H128" s="34">
        <f t="shared" si="6"/>
        <v>44516</v>
      </c>
      <c r="I128">
        <f>HLOOKUP($I$4,meanT!$A$2:$D$368,G128,FALSE)</f>
        <v>15.191666666666601</v>
      </c>
      <c r="K128" t="b">
        <f t="shared" si="5"/>
        <v>0</v>
      </c>
      <c r="L128" s="12">
        <v>44516</v>
      </c>
      <c r="M128">
        <v>-29.463776789650446</v>
      </c>
      <c r="N128">
        <v>0</v>
      </c>
      <c r="O128">
        <v>0.31993291489172609</v>
      </c>
      <c r="P128">
        <v>0</v>
      </c>
      <c r="Q128">
        <v>0</v>
      </c>
      <c r="R128">
        <v>0</v>
      </c>
      <c r="S128">
        <v>0</v>
      </c>
      <c r="T128">
        <v>0</v>
      </c>
    </row>
    <row r="129" spans="7:20" x14ac:dyDescent="0.25">
      <c r="G129" s="19">
        <f t="shared" si="4"/>
        <v>322</v>
      </c>
      <c r="H129" s="34">
        <f t="shared" si="6"/>
        <v>44517</v>
      </c>
      <c r="I129">
        <f>HLOOKUP($I$4,meanT!$A$2:$D$368,G129,FALSE)</f>
        <v>14.805</v>
      </c>
      <c r="K129" t="b">
        <f t="shared" si="5"/>
        <v>0</v>
      </c>
      <c r="L129" s="12">
        <v>44517</v>
      </c>
      <c r="M129">
        <v>-29.15672359031354</v>
      </c>
      <c r="N129">
        <v>0</v>
      </c>
      <c r="O129">
        <v>0.30705319933690561</v>
      </c>
      <c r="P129">
        <v>0</v>
      </c>
      <c r="Q129">
        <v>0</v>
      </c>
      <c r="R129">
        <v>0</v>
      </c>
      <c r="S129">
        <v>0</v>
      </c>
      <c r="T129">
        <v>0</v>
      </c>
    </row>
    <row r="130" spans="7:20" x14ac:dyDescent="0.25">
      <c r="G130" s="19">
        <f t="shared" si="4"/>
        <v>323</v>
      </c>
      <c r="H130" s="34">
        <f t="shared" si="6"/>
        <v>44518</v>
      </c>
      <c r="I130">
        <f>HLOOKUP($I$4,meanT!$A$2:$D$368,G130,FALSE)</f>
        <v>14.4366666666666</v>
      </c>
      <c r="K130" t="b">
        <f t="shared" si="5"/>
        <v>0</v>
      </c>
      <c r="L130" s="12">
        <v>44518</v>
      </c>
      <c r="M130">
        <v>-28.861742386783781</v>
      </c>
      <c r="N130">
        <v>0</v>
      </c>
      <c r="O130">
        <v>0.29498120352976354</v>
      </c>
      <c r="P130">
        <v>0</v>
      </c>
      <c r="Q130">
        <v>0</v>
      </c>
      <c r="R130">
        <v>0</v>
      </c>
      <c r="S130">
        <v>0</v>
      </c>
      <c r="T130">
        <v>0</v>
      </c>
    </row>
    <row r="131" spans="7:20" x14ac:dyDescent="0.25">
      <c r="G131" s="19">
        <f t="shared" si="4"/>
        <v>324</v>
      </c>
      <c r="H131" s="34">
        <f t="shared" si="6"/>
        <v>44519</v>
      </c>
      <c r="I131">
        <f>HLOOKUP($I$4,meanT!$A$2:$D$368,G131,FALSE)</f>
        <v>14.4133333333333</v>
      </c>
      <c r="K131" t="b">
        <f t="shared" si="5"/>
        <v>0</v>
      </c>
      <c r="L131" s="12">
        <v>44519</v>
      </c>
      <c r="M131">
        <v>-28.571489610485088</v>
      </c>
      <c r="N131">
        <v>0</v>
      </c>
      <c r="O131">
        <v>0.29025277629869495</v>
      </c>
      <c r="P131">
        <v>0</v>
      </c>
      <c r="Q131">
        <v>0</v>
      </c>
      <c r="R131">
        <v>0</v>
      </c>
      <c r="S131">
        <v>0</v>
      </c>
      <c r="T131">
        <v>0</v>
      </c>
    </row>
    <row r="132" spans="7:20" x14ac:dyDescent="0.25">
      <c r="G132" s="19">
        <f t="shared" si="4"/>
        <v>325</v>
      </c>
      <c r="H132" s="34">
        <f t="shared" si="6"/>
        <v>44520</v>
      </c>
      <c r="I132">
        <f>HLOOKUP($I$4,meanT!$A$2:$D$368,G132,FALSE)</f>
        <v>14.8266666666666</v>
      </c>
      <c r="K132" t="b">
        <f t="shared" si="5"/>
        <v>0</v>
      </c>
      <c r="L132" s="12">
        <v>44520</v>
      </c>
      <c r="M132">
        <v>-28.277216692717587</v>
      </c>
      <c r="N132">
        <v>0</v>
      </c>
      <c r="O132">
        <v>0.29427291776750164</v>
      </c>
      <c r="P132">
        <v>0</v>
      </c>
      <c r="Q132">
        <v>0</v>
      </c>
      <c r="R132">
        <v>0</v>
      </c>
      <c r="S132">
        <v>0</v>
      </c>
      <c r="T132">
        <v>0</v>
      </c>
    </row>
    <row r="133" spans="7:20" x14ac:dyDescent="0.25">
      <c r="G133" s="19">
        <f t="shared" si="4"/>
        <v>326</v>
      </c>
      <c r="H133" s="34">
        <f t="shared" si="6"/>
        <v>44521</v>
      </c>
      <c r="I133">
        <f>HLOOKUP($I$4,meanT!$A$2:$D$368,G133,FALSE)</f>
        <v>14.899999999999901</v>
      </c>
      <c r="K133" t="b">
        <f t="shared" si="5"/>
        <v>0</v>
      </c>
      <c r="L133" s="12">
        <v>44521</v>
      </c>
      <c r="M133">
        <v>-27.985872954871112</v>
      </c>
      <c r="N133">
        <v>0</v>
      </c>
      <c r="O133">
        <v>0.29134373784647144</v>
      </c>
      <c r="P133">
        <v>0</v>
      </c>
      <c r="Q133">
        <v>0</v>
      </c>
      <c r="R133">
        <v>0</v>
      </c>
      <c r="S133">
        <v>0</v>
      </c>
      <c r="T133">
        <v>0</v>
      </c>
    </row>
    <row r="134" spans="7:20" x14ac:dyDescent="0.25">
      <c r="G134" s="19">
        <f t="shared" si="4"/>
        <v>327</v>
      </c>
      <c r="H134" s="34">
        <f t="shared" si="6"/>
        <v>44522</v>
      </c>
      <c r="I134">
        <f>HLOOKUP($I$4,meanT!$A$2:$D$368,G134,FALSE)</f>
        <v>15.125</v>
      </c>
      <c r="K134" t="b">
        <f t="shared" si="5"/>
        <v>0</v>
      </c>
      <c r="L134" s="12">
        <v>44522</v>
      </c>
      <c r="M134">
        <v>-27.694536305085379</v>
      </c>
      <c r="N134">
        <v>0</v>
      </c>
      <c r="O134">
        <v>0.29133664978573709</v>
      </c>
      <c r="P134">
        <v>0</v>
      </c>
      <c r="Q134">
        <v>0</v>
      </c>
      <c r="R134">
        <v>0</v>
      </c>
      <c r="S134">
        <v>0</v>
      </c>
      <c r="T134">
        <v>0</v>
      </c>
    </row>
    <row r="135" spans="7:20" x14ac:dyDescent="0.25">
      <c r="G135" s="19">
        <f t="shared" ref="G135:G198" si="7">H135-DATE(YEAR(H135),1,0)+1</f>
        <v>328</v>
      </c>
      <c r="H135" s="34">
        <f t="shared" si="6"/>
        <v>44523</v>
      </c>
      <c r="I135">
        <f>HLOOKUP($I$4,meanT!$A$2:$D$368,G135,FALSE)</f>
        <v>15.358333333333301</v>
      </c>
      <c r="K135" t="b">
        <f t="shared" ref="K135:K198" si="8">AND(IF(L135&gt;($B$24-1),TRUE,FALSE),IF(L135&lt;($B$26+1),TRUE,FALSE))</f>
        <v>0</v>
      </c>
      <c r="L135" s="12">
        <v>44523</v>
      </c>
      <c r="M135">
        <v>-27.403179650985599</v>
      </c>
      <c r="N135">
        <v>0</v>
      </c>
      <c r="O135">
        <v>0.2913566540997749</v>
      </c>
      <c r="P135">
        <v>0</v>
      </c>
      <c r="Q135">
        <v>0</v>
      </c>
      <c r="R135">
        <v>0</v>
      </c>
      <c r="S135">
        <v>0</v>
      </c>
      <c r="T135">
        <v>0</v>
      </c>
    </row>
    <row r="136" spans="7:20" x14ac:dyDescent="0.25">
      <c r="G136" s="19">
        <f t="shared" si="7"/>
        <v>329</v>
      </c>
      <c r="H136" s="34">
        <f t="shared" ref="H136:H199" si="9">H135+1</f>
        <v>44524</v>
      </c>
      <c r="I136">
        <f>HLOOKUP($I$4,meanT!$A$2:$D$368,G136,FALSE)</f>
        <v>15.2051724137931</v>
      </c>
      <c r="K136" t="b">
        <f t="shared" si="8"/>
        <v>0</v>
      </c>
      <c r="L136" s="12">
        <v>44524</v>
      </c>
      <c r="M136">
        <v>-27.11915867814718</v>
      </c>
      <c r="N136">
        <v>0</v>
      </c>
      <c r="O136">
        <v>0.28402097283842109</v>
      </c>
      <c r="P136">
        <v>0</v>
      </c>
      <c r="Q136">
        <v>0</v>
      </c>
      <c r="R136">
        <v>0</v>
      </c>
      <c r="S136">
        <v>0</v>
      </c>
      <c r="T136">
        <v>0</v>
      </c>
    </row>
    <row r="137" spans="7:20" x14ac:dyDescent="0.25">
      <c r="G137" s="19">
        <f t="shared" si="7"/>
        <v>330</v>
      </c>
      <c r="H137" s="34">
        <f t="shared" si="9"/>
        <v>44525</v>
      </c>
      <c r="I137">
        <f>HLOOKUP($I$4,meanT!$A$2:$D$368,G137,FALSE)</f>
        <v>15.834482758620601</v>
      </c>
      <c r="K137" t="b">
        <f t="shared" si="8"/>
        <v>0</v>
      </c>
      <c r="L137" s="12">
        <v>44525</v>
      </c>
      <c r="M137">
        <v>-26.827879995345128</v>
      </c>
      <c r="N137">
        <v>0</v>
      </c>
      <c r="O137">
        <v>0.29127868280205499</v>
      </c>
      <c r="P137">
        <v>0</v>
      </c>
      <c r="Q137">
        <v>0</v>
      </c>
      <c r="R137">
        <v>0</v>
      </c>
      <c r="S137">
        <v>0</v>
      </c>
      <c r="T137">
        <v>0</v>
      </c>
    </row>
    <row r="138" spans="7:20" x14ac:dyDescent="0.25">
      <c r="G138" s="19">
        <f t="shared" si="7"/>
        <v>331</v>
      </c>
      <c r="H138" s="34">
        <f t="shared" si="9"/>
        <v>44526</v>
      </c>
      <c r="I138">
        <f>HLOOKUP($I$4,meanT!$A$2:$D$368,G138,FALSE)</f>
        <v>15.876666666666599</v>
      </c>
      <c r="K138" t="b">
        <f t="shared" si="8"/>
        <v>0</v>
      </c>
      <c r="L138" s="12">
        <v>44526</v>
      </c>
      <c r="M138">
        <v>-26.54044986512411</v>
      </c>
      <c r="N138">
        <v>0</v>
      </c>
      <c r="O138">
        <v>0.28743013022101355</v>
      </c>
      <c r="P138">
        <v>0</v>
      </c>
      <c r="Q138">
        <v>0</v>
      </c>
      <c r="R138">
        <v>0</v>
      </c>
      <c r="S138">
        <v>0</v>
      </c>
      <c r="T138">
        <v>0</v>
      </c>
    </row>
    <row r="139" spans="7:20" x14ac:dyDescent="0.25">
      <c r="G139" s="19">
        <f t="shared" si="7"/>
        <v>332</v>
      </c>
      <c r="H139" s="34">
        <f t="shared" si="9"/>
        <v>44527</v>
      </c>
      <c r="I139">
        <f>HLOOKUP($I$4,meanT!$A$2:$D$368,G139,FALSE)</f>
        <v>15.52</v>
      </c>
      <c r="K139" t="b">
        <f t="shared" si="8"/>
        <v>0</v>
      </c>
      <c r="L139" s="12">
        <v>44527</v>
      </c>
      <c r="M139">
        <v>-26.263937720424117</v>
      </c>
      <c r="N139">
        <v>0</v>
      </c>
      <c r="O139">
        <v>0.2765121446999953</v>
      </c>
      <c r="P139">
        <v>0</v>
      </c>
      <c r="Q139">
        <v>0</v>
      </c>
      <c r="R139">
        <v>0</v>
      </c>
      <c r="S139">
        <v>0</v>
      </c>
      <c r="T139">
        <v>0</v>
      </c>
    </row>
    <row r="140" spans="7:20" x14ac:dyDescent="0.25">
      <c r="G140" s="19">
        <f t="shared" si="7"/>
        <v>333</v>
      </c>
      <c r="H140" s="34">
        <f t="shared" si="9"/>
        <v>44528</v>
      </c>
      <c r="I140">
        <f>HLOOKUP($I$4,meanT!$A$2:$D$368,G140,FALSE)</f>
        <v>15.438333333333301</v>
      </c>
      <c r="K140" t="b">
        <f t="shared" si="8"/>
        <v>0</v>
      </c>
      <c r="L140" s="12">
        <v>44528</v>
      </c>
      <c r="M140">
        <v>-25.993149476891837</v>
      </c>
      <c r="N140">
        <v>0</v>
      </c>
      <c r="O140">
        <v>0.27078824353228154</v>
      </c>
      <c r="P140">
        <v>0</v>
      </c>
      <c r="Q140">
        <v>0</v>
      </c>
      <c r="R140">
        <v>0</v>
      </c>
      <c r="S140">
        <v>0</v>
      </c>
      <c r="T140">
        <v>0</v>
      </c>
    </row>
    <row r="141" spans="7:20" x14ac:dyDescent="0.25">
      <c r="G141" s="19">
        <f t="shared" si="7"/>
        <v>334</v>
      </c>
      <c r="H141" s="34">
        <f t="shared" si="9"/>
        <v>44529</v>
      </c>
      <c r="I141">
        <f>HLOOKUP($I$4,meanT!$A$2:$D$368,G141,FALSE)</f>
        <v>15.551724137931</v>
      </c>
      <c r="K141" t="b">
        <f t="shared" si="8"/>
        <v>0</v>
      </c>
      <c r="L141" s="12">
        <v>44529</v>
      </c>
      <c r="M141">
        <v>-25.72458358361451</v>
      </c>
      <c r="N141">
        <v>0</v>
      </c>
      <c r="O141">
        <v>0.26856589327732411</v>
      </c>
      <c r="P141">
        <v>0</v>
      </c>
      <c r="Q141">
        <v>0</v>
      </c>
      <c r="R141">
        <v>0</v>
      </c>
      <c r="S141">
        <v>0</v>
      </c>
      <c r="T141">
        <v>0</v>
      </c>
    </row>
    <row r="142" spans="7:20" x14ac:dyDescent="0.25">
      <c r="G142" s="19">
        <f t="shared" si="7"/>
        <v>335</v>
      </c>
      <c r="H142" s="34">
        <f t="shared" si="9"/>
        <v>44530</v>
      </c>
      <c r="I142">
        <f>HLOOKUP($I$4,meanT!$A$2:$D$368,G142,FALSE)</f>
        <v>15.832758620689599</v>
      </c>
      <c r="K142" t="b">
        <f t="shared" si="8"/>
        <v>0</v>
      </c>
      <c r="L142" s="12">
        <v>44530</v>
      </c>
      <c r="M142">
        <v>-25.45541658754707</v>
      </c>
      <c r="N142">
        <v>0</v>
      </c>
      <c r="O142">
        <v>0.2691669960674431</v>
      </c>
      <c r="P142">
        <v>0</v>
      </c>
      <c r="Q142">
        <v>0</v>
      </c>
      <c r="R142">
        <v>0.68619225976779097</v>
      </c>
      <c r="S142">
        <v>0.64799467870715799</v>
      </c>
      <c r="T142">
        <v>0</v>
      </c>
    </row>
    <row r="143" spans="7:20" x14ac:dyDescent="0.25">
      <c r="G143" s="19">
        <f t="shared" si="7"/>
        <v>336</v>
      </c>
      <c r="H143" s="34">
        <f t="shared" si="9"/>
        <v>44531</v>
      </c>
      <c r="I143">
        <f>HLOOKUP($I$4,meanT!$A$2:$D$368,G143,FALSE)</f>
        <v>16.082758620689599</v>
      </c>
      <c r="K143" t="b">
        <f t="shared" si="8"/>
        <v>0</v>
      </c>
      <c r="L143" s="12">
        <v>44531</v>
      </c>
      <c r="M143">
        <v>-25.242605590771767</v>
      </c>
      <c r="N143">
        <v>5.6277210937558997E-2</v>
      </c>
      <c r="O143">
        <v>0.26908820771286046</v>
      </c>
      <c r="P143">
        <v>0</v>
      </c>
      <c r="Q143">
        <v>0</v>
      </c>
      <c r="R143">
        <v>0.74246947070534997</v>
      </c>
      <c r="S143">
        <v>0.70113916219690098</v>
      </c>
      <c r="T143">
        <v>0</v>
      </c>
    </row>
    <row r="144" spans="7:20" x14ac:dyDescent="0.25">
      <c r="G144" s="19">
        <f t="shared" si="7"/>
        <v>337</v>
      </c>
      <c r="H144" s="34">
        <f t="shared" si="9"/>
        <v>44532</v>
      </c>
      <c r="I144">
        <f>HLOOKUP($I$4,meanT!$A$2:$D$368,G144,FALSE)</f>
        <v>16.4931034482758</v>
      </c>
      <c r="K144" t="b">
        <f t="shared" si="8"/>
        <v>0</v>
      </c>
      <c r="L144" s="12">
        <v>44532</v>
      </c>
      <c r="M144">
        <v>-25.033488295530574</v>
      </c>
      <c r="N144">
        <v>6.2398485363278501E-2</v>
      </c>
      <c r="O144">
        <v>0.27151578060446918</v>
      </c>
      <c r="P144">
        <v>0</v>
      </c>
      <c r="Q144">
        <v>0</v>
      </c>
      <c r="R144">
        <v>0.80486795606862804</v>
      </c>
      <c r="S144">
        <v>0.76006417322584197</v>
      </c>
      <c r="T144">
        <v>0</v>
      </c>
    </row>
    <row r="145" spans="7:20" x14ac:dyDescent="0.25">
      <c r="G145" s="19">
        <f t="shared" si="7"/>
        <v>338</v>
      </c>
      <c r="H145" s="34">
        <f t="shared" si="9"/>
        <v>44533</v>
      </c>
      <c r="I145">
        <f>HLOOKUP($I$4,meanT!$A$2:$D$368,G145,FALSE)</f>
        <v>16.78</v>
      </c>
      <c r="K145" t="b">
        <f t="shared" si="8"/>
        <v>0</v>
      </c>
      <c r="L145" s="12">
        <v>44533</v>
      </c>
      <c r="M145">
        <v>-24.830537610900521</v>
      </c>
      <c r="N145">
        <v>6.8732062000943298E-2</v>
      </c>
      <c r="O145">
        <v>0.27168274663099351</v>
      </c>
      <c r="P145">
        <v>0</v>
      </c>
      <c r="Q145">
        <v>0</v>
      </c>
      <c r="R145">
        <v>0.87360001806957099</v>
      </c>
      <c r="S145">
        <v>0.82497019599015198</v>
      </c>
      <c r="T145">
        <v>0</v>
      </c>
    </row>
    <row r="146" spans="7:20" x14ac:dyDescent="0.25">
      <c r="G146" s="19">
        <f t="shared" si="7"/>
        <v>339</v>
      </c>
      <c r="H146" s="34">
        <f t="shared" si="9"/>
        <v>44534</v>
      </c>
      <c r="I146">
        <f>HLOOKUP($I$4,meanT!$A$2:$D$368,G146,FALSE)</f>
        <v>16.8266666666666</v>
      </c>
      <c r="K146" t="b">
        <f t="shared" si="8"/>
        <v>0</v>
      </c>
      <c r="L146" s="12">
        <v>44534</v>
      </c>
      <c r="M146">
        <v>-24.637326346044368</v>
      </c>
      <c r="N146">
        <v>7.4655540546999397E-2</v>
      </c>
      <c r="O146">
        <v>0.26786680540315116</v>
      </c>
      <c r="P146">
        <v>0</v>
      </c>
      <c r="Q146">
        <v>0</v>
      </c>
      <c r="R146">
        <v>0.94825555861657096</v>
      </c>
      <c r="S146">
        <v>0.89546996092022102</v>
      </c>
      <c r="T146">
        <v>0</v>
      </c>
    </row>
    <row r="147" spans="7:20" x14ac:dyDescent="0.25">
      <c r="G147" s="19">
        <f t="shared" si="7"/>
        <v>340</v>
      </c>
      <c r="H147" s="34">
        <f t="shared" si="9"/>
        <v>44535</v>
      </c>
      <c r="I147">
        <f>HLOOKUP($I$4,meanT!$A$2:$D$368,G147,FALSE)</f>
        <v>16.6516666666666</v>
      </c>
      <c r="K147" t="b">
        <f t="shared" si="8"/>
        <v>0</v>
      </c>
      <c r="L147" s="12">
        <v>44535</v>
      </c>
      <c r="M147">
        <v>-24.456676254012685</v>
      </c>
      <c r="N147">
        <v>7.9970427389477905E-2</v>
      </c>
      <c r="O147">
        <v>0.26062051942116249</v>
      </c>
      <c r="P147">
        <v>0</v>
      </c>
      <c r="Q147">
        <v>0</v>
      </c>
      <c r="R147">
        <v>1.0282259860060501</v>
      </c>
      <c r="S147">
        <v>0.97098875418066199</v>
      </c>
      <c r="T147">
        <v>0</v>
      </c>
    </row>
    <row r="148" spans="7:20" x14ac:dyDescent="0.25">
      <c r="G148" s="19">
        <f t="shared" si="7"/>
        <v>341</v>
      </c>
      <c r="H148" s="34">
        <f t="shared" si="9"/>
        <v>44536</v>
      </c>
      <c r="I148">
        <f>HLOOKUP($I$4,meanT!$A$2:$D$368,G148,FALSE)</f>
        <v>16.68</v>
      </c>
      <c r="K148" t="b">
        <f t="shared" si="8"/>
        <v>0</v>
      </c>
      <c r="L148" s="12">
        <v>44536</v>
      </c>
      <c r="M148">
        <v>-24.286608254358342</v>
      </c>
      <c r="N148">
        <v>8.6648823494489505E-2</v>
      </c>
      <c r="O148">
        <v>0.25671682314882693</v>
      </c>
      <c r="P148">
        <v>0</v>
      </c>
      <c r="Q148">
        <v>0</v>
      </c>
      <c r="R148">
        <v>1.1148748095005401</v>
      </c>
      <c r="S148">
        <v>1.05281418392198</v>
      </c>
      <c r="T148">
        <v>0</v>
      </c>
    </row>
    <row r="149" spans="7:20" x14ac:dyDescent="0.25">
      <c r="G149" s="19">
        <f t="shared" si="7"/>
        <v>342</v>
      </c>
      <c r="H149" s="34">
        <f t="shared" si="9"/>
        <v>44537</v>
      </c>
      <c r="I149">
        <f>HLOOKUP($I$4,meanT!$A$2:$D$368,G149,FALSE)</f>
        <v>16.158333333333299</v>
      </c>
      <c r="K149" t="b">
        <f t="shared" si="8"/>
        <v>0</v>
      </c>
      <c r="L149" s="12">
        <v>44537</v>
      </c>
      <c r="M149">
        <v>-24.132719457825502</v>
      </c>
      <c r="N149">
        <v>9.0651097101525302E-2</v>
      </c>
      <c r="O149">
        <v>0.2445398936343661</v>
      </c>
      <c r="P149">
        <v>0</v>
      </c>
      <c r="Q149">
        <v>0</v>
      </c>
      <c r="R149">
        <v>1.20552590660206</v>
      </c>
      <c r="S149">
        <v>1.13841909669181</v>
      </c>
      <c r="T149">
        <v>0</v>
      </c>
    </row>
    <row r="150" spans="7:20" x14ac:dyDescent="0.25">
      <c r="G150" s="19">
        <f t="shared" si="7"/>
        <v>343</v>
      </c>
      <c r="H150" s="34">
        <f t="shared" si="9"/>
        <v>44538</v>
      </c>
      <c r="I150">
        <f>HLOOKUP($I$4,meanT!$A$2:$D$368,G150,FALSE)</f>
        <v>16.105</v>
      </c>
      <c r="K150" t="b">
        <f t="shared" si="8"/>
        <v>0</v>
      </c>
      <c r="L150" s="12">
        <v>44538</v>
      </c>
      <c r="M150">
        <v>-23.990331172305574</v>
      </c>
      <c r="N150">
        <v>9.7406147527009199E-2</v>
      </c>
      <c r="O150">
        <v>0.23979443304694165</v>
      </c>
      <c r="P150">
        <v>0</v>
      </c>
      <c r="Q150">
        <v>0</v>
      </c>
      <c r="R150">
        <v>1.3029320541290701</v>
      </c>
      <c r="S150">
        <v>1.23040303322328</v>
      </c>
      <c r="T150">
        <v>0</v>
      </c>
    </row>
    <row r="151" spans="7:20" x14ac:dyDescent="0.25">
      <c r="G151" s="19">
        <f t="shared" si="7"/>
        <v>344</v>
      </c>
      <c r="H151" s="34">
        <f t="shared" si="9"/>
        <v>44539</v>
      </c>
      <c r="I151">
        <f>HLOOKUP($I$4,meanT!$A$2:$D$368,G151,FALSE)</f>
        <v>16.565000000000001</v>
      </c>
      <c r="K151" t="b">
        <f t="shared" si="8"/>
        <v>0</v>
      </c>
      <c r="L151" s="12">
        <v>44539</v>
      </c>
      <c r="M151">
        <v>-23.855725032917888</v>
      </c>
      <c r="N151">
        <v>0.10806524132859401</v>
      </c>
      <c r="O151">
        <v>0.24267138071627245</v>
      </c>
      <c r="P151">
        <v>0</v>
      </c>
      <c r="Q151">
        <v>0</v>
      </c>
      <c r="R151">
        <v>1.4109972954576699</v>
      </c>
      <c r="S151">
        <v>1.33245271439839</v>
      </c>
      <c r="T151">
        <v>0</v>
      </c>
    </row>
    <row r="152" spans="7:20" x14ac:dyDescent="0.25">
      <c r="G152" s="19">
        <f t="shared" si="7"/>
        <v>345</v>
      </c>
      <c r="H152" s="34">
        <f t="shared" si="9"/>
        <v>44540</v>
      </c>
      <c r="I152">
        <f>HLOOKUP($I$4,meanT!$A$2:$D$368,G152,FALSE)</f>
        <v>16.483333333333299</v>
      </c>
      <c r="K152" t="b">
        <f t="shared" si="8"/>
        <v>0</v>
      </c>
      <c r="L152" s="12">
        <v>44540</v>
      </c>
      <c r="M152">
        <v>-23.734278539802922</v>
      </c>
      <c r="N152">
        <v>0.116028466611829</v>
      </c>
      <c r="O152">
        <v>0.23747495972679861</v>
      </c>
      <c r="P152">
        <v>0</v>
      </c>
      <c r="Q152">
        <v>0</v>
      </c>
      <c r="R152">
        <v>1.5270257620695</v>
      </c>
      <c r="S152">
        <v>1.44202233992646</v>
      </c>
      <c r="T152">
        <v>0</v>
      </c>
    </row>
    <row r="153" spans="7:20" x14ac:dyDescent="0.25">
      <c r="G153" s="19">
        <f t="shared" si="7"/>
        <v>346</v>
      </c>
      <c r="H153" s="34">
        <f t="shared" si="9"/>
        <v>44541</v>
      </c>
      <c r="I153">
        <f>HLOOKUP($I$4,meanT!$A$2:$D$368,G153,FALSE)</f>
        <v>17.015000000000001</v>
      </c>
      <c r="K153" t="b">
        <f t="shared" si="8"/>
        <v>0</v>
      </c>
      <c r="L153" s="12">
        <v>44541</v>
      </c>
      <c r="M153">
        <v>-23.622482351826953</v>
      </c>
      <c r="N153">
        <v>0.129297843314403</v>
      </c>
      <c r="O153">
        <v>0.24109403129036908</v>
      </c>
      <c r="P153">
        <v>0</v>
      </c>
      <c r="Q153">
        <v>0</v>
      </c>
      <c r="R153">
        <v>1.6563236053839001</v>
      </c>
      <c r="S153">
        <v>1.56412268898082</v>
      </c>
      <c r="T153">
        <v>0</v>
      </c>
    </row>
    <row r="154" spans="7:20" x14ac:dyDescent="0.25">
      <c r="G154" s="19">
        <f t="shared" si="7"/>
        <v>347</v>
      </c>
      <c r="H154" s="34">
        <f t="shared" si="9"/>
        <v>44542</v>
      </c>
      <c r="I154">
        <f>HLOOKUP($I$4,meanT!$A$2:$D$368,G154,FALSE)</f>
        <v>17.483333333333299</v>
      </c>
      <c r="K154" t="b">
        <f t="shared" si="8"/>
        <v>0</v>
      </c>
      <c r="L154" s="12">
        <v>44542</v>
      </c>
      <c r="M154">
        <v>-23.522628730930322</v>
      </c>
      <c r="N154">
        <v>0.14366133193813499</v>
      </c>
      <c r="O154">
        <v>0.24351495283476654</v>
      </c>
      <c r="P154">
        <v>0</v>
      </c>
      <c r="Q154">
        <v>0</v>
      </c>
      <c r="R154">
        <v>1.79998493732203</v>
      </c>
      <c r="S154">
        <v>1.6997869686440701</v>
      </c>
      <c r="T154">
        <v>0</v>
      </c>
    </row>
    <row r="155" spans="7:20" x14ac:dyDescent="0.25">
      <c r="G155" s="19">
        <f t="shared" si="7"/>
        <v>348</v>
      </c>
      <c r="H155" s="34">
        <f t="shared" si="9"/>
        <v>44543</v>
      </c>
      <c r="I155">
        <f>HLOOKUP($I$4,meanT!$A$2:$D$368,G155,FALSE)</f>
        <v>17.251666666666601</v>
      </c>
      <c r="K155" t="b">
        <f t="shared" si="8"/>
        <v>0</v>
      </c>
      <c r="L155" s="12">
        <v>44543</v>
      </c>
      <c r="M155">
        <v>-23.439799720251692</v>
      </c>
      <c r="N155">
        <v>0.15325815613135499</v>
      </c>
      <c r="O155">
        <v>0.23608716680998459</v>
      </c>
      <c r="P155">
        <v>0</v>
      </c>
      <c r="Q155">
        <v>0</v>
      </c>
      <c r="R155">
        <v>1.95324309345339</v>
      </c>
      <c r="S155">
        <v>1.8445138556468399</v>
      </c>
      <c r="T155">
        <v>0</v>
      </c>
    </row>
    <row r="156" spans="7:20" x14ac:dyDescent="0.25">
      <c r="G156" s="19">
        <f t="shared" si="7"/>
        <v>349</v>
      </c>
      <c r="H156" s="34">
        <f t="shared" si="9"/>
        <v>44544</v>
      </c>
      <c r="I156">
        <f>HLOOKUP($I$4,meanT!$A$2:$D$368,G156,FALSE)</f>
        <v>17.1733333333333</v>
      </c>
      <c r="K156" t="b">
        <f t="shared" si="8"/>
        <v>0</v>
      </c>
      <c r="L156" s="12">
        <v>44544</v>
      </c>
      <c r="M156">
        <v>-23.373540540902425</v>
      </c>
      <c r="N156">
        <v>0.164701600771399</v>
      </c>
      <c r="O156">
        <v>0.23096078012066473</v>
      </c>
      <c r="P156">
        <v>0</v>
      </c>
      <c r="Q156">
        <v>0</v>
      </c>
      <c r="R156">
        <v>2.1179446942247901</v>
      </c>
      <c r="S156">
        <v>2.00004717645482</v>
      </c>
      <c r="T156">
        <v>0</v>
      </c>
    </row>
    <row r="157" spans="7:20" x14ac:dyDescent="0.25">
      <c r="G157" s="19">
        <f t="shared" si="7"/>
        <v>350</v>
      </c>
      <c r="H157" s="34">
        <f t="shared" si="9"/>
        <v>44545</v>
      </c>
      <c r="I157">
        <f>HLOOKUP($I$4,meanT!$A$2:$D$368,G157,FALSE)</f>
        <v>17.0068965517241</v>
      </c>
      <c r="K157" t="b">
        <f t="shared" si="8"/>
        <v>0</v>
      </c>
      <c r="L157" s="12">
        <v>44545</v>
      </c>
      <c r="M157">
        <v>-23.324593267752562</v>
      </c>
      <c r="N157">
        <v>0.175847205356299</v>
      </c>
      <c r="O157">
        <v>0.2247944785061653</v>
      </c>
      <c r="P157">
        <v>0</v>
      </c>
      <c r="Q157">
        <v>0</v>
      </c>
      <c r="R157">
        <v>2.2937918995810902</v>
      </c>
      <c r="S157">
        <v>2.1661056705785602</v>
      </c>
      <c r="T157">
        <v>0</v>
      </c>
    </row>
    <row r="158" spans="7:20" x14ac:dyDescent="0.25">
      <c r="G158" s="19">
        <f t="shared" si="7"/>
        <v>351</v>
      </c>
      <c r="H158" s="34">
        <f t="shared" si="9"/>
        <v>44546</v>
      </c>
      <c r="I158">
        <f>HLOOKUP($I$4,meanT!$A$2:$D$368,G158,FALSE)</f>
        <v>17.105172413793099</v>
      </c>
      <c r="K158" t="b">
        <f t="shared" si="8"/>
        <v>0</v>
      </c>
      <c r="L158" s="12">
        <v>44546</v>
      </c>
      <c r="M158">
        <v>-23.292834719545311</v>
      </c>
      <c r="N158">
        <v>0.190489776843947</v>
      </c>
      <c r="O158">
        <v>0.2222483250511969</v>
      </c>
      <c r="P158">
        <v>0</v>
      </c>
      <c r="Q158">
        <v>0</v>
      </c>
      <c r="R158">
        <v>2.4842816764250299</v>
      </c>
      <c r="S158">
        <v>2.3459916427473</v>
      </c>
      <c r="T158">
        <v>0</v>
      </c>
    </row>
    <row r="159" spans="7:20" x14ac:dyDescent="0.25">
      <c r="G159" s="19">
        <f t="shared" si="7"/>
        <v>352</v>
      </c>
      <c r="H159" s="34">
        <f t="shared" si="9"/>
        <v>44547</v>
      </c>
      <c r="I159">
        <f>HLOOKUP($I$4,meanT!$A$2:$D$368,G159,FALSE)</f>
        <v>17.153448275862001</v>
      </c>
      <c r="K159" t="b">
        <f t="shared" si="8"/>
        <v>0</v>
      </c>
      <c r="L159" s="12">
        <v>44547</v>
      </c>
      <c r="M159">
        <v>-23.279391636295024</v>
      </c>
      <c r="N159">
        <v>0.205620167242553</v>
      </c>
      <c r="O159">
        <v>0.2190632504928362</v>
      </c>
      <c r="P159">
        <v>0</v>
      </c>
      <c r="Q159">
        <v>0</v>
      </c>
      <c r="R159">
        <v>2.6899018436675899</v>
      </c>
      <c r="S159">
        <v>2.54016575694255</v>
      </c>
      <c r="T159">
        <v>0</v>
      </c>
    </row>
    <row r="160" spans="7:20" x14ac:dyDescent="0.25">
      <c r="G160" s="19">
        <f t="shared" si="7"/>
        <v>353</v>
      </c>
      <c r="H160" s="34">
        <f t="shared" si="9"/>
        <v>44548</v>
      </c>
      <c r="I160">
        <f>HLOOKUP($I$4,meanT!$A$2:$D$368,G160,FALSE)</f>
        <v>16.853448275862</v>
      </c>
      <c r="K160" t="b">
        <f t="shared" si="8"/>
        <v>0</v>
      </c>
      <c r="L160" s="12">
        <v>44548</v>
      </c>
      <c r="M160">
        <v>-23.284975040174224</v>
      </c>
      <c r="N160">
        <v>0.21712344332873301</v>
      </c>
      <c r="O160">
        <v>0.21154003944953956</v>
      </c>
      <c r="P160">
        <v>0</v>
      </c>
      <c r="Q160">
        <v>0</v>
      </c>
      <c r="R160">
        <v>2.90702528699632</v>
      </c>
      <c r="S160">
        <v>2.7452028058116298</v>
      </c>
      <c r="T160">
        <v>0</v>
      </c>
    </row>
    <row r="161" spans="7:20" x14ac:dyDescent="0.25">
      <c r="G161" s="19">
        <f t="shared" si="7"/>
        <v>354</v>
      </c>
      <c r="H161" s="34">
        <f t="shared" si="9"/>
        <v>44549</v>
      </c>
      <c r="I161">
        <f>HLOOKUP($I$4,meanT!$A$2:$D$368,G161,FALSE)</f>
        <v>17.030357142857099</v>
      </c>
      <c r="K161" t="b">
        <f t="shared" si="8"/>
        <v>0</v>
      </c>
      <c r="L161" s="12">
        <v>44549</v>
      </c>
      <c r="M161">
        <v>-23.310311156734691</v>
      </c>
      <c r="N161">
        <v>0.23549406704574499</v>
      </c>
      <c r="O161">
        <v>0.21015795048527602</v>
      </c>
      <c r="P161">
        <v>0</v>
      </c>
      <c r="Q161">
        <v>0</v>
      </c>
      <c r="R161">
        <v>3.1425193540420699</v>
      </c>
      <c r="S161">
        <v>2.9675878591848499</v>
      </c>
      <c r="T161">
        <v>0</v>
      </c>
    </row>
    <row r="162" spans="7:20" x14ac:dyDescent="0.25">
      <c r="G162" s="19">
        <f t="shared" si="7"/>
        <v>355</v>
      </c>
      <c r="H162" s="34">
        <f t="shared" si="9"/>
        <v>44550</v>
      </c>
      <c r="I162">
        <f>HLOOKUP($I$4,meanT!$A$2:$D$368,G162,FALSE)</f>
        <v>17.3086206896551</v>
      </c>
      <c r="K162" t="b">
        <f t="shared" si="8"/>
        <v>0</v>
      </c>
      <c r="L162" s="12">
        <v>44550</v>
      </c>
      <c r="M162">
        <v>-23.357202174534152</v>
      </c>
      <c r="N162">
        <v>0.256845250830116</v>
      </c>
      <c r="O162">
        <v>0.20995423303066177</v>
      </c>
      <c r="P162">
        <v>0</v>
      </c>
      <c r="Q162">
        <v>0</v>
      </c>
      <c r="R162">
        <v>3.3993646048721802</v>
      </c>
      <c r="S162">
        <v>3.2101355612610099</v>
      </c>
      <c r="T162">
        <v>0</v>
      </c>
    </row>
    <row r="163" spans="7:20" x14ac:dyDescent="0.25">
      <c r="G163" s="19">
        <f t="shared" si="7"/>
        <v>356</v>
      </c>
      <c r="H163" s="34">
        <f t="shared" si="9"/>
        <v>44551</v>
      </c>
      <c r="I163">
        <f>HLOOKUP($I$4,meanT!$A$2:$D$368,G163,FALSE)</f>
        <v>17.3086206896551</v>
      </c>
      <c r="K163" t="b">
        <f t="shared" si="8"/>
        <v>0</v>
      </c>
      <c r="L163" s="12">
        <v>44551</v>
      </c>
      <c r="M163">
        <v>-23.426320697929512</v>
      </c>
      <c r="N163">
        <v>0.27543873824431098</v>
      </c>
      <c r="O163">
        <v>0.20632021484894658</v>
      </c>
      <c r="P163">
        <v>0</v>
      </c>
      <c r="Q163">
        <v>0</v>
      </c>
      <c r="R163">
        <v>3.6748033431164902</v>
      </c>
      <c r="S163">
        <v>3.4702417256070301</v>
      </c>
      <c r="T163">
        <v>0</v>
      </c>
    </row>
    <row r="164" spans="7:20" x14ac:dyDescent="0.25">
      <c r="G164" s="19">
        <f t="shared" si="7"/>
        <v>357</v>
      </c>
      <c r="H164" s="34">
        <f t="shared" si="9"/>
        <v>44552</v>
      </c>
      <c r="I164">
        <f>HLOOKUP($I$4,meanT!$A$2:$D$368,G164,FALSE)</f>
        <v>17.474137931034399</v>
      </c>
      <c r="K164" t="b">
        <f t="shared" si="8"/>
        <v>0</v>
      </c>
      <c r="L164" s="12">
        <v>44552</v>
      </c>
      <c r="M164">
        <v>-23.519530070251633</v>
      </c>
      <c r="N164">
        <v>0.29789729872155402</v>
      </c>
      <c r="O164">
        <v>0.20468792639943853</v>
      </c>
      <c r="P164">
        <v>0</v>
      </c>
      <c r="Q164">
        <v>0</v>
      </c>
      <c r="R164">
        <v>3.9727006418380499</v>
      </c>
      <c r="S164">
        <v>3.7515562721134601</v>
      </c>
      <c r="T164">
        <v>0</v>
      </c>
    </row>
    <row r="165" spans="7:20" x14ac:dyDescent="0.25">
      <c r="G165" s="19">
        <f t="shared" si="7"/>
        <v>358</v>
      </c>
      <c r="H165" s="34">
        <f t="shared" si="9"/>
        <v>44553</v>
      </c>
      <c r="I165">
        <f>HLOOKUP($I$4,meanT!$A$2:$D$368,G165,FALSE)</f>
        <v>17.091379310344799</v>
      </c>
      <c r="K165" t="b">
        <f t="shared" si="8"/>
        <v>0</v>
      </c>
      <c r="L165" s="12">
        <v>44553</v>
      </c>
      <c r="M165">
        <v>-23.634380634909007</v>
      </c>
      <c r="N165">
        <v>0.311556547946028</v>
      </c>
      <c r="O165">
        <v>0.19670598328865685</v>
      </c>
      <c r="P165">
        <v>0</v>
      </c>
      <c r="Q165">
        <v>0</v>
      </c>
      <c r="R165">
        <v>4.2842571897840704</v>
      </c>
      <c r="S165">
        <v>4.0457697120227296</v>
      </c>
      <c r="T165">
        <v>0</v>
      </c>
    </row>
    <row r="166" spans="7:20" x14ac:dyDescent="0.25">
      <c r="G166" s="19">
        <f t="shared" si="7"/>
        <v>359</v>
      </c>
      <c r="H166" s="34">
        <f t="shared" si="9"/>
        <v>44554</v>
      </c>
      <c r="I166">
        <f>HLOOKUP($I$4,meanT!$A$2:$D$368,G166,FALSE)</f>
        <v>17.2275862068965</v>
      </c>
      <c r="K166" t="b">
        <f t="shared" si="8"/>
        <v>0</v>
      </c>
      <c r="L166" s="12">
        <v>44554</v>
      </c>
      <c r="M166">
        <v>-23.774619877621788</v>
      </c>
      <c r="N166">
        <v>0.33512407223995</v>
      </c>
      <c r="O166">
        <v>0.19488482952716973</v>
      </c>
      <c r="P166">
        <v>0</v>
      </c>
      <c r="Q166">
        <v>0</v>
      </c>
      <c r="R166">
        <v>4.61938126202402</v>
      </c>
      <c r="S166">
        <v>4.3622387663248698</v>
      </c>
      <c r="T166">
        <v>0</v>
      </c>
    </row>
    <row r="167" spans="7:20" x14ac:dyDescent="0.25">
      <c r="G167" s="19">
        <f t="shared" si="7"/>
        <v>360</v>
      </c>
      <c r="H167" s="34">
        <f t="shared" si="9"/>
        <v>44555</v>
      </c>
      <c r="I167">
        <f>HLOOKUP($I$4,meanT!$A$2:$D$368,G167,FALSE)</f>
        <v>17.475862068965501</v>
      </c>
      <c r="K167" t="b">
        <f t="shared" si="8"/>
        <v>0</v>
      </c>
      <c r="L167" s="12">
        <v>44555</v>
      </c>
      <c r="M167">
        <v>-23.942775736922805</v>
      </c>
      <c r="N167">
        <v>0.36244349684395699</v>
      </c>
      <c r="O167">
        <v>0.1942876375429434</v>
      </c>
      <c r="P167">
        <v>0</v>
      </c>
      <c r="Q167">
        <v>0</v>
      </c>
      <c r="R167">
        <v>4.9818247588679796</v>
      </c>
      <c r="S167">
        <v>4.7045064820323903</v>
      </c>
      <c r="T167">
        <v>0</v>
      </c>
    </row>
    <row r="168" spans="7:20" x14ac:dyDescent="0.25">
      <c r="G168" s="19">
        <f t="shared" si="7"/>
        <v>361</v>
      </c>
      <c r="H168" s="34">
        <f t="shared" si="9"/>
        <v>44556</v>
      </c>
      <c r="I168">
        <f>HLOOKUP($I$4,meanT!$A$2:$D$368,G168,FALSE)</f>
        <v>17.193103448275799</v>
      </c>
      <c r="K168" t="b">
        <f t="shared" si="8"/>
        <v>0</v>
      </c>
      <c r="L168" s="12">
        <v>44556</v>
      </c>
      <c r="M168">
        <v>-24.134443129066334</v>
      </c>
      <c r="N168">
        <v>0.37947105746071402</v>
      </c>
      <c r="O168">
        <v>0.18780366531717854</v>
      </c>
      <c r="P168">
        <v>0</v>
      </c>
      <c r="Q168">
        <v>0</v>
      </c>
      <c r="R168">
        <v>5.3612958163286999</v>
      </c>
      <c r="S168">
        <v>5.0628539020996604</v>
      </c>
      <c r="T168">
        <v>0</v>
      </c>
    </row>
    <row r="169" spans="7:20" x14ac:dyDescent="0.25">
      <c r="G169" s="19">
        <f t="shared" si="7"/>
        <v>362</v>
      </c>
      <c r="H169" s="34">
        <f t="shared" si="9"/>
        <v>44557</v>
      </c>
      <c r="I169">
        <f>HLOOKUP($I$4,meanT!$A$2:$D$368,G169,FALSE)</f>
        <v>17.263793103448201</v>
      </c>
      <c r="K169" t="b">
        <f t="shared" si="8"/>
        <v>0</v>
      </c>
      <c r="L169" s="12">
        <v>44557</v>
      </c>
      <c r="M169">
        <v>-24.353695167097008</v>
      </c>
      <c r="N169">
        <v>0.40458565679333303</v>
      </c>
      <c r="O169">
        <v>0.18533361876266308</v>
      </c>
      <c r="P169">
        <v>0</v>
      </c>
      <c r="Q169">
        <v>0</v>
      </c>
      <c r="R169">
        <v>5.7658814731220298</v>
      </c>
      <c r="S169">
        <v>5.4449178921132502</v>
      </c>
      <c r="T169">
        <v>0</v>
      </c>
    </row>
    <row r="170" spans="7:20" x14ac:dyDescent="0.25">
      <c r="G170" s="19">
        <f t="shared" si="7"/>
        <v>363</v>
      </c>
      <c r="H170" s="34">
        <f t="shared" si="9"/>
        <v>44558</v>
      </c>
      <c r="I170">
        <f>HLOOKUP($I$4,meanT!$A$2:$D$368,G170,FALSE)</f>
        <v>18.060344827586199</v>
      </c>
      <c r="K170" t="b">
        <f t="shared" si="8"/>
        <v>0</v>
      </c>
      <c r="L170" s="12">
        <v>44558</v>
      </c>
      <c r="M170">
        <v>-24.612334946964303</v>
      </c>
      <c r="N170">
        <v>0.449177506068349</v>
      </c>
      <c r="O170">
        <v>0.190537726201049</v>
      </c>
      <c r="P170">
        <v>0</v>
      </c>
      <c r="Q170">
        <v>0</v>
      </c>
      <c r="R170">
        <v>6.2150589791903803</v>
      </c>
      <c r="S170">
        <v>5.8690914813428003</v>
      </c>
      <c r="T170">
        <v>0</v>
      </c>
    </row>
    <row r="171" spans="7:20" x14ac:dyDescent="0.25">
      <c r="G171" s="19">
        <f t="shared" si="7"/>
        <v>364</v>
      </c>
      <c r="H171" s="34">
        <f t="shared" si="9"/>
        <v>44559</v>
      </c>
      <c r="I171">
        <f>HLOOKUP($I$4,meanT!$A$2:$D$368,G171,FALSE)</f>
        <v>18.386206896551698</v>
      </c>
      <c r="K171" t="b">
        <f t="shared" si="8"/>
        <v>0</v>
      </c>
      <c r="L171" s="12">
        <v>44559</v>
      </c>
      <c r="M171">
        <v>-24.906948017125643</v>
      </c>
      <c r="N171">
        <v>0.48508539477005702</v>
      </c>
      <c r="O171">
        <v>0.19047232460871574</v>
      </c>
      <c r="P171">
        <v>0</v>
      </c>
      <c r="Q171">
        <v>0</v>
      </c>
      <c r="R171">
        <v>6.7001443739604296</v>
      </c>
      <c r="S171">
        <v>6.3271741105988202</v>
      </c>
      <c r="T171">
        <v>0</v>
      </c>
    </row>
    <row r="172" spans="7:20" x14ac:dyDescent="0.25">
      <c r="G172" s="19">
        <f t="shared" si="7"/>
        <v>365</v>
      </c>
      <c r="H172" s="34">
        <f t="shared" si="9"/>
        <v>44560</v>
      </c>
      <c r="I172">
        <f>HLOOKUP($I$4,meanT!$A$2:$D$368,G172,FALSE)</f>
        <v>18.156896551724099</v>
      </c>
      <c r="K172" t="b">
        <f t="shared" si="8"/>
        <v>0</v>
      </c>
      <c r="L172" s="12">
        <v>44560</v>
      </c>
      <c r="M172">
        <v>-25.229283603886351</v>
      </c>
      <c r="N172">
        <v>0.50697397939164901</v>
      </c>
      <c r="O172">
        <v>0.18463839263094278</v>
      </c>
      <c r="P172">
        <v>0</v>
      </c>
      <c r="Q172">
        <v>0</v>
      </c>
      <c r="R172">
        <v>7.2071183533520804</v>
      </c>
      <c r="S172">
        <v>6.8059268744378496</v>
      </c>
      <c r="T172">
        <v>0</v>
      </c>
    </row>
    <row r="173" spans="7:20" x14ac:dyDescent="0.25">
      <c r="G173" s="19">
        <f t="shared" si="7"/>
        <v>366</v>
      </c>
      <c r="H173" s="34">
        <f t="shared" si="9"/>
        <v>44561</v>
      </c>
      <c r="I173">
        <f>HLOOKUP($I$4,meanT!$A$2:$D$368,G173,FALSE)</f>
        <v>17.8086206896551</v>
      </c>
      <c r="K173" t="b">
        <f t="shared" si="8"/>
        <v>0</v>
      </c>
      <c r="L173" s="12">
        <v>44561</v>
      </c>
      <c r="M173">
        <v>-25.57590012695595</v>
      </c>
      <c r="N173">
        <v>0.52442512587429502</v>
      </c>
      <c r="O173">
        <v>0.17780860280469624</v>
      </c>
      <c r="P173">
        <v>0</v>
      </c>
      <c r="Q173">
        <v>0</v>
      </c>
      <c r="R173">
        <v>7.7315434792263797</v>
      </c>
      <c r="S173">
        <v>7.3011593491700397</v>
      </c>
      <c r="T173">
        <v>0</v>
      </c>
    </row>
    <row r="174" spans="7:20" x14ac:dyDescent="0.25">
      <c r="G174" s="19">
        <f t="shared" si="7"/>
        <v>2</v>
      </c>
      <c r="H174" s="34">
        <f t="shared" si="9"/>
        <v>44562</v>
      </c>
      <c r="I174">
        <f>HLOOKUP($I$4,meanT!$A$2:$D$368,G174,FALSE)</f>
        <v>17.639655172413701</v>
      </c>
      <c r="K174" t="b">
        <f t="shared" si="8"/>
        <v>0</v>
      </c>
      <c r="L174" s="12">
        <v>44562</v>
      </c>
      <c r="M174">
        <v>-25.948891333020256</v>
      </c>
      <c r="N174">
        <v>0.54597630512233997</v>
      </c>
      <c r="O174">
        <v>0.17298509905803039</v>
      </c>
      <c r="P174">
        <v>0</v>
      </c>
      <c r="Q174">
        <v>0</v>
      </c>
      <c r="R174">
        <v>8.2775197843487192</v>
      </c>
      <c r="S174">
        <v>7.8167433351205604</v>
      </c>
      <c r="T174">
        <v>0</v>
      </c>
    </row>
    <row r="175" spans="7:20" x14ac:dyDescent="0.25">
      <c r="G175" s="19">
        <f t="shared" si="7"/>
        <v>3</v>
      </c>
      <c r="H175" s="34">
        <f t="shared" si="9"/>
        <v>44563</v>
      </c>
      <c r="I175">
        <f>HLOOKUP($I$4,meanT!$A$2:$D$368,G175,FALSE)</f>
        <v>18.013793103448201</v>
      </c>
      <c r="K175" t="b">
        <f t="shared" si="8"/>
        <v>0</v>
      </c>
      <c r="L175" s="12">
        <v>44563</v>
      </c>
      <c r="M175">
        <v>-26.359923475983074</v>
      </c>
      <c r="N175">
        <v>0.58457014647234495</v>
      </c>
      <c r="O175">
        <v>0.17353800350952947</v>
      </c>
      <c r="P175">
        <v>0</v>
      </c>
      <c r="Q175">
        <v>0</v>
      </c>
      <c r="R175">
        <v>8.8620899308210603</v>
      </c>
      <c r="S175">
        <v>8.3687727974950405</v>
      </c>
      <c r="T175">
        <v>0</v>
      </c>
    </row>
    <row r="176" spans="7:20" x14ac:dyDescent="0.25">
      <c r="G176" s="19">
        <f t="shared" si="7"/>
        <v>4</v>
      </c>
      <c r="H176" s="34">
        <f t="shared" si="9"/>
        <v>44564</v>
      </c>
      <c r="I176">
        <f>HLOOKUP($I$4,meanT!$A$2:$D$368,G176,FALSE)</f>
        <v>17.827586206896498</v>
      </c>
      <c r="K176" t="b">
        <f t="shared" si="8"/>
        <v>0</v>
      </c>
      <c r="L176" s="12">
        <v>44564</v>
      </c>
      <c r="M176">
        <v>-26.79619795919016</v>
      </c>
      <c r="N176">
        <v>0.60492487686765795</v>
      </c>
      <c r="O176">
        <v>0.16865039366056678</v>
      </c>
      <c r="P176">
        <v>0</v>
      </c>
      <c r="Q176">
        <v>0</v>
      </c>
      <c r="R176">
        <v>9.4670148076887202</v>
      </c>
      <c r="S176">
        <v>8.9400239237617107</v>
      </c>
      <c r="T176">
        <v>0</v>
      </c>
    </row>
    <row r="177" spans="7:20" x14ac:dyDescent="0.25">
      <c r="G177" s="19">
        <f t="shared" si="7"/>
        <v>5</v>
      </c>
      <c r="H177" s="34">
        <f t="shared" si="9"/>
        <v>44565</v>
      </c>
      <c r="I177">
        <f>HLOOKUP($I$4,meanT!$A$2:$D$368,G177,FALSE)</f>
        <v>18.068965517241299</v>
      </c>
      <c r="K177" t="b">
        <f t="shared" si="8"/>
        <v>0</v>
      </c>
      <c r="L177" s="12">
        <v>44565</v>
      </c>
      <c r="M177">
        <v>-27.267463386179841</v>
      </c>
      <c r="N177">
        <v>0.63915195011515302</v>
      </c>
      <c r="O177">
        <v>0.16788652312547003</v>
      </c>
      <c r="P177">
        <v>0</v>
      </c>
      <c r="Q177">
        <v>0</v>
      </c>
      <c r="R177">
        <v>10.1061667578039</v>
      </c>
      <c r="S177">
        <v>9.5435968388804007</v>
      </c>
      <c r="T177">
        <v>0</v>
      </c>
    </row>
    <row r="178" spans="7:20" x14ac:dyDescent="0.25">
      <c r="G178" s="19">
        <f t="shared" si="7"/>
        <v>6</v>
      </c>
      <c r="H178" s="34">
        <f t="shared" si="9"/>
        <v>44566</v>
      </c>
      <c r="I178">
        <f>HLOOKUP($I$4,meanT!$A$2:$D$368,G178,FALSE)</f>
        <v>17.658620689655098</v>
      </c>
      <c r="K178" t="b">
        <f t="shared" si="8"/>
        <v>0</v>
      </c>
      <c r="L178" s="12">
        <v>44566</v>
      </c>
      <c r="M178">
        <v>-27.755309036061085</v>
      </c>
      <c r="N178">
        <v>0.64895483845152002</v>
      </c>
      <c r="O178">
        <v>0.16110918857027806</v>
      </c>
      <c r="P178">
        <v>0</v>
      </c>
      <c r="Q178">
        <v>0</v>
      </c>
      <c r="R178">
        <v>10.7551215962554</v>
      </c>
      <c r="S178">
        <v>10.1564269547143</v>
      </c>
      <c r="T178">
        <v>0</v>
      </c>
    </row>
    <row r="179" spans="7:20" x14ac:dyDescent="0.25">
      <c r="G179" s="19">
        <f t="shared" si="7"/>
        <v>7</v>
      </c>
      <c r="H179" s="34">
        <f t="shared" si="9"/>
        <v>44567</v>
      </c>
      <c r="I179">
        <f>HLOOKUP($I$4,meanT!$A$2:$D$368,G179,FALSE)</f>
        <v>17.7431034482758</v>
      </c>
      <c r="K179" t="b">
        <f t="shared" si="8"/>
        <v>0</v>
      </c>
      <c r="L179" s="12">
        <v>44567</v>
      </c>
      <c r="M179">
        <v>-28.271278482747952</v>
      </c>
      <c r="N179">
        <v>0.67499084035511603</v>
      </c>
      <c r="O179">
        <v>0.15902139366824913</v>
      </c>
      <c r="P179">
        <v>0</v>
      </c>
      <c r="Q179">
        <v>0</v>
      </c>
      <c r="R179">
        <v>11.4301124366105</v>
      </c>
      <c r="S179">
        <v>10.793843752266399</v>
      </c>
      <c r="T179">
        <v>0</v>
      </c>
    </row>
    <row r="180" spans="7:20" x14ac:dyDescent="0.25">
      <c r="G180" s="19">
        <f t="shared" si="7"/>
        <v>8</v>
      </c>
      <c r="H180" s="34">
        <f t="shared" si="9"/>
        <v>44568</v>
      </c>
      <c r="I180">
        <f>HLOOKUP($I$4,meanT!$A$2:$D$368,G180,FALSE)</f>
        <v>18.181034482758601</v>
      </c>
      <c r="K180" t="b">
        <f t="shared" si="8"/>
        <v>0</v>
      </c>
      <c r="L180" s="12">
        <v>44568</v>
      </c>
      <c r="M180">
        <v>-28.825090569398789</v>
      </c>
      <c r="N180">
        <v>0.713867234871845</v>
      </c>
      <c r="O180">
        <v>0.16005514822100339</v>
      </c>
      <c r="P180">
        <v>0</v>
      </c>
      <c r="Q180">
        <v>0</v>
      </c>
      <c r="R180">
        <v>12.1439796714824</v>
      </c>
      <c r="S180">
        <v>11.467972850803401</v>
      </c>
      <c r="T180">
        <v>0</v>
      </c>
    </row>
    <row r="181" spans="7:20" x14ac:dyDescent="0.25">
      <c r="G181" s="19">
        <f t="shared" si="7"/>
        <v>9</v>
      </c>
      <c r="H181" s="34">
        <f t="shared" si="9"/>
        <v>44569</v>
      </c>
      <c r="I181">
        <f>HLOOKUP($I$4,meanT!$A$2:$D$368,G181,FALSE)</f>
        <v>18.393103448275799</v>
      </c>
      <c r="K181" t="b">
        <f t="shared" si="8"/>
        <v>0</v>
      </c>
      <c r="L181" s="12">
        <v>44569</v>
      </c>
      <c r="M181">
        <v>-29.40918663833348</v>
      </c>
      <c r="N181">
        <v>0.743074236862171</v>
      </c>
      <c r="O181">
        <v>0.15897816792748323</v>
      </c>
      <c r="P181">
        <v>0</v>
      </c>
      <c r="Q181">
        <v>0</v>
      </c>
      <c r="R181">
        <v>12.8870539083445</v>
      </c>
      <c r="S181">
        <v>12.169683114241799</v>
      </c>
      <c r="T181">
        <v>0</v>
      </c>
    </row>
    <row r="182" spans="7:20" x14ac:dyDescent="0.25">
      <c r="G182" s="19">
        <f t="shared" si="7"/>
        <v>10</v>
      </c>
      <c r="H182" s="34">
        <f t="shared" si="9"/>
        <v>44570</v>
      </c>
      <c r="I182">
        <f>HLOOKUP($I$4,meanT!$A$2:$D$368,G182,FALSE)</f>
        <v>18.6103448275862</v>
      </c>
      <c r="K182" t="b">
        <f t="shared" si="8"/>
        <v>0</v>
      </c>
      <c r="L182" s="12">
        <v>44570</v>
      </c>
      <c r="M182">
        <v>-30.022127634915506</v>
      </c>
      <c r="N182">
        <v>0.77083822088109999</v>
      </c>
      <c r="O182">
        <v>0.15789722429907668</v>
      </c>
      <c r="P182">
        <v>0</v>
      </c>
      <c r="Q182">
        <v>0</v>
      </c>
      <c r="R182">
        <v>13.657892129225599</v>
      </c>
      <c r="S182">
        <v>12.8976118516544</v>
      </c>
      <c r="T182">
        <v>0</v>
      </c>
    </row>
    <row r="183" spans="7:20" x14ac:dyDescent="0.25">
      <c r="G183" s="19">
        <f t="shared" si="7"/>
        <v>11</v>
      </c>
      <c r="H183" s="34">
        <f t="shared" si="9"/>
        <v>44571</v>
      </c>
      <c r="I183">
        <f>HLOOKUP($I$4,meanT!$A$2:$D$368,G183,FALSE)</f>
        <v>18.453448275862002</v>
      </c>
      <c r="K183" t="b">
        <f t="shared" si="8"/>
        <v>0</v>
      </c>
      <c r="L183" s="12">
        <v>44571</v>
      </c>
      <c r="M183">
        <v>-30.649005334846343</v>
      </c>
      <c r="N183">
        <v>0.78053000611374701</v>
      </c>
      <c r="O183">
        <v>0.15365230618290951</v>
      </c>
      <c r="P183">
        <v>0</v>
      </c>
      <c r="Q183">
        <v>0</v>
      </c>
      <c r="R183">
        <v>14.438422135339399</v>
      </c>
      <c r="S183">
        <v>13.634692871344299</v>
      </c>
      <c r="T183">
        <v>0</v>
      </c>
    </row>
    <row r="184" spans="7:20" x14ac:dyDescent="0.25">
      <c r="G184" s="19">
        <f t="shared" si="7"/>
        <v>12</v>
      </c>
      <c r="H184" s="34">
        <f t="shared" si="9"/>
        <v>44572</v>
      </c>
      <c r="I184">
        <f>HLOOKUP($I$4,meanT!$A$2:$D$368,G184,FALSE)</f>
        <v>18.186206896551699</v>
      </c>
      <c r="K184" t="b">
        <f t="shared" si="8"/>
        <v>0</v>
      </c>
      <c r="L184" s="12">
        <v>44572</v>
      </c>
      <c r="M184">
        <v>-31.282536850180449</v>
      </c>
      <c r="N184">
        <v>0.78216428833367901</v>
      </c>
      <c r="O184">
        <v>0.14863277299957325</v>
      </c>
      <c r="P184">
        <v>0</v>
      </c>
      <c r="Q184">
        <v>0</v>
      </c>
      <c r="R184">
        <v>15.220586423673099</v>
      </c>
      <c r="S184">
        <v>14.3733171992936</v>
      </c>
      <c r="T184">
        <v>0</v>
      </c>
    </row>
    <row r="185" spans="7:20" x14ac:dyDescent="0.25">
      <c r="G185" s="19">
        <f t="shared" si="7"/>
        <v>13</v>
      </c>
      <c r="H185" s="34">
        <f t="shared" si="9"/>
        <v>44573</v>
      </c>
      <c r="I185">
        <f>HLOOKUP($I$4,meanT!$A$2:$D$368,G185,FALSE)</f>
        <v>18.314999999999898</v>
      </c>
      <c r="K185" t="b">
        <f t="shared" si="8"/>
        <v>0</v>
      </c>
      <c r="L185" s="12">
        <v>44573</v>
      </c>
      <c r="M185">
        <v>-31.933220590215342</v>
      </c>
      <c r="N185">
        <v>0.79764690790610304</v>
      </c>
      <c r="O185">
        <v>0.14696316787121219</v>
      </c>
      <c r="P185">
        <v>0</v>
      </c>
      <c r="Q185">
        <v>0</v>
      </c>
      <c r="R185">
        <v>16.0182333315792</v>
      </c>
      <c r="S185">
        <v>15.1265622912527</v>
      </c>
      <c r="T185">
        <v>0</v>
      </c>
    </row>
    <row r="186" spans="7:20" x14ac:dyDescent="0.25">
      <c r="G186" s="19">
        <f t="shared" si="7"/>
        <v>14</v>
      </c>
      <c r="H186" s="34">
        <f t="shared" si="9"/>
        <v>44574</v>
      </c>
      <c r="I186">
        <f>HLOOKUP($I$4,meanT!$A$2:$D$368,G186,FALSE)</f>
        <v>18.473333333333301</v>
      </c>
      <c r="K186" t="b">
        <f t="shared" si="8"/>
        <v>0</v>
      </c>
      <c r="L186" s="12">
        <v>44574</v>
      </c>
      <c r="M186">
        <v>-32.599099747492112</v>
      </c>
      <c r="N186">
        <v>0.81139792341691896</v>
      </c>
      <c r="O186">
        <v>0.14551876614014969</v>
      </c>
      <c r="P186">
        <v>0</v>
      </c>
      <c r="Q186">
        <v>0</v>
      </c>
      <c r="R186">
        <v>16.829631254996102</v>
      </c>
      <c r="S186">
        <v>15.8927929346384</v>
      </c>
      <c r="T186">
        <v>0</v>
      </c>
    </row>
    <row r="187" spans="7:20" x14ac:dyDescent="0.25">
      <c r="G187" s="19">
        <f t="shared" si="7"/>
        <v>15</v>
      </c>
      <c r="H187" s="34">
        <f t="shared" si="9"/>
        <v>44575</v>
      </c>
      <c r="I187">
        <f>HLOOKUP($I$4,meanT!$A$2:$D$368,G187,FALSE)</f>
        <v>18.684999999999999</v>
      </c>
      <c r="K187" t="b">
        <f t="shared" si="8"/>
        <v>0</v>
      </c>
      <c r="L187" s="12">
        <v>44575</v>
      </c>
      <c r="M187">
        <v>-33.278860789916855</v>
      </c>
      <c r="N187">
        <v>0.82422813824523899</v>
      </c>
      <c r="O187">
        <v>0.14446709582049783</v>
      </c>
      <c r="P187">
        <v>0</v>
      </c>
      <c r="Q187">
        <v>0</v>
      </c>
      <c r="R187">
        <v>17.653859393241301</v>
      </c>
      <c r="S187">
        <v>16.6711395860629</v>
      </c>
      <c r="T187">
        <v>0</v>
      </c>
    </row>
    <row r="188" spans="7:20" x14ac:dyDescent="0.25">
      <c r="G188" s="19">
        <f t="shared" si="7"/>
        <v>16</v>
      </c>
      <c r="H188" s="34">
        <f t="shared" si="9"/>
        <v>44576</v>
      </c>
      <c r="I188">
        <f>HLOOKUP($I$4,meanT!$A$2:$D$368,G188,FALSE)</f>
        <v>18.661666666666601</v>
      </c>
      <c r="K188" t="b">
        <f t="shared" si="8"/>
        <v>0</v>
      </c>
      <c r="L188" s="12">
        <v>44576</v>
      </c>
      <c r="M188">
        <v>-33.960449834380391</v>
      </c>
      <c r="N188">
        <v>0.82317973681289303</v>
      </c>
      <c r="O188">
        <v>0.14159069234935484</v>
      </c>
      <c r="P188">
        <v>0</v>
      </c>
      <c r="Q188">
        <v>0</v>
      </c>
      <c r="R188">
        <v>18.477039130054202</v>
      </c>
      <c r="S188">
        <v>17.448496196373299</v>
      </c>
      <c r="T188">
        <v>0</v>
      </c>
    </row>
    <row r="189" spans="7:20" x14ac:dyDescent="0.25">
      <c r="G189" s="19">
        <f t="shared" si="7"/>
        <v>17</v>
      </c>
      <c r="H189" s="34">
        <f t="shared" si="9"/>
        <v>44577</v>
      </c>
      <c r="I189">
        <f>HLOOKUP($I$4,meanT!$A$2:$D$368,G189,FALSE)</f>
        <v>18.636666666666599</v>
      </c>
      <c r="K189" t="b">
        <f t="shared" si="8"/>
        <v>0</v>
      </c>
      <c r="L189" s="12">
        <v>44577</v>
      </c>
      <c r="M189">
        <v>-34.640179053309275</v>
      </c>
      <c r="N189">
        <v>0.81849145154281899</v>
      </c>
      <c r="O189">
        <v>0.13876223261393408</v>
      </c>
      <c r="P189">
        <v>0</v>
      </c>
      <c r="Q189">
        <v>0</v>
      </c>
      <c r="R189">
        <v>19.295530581596999</v>
      </c>
      <c r="S189">
        <v>18.221425499520102</v>
      </c>
      <c r="T189">
        <v>0</v>
      </c>
    </row>
    <row r="190" spans="7:20" x14ac:dyDescent="0.25">
      <c r="G190" s="19">
        <f t="shared" si="7"/>
        <v>18</v>
      </c>
      <c r="H190" s="34">
        <f t="shared" si="9"/>
        <v>44578</v>
      </c>
      <c r="I190">
        <f>HLOOKUP($I$4,meanT!$A$2:$D$368,G190,FALSE)</f>
        <v>18.4233333333333</v>
      </c>
      <c r="K190" t="b">
        <f t="shared" si="8"/>
        <v>0</v>
      </c>
      <c r="L190" s="12">
        <v>44578</v>
      </c>
      <c r="M190">
        <v>-35.307735600741083</v>
      </c>
      <c r="N190">
        <v>0.80217391029642504</v>
      </c>
      <c r="O190">
        <v>0.13461736286461631</v>
      </c>
      <c r="P190">
        <v>0</v>
      </c>
      <c r="Q190">
        <v>0</v>
      </c>
      <c r="R190">
        <v>20.097704491893399</v>
      </c>
      <c r="S190">
        <v>18.978945593736402</v>
      </c>
      <c r="T190">
        <v>0</v>
      </c>
    </row>
    <row r="191" spans="7:20" x14ac:dyDescent="0.25">
      <c r="G191" s="19">
        <f t="shared" si="7"/>
        <v>19</v>
      </c>
      <c r="H191" s="34">
        <f t="shared" si="9"/>
        <v>44579</v>
      </c>
      <c r="I191">
        <f>HLOOKUP($I$4,meanT!$A$2:$D$368,G191,FALSE)</f>
        <v>18.466666666666601</v>
      </c>
      <c r="K191" t="b">
        <f t="shared" si="8"/>
        <v>0</v>
      </c>
      <c r="L191" s="12">
        <v>44579</v>
      </c>
      <c r="M191">
        <v>-35.969125595888578</v>
      </c>
      <c r="N191">
        <v>0.79383805616273095</v>
      </c>
      <c r="O191">
        <v>0.13244806101524026</v>
      </c>
      <c r="P191">
        <v>0</v>
      </c>
      <c r="Q191">
        <v>0</v>
      </c>
      <c r="R191">
        <v>20.891542548056201</v>
      </c>
      <c r="S191">
        <v>19.728593857508301</v>
      </c>
      <c r="T191">
        <v>0</v>
      </c>
    </row>
    <row r="192" spans="7:20" x14ac:dyDescent="0.25">
      <c r="G192" s="19">
        <f t="shared" si="7"/>
        <v>20</v>
      </c>
      <c r="H192" s="34">
        <f t="shared" si="9"/>
        <v>44580</v>
      </c>
      <c r="I192">
        <f>HLOOKUP($I$4,meanT!$A$2:$D$368,G192,FALSE)</f>
        <v>18.754999999999999</v>
      </c>
      <c r="K192" t="b">
        <f t="shared" si="8"/>
        <v>0</v>
      </c>
      <c r="L192" s="12">
        <v>44580</v>
      </c>
      <c r="M192">
        <v>-36.629646931954866</v>
      </c>
      <c r="N192">
        <v>0.79255334042603898</v>
      </c>
      <c r="O192">
        <v>0.13203200435974793</v>
      </c>
      <c r="P192">
        <v>0</v>
      </c>
      <c r="Q192">
        <v>0</v>
      </c>
      <c r="R192">
        <v>21.684095888482201</v>
      </c>
      <c r="S192">
        <v>20.477028920534899</v>
      </c>
      <c r="T192">
        <v>0</v>
      </c>
    </row>
    <row r="193" spans="7:20" x14ac:dyDescent="0.25">
      <c r="G193" s="19">
        <f t="shared" si="7"/>
        <v>21</v>
      </c>
      <c r="H193" s="34">
        <f t="shared" si="9"/>
        <v>44581</v>
      </c>
      <c r="I193">
        <f>HLOOKUP($I$4,meanT!$A$2:$D$368,G193,FALSE)</f>
        <v>18.6933333333333</v>
      </c>
      <c r="K193" t="b">
        <f t="shared" si="8"/>
        <v>0</v>
      </c>
      <c r="L193" s="12">
        <v>44581</v>
      </c>
      <c r="M193">
        <v>-37.273743602452704</v>
      </c>
      <c r="N193">
        <v>0.77322643376339095</v>
      </c>
      <c r="O193">
        <v>0.12912976326555331</v>
      </c>
      <c r="P193">
        <v>0</v>
      </c>
      <c r="Q193">
        <v>0</v>
      </c>
      <c r="R193">
        <v>22.457322322245599</v>
      </c>
      <c r="S193">
        <v>21.207212928562001</v>
      </c>
      <c r="T193">
        <v>0</v>
      </c>
    </row>
    <row r="194" spans="7:20" x14ac:dyDescent="0.25">
      <c r="G194" s="19">
        <f t="shared" si="7"/>
        <v>22</v>
      </c>
      <c r="H194" s="34">
        <f t="shared" si="9"/>
        <v>44582</v>
      </c>
      <c r="I194">
        <f>HLOOKUP($I$4,meanT!$A$2:$D$368,G194,FALSE)</f>
        <v>18.914999999999999</v>
      </c>
      <c r="K194" t="b">
        <f t="shared" si="8"/>
        <v>0</v>
      </c>
      <c r="L194" s="12">
        <v>44582</v>
      </c>
      <c r="M194">
        <v>-37.908126910687706</v>
      </c>
      <c r="N194">
        <v>0.76260181049792697</v>
      </c>
      <c r="O194">
        <v>0.12821850226292186</v>
      </c>
      <c r="P194">
        <v>0</v>
      </c>
      <c r="Q194">
        <v>0</v>
      </c>
      <c r="R194">
        <v>23.2199241327435</v>
      </c>
      <c r="S194">
        <v>21.927363743644499</v>
      </c>
      <c r="T194">
        <v>0</v>
      </c>
    </row>
    <row r="195" spans="7:20" x14ac:dyDescent="0.25">
      <c r="G195" s="19">
        <f t="shared" si="7"/>
        <v>23</v>
      </c>
      <c r="H195" s="34">
        <f t="shared" si="9"/>
        <v>44583</v>
      </c>
      <c r="I195">
        <f>HLOOKUP($I$4,meanT!$A$2:$D$368,G195,FALSE)</f>
        <v>19.0133333333333</v>
      </c>
      <c r="K195" t="b">
        <f t="shared" si="8"/>
        <v>0</v>
      </c>
      <c r="L195" s="12">
        <v>44583</v>
      </c>
      <c r="M195">
        <v>-38.525642857037781</v>
      </c>
      <c r="N195">
        <v>0.74396315649459799</v>
      </c>
      <c r="O195">
        <v>0.12644721014452298</v>
      </c>
      <c r="P195">
        <v>0</v>
      </c>
      <c r="Q195">
        <v>0</v>
      </c>
      <c r="R195">
        <v>23.963887289238102</v>
      </c>
      <c r="S195">
        <v>22.629913444111601</v>
      </c>
      <c r="T195">
        <v>0</v>
      </c>
    </row>
    <row r="196" spans="7:20" x14ac:dyDescent="0.25">
      <c r="G196" s="19">
        <f t="shared" si="7"/>
        <v>24</v>
      </c>
      <c r="H196" s="34">
        <f t="shared" si="9"/>
        <v>44584</v>
      </c>
      <c r="I196">
        <f>HLOOKUP($I$4,meanT!$A$2:$D$368,G196,FALSE)</f>
        <v>19.03</v>
      </c>
      <c r="K196" t="b">
        <f t="shared" si="8"/>
        <v>0</v>
      </c>
      <c r="L196" s="12">
        <v>44584</v>
      </c>
      <c r="M196">
        <v>-39.121197918393079</v>
      </c>
      <c r="N196">
        <v>0.71970682191312496</v>
      </c>
      <c r="O196">
        <v>0.12415176055782962</v>
      </c>
      <c r="P196">
        <v>0</v>
      </c>
      <c r="Q196">
        <v>0</v>
      </c>
      <c r="R196">
        <v>24.683594111151301</v>
      </c>
      <c r="S196">
        <v>23.309557063214399</v>
      </c>
      <c r="T196">
        <v>0</v>
      </c>
    </row>
    <row r="197" spans="7:20" x14ac:dyDescent="0.25">
      <c r="G197" s="19">
        <f t="shared" si="7"/>
        <v>25</v>
      </c>
      <c r="H197" s="34">
        <f t="shared" si="9"/>
        <v>44585</v>
      </c>
      <c r="I197">
        <f>HLOOKUP($I$4,meanT!$A$2:$D$368,G197,FALSE)</f>
        <v>19.07</v>
      </c>
      <c r="K197" t="b">
        <f t="shared" si="8"/>
        <v>0</v>
      </c>
      <c r="L197" s="12">
        <v>44585</v>
      </c>
      <c r="M197">
        <v>-39.693507976909054</v>
      </c>
      <c r="N197">
        <v>0.69435520508521298</v>
      </c>
      <c r="O197">
        <v>0.12204514656924211</v>
      </c>
      <c r="P197">
        <v>0</v>
      </c>
      <c r="Q197">
        <v>0</v>
      </c>
      <c r="R197">
        <v>25.377949316236499</v>
      </c>
      <c r="S197">
        <v>23.965260288692502</v>
      </c>
      <c r="T197">
        <v>0</v>
      </c>
    </row>
    <row r="198" spans="7:20" x14ac:dyDescent="0.25">
      <c r="G198" s="19">
        <f t="shared" si="7"/>
        <v>26</v>
      </c>
      <c r="H198" s="34">
        <f t="shared" si="9"/>
        <v>44586</v>
      </c>
      <c r="I198">
        <f>HLOOKUP($I$4,meanT!$A$2:$D$368,G198,FALSE)</f>
        <v>19.3</v>
      </c>
      <c r="K198" t="b">
        <f t="shared" si="8"/>
        <v>0</v>
      </c>
      <c r="L198" s="12">
        <v>44586</v>
      </c>
      <c r="M198">
        <v>-40.246163431041587</v>
      </c>
      <c r="N198">
        <v>0.67381709495824904</v>
      </c>
      <c r="O198">
        <v>0.12116164082571663</v>
      </c>
      <c r="P198">
        <v>0</v>
      </c>
      <c r="Q198">
        <v>0</v>
      </c>
      <c r="R198">
        <v>26.051766411194698</v>
      </c>
      <c r="S198">
        <v>24.601568678563599</v>
      </c>
      <c r="T198">
        <v>0</v>
      </c>
    </row>
    <row r="199" spans="7:20" x14ac:dyDescent="0.25">
      <c r="G199" s="19">
        <f t="shared" ref="G199:G262" si="10">H199-DATE(YEAR(H199),1,0)+1</f>
        <v>27</v>
      </c>
      <c r="H199" s="34">
        <f t="shared" si="9"/>
        <v>44587</v>
      </c>
      <c r="I199">
        <f>HLOOKUP($I$4,meanT!$A$2:$D$368,G199,FALSE)</f>
        <v>19.418333333333301</v>
      </c>
      <c r="K199" t="b">
        <f t="shared" ref="K199:K262" si="11">AND(IF(L199&gt;($B$24-1),TRUE,FALSE),IF(L199&lt;($B$26+1),TRUE,FALSE))</f>
        <v>0</v>
      </c>
      <c r="L199" s="12">
        <v>44587</v>
      </c>
      <c r="M199">
        <v>-40.774026628523472</v>
      </c>
      <c r="N199">
        <v>0.64741495479701805</v>
      </c>
      <c r="O199">
        <v>0.11955175731513785</v>
      </c>
      <c r="P199">
        <v>0</v>
      </c>
      <c r="Q199">
        <v>0</v>
      </c>
      <c r="R199">
        <v>26.699181365991699</v>
      </c>
      <c r="S199">
        <v>25.212944629912698</v>
      </c>
      <c r="T199">
        <v>0</v>
      </c>
    </row>
    <row r="200" spans="7:20" x14ac:dyDescent="0.25">
      <c r="G200" s="19">
        <f t="shared" si="10"/>
        <v>28</v>
      </c>
      <c r="H200" s="34">
        <f t="shared" ref="H200:H263" si="12">H199+1</f>
        <v>44588</v>
      </c>
      <c r="I200">
        <f>HLOOKUP($I$4,meanT!$A$2:$D$368,G200,FALSE)</f>
        <v>19.086666666666599</v>
      </c>
      <c r="K200" t="b">
        <f t="shared" si="11"/>
        <v>0</v>
      </c>
      <c r="L200" s="12">
        <v>44588</v>
      </c>
      <c r="M200">
        <v>-41.264519955296969</v>
      </c>
      <c r="N200">
        <v>0.60572128609221898</v>
      </c>
      <c r="O200">
        <v>0.11522795931871997</v>
      </c>
      <c r="P200">
        <v>0</v>
      </c>
      <c r="Q200">
        <v>0</v>
      </c>
      <c r="R200">
        <v>27.304902652083999</v>
      </c>
      <c r="S200">
        <v>25.7849478324848</v>
      </c>
      <c r="T200">
        <v>0</v>
      </c>
    </row>
    <row r="201" spans="7:20" x14ac:dyDescent="0.25">
      <c r="G201" s="19">
        <f t="shared" si="10"/>
        <v>29</v>
      </c>
      <c r="H201" s="34">
        <f t="shared" si="12"/>
        <v>44589</v>
      </c>
      <c r="I201">
        <f>HLOOKUP($I$4,meanT!$A$2:$D$368,G201,FALSE)</f>
        <v>19.248333333333299</v>
      </c>
      <c r="K201" t="b">
        <f t="shared" si="11"/>
        <v>0</v>
      </c>
      <c r="L201" s="12">
        <v>44589</v>
      </c>
      <c r="M201">
        <v>-41.730180588423423</v>
      </c>
      <c r="N201">
        <v>0.57964664278675904</v>
      </c>
      <c r="O201">
        <v>0.11398600966030199</v>
      </c>
      <c r="P201">
        <v>0</v>
      </c>
      <c r="Q201">
        <v>0</v>
      </c>
      <c r="R201">
        <v>27.884549294870698</v>
      </c>
      <c r="S201">
        <v>26.332327862949501</v>
      </c>
      <c r="T201">
        <v>0</v>
      </c>
    </row>
    <row r="202" spans="7:20" x14ac:dyDescent="0.25">
      <c r="G202" s="19">
        <f t="shared" si="10"/>
        <v>30</v>
      </c>
      <c r="H202" s="34">
        <f t="shared" si="12"/>
        <v>44590</v>
      </c>
      <c r="I202">
        <f>HLOOKUP($I$4,meanT!$A$2:$D$368,G202,FALSE)</f>
        <v>19.486666666666601</v>
      </c>
      <c r="K202" t="b">
        <f t="shared" si="11"/>
        <v>0</v>
      </c>
      <c r="L202" s="12">
        <v>44590</v>
      </c>
      <c r="M202">
        <v>-42.171776998134533</v>
      </c>
      <c r="N202">
        <v>0.55477258955139097</v>
      </c>
      <c r="O202">
        <v>0.11317617984027797</v>
      </c>
      <c r="P202">
        <v>0</v>
      </c>
      <c r="Q202">
        <v>0</v>
      </c>
      <c r="R202">
        <v>28.4393218844221</v>
      </c>
      <c r="S202">
        <v>26.856218479325101</v>
      </c>
      <c r="T202">
        <v>0</v>
      </c>
    </row>
    <row r="203" spans="7:20" x14ac:dyDescent="0.25">
      <c r="G203" s="19">
        <f t="shared" si="10"/>
        <v>31</v>
      </c>
      <c r="H203" s="34">
        <f t="shared" si="12"/>
        <v>44591</v>
      </c>
      <c r="I203">
        <f>HLOOKUP($I$4,meanT!$A$2:$D$368,G203,FALSE)</f>
        <v>19.725000000000001</v>
      </c>
      <c r="K203" t="e">
        <f t="shared" si="11"/>
        <v>#N/A</v>
      </c>
      <c r="L203" s="12" t="e">
        <v>#N/A</v>
      </c>
      <c r="M203" t="e">
        <v>#N/A</v>
      </c>
      <c r="N203" t="e">
        <v>#N/A</v>
      </c>
      <c r="O203" t="e">
        <v>#N/A</v>
      </c>
      <c r="P203" t="e">
        <v>#N/A</v>
      </c>
      <c r="Q203" t="e">
        <v>#N/A</v>
      </c>
      <c r="R203" t="e">
        <v>#N/A</v>
      </c>
      <c r="S203" t="e">
        <v>#N/A</v>
      </c>
      <c r="T203" t="e">
        <v>#N/A</v>
      </c>
    </row>
    <row r="204" spans="7:20" x14ac:dyDescent="0.25">
      <c r="G204" s="19">
        <f t="shared" si="10"/>
        <v>32</v>
      </c>
      <c r="H204" s="34">
        <f t="shared" si="12"/>
        <v>44592</v>
      </c>
      <c r="I204">
        <f>HLOOKUP($I$4,meanT!$A$2:$D$368,G204,FALSE)</f>
        <v>19.670000000000002</v>
      </c>
      <c r="K204" t="e">
        <f t="shared" si="11"/>
        <v>#N/A</v>
      </c>
      <c r="L204" s="12" t="e">
        <v>#N/A</v>
      </c>
      <c r="M204" t="e">
        <v>#N/A</v>
      </c>
      <c r="N204" t="e">
        <v>#N/A</v>
      </c>
      <c r="O204" t="e">
        <v>#N/A</v>
      </c>
      <c r="P204" t="e">
        <v>#N/A</v>
      </c>
      <c r="Q204" t="e">
        <v>#N/A</v>
      </c>
      <c r="R204" t="e">
        <v>#N/A</v>
      </c>
      <c r="S204" t="e">
        <v>#N/A</v>
      </c>
      <c r="T204" t="e">
        <v>#N/A</v>
      </c>
    </row>
    <row r="205" spans="7:20" x14ac:dyDescent="0.25">
      <c r="G205" s="19">
        <f t="shared" si="10"/>
        <v>33</v>
      </c>
      <c r="H205" s="34">
        <f t="shared" si="12"/>
        <v>44593</v>
      </c>
      <c r="I205">
        <f>HLOOKUP($I$4,meanT!$A$2:$D$368,G205,FALSE)</f>
        <v>19.770689655172401</v>
      </c>
      <c r="K205" t="e">
        <f t="shared" si="11"/>
        <v>#N/A</v>
      </c>
      <c r="L205" s="12" t="e">
        <v>#N/A</v>
      </c>
      <c r="M205" t="e">
        <v>#N/A</v>
      </c>
      <c r="N205" t="e">
        <v>#N/A</v>
      </c>
      <c r="O205" t="e">
        <v>#N/A</v>
      </c>
      <c r="P205" t="e">
        <v>#N/A</v>
      </c>
      <c r="Q205" t="e">
        <v>#N/A</v>
      </c>
      <c r="R205" t="e">
        <v>#N/A</v>
      </c>
      <c r="S205" t="e">
        <v>#N/A</v>
      </c>
      <c r="T205" t="e">
        <v>#N/A</v>
      </c>
    </row>
    <row r="206" spans="7:20" x14ac:dyDescent="0.25">
      <c r="G206" s="19">
        <f t="shared" si="10"/>
        <v>34</v>
      </c>
      <c r="H206" s="34">
        <f t="shared" si="12"/>
        <v>44594</v>
      </c>
      <c r="I206">
        <f>HLOOKUP($I$4,meanT!$A$2:$D$368,G206,FALSE)</f>
        <v>19.548275862068898</v>
      </c>
      <c r="K206" t="e">
        <f t="shared" si="11"/>
        <v>#N/A</v>
      </c>
      <c r="L206" s="12" t="e">
        <v>#N/A</v>
      </c>
      <c r="M206" t="e">
        <v>#N/A</v>
      </c>
      <c r="N206" t="e">
        <v>#N/A</v>
      </c>
      <c r="O206" t="e">
        <v>#N/A</v>
      </c>
      <c r="P206" t="e">
        <v>#N/A</v>
      </c>
      <c r="Q206" t="e">
        <v>#N/A</v>
      </c>
      <c r="R206" t="e">
        <v>#N/A</v>
      </c>
      <c r="S206" t="e">
        <v>#N/A</v>
      </c>
      <c r="T206" t="e">
        <v>#N/A</v>
      </c>
    </row>
    <row r="207" spans="7:20" x14ac:dyDescent="0.25">
      <c r="G207" s="19">
        <f t="shared" si="10"/>
        <v>35</v>
      </c>
      <c r="H207" s="34">
        <f t="shared" si="12"/>
        <v>44595</v>
      </c>
      <c r="I207">
        <f>HLOOKUP($I$4,meanT!$A$2:$D$368,G207,FALSE)</f>
        <v>19.325862068965499</v>
      </c>
      <c r="K207" t="e">
        <f t="shared" si="11"/>
        <v>#N/A</v>
      </c>
      <c r="L207" s="12" t="e">
        <v>#N/A</v>
      </c>
      <c r="M207" t="e">
        <v>#N/A</v>
      </c>
      <c r="N207" t="e">
        <v>#N/A</v>
      </c>
      <c r="O207" t="e">
        <v>#N/A</v>
      </c>
      <c r="P207" t="e">
        <v>#N/A</v>
      </c>
      <c r="Q207" t="e">
        <v>#N/A</v>
      </c>
      <c r="R207" t="e">
        <v>#N/A</v>
      </c>
      <c r="S207" t="e">
        <v>#N/A</v>
      </c>
      <c r="T207" t="e">
        <v>#N/A</v>
      </c>
    </row>
    <row r="208" spans="7:20" x14ac:dyDescent="0.25">
      <c r="G208" s="19">
        <f t="shared" si="10"/>
        <v>36</v>
      </c>
      <c r="H208" s="34">
        <f t="shared" si="12"/>
        <v>44596</v>
      </c>
      <c r="I208">
        <f>HLOOKUP($I$4,meanT!$A$2:$D$368,G208,FALSE)</f>
        <v>18.712068965517201</v>
      </c>
      <c r="K208" t="e">
        <f t="shared" si="11"/>
        <v>#N/A</v>
      </c>
      <c r="L208" s="12" t="e">
        <v>#N/A</v>
      </c>
      <c r="M208" t="e">
        <v>#N/A</v>
      </c>
      <c r="N208" t="e">
        <v>#N/A</v>
      </c>
      <c r="O208" t="e">
        <v>#N/A</v>
      </c>
      <c r="P208" t="e">
        <v>#N/A</v>
      </c>
      <c r="Q208" t="e">
        <v>#N/A</v>
      </c>
      <c r="R208" t="e">
        <v>#N/A</v>
      </c>
      <c r="S208" t="e">
        <v>#N/A</v>
      </c>
      <c r="T208" t="e">
        <v>#N/A</v>
      </c>
    </row>
    <row r="209" spans="7:20" x14ac:dyDescent="0.25">
      <c r="G209" s="19">
        <f t="shared" si="10"/>
        <v>37</v>
      </c>
      <c r="H209" s="34">
        <f t="shared" si="12"/>
        <v>44597</v>
      </c>
      <c r="I209">
        <f>HLOOKUP($I$4,meanT!$A$2:$D$368,G209,FALSE)</f>
        <v>19.178333333333299</v>
      </c>
      <c r="K209" t="e">
        <f t="shared" si="11"/>
        <v>#N/A</v>
      </c>
      <c r="L209" s="12" t="e">
        <v>#N/A</v>
      </c>
      <c r="M209" t="e">
        <v>#N/A</v>
      </c>
      <c r="N209" t="e">
        <v>#N/A</v>
      </c>
      <c r="O209" t="e">
        <v>#N/A</v>
      </c>
      <c r="P209" t="e">
        <v>#N/A</v>
      </c>
      <c r="Q209" t="e">
        <v>#N/A</v>
      </c>
      <c r="R209" t="e">
        <v>#N/A</v>
      </c>
      <c r="S209" t="e">
        <v>#N/A</v>
      </c>
      <c r="T209" t="e">
        <v>#N/A</v>
      </c>
    </row>
    <row r="210" spans="7:20" x14ac:dyDescent="0.25">
      <c r="G210" s="19">
        <f t="shared" si="10"/>
        <v>38</v>
      </c>
      <c r="H210" s="34">
        <f t="shared" si="12"/>
        <v>44598</v>
      </c>
      <c r="I210">
        <f>HLOOKUP($I$4,meanT!$A$2:$D$368,G210,FALSE)</f>
        <v>19.063333333333301</v>
      </c>
      <c r="K210" t="e">
        <f t="shared" si="11"/>
        <v>#N/A</v>
      </c>
      <c r="L210" s="12" t="e">
        <v>#N/A</v>
      </c>
      <c r="M210" t="e">
        <v>#N/A</v>
      </c>
      <c r="N210" t="e">
        <v>#N/A</v>
      </c>
      <c r="O210" t="e">
        <v>#N/A</v>
      </c>
      <c r="P210" t="e">
        <v>#N/A</v>
      </c>
      <c r="Q210" t="e">
        <v>#N/A</v>
      </c>
      <c r="R210" t="e">
        <v>#N/A</v>
      </c>
      <c r="S210" t="e">
        <v>#N/A</v>
      </c>
      <c r="T210" t="e">
        <v>#N/A</v>
      </c>
    </row>
    <row r="211" spans="7:20" x14ac:dyDescent="0.25">
      <c r="G211" s="19">
        <f t="shared" si="10"/>
        <v>39</v>
      </c>
      <c r="H211" s="34">
        <f t="shared" si="12"/>
        <v>44599</v>
      </c>
      <c r="I211">
        <f>HLOOKUP($I$4,meanT!$A$2:$D$368,G211,FALSE)</f>
        <v>19.164999999999999</v>
      </c>
      <c r="K211" t="e">
        <f t="shared" si="11"/>
        <v>#N/A</v>
      </c>
      <c r="L211" s="12" t="e">
        <v>#N/A</v>
      </c>
      <c r="M211" t="e">
        <v>#N/A</v>
      </c>
      <c r="N211" t="e">
        <v>#N/A</v>
      </c>
      <c r="O211" t="e">
        <v>#N/A</v>
      </c>
      <c r="P211" t="e">
        <v>#N/A</v>
      </c>
      <c r="Q211" t="e">
        <v>#N/A</v>
      </c>
      <c r="R211" t="e">
        <v>#N/A</v>
      </c>
      <c r="S211" t="e">
        <v>#N/A</v>
      </c>
      <c r="T211" t="e">
        <v>#N/A</v>
      </c>
    </row>
    <row r="212" spans="7:20" x14ac:dyDescent="0.25">
      <c r="G212" s="19">
        <f t="shared" si="10"/>
        <v>40</v>
      </c>
      <c r="H212" s="34">
        <f t="shared" si="12"/>
        <v>44600</v>
      </c>
      <c r="I212">
        <f>HLOOKUP($I$4,meanT!$A$2:$D$368,G212,FALSE)</f>
        <v>19.145</v>
      </c>
      <c r="K212" t="e">
        <f t="shared" si="11"/>
        <v>#N/A</v>
      </c>
      <c r="L212" s="12" t="e">
        <v>#N/A</v>
      </c>
      <c r="M212" t="e">
        <v>#N/A</v>
      </c>
      <c r="N212" t="e">
        <v>#N/A</v>
      </c>
      <c r="O212" t="e">
        <v>#N/A</v>
      </c>
      <c r="P212" t="e">
        <v>#N/A</v>
      </c>
      <c r="Q212" t="e">
        <v>#N/A</v>
      </c>
      <c r="R212" t="e">
        <v>#N/A</v>
      </c>
      <c r="S212" t="e">
        <v>#N/A</v>
      </c>
      <c r="T212" t="e">
        <v>#N/A</v>
      </c>
    </row>
    <row r="213" spans="7:20" x14ac:dyDescent="0.25">
      <c r="G213" s="19">
        <f t="shared" si="10"/>
        <v>41</v>
      </c>
      <c r="H213" s="34">
        <f t="shared" si="12"/>
        <v>44601</v>
      </c>
      <c r="I213">
        <f>HLOOKUP($I$4,meanT!$A$2:$D$368,G213,FALSE)</f>
        <v>19.28</v>
      </c>
      <c r="K213" t="e">
        <f t="shared" si="11"/>
        <v>#N/A</v>
      </c>
      <c r="L213" s="12" t="e">
        <v>#N/A</v>
      </c>
      <c r="M213" t="e">
        <v>#N/A</v>
      </c>
      <c r="N213" t="e">
        <v>#N/A</v>
      </c>
      <c r="O213" t="e">
        <v>#N/A</v>
      </c>
      <c r="P213" t="e">
        <v>#N/A</v>
      </c>
      <c r="Q213" t="e">
        <v>#N/A</v>
      </c>
      <c r="R213" t="e">
        <v>#N/A</v>
      </c>
      <c r="S213" t="e">
        <v>#N/A</v>
      </c>
      <c r="T213" t="e">
        <v>#N/A</v>
      </c>
    </row>
    <row r="214" spans="7:20" x14ac:dyDescent="0.25">
      <c r="G214" s="19">
        <f t="shared" si="10"/>
        <v>42</v>
      </c>
      <c r="H214" s="34">
        <f t="shared" si="12"/>
        <v>44602</v>
      </c>
      <c r="I214">
        <f>HLOOKUP($I$4,meanT!$A$2:$D$368,G214,FALSE)</f>
        <v>19.6533333333333</v>
      </c>
      <c r="K214" t="e">
        <f t="shared" si="11"/>
        <v>#N/A</v>
      </c>
      <c r="L214" s="12" t="e">
        <v>#N/A</v>
      </c>
      <c r="M214" t="e">
        <v>#N/A</v>
      </c>
      <c r="N214" t="e">
        <v>#N/A</v>
      </c>
      <c r="O214" t="e">
        <v>#N/A</v>
      </c>
      <c r="P214" t="e">
        <v>#N/A</v>
      </c>
      <c r="Q214" t="e">
        <v>#N/A</v>
      </c>
      <c r="R214" t="e">
        <v>#N/A</v>
      </c>
      <c r="S214" t="e">
        <v>#N/A</v>
      </c>
      <c r="T214" t="e">
        <v>#N/A</v>
      </c>
    </row>
    <row r="215" spans="7:20" x14ac:dyDescent="0.25">
      <c r="G215" s="19">
        <f t="shared" si="10"/>
        <v>43</v>
      </c>
      <c r="H215" s="34">
        <f t="shared" si="12"/>
        <v>44603</v>
      </c>
      <c r="I215">
        <f>HLOOKUP($I$4,meanT!$A$2:$D$368,G215,FALSE)</f>
        <v>19.843333333333302</v>
      </c>
      <c r="K215" t="e">
        <f t="shared" si="11"/>
        <v>#N/A</v>
      </c>
      <c r="L215" s="12" t="e">
        <v>#N/A</v>
      </c>
      <c r="M215" t="e">
        <v>#N/A</v>
      </c>
      <c r="N215" t="e">
        <v>#N/A</v>
      </c>
      <c r="O215" t="e">
        <v>#N/A</v>
      </c>
      <c r="P215" t="e">
        <v>#N/A</v>
      </c>
      <c r="Q215" t="e">
        <v>#N/A</v>
      </c>
      <c r="R215" t="e">
        <v>#N/A</v>
      </c>
      <c r="S215" t="e">
        <v>#N/A</v>
      </c>
      <c r="T215" t="e">
        <v>#N/A</v>
      </c>
    </row>
    <row r="216" spans="7:20" x14ac:dyDescent="0.25">
      <c r="G216" s="19">
        <f t="shared" si="10"/>
        <v>44</v>
      </c>
      <c r="H216" s="34">
        <f t="shared" si="12"/>
        <v>44604</v>
      </c>
      <c r="I216">
        <f>HLOOKUP($I$4,meanT!$A$2:$D$368,G216,FALSE)</f>
        <v>19.767241379310299</v>
      </c>
      <c r="K216" t="e">
        <f t="shared" si="11"/>
        <v>#N/A</v>
      </c>
      <c r="L216" s="12" t="e">
        <v>#N/A</v>
      </c>
      <c r="M216" t="e">
        <v>#N/A</v>
      </c>
      <c r="N216" t="e">
        <v>#N/A</v>
      </c>
      <c r="O216" t="e">
        <v>#N/A</v>
      </c>
      <c r="P216" t="e">
        <v>#N/A</v>
      </c>
      <c r="Q216" t="e">
        <v>#N/A</v>
      </c>
      <c r="R216" t="e">
        <v>#N/A</v>
      </c>
      <c r="S216" t="e">
        <v>#N/A</v>
      </c>
      <c r="T216" t="e">
        <v>#N/A</v>
      </c>
    </row>
    <row r="217" spans="7:20" x14ac:dyDescent="0.25">
      <c r="G217" s="19">
        <f t="shared" si="10"/>
        <v>45</v>
      </c>
      <c r="H217" s="34">
        <f t="shared" si="12"/>
        <v>44605</v>
      </c>
      <c r="I217">
        <f>HLOOKUP($I$4,meanT!$A$2:$D$368,G217,FALSE)</f>
        <v>19.5672413793103</v>
      </c>
      <c r="K217" t="e">
        <f t="shared" si="11"/>
        <v>#N/A</v>
      </c>
      <c r="L217" s="12" t="e">
        <v>#N/A</v>
      </c>
      <c r="M217" t="e">
        <v>#N/A</v>
      </c>
      <c r="N217" t="e">
        <v>#N/A</v>
      </c>
      <c r="O217" t="e">
        <v>#N/A</v>
      </c>
      <c r="P217" t="e">
        <v>#N/A</v>
      </c>
      <c r="Q217" t="e">
        <v>#N/A</v>
      </c>
      <c r="R217" t="e">
        <v>#N/A</v>
      </c>
      <c r="S217" t="e">
        <v>#N/A</v>
      </c>
      <c r="T217" t="e">
        <v>#N/A</v>
      </c>
    </row>
    <row r="218" spans="7:20" x14ac:dyDescent="0.25">
      <c r="G218" s="19">
        <f t="shared" si="10"/>
        <v>46</v>
      </c>
      <c r="H218" s="34">
        <f t="shared" si="12"/>
        <v>44606</v>
      </c>
      <c r="I218">
        <f>HLOOKUP($I$4,meanT!$A$2:$D$368,G218,FALSE)</f>
        <v>19.5910714285714</v>
      </c>
      <c r="K218" t="e">
        <f t="shared" si="11"/>
        <v>#N/A</v>
      </c>
      <c r="L218" s="12" t="e">
        <v>#N/A</v>
      </c>
      <c r="M218" t="e">
        <v>#N/A</v>
      </c>
      <c r="N218" t="e">
        <v>#N/A</v>
      </c>
      <c r="O218" t="e">
        <v>#N/A</v>
      </c>
      <c r="P218" t="e">
        <v>#N/A</v>
      </c>
      <c r="Q218" t="e">
        <v>#N/A</v>
      </c>
      <c r="R218" t="e">
        <v>#N/A</v>
      </c>
      <c r="S218" t="e">
        <v>#N/A</v>
      </c>
      <c r="T218" t="e">
        <v>#N/A</v>
      </c>
    </row>
    <row r="219" spans="7:20" x14ac:dyDescent="0.25">
      <c r="G219" s="19">
        <f t="shared" si="10"/>
        <v>47</v>
      </c>
      <c r="H219" s="34">
        <f t="shared" si="12"/>
        <v>44607</v>
      </c>
      <c r="I219">
        <f>HLOOKUP($I$4,meanT!$A$2:$D$368,G219,FALSE)</f>
        <v>19.355357142857098</v>
      </c>
      <c r="K219" t="e">
        <f t="shared" si="11"/>
        <v>#N/A</v>
      </c>
      <c r="L219" s="12" t="e">
        <v>#N/A</v>
      </c>
      <c r="M219" t="e">
        <v>#N/A</v>
      </c>
      <c r="N219" t="e">
        <v>#N/A</v>
      </c>
      <c r="O219" t="e">
        <v>#N/A</v>
      </c>
      <c r="P219" t="e">
        <v>#N/A</v>
      </c>
      <c r="Q219" t="e">
        <v>#N/A</v>
      </c>
      <c r="R219" t="e">
        <v>#N/A</v>
      </c>
      <c r="S219" t="e">
        <v>#N/A</v>
      </c>
      <c r="T219" t="e">
        <v>#N/A</v>
      </c>
    </row>
    <row r="220" spans="7:20" x14ac:dyDescent="0.25">
      <c r="G220" s="19">
        <f t="shared" si="10"/>
        <v>48</v>
      </c>
      <c r="H220" s="34">
        <f t="shared" si="12"/>
        <v>44608</v>
      </c>
      <c r="I220">
        <f>HLOOKUP($I$4,meanT!$A$2:$D$368,G220,FALSE)</f>
        <v>19.258928571428498</v>
      </c>
      <c r="K220" t="e">
        <f t="shared" si="11"/>
        <v>#N/A</v>
      </c>
      <c r="L220" s="12" t="e">
        <v>#N/A</v>
      </c>
      <c r="M220" t="e">
        <v>#N/A</v>
      </c>
      <c r="N220" t="e">
        <v>#N/A</v>
      </c>
      <c r="O220" t="e">
        <v>#N/A</v>
      </c>
      <c r="P220" t="e">
        <v>#N/A</v>
      </c>
      <c r="Q220" t="e">
        <v>#N/A</v>
      </c>
      <c r="R220" t="e">
        <v>#N/A</v>
      </c>
      <c r="S220" t="e">
        <v>#N/A</v>
      </c>
      <c r="T220" t="e">
        <v>#N/A</v>
      </c>
    </row>
    <row r="221" spans="7:20" x14ac:dyDescent="0.25">
      <c r="G221" s="19">
        <f t="shared" si="10"/>
        <v>49</v>
      </c>
      <c r="H221" s="34">
        <f t="shared" si="12"/>
        <v>44609</v>
      </c>
      <c r="I221">
        <f>HLOOKUP($I$4,meanT!$A$2:$D$368,G221,FALSE)</f>
        <v>19.284482758620602</v>
      </c>
      <c r="K221" t="e">
        <f t="shared" si="11"/>
        <v>#N/A</v>
      </c>
      <c r="L221" s="12" t="e">
        <v>#N/A</v>
      </c>
      <c r="M221" t="e">
        <v>#N/A</v>
      </c>
      <c r="N221" t="e">
        <v>#N/A</v>
      </c>
      <c r="O221" t="e">
        <v>#N/A</v>
      </c>
      <c r="P221" t="e">
        <v>#N/A</v>
      </c>
      <c r="Q221" t="e">
        <v>#N/A</v>
      </c>
      <c r="R221" t="e">
        <v>#N/A</v>
      </c>
      <c r="S221" t="e">
        <v>#N/A</v>
      </c>
      <c r="T221" t="e">
        <v>#N/A</v>
      </c>
    </row>
    <row r="222" spans="7:20" x14ac:dyDescent="0.25">
      <c r="G222" s="19">
        <f t="shared" si="10"/>
        <v>50</v>
      </c>
      <c r="H222" s="34">
        <f t="shared" si="12"/>
        <v>44610</v>
      </c>
      <c r="I222">
        <f>HLOOKUP($I$4,meanT!$A$2:$D$368,G222,FALSE)</f>
        <v>19.415517241379298</v>
      </c>
      <c r="K222" t="e">
        <f t="shared" si="11"/>
        <v>#N/A</v>
      </c>
      <c r="L222" s="12" t="e">
        <v>#N/A</v>
      </c>
      <c r="M222" t="e">
        <v>#N/A</v>
      </c>
      <c r="N222" t="e">
        <v>#N/A</v>
      </c>
      <c r="O222" t="e">
        <v>#N/A</v>
      </c>
      <c r="P222" t="e">
        <v>#N/A</v>
      </c>
      <c r="Q222" t="e">
        <v>#N/A</v>
      </c>
      <c r="R222" t="e">
        <v>#N/A</v>
      </c>
      <c r="S222" t="e">
        <v>#N/A</v>
      </c>
      <c r="T222" t="e">
        <v>#N/A</v>
      </c>
    </row>
    <row r="223" spans="7:20" x14ac:dyDescent="0.25">
      <c r="G223" s="19">
        <f t="shared" si="10"/>
        <v>51</v>
      </c>
      <c r="H223" s="34">
        <f t="shared" si="12"/>
        <v>44611</v>
      </c>
      <c r="I223">
        <f>HLOOKUP($I$4,meanT!$A$2:$D$368,G223,FALSE)</f>
        <v>19.4189655172413</v>
      </c>
      <c r="K223" t="e">
        <f t="shared" si="11"/>
        <v>#N/A</v>
      </c>
      <c r="L223" s="12" t="e">
        <v>#N/A</v>
      </c>
      <c r="M223" t="e">
        <v>#N/A</v>
      </c>
      <c r="N223" t="e">
        <v>#N/A</v>
      </c>
      <c r="O223" t="e">
        <v>#N/A</v>
      </c>
      <c r="P223" t="e">
        <v>#N/A</v>
      </c>
      <c r="Q223" t="e">
        <v>#N/A</v>
      </c>
      <c r="R223" t="e">
        <v>#N/A</v>
      </c>
      <c r="S223" t="e">
        <v>#N/A</v>
      </c>
      <c r="T223" t="e">
        <v>#N/A</v>
      </c>
    </row>
    <row r="224" spans="7:20" x14ac:dyDescent="0.25">
      <c r="G224" s="19">
        <f t="shared" si="10"/>
        <v>52</v>
      </c>
      <c r="H224" s="34">
        <f t="shared" si="12"/>
        <v>44612</v>
      </c>
      <c r="I224">
        <f>HLOOKUP($I$4,meanT!$A$2:$D$368,G224,FALSE)</f>
        <v>19.5068965517241</v>
      </c>
      <c r="K224" t="e">
        <f t="shared" si="11"/>
        <v>#N/A</v>
      </c>
      <c r="L224" s="12" t="e">
        <v>#N/A</v>
      </c>
      <c r="M224" t="e">
        <v>#N/A</v>
      </c>
      <c r="N224" t="e">
        <v>#N/A</v>
      </c>
      <c r="O224" t="e">
        <v>#N/A</v>
      </c>
      <c r="P224" t="e">
        <v>#N/A</v>
      </c>
      <c r="Q224" t="e">
        <v>#N/A</v>
      </c>
      <c r="R224" t="e">
        <v>#N/A</v>
      </c>
      <c r="S224" t="e">
        <v>#N/A</v>
      </c>
      <c r="T224" t="e">
        <v>#N/A</v>
      </c>
    </row>
    <row r="225" spans="7:20" x14ac:dyDescent="0.25">
      <c r="G225" s="19">
        <f t="shared" si="10"/>
        <v>53</v>
      </c>
      <c r="H225" s="34">
        <f t="shared" si="12"/>
        <v>44613</v>
      </c>
      <c r="I225">
        <f>HLOOKUP($I$4,meanT!$A$2:$D$368,G225,FALSE)</f>
        <v>19.441666666666599</v>
      </c>
      <c r="K225" t="e">
        <f t="shared" si="11"/>
        <v>#N/A</v>
      </c>
      <c r="L225" s="12" t="e">
        <v>#N/A</v>
      </c>
      <c r="M225" t="e">
        <v>#N/A</v>
      </c>
      <c r="N225" t="e">
        <v>#N/A</v>
      </c>
      <c r="O225" t="e">
        <v>#N/A</v>
      </c>
      <c r="P225" t="e">
        <v>#N/A</v>
      </c>
      <c r="Q225" t="e">
        <v>#N/A</v>
      </c>
      <c r="R225" t="e">
        <v>#N/A</v>
      </c>
      <c r="S225" t="e">
        <v>#N/A</v>
      </c>
      <c r="T225" t="e">
        <v>#N/A</v>
      </c>
    </row>
    <row r="226" spans="7:20" x14ac:dyDescent="0.25">
      <c r="G226" s="19">
        <f t="shared" si="10"/>
        <v>54</v>
      </c>
      <c r="H226" s="34">
        <f t="shared" si="12"/>
        <v>44614</v>
      </c>
      <c r="I226">
        <f>HLOOKUP($I$4,meanT!$A$2:$D$368,G226,FALSE)</f>
        <v>19.231666666666602</v>
      </c>
      <c r="K226" t="e">
        <f t="shared" si="11"/>
        <v>#N/A</v>
      </c>
      <c r="L226" s="12" t="e">
        <v>#N/A</v>
      </c>
      <c r="M226" t="e">
        <v>#N/A</v>
      </c>
      <c r="N226" t="e">
        <v>#N/A</v>
      </c>
      <c r="O226" t="e">
        <v>#N/A</v>
      </c>
      <c r="P226" t="e">
        <v>#N/A</v>
      </c>
      <c r="Q226" t="e">
        <v>#N/A</v>
      </c>
      <c r="R226" t="e">
        <v>#N/A</v>
      </c>
      <c r="S226" t="e">
        <v>#N/A</v>
      </c>
      <c r="T226" t="e">
        <v>#N/A</v>
      </c>
    </row>
    <row r="227" spans="7:20" x14ac:dyDescent="0.25">
      <c r="G227" s="19">
        <f t="shared" si="10"/>
        <v>55</v>
      </c>
      <c r="H227" s="34">
        <f t="shared" si="12"/>
        <v>44615</v>
      </c>
      <c r="I227">
        <f>HLOOKUP($I$4,meanT!$A$2:$D$368,G227,FALSE)</f>
        <v>19.22</v>
      </c>
      <c r="K227" t="e">
        <f t="shared" si="11"/>
        <v>#N/A</v>
      </c>
      <c r="L227" s="12" t="e">
        <v>#N/A</v>
      </c>
      <c r="M227" t="e">
        <v>#N/A</v>
      </c>
      <c r="N227" t="e">
        <v>#N/A</v>
      </c>
      <c r="O227" t="e">
        <v>#N/A</v>
      </c>
      <c r="P227" t="e">
        <v>#N/A</v>
      </c>
      <c r="Q227" t="e">
        <v>#N/A</v>
      </c>
      <c r="R227" t="e">
        <v>#N/A</v>
      </c>
      <c r="S227" t="e">
        <v>#N/A</v>
      </c>
      <c r="T227" t="e">
        <v>#N/A</v>
      </c>
    </row>
    <row r="228" spans="7:20" x14ac:dyDescent="0.25">
      <c r="G228" s="19">
        <f t="shared" si="10"/>
        <v>56</v>
      </c>
      <c r="H228" s="34">
        <f t="shared" si="12"/>
        <v>44616</v>
      </c>
      <c r="I228">
        <f>HLOOKUP($I$4,meanT!$A$2:$D$368,G228,FALSE)</f>
        <v>18.793333333333301</v>
      </c>
      <c r="K228" t="e">
        <f t="shared" si="11"/>
        <v>#N/A</v>
      </c>
      <c r="L228" s="12" t="e">
        <v>#N/A</v>
      </c>
      <c r="M228" t="e">
        <v>#N/A</v>
      </c>
      <c r="N228" t="e">
        <v>#N/A</v>
      </c>
      <c r="O228" t="e">
        <v>#N/A</v>
      </c>
      <c r="P228" t="e">
        <v>#N/A</v>
      </c>
      <c r="Q228" t="e">
        <v>#N/A</v>
      </c>
      <c r="R228" t="e">
        <v>#N/A</v>
      </c>
      <c r="S228" t="e">
        <v>#N/A</v>
      </c>
      <c r="T228" t="e">
        <v>#N/A</v>
      </c>
    </row>
    <row r="229" spans="7:20" x14ac:dyDescent="0.25">
      <c r="G229" s="19">
        <f t="shared" si="10"/>
        <v>57</v>
      </c>
      <c r="H229" s="34">
        <f t="shared" si="12"/>
        <v>44617</v>
      </c>
      <c r="I229">
        <f>HLOOKUP($I$4,meanT!$A$2:$D$368,G229,FALSE)</f>
        <v>18.3</v>
      </c>
      <c r="K229" t="e">
        <f t="shared" si="11"/>
        <v>#N/A</v>
      </c>
      <c r="L229" s="12" t="e">
        <v>#N/A</v>
      </c>
      <c r="M229" t="e">
        <v>#N/A</v>
      </c>
      <c r="N229" t="e">
        <v>#N/A</v>
      </c>
      <c r="O229" t="e">
        <v>#N/A</v>
      </c>
      <c r="P229" t="e">
        <v>#N/A</v>
      </c>
      <c r="Q229" t="e">
        <v>#N/A</v>
      </c>
      <c r="R229" t="e">
        <v>#N/A</v>
      </c>
      <c r="S229" t="e">
        <v>#N/A</v>
      </c>
      <c r="T229" t="e">
        <v>#N/A</v>
      </c>
    </row>
    <row r="230" spans="7:20" x14ac:dyDescent="0.25">
      <c r="G230" s="19">
        <f t="shared" si="10"/>
        <v>58</v>
      </c>
      <c r="H230" s="34">
        <f t="shared" si="12"/>
        <v>44618</v>
      </c>
      <c r="I230">
        <f>HLOOKUP($I$4,meanT!$A$2:$D$368,G230,FALSE)</f>
        <v>18.41</v>
      </c>
      <c r="K230" t="e">
        <f t="shared" si="11"/>
        <v>#N/A</v>
      </c>
      <c r="L230" s="12" t="e">
        <v>#N/A</v>
      </c>
      <c r="M230" t="e">
        <v>#N/A</v>
      </c>
      <c r="N230" t="e">
        <v>#N/A</v>
      </c>
      <c r="O230" t="e">
        <v>#N/A</v>
      </c>
      <c r="P230" t="e">
        <v>#N/A</v>
      </c>
      <c r="Q230" t="e">
        <v>#N/A</v>
      </c>
      <c r="R230" t="e">
        <v>#N/A</v>
      </c>
      <c r="S230" t="e">
        <v>#N/A</v>
      </c>
      <c r="T230" t="e">
        <v>#N/A</v>
      </c>
    </row>
    <row r="231" spans="7:20" x14ac:dyDescent="0.25">
      <c r="G231" s="19">
        <f t="shared" si="10"/>
        <v>59</v>
      </c>
      <c r="H231" s="34">
        <f t="shared" si="12"/>
        <v>44619</v>
      </c>
      <c r="I231">
        <f>HLOOKUP($I$4,meanT!$A$2:$D$368,G231,FALSE)</f>
        <v>18.516666666666602</v>
      </c>
      <c r="K231" t="e">
        <f t="shared" si="11"/>
        <v>#N/A</v>
      </c>
      <c r="L231" s="12" t="e">
        <v>#N/A</v>
      </c>
      <c r="M231" t="e">
        <v>#N/A</v>
      </c>
      <c r="N231" t="e">
        <v>#N/A</v>
      </c>
      <c r="O231" t="e">
        <v>#N/A</v>
      </c>
      <c r="P231" t="e">
        <v>#N/A</v>
      </c>
      <c r="Q231" t="e">
        <v>#N/A</v>
      </c>
      <c r="R231" t="e">
        <v>#N/A</v>
      </c>
      <c r="S231" t="e">
        <v>#N/A</v>
      </c>
      <c r="T231" t="e">
        <v>#N/A</v>
      </c>
    </row>
    <row r="232" spans="7:20" x14ac:dyDescent="0.25">
      <c r="G232" s="19">
        <f t="shared" si="10"/>
        <v>60</v>
      </c>
      <c r="H232" s="34">
        <f t="shared" si="12"/>
        <v>44620</v>
      </c>
      <c r="I232">
        <f>HLOOKUP($I$4,meanT!$A$2:$D$368,G232,FALSE)</f>
        <v>18.253571428571401</v>
      </c>
      <c r="K232" t="e">
        <f t="shared" si="11"/>
        <v>#N/A</v>
      </c>
      <c r="L232" s="12" t="e">
        <v>#N/A</v>
      </c>
      <c r="M232" t="e">
        <v>#N/A</v>
      </c>
      <c r="N232" t="e">
        <v>#N/A</v>
      </c>
      <c r="O232" t="e">
        <v>#N/A</v>
      </c>
      <c r="P232" t="e">
        <v>#N/A</v>
      </c>
      <c r="Q232" t="e">
        <v>#N/A</v>
      </c>
      <c r="R232" t="e">
        <v>#N/A</v>
      </c>
      <c r="S232" t="e">
        <v>#N/A</v>
      </c>
      <c r="T232" t="e">
        <v>#N/A</v>
      </c>
    </row>
    <row r="233" spans="7:20" x14ac:dyDescent="0.25">
      <c r="G233" s="19">
        <f t="shared" si="10"/>
        <v>61</v>
      </c>
      <c r="H233" s="34">
        <f t="shared" si="12"/>
        <v>44621</v>
      </c>
      <c r="I233">
        <f>HLOOKUP($I$4,meanT!$A$2:$D$368,G233,FALSE)</f>
        <v>18.313793103448202</v>
      </c>
      <c r="K233" t="e">
        <f t="shared" si="11"/>
        <v>#N/A</v>
      </c>
      <c r="L233" s="12" t="e">
        <v>#N/A</v>
      </c>
      <c r="M233" t="e">
        <v>#N/A</v>
      </c>
      <c r="N233" t="e">
        <v>#N/A</v>
      </c>
      <c r="O233" t="e">
        <v>#N/A</v>
      </c>
      <c r="P233" t="e">
        <v>#N/A</v>
      </c>
      <c r="Q233" t="e">
        <v>#N/A</v>
      </c>
      <c r="R233" t="e">
        <v>#N/A</v>
      </c>
      <c r="S233" t="e">
        <v>#N/A</v>
      </c>
      <c r="T233" t="e">
        <v>#N/A</v>
      </c>
    </row>
    <row r="234" spans="7:20" x14ac:dyDescent="0.25">
      <c r="G234" s="19">
        <f t="shared" si="10"/>
        <v>62</v>
      </c>
      <c r="H234" s="34">
        <f t="shared" si="12"/>
        <v>44622</v>
      </c>
      <c r="I234">
        <f>HLOOKUP($I$4,meanT!$A$2:$D$368,G234,FALSE)</f>
        <v>18.701724137930999</v>
      </c>
      <c r="K234" t="e">
        <f t="shared" si="11"/>
        <v>#N/A</v>
      </c>
      <c r="L234" s="12" t="e">
        <v>#N/A</v>
      </c>
      <c r="M234" t="e">
        <v>#N/A</v>
      </c>
      <c r="N234" t="e">
        <v>#N/A</v>
      </c>
      <c r="O234" t="e">
        <v>#N/A</v>
      </c>
      <c r="P234" t="e">
        <v>#N/A</v>
      </c>
      <c r="Q234" t="e">
        <v>#N/A</v>
      </c>
      <c r="R234" t="e">
        <v>#N/A</v>
      </c>
      <c r="S234" t="e">
        <v>#N/A</v>
      </c>
      <c r="T234" t="e">
        <v>#N/A</v>
      </c>
    </row>
    <row r="235" spans="7:20" x14ac:dyDescent="0.25">
      <c r="G235" s="19">
        <f t="shared" si="10"/>
        <v>63</v>
      </c>
      <c r="H235" s="34">
        <f t="shared" si="12"/>
        <v>44623</v>
      </c>
      <c r="I235">
        <f>HLOOKUP($I$4,meanT!$A$2:$D$368,G235,FALSE)</f>
        <v>18.759999999999899</v>
      </c>
      <c r="K235" t="e">
        <f t="shared" si="11"/>
        <v>#N/A</v>
      </c>
      <c r="L235" s="12" t="e">
        <v>#N/A</v>
      </c>
      <c r="M235" t="e">
        <v>#N/A</v>
      </c>
      <c r="N235" t="e">
        <v>#N/A</v>
      </c>
      <c r="O235" t="e">
        <v>#N/A</v>
      </c>
      <c r="P235" t="e">
        <v>#N/A</v>
      </c>
      <c r="Q235" t="e">
        <v>#N/A</v>
      </c>
      <c r="R235" t="e">
        <v>#N/A</v>
      </c>
      <c r="S235" t="e">
        <v>#N/A</v>
      </c>
      <c r="T235" t="e">
        <v>#N/A</v>
      </c>
    </row>
    <row r="236" spans="7:20" x14ac:dyDescent="0.25">
      <c r="G236" s="19">
        <f t="shared" si="10"/>
        <v>64</v>
      </c>
      <c r="H236" s="34">
        <f t="shared" si="12"/>
        <v>44624</v>
      </c>
      <c r="I236">
        <f>HLOOKUP($I$4,meanT!$A$2:$D$368,G236,FALSE)</f>
        <v>18.0322580645161</v>
      </c>
      <c r="K236" t="e">
        <f t="shared" si="11"/>
        <v>#N/A</v>
      </c>
      <c r="L236" s="12" t="e">
        <v>#N/A</v>
      </c>
      <c r="M236" t="e">
        <v>#N/A</v>
      </c>
      <c r="N236" t="e">
        <v>#N/A</v>
      </c>
      <c r="O236" t="e">
        <v>#N/A</v>
      </c>
      <c r="P236" t="e">
        <v>#N/A</v>
      </c>
      <c r="Q236" t="e">
        <v>#N/A</v>
      </c>
      <c r="R236" t="e">
        <v>#N/A</v>
      </c>
      <c r="S236" t="e">
        <v>#N/A</v>
      </c>
      <c r="T236" t="e">
        <v>#N/A</v>
      </c>
    </row>
    <row r="237" spans="7:20" x14ac:dyDescent="0.25">
      <c r="G237" s="19">
        <f t="shared" si="10"/>
        <v>65</v>
      </c>
      <c r="H237" s="34">
        <f t="shared" si="12"/>
        <v>44625</v>
      </c>
      <c r="I237">
        <f>HLOOKUP($I$4,meanT!$A$2:$D$368,G237,FALSE)</f>
        <v>17.95</v>
      </c>
      <c r="K237" t="e">
        <f t="shared" si="11"/>
        <v>#N/A</v>
      </c>
      <c r="L237" s="12" t="e">
        <v>#N/A</v>
      </c>
      <c r="M237" t="e">
        <v>#N/A</v>
      </c>
      <c r="N237" t="e">
        <v>#N/A</v>
      </c>
      <c r="O237" t="e">
        <v>#N/A</v>
      </c>
      <c r="P237" t="e">
        <v>#N/A</v>
      </c>
      <c r="Q237" t="e">
        <v>#N/A</v>
      </c>
      <c r="R237" t="e">
        <v>#N/A</v>
      </c>
      <c r="S237" t="e">
        <v>#N/A</v>
      </c>
      <c r="T237" t="e">
        <v>#N/A</v>
      </c>
    </row>
    <row r="238" spans="7:20" x14ac:dyDescent="0.25">
      <c r="G238" s="19">
        <f t="shared" si="10"/>
        <v>66</v>
      </c>
      <c r="H238" s="34">
        <f t="shared" si="12"/>
        <v>44626</v>
      </c>
      <c r="I238">
        <f>HLOOKUP($I$4,meanT!$A$2:$D$368,G238,FALSE)</f>
        <v>18.361290322580601</v>
      </c>
      <c r="K238" t="e">
        <f t="shared" si="11"/>
        <v>#N/A</v>
      </c>
      <c r="L238" s="12" t="e">
        <v>#N/A</v>
      </c>
      <c r="M238" t="e">
        <v>#N/A</v>
      </c>
      <c r="N238" t="e">
        <v>#N/A</v>
      </c>
      <c r="O238" t="e">
        <v>#N/A</v>
      </c>
      <c r="P238" t="e">
        <v>#N/A</v>
      </c>
      <c r="Q238" t="e">
        <v>#N/A</v>
      </c>
      <c r="R238" t="e">
        <v>#N/A</v>
      </c>
      <c r="S238" t="e">
        <v>#N/A</v>
      </c>
      <c r="T238" t="e">
        <v>#N/A</v>
      </c>
    </row>
    <row r="239" spans="7:20" x14ac:dyDescent="0.25">
      <c r="G239" s="19">
        <f t="shared" si="10"/>
        <v>67</v>
      </c>
      <c r="H239" s="34">
        <f t="shared" si="12"/>
        <v>44627</v>
      </c>
      <c r="I239">
        <f>HLOOKUP($I$4,meanT!$A$2:$D$368,G239,FALSE)</f>
        <v>17.7903225806451</v>
      </c>
      <c r="K239" t="e">
        <f t="shared" si="11"/>
        <v>#N/A</v>
      </c>
      <c r="L239" s="12" t="e">
        <v>#N/A</v>
      </c>
      <c r="M239" t="e">
        <v>#N/A</v>
      </c>
      <c r="N239" t="e">
        <v>#N/A</v>
      </c>
      <c r="O239" t="e">
        <v>#N/A</v>
      </c>
      <c r="P239" t="e">
        <v>#N/A</v>
      </c>
      <c r="Q239" t="e">
        <v>#N/A</v>
      </c>
      <c r="R239" t="e">
        <v>#N/A</v>
      </c>
      <c r="S239" t="e">
        <v>#N/A</v>
      </c>
      <c r="T239" t="e">
        <v>#N/A</v>
      </c>
    </row>
    <row r="240" spans="7:20" x14ac:dyDescent="0.25">
      <c r="G240" s="19">
        <f t="shared" si="10"/>
        <v>68</v>
      </c>
      <c r="H240" s="34">
        <f t="shared" si="12"/>
        <v>44628</v>
      </c>
      <c r="I240">
        <f>HLOOKUP($I$4,meanT!$A$2:$D$368,G240,FALSE)</f>
        <v>18.141379310344799</v>
      </c>
      <c r="K240" t="e">
        <f t="shared" si="11"/>
        <v>#N/A</v>
      </c>
      <c r="L240" s="12" t="e">
        <v>#N/A</v>
      </c>
      <c r="M240" t="e">
        <v>#N/A</v>
      </c>
      <c r="N240" t="e">
        <v>#N/A</v>
      </c>
      <c r="O240" t="e">
        <v>#N/A</v>
      </c>
      <c r="P240" t="e">
        <v>#N/A</v>
      </c>
      <c r="Q240" t="e">
        <v>#N/A</v>
      </c>
      <c r="R240" t="e">
        <v>#N/A</v>
      </c>
      <c r="S240" t="e">
        <v>#N/A</v>
      </c>
      <c r="T240" t="e">
        <v>#N/A</v>
      </c>
    </row>
    <row r="241" spans="7:20" x14ac:dyDescent="0.25">
      <c r="G241" s="19">
        <f t="shared" si="10"/>
        <v>69</v>
      </c>
      <c r="H241" s="34">
        <f t="shared" si="12"/>
        <v>44629</v>
      </c>
      <c r="I241">
        <f>HLOOKUP($I$4,meanT!$A$2:$D$368,G241,FALSE)</f>
        <v>18.3816666666666</v>
      </c>
      <c r="K241" t="e">
        <f t="shared" si="11"/>
        <v>#N/A</v>
      </c>
      <c r="L241" s="12" t="e">
        <v>#N/A</v>
      </c>
      <c r="M241" t="e">
        <v>#N/A</v>
      </c>
      <c r="N241" t="e">
        <v>#N/A</v>
      </c>
      <c r="O241" t="e">
        <v>#N/A</v>
      </c>
      <c r="P241" t="e">
        <v>#N/A</v>
      </c>
      <c r="Q241" t="e">
        <v>#N/A</v>
      </c>
      <c r="R241" t="e">
        <v>#N/A</v>
      </c>
      <c r="S241" t="e">
        <v>#N/A</v>
      </c>
      <c r="T241" t="e">
        <v>#N/A</v>
      </c>
    </row>
    <row r="242" spans="7:20" x14ac:dyDescent="0.25">
      <c r="G242" s="19">
        <f t="shared" si="10"/>
        <v>70</v>
      </c>
      <c r="H242" s="34">
        <f t="shared" si="12"/>
        <v>44630</v>
      </c>
      <c r="I242">
        <f>HLOOKUP($I$4,meanT!$A$2:$D$368,G242,FALSE)</f>
        <v>18.100000000000001</v>
      </c>
      <c r="K242" t="e">
        <f t="shared" si="11"/>
        <v>#N/A</v>
      </c>
      <c r="L242" s="12" t="e">
        <v>#N/A</v>
      </c>
      <c r="M242" t="e">
        <v>#N/A</v>
      </c>
      <c r="N242" t="e">
        <v>#N/A</v>
      </c>
      <c r="O242" t="e">
        <v>#N/A</v>
      </c>
      <c r="P242" t="e">
        <v>#N/A</v>
      </c>
      <c r="Q242" t="e">
        <v>#N/A</v>
      </c>
      <c r="R242" t="e">
        <v>#N/A</v>
      </c>
      <c r="S242" t="e">
        <v>#N/A</v>
      </c>
      <c r="T242" t="e">
        <v>#N/A</v>
      </c>
    </row>
    <row r="243" spans="7:20" x14ac:dyDescent="0.25">
      <c r="G243" s="19">
        <f t="shared" si="10"/>
        <v>71</v>
      </c>
      <c r="H243" s="34">
        <f t="shared" si="12"/>
        <v>44631</v>
      </c>
      <c r="I243">
        <f>HLOOKUP($I$4,meanT!$A$2:$D$368,G243,FALSE)</f>
        <v>17.931666666666601</v>
      </c>
      <c r="K243" t="e">
        <f t="shared" si="11"/>
        <v>#N/A</v>
      </c>
      <c r="L243" s="12" t="e">
        <v>#N/A</v>
      </c>
      <c r="M243" t="e">
        <v>#N/A</v>
      </c>
      <c r="N243" t="e">
        <v>#N/A</v>
      </c>
      <c r="O243" t="e">
        <v>#N/A</v>
      </c>
      <c r="P243" t="e">
        <v>#N/A</v>
      </c>
      <c r="Q243" t="e">
        <v>#N/A</v>
      </c>
      <c r="R243" t="e">
        <v>#N/A</v>
      </c>
      <c r="S243" t="e">
        <v>#N/A</v>
      </c>
      <c r="T243" t="e">
        <v>#N/A</v>
      </c>
    </row>
    <row r="244" spans="7:20" x14ac:dyDescent="0.25">
      <c r="G244" s="19">
        <f t="shared" si="10"/>
        <v>72</v>
      </c>
      <c r="H244" s="34">
        <f t="shared" si="12"/>
        <v>44632</v>
      </c>
      <c r="I244">
        <f>HLOOKUP($I$4,meanT!$A$2:$D$368,G244,FALSE)</f>
        <v>18.11</v>
      </c>
      <c r="K244" t="e">
        <f t="shared" si="11"/>
        <v>#N/A</v>
      </c>
      <c r="L244" s="12" t="e">
        <v>#N/A</v>
      </c>
      <c r="M244" t="e">
        <v>#N/A</v>
      </c>
      <c r="N244" t="e">
        <v>#N/A</v>
      </c>
      <c r="O244" t="e">
        <v>#N/A</v>
      </c>
      <c r="P244" t="e">
        <v>#N/A</v>
      </c>
      <c r="Q244" t="e">
        <v>#N/A</v>
      </c>
      <c r="R244" t="e">
        <v>#N/A</v>
      </c>
      <c r="S244" t="e">
        <v>#N/A</v>
      </c>
      <c r="T244" t="e">
        <v>#N/A</v>
      </c>
    </row>
    <row r="245" spans="7:20" x14ac:dyDescent="0.25">
      <c r="G245" s="19">
        <f t="shared" si="10"/>
        <v>73</v>
      </c>
      <c r="H245" s="34">
        <f t="shared" si="12"/>
        <v>44633</v>
      </c>
      <c r="I245">
        <f>HLOOKUP($I$4,meanT!$A$2:$D$368,G245,FALSE)</f>
        <v>17.7392857142857</v>
      </c>
      <c r="K245" t="e">
        <f t="shared" si="11"/>
        <v>#N/A</v>
      </c>
      <c r="L245" s="12" t="e">
        <v>#N/A</v>
      </c>
      <c r="M245" t="e">
        <v>#N/A</v>
      </c>
      <c r="N245" t="e">
        <v>#N/A</v>
      </c>
      <c r="O245" t="e">
        <v>#N/A</v>
      </c>
      <c r="P245" t="e">
        <v>#N/A</v>
      </c>
      <c r="Q245" t="e">
        <v>#N/A</v>
      </c>
      <c r="R245" t="e">
        <v>#N/A</v>
      </c>
      <c r="S245" t="e">
        <v>#N/A</v>
      </c>
      <c r="T245" t="e">
        <v>#N/A</v>
      </c>
    </row>
    <row r="246" spans="7:20" x14ac:dyDescent="0.25">
      <c r="G246" s="19">
        <f t="shared" si="10"/>
        <v>74</v>
      </c>
      <c r="H246" s="34">
        <f t="shared" si="12"/>
        <v>44634</v>
      </c>
      <c r="I246">
        <f>HLOOKUP($I$4,meanT!$A$2:$D$368,G246,FALSE)</f>
        <v>17.7431034482758</v>
      </c>
      <c r="K246" t="e">
        <f t="shared" si="11"/>
        <v>#N/A</v>
      </c>
      <c r="L246" s="12" t="e">
        <v>#N/A</v>
      </c>
      <c r="M246" t="e">
        <v>#N/A</v>
      </c>
      <c r="N246" t="e">
        <v>#N/A</v>
      </c>
      <c r="O246" t="e">
        <v>#N/A</v>
      </c>
      <c r="P246" t="e">
        <v>#N/A</v>
      </c>
      <c r="Q246" t="e">
        <v>#N/A</v>
      </c>
      <c r="R246" t="e">
        <v>#N/A</v>
      </c>
      <c r="S246" t="e">
        <v>#N/A</v>
      </c>
      <c r="T246" t="e">
        <v>#N/A</v>
      </c>
    </row>
    <row r="247" spans="7:20" x14ac:dyDescent="0.25">
      <c r="G247" s="19">
        <f t="shared" si="10"/>
        <v>75</v>
      </c>
      <c r="H247" s="34">
        <f t="shared" si="12"/>
        <v>44635</v>
      </c>
      <c r="I247">
        <f>HLOOKUP($I$4,meanT!$A$2:$D$368,G247,FALSE)</f>
        <v>17.582758620689599</v>
      </c>
      <c r="K247" t="e">
        <f t="shared" si="11"/>
        <v>#N/A</v>
      </c>
      <c r="L247" s="12" t="e">
        <v>#N/A</v>
      </c>
      <c r="M247" t="e">
        <v>#N/A</v>
      </c>
      <c r="N247" t="e">
        <v>#N/A</v>
      </c>
      <c r="O247" t="e">
        <v>#N/A</v>
      </c>
      <c r="P247" t="e">
        <v>#N/A</v>
      </c>
      <c r="Q247" t="e">
        <v>#N/A</v>
      </c>
      <c r="R247" t="e">
        <v>#N/A</v>
      </c>
      <c r="S247" t="e">
        <v>#N/A</v>
      </c>
      <c r="T247" t="e">
        <v>#N/A</v>
      </c>
    </row>
    <row r="248" spans="7:20" x14ac:dyDescent="0.25">
      <c r="G248" s="19">
        <f t="shared" si="10"/>
        <v>76</v>
      </c>
      <c r="H248" s="34">
        <f t="shared" si="12"/>
        <v>44636</v>
      </c>
      <c r="I248">
        <f>HLOOKUP($I$4,meanT!$A$2:$D$368,G248,FALSE)</f>
        <v>17.724137931034399</v>
      </c>
      <c r="K248" t="e">
        <f t="shared" si="11"/>
        <v>#N/A</v>
      </c>
      <c r="L248" s="12" t="e">
        <v>#N/A</v>
      </c>
      <c r="M248" t="e">
        <v>#N/A</v>
      </c>
      <c r="N248" t="e">
        <v>#N/A</v>
      </c>
      <c r="O248" t="e">
        <v>#N/A</v>
      </c>
      <c r="P248" t="e">
        <v>#N/A</v>
      </c>
      <c r="Q248" t="e">
        <v>#N/A</v>
      </c>
      <c r="R248" t="e">
        <v>#N/A</v>
      </c>
      <c r="S248" t="e">
        <v>#N/A</v>
      </c>
      <c r="T248" t="e">
        <v>#N/A</v>
      </c>
    </row>
    <row r="249" spans="7:20" x14ac:dyDescent="0.25">
      <c r="G249" s="19">
        <f t="shared" si="10"/>
        <v>77</v>
      </c>
      <c r="H249" s="34">
        <f t="shared" si="12"/>
        <v>44637</v>
      </c>
      <c r="I249">
        <f>HLOOKUP($I$4,meanT!$A$2:$D$368,G249,FALSE)</f>
        <v>17.698333333333299</v>
      </c>
      <c r="K249" t="e">
        <f t="shared" si="11"/>
        <v>#N/A</v>
      </c>
      <c r="L249" s="12" t="e">
        <v>#N/A</v>
      </c>
      <c r="M249" t="e">
        <v>#N/A</v>
      </c>
      <c r="N249" t="e">
        <v>#N/A</v>
      </c>
      <c r="O249" t="e">
        <v>#N/A</v>
      </c>
      <c r="P249" t="e">
        <v>#N/A</v>
      </c>
      <c r="Q249" t="e">
        <v>#N/A</v>
      </c>
      <c r="R249" t="e">
        <v>#N/A</v>
      </c>
      <c r="S249" t="e">
        <v>#N/A</v>
      </c>
      <c r="T249" t="e">
        <v>#N/A</v>
      </c>
    </row>
    <row r="250" spans="7:20" x14ac:dyDescent="0.25">
      <c r="G250" s="19">
        <f t="shared" si="10"/>
        <v>78</v>
      </c>
      <c r="H250" s="34">
        <f t="shared" si="12"/>
        <v>44638</v>
      </c>
      <c r="I250">
        <f>HLOOKUP($I$4,meanT!$A$2:$D$368,G250,FALSE)</f>
        <v>17.62</v>
      </c>
      <c r="K250" t="e">
        <f t="shared" si="11"/>
        <v>#N/A</v>
      </c>
      <c r="L250" s="12" t="e">
        <v>#N/A</v>
      </c>
      <c r="M250" t="e">
        <v>#N/A</v>
      </c>
      <c r="N250" t="e">
        <v>#N/A</v>
      </c>
      <c r="O250" t="e">
        <v>#N/A</v>
      </c>
      <c r="P250" t="e">
        <v>#N/A</v>
      </c>
      <c r="Q250" t="e">
        <v>#N/A</v>
      </c>
      <c r="R250" t="e">
        <v>#N/A</v>
      </c>
      <c r="S250" t="e">
        <v>#N/A</v>
      </c>
      <c r="T250" t="e">
        <v>#N/A</v>
      </c>
    </row>
    <row r="251" spans="7:20" x14ac:dyDescent="0.25">
      <c r="G251" s="19">
        <f t="shared" si="10"/>
        <v>79</v>
      </c>
      <c r="H251" s="34">
        <f t="shared" si="12"/>
        <v>44639</v>
      </c>
      <c r="I251">
        <f>HLOOKUP($I$4,meanT!$A$2:$D$368,G251,FALSE)</f>
        <v>17.170000000000002</v>
      </c>
      <c r="K251" t="e">
        <f t="shared" si="11"/>
        <v>#N/A</v>
      </c>
      <c r="L251" s="12" t="e">
        <v>#N/A</v>
      </c>
      <c r="M251" t="e">
        <v>#N/A</v>
      </c>
      <c r="N251" t="e">
        <v>#N/A</v>
      </c>
      <c r="O251" t="e">
        <v>#N/A</v>
      </c>
      <c r="P251" t="e">
        <v>#N/A</v>
      </c>
      <c r="Q251" t="e">
        <v>#N/A</v>
      </c>
      <c r="R251" t="e">
        <v>#N/A</v>
      </c>
      <c r="S251" t="e">
        <v>#N/A</v>
      </c>
      <c r="T251" t="e">
        <v>#N/A</v>
      </c>
    </row>
    <row r="252" spans="7:20" x14ac:dyDescent="0.25">
      <c r="G252" s="19">
        <f t="shared" si="10"/>
        <v>80</v>
      </c>
      <c r="H252" s="34">
        <f t="shared" si="12"/>
        <v>44640</v>
      </c>
      <c r="I252">
        <f>HLOOKUP($I$4,meanT!$A$2:$D$368,G252,FALSE)</f>
        <v>17.223333333333301</v>
      </c>
      <c r="K252" t="e">
        <f t="shared" si="11"/>
        <v>#N/A</v>
      </c>
      <c r="L252" s="12" t="e">
        <v>#N/A</v>
      </c>
      <c r="M252" t="e">
        <v>#N/A</v>
      </c>
      <c r="N252" t="e">
        <v>#N/A</v>
      </c>
      <c r="O252" t="e">
        <v>#N/A</v>
      </c>
      <c r="P252" t="e">
        <v>#N/A</v>
      </c>
      <c r="Q252" t="e">
        <v>#N/A</v>
      </c>
      <c r="R252" t="e">
        <v>#N/A</v>
      </c>
      <c r="S252" t="e">
        <v>#N/A</v>
      </c>
      <c r="T252" t="e">
        <v>#N/A</v>
      </c>
    </row>
    <row r="253" spans="7:20" x14ac:dyDescent="0.25">
      <c r="G253" s="19">
        <f t="shared" si="10"/>
        <v>81</v>
      </c>
      <c r="H253" s="34">
        <f t="shared" si="12"/>
        <v>44641</v>
      </c>
      <c r="I253">
        <f>HLOOKUP($I$4,meanT!$A$2:$D$368,G253,FALSE)</f>
        <v>17.498333333333299</v>
      </c>
      <c r="K253" t="e">
        <f t="shared" si="11"/>
        <v>#N/A</v>
      </c>
      <c r="L253" s="12" t="e">
        <v>#N/A</v>
      </c>
      <c r="M253" t="e">
        <v>#N/A</v>
      </c>
      <c r="N253" t="e">
        <v>#N/A</v>
      </c>
      <c r="O253" t="e">
        <v>#N/A</v>
      </c>
      <c r="P253" t="e">
        <v>#N/A</v>
      </c>
      <c r="Q253" t="e">
        <v>#N/A</v>
      </c>
      <c r="R253" t="e">
        <v>#N/A</v>
      </c>
      <c r="S253" t="e">
        <v>#N/A</v>
      </c>
      <c r="T253" t="e">
        <v>#N/A</v>
      </c>
    </row>
    <row r="254" spans="7:20" x14ac:dyDescent="0.25">
      <c r="G254" s="19">
        <f t="shared" si="10"/>
        <v>82</v>
      </c>
      <c r="H254" s="34">
        <f t="shared" si="12"/>
        <v>44642</v>
      </c>
      <c r="I254">
        <f>HLOOKUP($I$4,meanT!$A$2:$D$368,G254,FALSE)</f>
        <v>17.390322580645101</v>
      </c>
      <c r="K254" t="e">
        <f t="shared" si="11"/>
        <v>#N/A</v>
      </c>
      <c r="L254" s="12" t="e">
        <v>#N/A</v>
      </c>
      <c r="M254" t="e">
        <v>#N/A</v>
      </c>
      <c r="N254" t="e">
        <v>#N/A</v>
      </c>
      <c r="O254" t="e">
        <v>#N/A</v>
      </c>
      <c r="P254" t="e">
        <v>#N/A</v>
      </c>
      <c r="Q254" t="e">
        <v>#N/A</v>
      </c>
      <c r="R254" t="e">
        <v>#N/A</v>
      </c>
      <c r="S254" t="e">
        <v>#N/A</v>
      </c>
      <c r="T254" t="e">
        <v>#N/A</v>
      </c>
    </row>
    <row r="255" spans="7:20" x14ac:dyDescent="0.25">
      <c r="G255" s="19">
        <f t="shared" si="10"/>
        <v>83</v>
      </c>
      <c r="H255" s="34">
        <f t="shared" si="12"/>
        <v>44643</v>
      </c>
      <c r="I255">
        <f>HLOOKUP($I$4,meanT!$A$2:$D$368,G255,FALSE)</f>
        <v>17.053333333333299</v>
      </c>
      <c r="K255" t="e">
        <f t="shared" si="11"/>
        <v>#N/A</v>
      </c>
      <c r="L255" s="12" t="e">
        <v>#N/A</v>
      </c>
      <c r="M255" t="e">
        <v>#N/A</v>
      </c>
      <c r="N255" t="e">
        <v>#N/A</v>
      </c>
      <c r="O255" t="e">
        <v>#N/A</v>
      </c>
      <c r="P255" t="e">
        <v>#N/A</v>
      </c>
      <c r="Q255" t="e">
        <v>#N/A</v>
      </c>
      <c r="R255" t="e">
        <v>#N/A</v>
      </c>
      <c r="S255" t="e">
        <v>#N/A</v>
      </c>
      <c r="T255" t="e">
        <v>#N/A</v>
      </c>
    </row>
    <row r="256" spans="7:20" x14ac:dyDescent="0.25">
      <c r="G256" s="19">
        <f t="shared" si="10"/>
        <v>84</v>
      </c>
      <c r="H256" s="34">
        <f t="shared" si="12"/>
        <v>44644</v>
      </c>
      <c r="I256">
        <f>HLOOKUP($I$4,meanT!$A$2:$D$368,G256,FALSE)</f>
        <v>16.973333333333301</v>
      </c>
      <c r="K256" t="e">
        <f t="shared" si="11"/>
        <v>#N/A</v>
      </c>
      <c r="L256" s="12" t="e">
        <v>#N/A</v>
      </c>
      <c r="M256" t="e">
        <v>#N/A</v>
      </c>
      <c r="N256" t="e">
        <v>#N/A</v>
      </c>
      <c r="O256" t="e">
        <v>#N/A</v>
      </c>
      <c r="P256" t="e">
        <v>#N/A</v>
      </c>
      <c r="Q256" t="e">
        <v>#N/A</v>
      </c>
      <c r="R256" t="e">
        <v>#N/A</v>
      </c>
      <c r="S256" t="e">
        <v>#N/A</v>
      </c>
      <c r="T256" t="e">
        <v>#N/A</v>
      </c>
    </row>
    <row r="257" spans="7:20" x14ac:dyDescent="0.25">
      <c r="G257" s="19">
        <f t="shared" si="10"/>
        <v>85</v>
      </c>
      <c r="H257" s="34">
        <f t="shared" si="12"/>
        <v>44645</v>
      </c>
      <c r="I257">
        <f>HLOOKUP($I$4,meanT!$A$2:$D$368,G257,FALSE)</f>
        <v>16.984999999999999</v>
      </c>
      <c r="K257" t="e">
        <f t="shared" si="11"/>
        <v>#N/A</v>
      </c>
      <c r="L257" s="12" t="e">
        <v>#N/A</v>
      </c>
      <c r="M257" t="e">
        <v>#N/A</v>
      </c>
      <c r="N257" t="e">
        <v>#N/A</v>
      </c>
      <c r="O257" t="e">
        <v>#N/A</v>
      </c>
      <c r="P257" t="e">
        <v>#N/A</v>
      </c>
      <c r="Q257" t="e">
        <v>#N/A</v>
      </c>
      <c r="R257" t="e">
        <v>#N/A</v>
      </c>
      <c r="S257" t="e">
        <v>#N/A</v>
      </c>
      <c r="T257" t="e">
        <v>#N/A</v>
      </c>
    </row>
    <row r="258" spans="7:20" x14ac:dyDescent="0.25">
      <c r="G258" s="19">
        <f t="shared" si="10"/>
        <v>86</v>
      </c>
      <c r="H258" s="34">
        <f t="shared" si="12"/>
        <v>44646</v>
      </c>
      <c r="I258">
        <f>HLOOKUP($I$4,meanT!$A$2:$D$368,G258,FALSE)</f>
        <v>17.064516129032199</v>
      </c>
      <c r="K258" t="e">
        <f t="shared" si="11"/>
        <v>#N/A</v>
      </c>
      <c r="L258" s="12" t="e">
        <v>#N/A</v>
      </c>
      <c r="M258" t="e">
        <v>#N/A</v>
      </c>
      <c r="N258" t="e">
        <v>#N/A</v>
      </c>
      <c r="O258" t="e">
        <v>#N/A</v>
      </c>
      <c r="P258" t="e">
        <v>#N/A</v>
      </c>
      <c r="Q258" t="e">
        <v>#N/A</v>
      </c>
      <c r="R258" t="e">
        <v>#N/A</v>
      </c>
      <c r="S258" t="e">
        <v>#N/A</v>
      </c>
      <c r="T258" t="e">
        <v>#N/A</v>
      </c>
    </row>
    <row r="259" spans="7:20" x14ac:dyDescent="0.25">
      <c r="G259" s="19">
        <f t="shared" si="10"/>
        <v>87</v>
      </c>
      <c r="H259" s="34">
        <f t="shared" si="12"/>
        <v>44647</v>
      </c>
      <c r="I259">
        <f>HLOOKUP($I$4,meanT!$A$2:$D$368,G259,FALSE)</f>
        <v>17.208064516128999</v>
      </c>
      <c r="K259" t="e">
        <f t="shared" si="11"/>
        <v>#N/A</v>
      </c>
      <c r="L259" s="12" t="e">
        <v>#N/A</v>
      </c>
      <c r="M259" t="e">
        <v>#N/A</v>
      </c>
      <c r="N259" t="e">
        <v>#N/A</v>
      </c>
      <c r="O259" t="e">
        <v>#N/A</v>
      </c>
      <c r="P259" t="e">
        <v>#N/A</v>
      </c>
      <c r="Q259" t="e">
        <v>#N/A</v>
      </c>
      <c r="R259" t="e">
        <v>#N/A</v>
      </c>
      <c r="S259" t="e">
        <v>#N/A</v>
      </c>
      <c r="T259" t="e">
        <v>#N/A</v>
      </c>
    </row>
    <row r="260" spans="7:20" x14ac:dyDescent="0.25">
      <c r="G260" s="19">
        <f t="shared" si="10"/>
        <v>88</v>
      </c>
      <c r="H260" s="34">
        <f t="shared" si="12"/>
        <v>44648</v>
      </c>
      <c r="I260">
        <f>HLOOKUP($I$4,meanT!$A$2:$D$368,G260,FALSE)</f>
        <v>17.141666666666602</v>
      </c>
      <c r="K260" t="e">
        <f t="shared" si="11"/>
        <v>#N/A</v>
      </c>
      <c r="L260" s="12" t="e">
        <v>#N/A</v>
      </c>
      <c r="M260" t="e">
        <v>#N/A</v>
      </c>
      <c r="N260" t="e">
        <v>#N/A</v>
      </c>
      <c r="O260" t="e">
        <v>#N/A</v>
      </c>
      <c r="P260" t="e">
        <v>#N/A</v>
      </c>
      <c r="Q260" t="e">
        <v>#N/A</v>
      </c>
      <c r="R260" t="e">
        <v>#N/A</v>
      </c>
      <c r="S260" t="e">
        <v>#N/A</v>
      </c>
      <c r="T260" t="e">
        <v>#N/A</v>
      </c>
    </row>
    <row r="261" spans="7:20" x14ac:dyDescent="0.25">
      <c r="G261" s="19">
        <f t="shared" si="10"/>
        <v>89</v>
      </c>
      <c r="H261" s="34">
        <f t="shared" si="12"/>
        <v>44649</v>
      </c>
      <c r="I261">
        <f>HLOOKUP($I$4,meanT!$A$2:$D$368,G261,FALSE)</f>
        <v>17.338333333333299</v>
      </c>
      <c r="K261" t="e">
        <f t="shared" si="11"/>
        <v>#N/A</v>
      </c>
      <c r="L261" s="12" t="e">
        <v>#N/A</v>
      </c>
      <c r="M261" t="e">
        <v>#N/A</v>
      </c>
      <c r="N261" t="e">
        <v>#N/A</v>
      </c>
      <c r="O261" t="e">
        <v>#N/A</v>
      </c>
      <c r="P261" t="e">
        <v>#N/A</v>
      </c>
      <c r="Q261" t="e">
        <v>#N/A</v>
      </c>
      <c r="R261" t="e">
        <v>#N/A</v>
      </c>
      <c r="S261" t="e">
        <v>#N/A</v>
      </c>
      <c r="T261" t="e">
        <v>#N/A</v>
      </c>
    </row>
    <row r="262" spans="7:20" x14ac:dyDescent="0.25">
      <c r="G262" s="19">
        <f t="shared" si="10"/>
        <v>90</v>
      </c>
      <c r="H262" s="34">
        <f t="shared" si="12"/>
        <v>44650</v>
      </c>
      <c r="I262">
        <f>HLOOKUP($I$4,meanT!$A$2:$D$368,G262,FALSE)</f>
        <v>17.136206896551698</v>
      </c>
      <c r="K262" t="e">
        <f t="shared" si="11"/>
        <v>#N/A</v>
      </c>
      <c r="L262" s="12" t="e">
        <v>#N/A</v>
      </c>
      <c r="M262" t="e">
        <v>#N/A</v>
      </c>
      <c r="N262" t="e">
        <v>#N/A</v>
      </c>
      <c r="O262" t="e">
        <v>#N/A</v>
      </c>
      <c r="P262" t="e">
        <v>#N/A</v>
      </c>
      <c r="Q262" t="e">
        <v>#N/A</v>
      </c>
      <c r="R262" t="e">
        <v>#N/A</v>
      </c>
      <c r="S262" t="e">
        <v>#N/A</v>
      </c>
      <c r="T262" t="e">
        <v>#N/A</v>
      </c>
    </row>
    <row r="263" spans="7:20" x14ac:dyDescent="0.25">
      <c r="G263" s="19">
        <f t="shared" ref="G263:G326" si="13">H263-DATE(YEAR(H263),1,0)+1</f>
        <v>91</v>
      </c>
      <c r="H263" s="34">
        <f t="shared" si="12"/>
        <v>44651</v>
      </c>
      <c r="I263">
        <f>HLOOKUP($I$4,meanT!$A$2:$D$368,G263,FALSE)</f>
        <v>16.922413793103399</v>
      </c>
      <c r="K263" t="e">
        <f t="shared" ref="K263:K326" si="14">AND(IF(L263&gt;($B$24-1),TRUE,FALSE),IF(L263&lt;($B$26+1),TRUE,FALSE))</f>
        <v>#N/A</v>
      </c>
      <c r="L263" s="12" t="e">
        <v>#N/A</v>
      </c>
      <c r="M263" t="e">
        <v>#N/A</v>
      </c>
      <c r="N263" t="e">
        <v>#N/A</v>
      </c>
      <c r="O263" t="e">
        <v>#N/A</v>
      </c>
      <c r="P263" t="e">
        <v>#N/A</v>
      </c>
      <c r="Q263" t="e">
        <v>#N/A</v>
      </c>
      <c r="R263" t="e">
        <v>#N/A</v>
      </c>
      <c r="S263" t="e">
        <v>#N/A</v>
      </c>
      <c r="T263" t="e">
        <v>#N/A</v>
      </c>
    </row>
    <row r="264" spans="7:20" x14ac:dyDescent="0.25">
      <c r="G264" s="19">
        <f t="shared" si="13"/>
        <v>92</v>
      </c>
      <c r="H264" s="34">
        <f t="shared" ref="H264:H327" si="15">H263+1</f>
        <v>44652</v>
      </c>
      <c r="I264">
        <f>HLOOKUP($I$4,meanT!$A$2:$D$368,G264,FALSE)</f>
        <v>16.63</v>
      </c>
      <c r="K264" t="e">
        <f t="shared" si="14"/>
        <v>#N/A</v>
      </c>
      <c r="L264" s="12" t="e">
        <v>#N/A</v>
      </c>
      <c r="M264" t="e">
        <v>#N/A</v>
      </c>
      <c r="N264" t="e">
        <v>#N/A</v>
      </c>
      <c r="O264" t="e">
        <v>#N/A</v>
      </c>
      <c r="P264" t="e">
        <v>#N/A</v>
      </c>
      <c r="Q264" t="e">
        <v>#N/A</v>
      </c>
      <c r="R264" t="e">
        <v>#N/A</v>
      </c>
      <c r="S264" t="e">
        <v>#N/A</v>
      </c>
      <c r="T264" t="e">
        <v>#N/A</v>
      </c>
    </row>
    <row r="265" spans="7:20" x14ac:dyDescent="0.25">
      <c r="G265" s="19">
        <f t="shared" si="13"/>
        <v>93</v>
      </c>
      <c r="H265" s="34">
        <f t="shared" si="15"/>
        <v>44653</v>
      </c>
      <c r="I265">
        <f>HLOOKUP($I$4,meanT!$A$2:$D$368,G265,FALSE)</f>
        <v>16.5379310344827</v>
      </c>
      <c r="K265" t="e">
        <f t="shared" si="14"/>
        <v>#N/A</v>
      </c>
      <c r="L265" s="12" t="e">
        <v>#N/A</v>
      </c>
      <c r="M265" t="e">
        <v>#N/A</v>
      </c>
      <c r="N265" t="e">
        <v>#N/A</v>
      </c>
      <c r="O265" t="e">
        <v>#N/A</v>
      </c>
      <c r="P265" t="e">
        <v>#N/A</v>
      </c>
      <c r="Q265" t="e">
        <v>#N/A</v>
      </c>
      <c r="R265" t="e">
        <v>#N/A</v>
      </c>
      <c r="S265" t="e">
        <v>#N/A</v>
      </c>
      <c r="T265" t="e">
        <v>#N/A</v>
      </c>
    </row>
    <row r="266" spans="7:20" x14ac:dyDescent="0.25">
      <c r="G266" s="19">
        <f t="shared" si="13"/>
        <v>94</v>
      </c>
      <c r="H266" s="34">
        <f t="shared" si="15"/>
        <v>44654</v>
      </c>
      <c r="I266">
        <f>HLOOKUP($I$4,meanT!$A$2:$D$368,G266,FALSE)</f>
        <v>16.693103448275799</v>
      </c>
      <c r="K266" t="e">
        <f t="shared" si="14"/>
        <v>#N/A</v>
      </c>
      <c r="L266" s="12" t="e">
        <v>#N/A</v>
      </c>
      <c r="M266" t="e">
        <v>#N/A</v>
      </c>
      <c r="N266" t="e">
        <v>#N/A</v>
      </c>
      <c r="O266" t="e">
        <v>#N/A</v>
      </c>
      <c r="P266" t="e">
        <v>#N/A</v>
      </c>
      <c r="Q266" t="e">
        <v>#N/A</v>
      </c>
      <c r="R266" t="e">
        <v>#N/A</v>
      </c>
      <c r="S266" t="e">
        <v>#N/A</v>
      </c>
      <c r="T266" t="e">
        <v>#N/A</v>
      </c>
    </row>
    <row r="267" spans="7:20" x14ac:dyDescent="0.25">
      <c r="G267" s="19">
        <f t="shared" si="13"/>
        <v>95</v>
      </c>
      <c r="H267" s="34">
        <f t="shared" si="15"/>
        <v>44655</v>
      </c>
      <c r="I267">
        <f>HLOOKUP($I$4,meanT!$A$2:$D$368,G267,FALSE)</f>
        <v>16.29</v>
      </c>
      <c r="K267" t="e">
        <f t="shared" si="14"/>
        <v>#N/A</v>
      </c>
      <c r="L267" s="12" t="e">
        <v>#N/A</v>
      </c>
      <c r="M267" t="e">
        <v>#N/A</v>
      </c>
      <c r="N267" t="e">
        <v>#N/A</v>
      </c>
      <c r="O267" t="e">
        <v>#N/A</v>
      </c>
      <c r="P267" t="e">
        <v>#N/A</v>
      </c>
      <c r="Q267" t="e">
        <v>#N/A</v>
      </c>
      <c r="R267" t="e">
        <v>#N/A</v>
      </c>
      <c r="S267" t="e">
        <v>#N/A</v>
      </c>
      <c r="T267" t="e">
        <v>#N/A</v>
      </c>
    </row>
    <row r="268" spans="7:20" x14ac:dyDescent="0.25">
      <c r="G268" s="19">
        <f t="shared" si="13"/>
        <v>96</v>
      </c>
      <c r="H268" s="34">
        <f t="shared" si="15"/>
        <v>44656</v>
      </c>
      <c r="I268">
        <f>HLOOKUP($I$4,meanT!$A$2:$D$368,G268,FALSE)</f>
        <v>16.28</v>
      </c>
      <c r="K268" t="e">
        <f t="shared" si="14"/>
        <v>#N/A</v>
      </c>
      <c r="L268" s="12" t="e">
        <v>#N/A</v>
      </c>
      <c r="M268" t="e">
        <v>#N/A</v>
      </c>
      <c r="N268" t="e">
        <v>#N/A</v>
      </c>
      <c r="O268" t="e">
        <v>#N/A</v>
      </c>
      <c r="P268" t="e">
        <v>#N/A</v>
      </c>
      <c r="Q268" t="e">
        <v>#N/A</v>
      </c>
      <c r="R268" t="e">
        <v>#N/A</v>
      </c>
      <c r="S268" t="e">
        <v>#N/A</v>
      </c>
      <c r="T268" t="e">
        <v>#N/A</v>
      </c>
    </row>
    <row r="269" spans="7:20" x14ac:dyDescent="0.25">
      <c r="G269" s="19">
        <f t="shared" si="13"/>
        <v>97</v>
      </c>
      <c r="H269" s="34">
        <f t="shared" si="15"/>
        <v>44657</v>
      </c>
      <c r="I269">
        <f>HLOOKUP($I$4,meanT!$A$2:$D$368,G269,FALSE)</f>
        <v>16.288333333333298</v>
      </c>
      <c r="K269" t="e">
        <f t="shared" si="14"/>
        <v>#N/A</v>
      </c>
      <c r="L269" s="12" t="e">
        <v>#N/A</v>
      </c>
      <c r="M269" t="e">
        <v>#N/A</v>
      </c>
      <c r="N269" t="e">
        <v>#N/A</v>
      </c>
      <c r="O269" t="e">
        <v>#N/A</v>
      </c>
      <c r="P269" t="e">
        <v>#N/A</v>
      </c>
      <c r="Q269" t="e">
        <v>#N/A</v>
      </c>
      <c r="R269" t="e">
        <v>#N/A</v>
      </c>
      <c r="S269" t="e">
        <v>#N/A</v>
      </c>
      <c r="T269" t="e">
        <v>#N/A</v>
      </c>
    </row>
    <row r="270" spans="7:20" x14ac:dyDescent="0.25">
      <c r="G270" s="19">
        <f t="shared" si="13"/>
        <v>98</v>
      </c>
      <c r="H270" s="34">
        <f t="shared" si="15"/>
        <v>44658</v>
      </c>
      <c r="I270">
        <f>HLOOKUP($I$4,meanT!$A$2:$D$368,G270,FALSE)</f>
        <v>16.247502601456802</v>
      </c>
      <c r="K270" t="e">
        <f t="shared" si="14"/>
        <v>#N/A</v>
      </c>
      <c r="L270" s="12" t="e">
        <v>#N/A</v>
      </c>
      <c r="M270" t="e">
        <v>#N/A</v>
      </c>
      <c r="N270" t="e">
        <v>#N/A</v>
      </c>
      <c r="O270" t="e">
        <v>#N/A</v>
      </c>
      <c r="P270" t="e">
        <v>#N/A</v>
      </c>
      <c r="Q270" t="e">
        <v>#N/A</v>
      </c>
      <c r="R270" t="e">
        <v>#N/A</v>
      </c>
      <c r="S270" t="e">
        <v>#N/A</v>
      </c>
      <c r="T270" t="e">
        <v>#N/A</v>
      </c>
    </row>
    <row r="271" spans="7:20" x14ac:dyDescent="0.25">
      <c r="G271" s="19">
        <f t="shared" si="13"/>
        <v>99</v>
      </c>
      <c r="H271" s="34">
        <f t="shared" si="15"/>
        <v>44659</v>
      </c>
      <c r="I271">
        <f>HLOOKUP($I$4,meanT!$A$2:$D$368,G271,FALSE)</f>
        <v>15.9919354838709</v>
      </c>
      <c r="K271" t="e">
        <f t="shared" si="14"/>
        <v>#N/A</v>
      </c>
      <c r="L271" s="12" t="e">
        <v>#N/A</v>
      </c>
      <c r="M271" t="e">
        <v>#N/A</v>
      </c>
      <c r="N271" t="e">
        <v>#N/A</v>
      </c>
      <c r="O271" t="e">
        <v>#N/A</v>
      </c>
      <c r="P271" t="e">
        <v>#N/A</v>
      </c>
      <c r="Q271" t="e">
        <v>#N/A</v>
      </c>
      <c r="R271" t="e">
        <v>#N/A</v>
      </c>
      <c r="S271" t="e">
        <v>#N/A</v>
      </c>
      <c r="T271" t="e">
        <v>#N/A</v>
      </c>
    </row>
    <row r="272" spans="7:20" x14ac:dyDescent="0.25">
      <c r="G272" s="19">
        <f t="shared" si="13"/>
        <v>100</v>
      </c>
      <c r="H272" s="34">
        <f t="shared" si="15"/>
        <v>44660</v>
      </c>
      <c r="I272">
        <f>HLOOKUP($I$4,meanT!$A$2:$D$368,G272,FALSE)</f>
        <v>15.7</v>
      </c>
      <c r="K272" t="e">
        <f t="shared" si="14"/>
        <v>#N/A</v>
      </c>
      <c r="L272" s="12" t="e">
        <v>#N/A</v>
      </c>
      <c r="M272" t="e">
        <v>#N/A</v>
      </c>
      <c r="N272" t="e">
        <v>#N/A</v>
      </c>
      <c r="O272" t="e">
        <v>#N/A</v>
      </c>
      <c r="P272" t="e">
        <v>#N/A</v>
      </c>
      <c r="Q272" t="e">
        <v>#N/A</v>
      </c>
      <c r="R272" t="e">
        <v>#N/A</v>
      </c>
      <c r="S272" t="e">
        <v>#N/A</v>
      </c>
      <c r="T272" t="e">
        <v>#N/A</v>
      </c>
    </row>
    <row r="273" spans="7:20" x14ac:dyDescent="0.25">
      <c r="G273" s="19">
        <f t="shared" si="13"/>
        <v>101</v>
      </c>
      <c r="H273" s="34">
        <f t="shared" si="15"/>
        <v>44661</v>
      </c>
      <c r="I273">
        <f>HLOOKUP($I$4,meanT!$A$2:$D$368,G273,FALSE)</f>
        <v>15.6066666666666</v>
      </c>
      <c r="K273" t="e">
        <f t="shared" si="14"/>
        <v>#N/A</v>
      </c>
      <c r="L273" s="12" t="e">
        <v>#N/A</v>
      </c>
      <c r="M273" t="e">
        <v>#N/A</v>
      </c>
      <c r="N273" t="e">
        <v>#N/A</v>
      </c>
      <c r="O273" t="e">
        <v>#N/A</v>
      </c>
      <c r="P273" t="e">
        <v>#N/A</v>
      </c>
      <c r="Q273" t="e">
        <v>#N/A</v>
      </c>
      <c r="R273" t="e">
        <v>#N/A</v>
      </c>
      <c r="S273" t="e">
        <v>#N/A</v>
      </c>
      <c r="T273" t="e">
        <v>#N/A</v>
      </c>
    </row>
    <row r="274" spans="7:20" x14ac:dyDescent="0.25">
      <c r="G274" s="19">
        <f t="shared" si="13"/>
        <v>102</v>
      </c>
      <c r="H274" s="34">
        <f t="shared" si="15"/>
        <v>44662</v>
      </c>
      <c r="I274">
        <f>HLOOKUP($I$4,meanT!$A$2:$D$368,G274,FALSE)</f>
        <v>15.335000000000001</v>
      </c>
      <c r="K274" t="e">
        <f t="shared" si="14"/>
        <v>#N/A</v>
      </c>
      <c r="L274" s="12" t="e">
        <v>#N/A</v>
      </c>
      <c r="M274" t="e">
        <v>#N/A</v>
      </c>
      <c r="N274" t="e">
        <v>#N/A</v>
      </c>
      <c r="O274" t="e">
        <v>#N/A</v>
      </c>
      <c r="P274" t="e">
        <v>#N/A</v>
      </c>
      <c r="Q274" t="e">
        <v>#N/A</v>
      </c>
      <c r="R274" t="e">
        <v>#N/A</v>
      </c>
      <c r="S274" t="e">
        <v>#N/A</v>
      </c>
      <c r="T274" t="e">
        <v>#N/A</v>
      </c>
    </row>
    <row r="275" spans="7:20" x14ac:dyDescent="0.25">
      <c r="G275" s="19">
        <f t="shared" si="13"/>
        <v>103</v>
      </c>
      <c r="H275" s="34">
        <f t="shared" si="15"/>
        <v>44663</v>
      </c>
      <c r="I275">
        <f>HLOOKUP($I$4,meanT!$A$2:$D$368,G275,FALSE)</f>
        <v>15.3916666666666</v>
      </c>
      <c r="K275" t="e">
        <f t="shared" si="14"/>
        <v>#N/A</v>
      </c>
      <c r="L275" s="12" t="e">
        <v>#N/A</v>
      </c>
      <c r="M275" t="e">
        <v>#N/A</v>
      </c>
      <c r="N275" t="e">
        <v>#N/A</v>
      </c>
      <c r="O275" t="e">
        <v>#N/A</v>
      </c>
      <c r="P275" t="e">
        <v>#N/A</v>
      </c>
      <c r="Q275" t="e">
        <v>#N/A</v>
      </c>
      <c r="R275" t="e">
        <v>#N/A</v>
      </c>
      <c r="S275" t="e">
        <v>#N/A</v>
      </c>
      <c r="T275" t="e">
        <v>#N/A</v>
      </c>
    </row>
    <row r="276" spans="7:20" x14ac:dyDescent="0.25">
      <c r="G276" s="19">
        <f t="shared" si="13"/>
        <v>104</v>
      </c>
      <c r="H276" s="34">
        <f t="shared" si="15"/>
        <v>44664</v>
      </c>
      <c r="I276">
        <f>HLOOKUP($I$4,meanT!$A$2:$D$368,G276,FALSE)</f>
        <v>15.6451612903225</v>
      </c>
      <c r="K276" t="e">
        <f t="shared" si="14"/>
        <v>#N/A</v>
      </c>
      <c r="L276" s="12" t="e">
        <v>#N/A</v>
      </c>
      <c r="M276" t="e">
        <v>#N/A</v>
      </c>
      <c r="N276" t="e">
        <v>#N/A</v>
      </c>
      <c r="O276" t="e">
        <v>#N/A</v>
      </c>
      <c r="P276" t="e">
        <v>#N/A</v>
      </c>
      <c r="Q276" t="e">
        <v>#N/A</v>
      </c>
      <c r="R276" t="e">
        <v>#N/A</v>
      </c>
      <c r="S276" t="e">
        <v>#N/A</v>
      </c>
      <c r="T276" t="e">
        <v>#N/A</v>
      </c>
    </row>
    <row r="277" spans="7:20" x14ac:dyDescent="0.25">
      <c r="G277" s="19">
        <f t="shared" si="13"/>
        <v>105</v>
      </c>
      <c r="H277" s="34">
        <f t="shared" si="15"/>
        <v>44665</v>
      </c>
      <c r="I277">
        <f>HLOOKUP($I$4,meanT!$A$2:$D$368,G277,FALSE)</f>
        <v>15.3435483870967</v>
      </c>
      <c r="K277" t="e">
        <f t="shared" si="14"/>
        <v>#N/A</v>
      </c>
      <c r="L277" s="12" t="e">
        <v>#N/A</v>
      </c>
      <c r="M277" t="e">
        <v>#N/A</v>
      </c>
      <c r="N277" t="e">
        <v>#N/A</v>
      </c>
      <c r="O277" t="e">
        <v>#N/A</v>
      </c>
      <c r="P277" t="e">
        <v>#N/A</v>
      </c>
      <c r="Q277" t="e">
        <v>#N/A</v>
      </c>
      <c r="R277" t="e">
        <v>#N/A</v>
      </c>
      <c r="S277" t="e">
        <v>#N/A</v>
      </c>
      <c r="T277" t="e">
        <v>#N/A</v>
      </c>
    </row>
    <row r="278" spans="7:20" x14ac:dyDescent="0.25">
      <c r="G278" s="19">
        <f t="shared" si="13"/>
        <v>106</v>
      </c>
      <c r="H278" s="34">
        <f t="shared" si="15"/>
        <v>44666</v>
      </c>
      <c r="I278">
        <f>HLOOKUP($I$4,meanT!$A$2:$D$368,G278,FALSE)</f>
        <v>15.1612903225806</v>
      </c>
      <c r="K278" t="e">
        <f t="shared" si="14"/>
        <v>#N/A</v>
      </c>
      <c r="L278" s="12" t="e">
        <v>#N/A</v>
      </c>
      <c r="M278" t="e">
        <v>#N/A</v>
      </c>
      <c r="N278" t="e">
        <v>#N/A</v>
      </c>
      <c r="O278" t="e">
        <v>#N/A</v>
      </c>
      <c r="P278" t="e">
        <v>#N/A</v>
      </c>
      <c r="Q278" t="e">
        <v>#N/A</v>
      </c>
      <c r="R278" t="e">
        <v>#N/A</v>
      </c>
      <c r="S278" t="e">
        <v>#N/A</v>
      </c>
      <c r="T278" t="e">
        <v>#N/A</v>
      </c>
    </row>
    <row r="279" spans="7:20" x14ac:dyDescent="0.25">
      <c r="G279" s="19">
        <f t="shared" si="13"/>
        <v>107</v>
      </c>
      <c r="H279" s="34">
        <f t="shared" si="15"/>
        <v>44667</v>
      </c>
      <c r="I279">
        <f>HLOOKUP($I$4,meanT!$A$2:$D$368,G279,FALSE)</f>
        <v>15.658064516129</v>
      </c>
      <c r="K279" t="e">
        <f t="shared" si="14"/>
        <v>#N/A</v>
      </c>
      <c r="L279" s="12" t="e">
        <v>#N/A</v>
      </c>
      <c r="M279" t="e">
        <v>#N/A</v>
      </c>
      <c r="N279" t="e">
        <v>#N/A</v>
      </c>
      <c r="O279" t="e">
        <v>#N/A</v>
      </c>
      <c r="P279" t="e">
        <v>#N/A</v>
      </c>
      <c r="Q279" t="e">
        <v>#N/A</v>
      </c>
      <c r="R279" t="e">
        <v>#N/A</v>
      </c>
      <c r="S279" t="e">
        <v>#N/A</v>
      </c>
      <c r="T279" t="e">
        <v>#N/A</v>
      </c>
    </row>
    <row r="280" spans="7:20" x14ac:dyDescent="0.25">
      <c r="G280" s="19">
        <f t="shared" si="13"/>
        <v>108</v>
      </c>
      <c r="H280" s="34">
        <f t="shared" si="15"/>
        <v>44668</v>
      </c>
      <c r="I280">
        <f>HLOOKUP($I$4,meanT!$A$2:$D$368,G280,FALSE)</f>
        <v>15.408064516129</v>
      </c>
      <c r="K280" t="e">
        <f t="shared" si="14"/>
        <v>#N/A</v>
      </c>
      <c r="L280" s="12" t="e">
        <v>#N/A</v>
      </c>
      <c r="M280" t="e">
        <v>#N/A</v>
      </c>
      <c r="N280" t="e">
        <v>#N/A</v>
      </c>
      <c r="O280" t="e">
        <v>#N/A</v>
      </c>
      <c r="P280" t="e">
        <v>#N/A</v>
      </c>
      <c r="Q280" t="e">
        <v>#N/A</v>
      </c>
      <c r="R280" t="e">
        <v>#N/A</v>
      </c>
      <c r="S280" t="e">
        <v>#N/A</v>
      </c>
      <c r="T280" t="e">
        <v>#N/A</v>
      </c>
    </row>
    <row r="281" spans="7:20" x14ac:dyDescent="0.25">
      <c r="G281" s="19">
        <f t="shared" si="13"/>
        <v>109</v>
      </c>
      <c r="H281" s="34">
        <f t="shared" si="15"/>
        <v>44669</v>
      </c>
      <c r="I281">
        <f>HLOOKUP($I$4,meanT!$A$2:$D$368,G281,FALSE)</f>
        <v>15.420967741935399</v>
      </c>
      <c r="K281" t="e">
        <f t="shared" si="14"/>
        <v>#N/A</v>
      </c>
      <c r="L281" s="12" t="e">
        <v>#N/A</v>
      </c>
      <c r="M281" t="e">
        <v>#N/A</v>
      </c>
      <c r="N281" t="e">
        <v>#N/A</v>
      </c>
      <c r="O281" t="e">
        <v>#N/A</v>
      </c>
      <c r="P281" t="e">
        <v>#N/A</v>
      </c>
      <c r="Q281" t="e">
        <v>#N/A</v>
      </c>
      <c r="R281" t="e">
        <v>#N/A</v>
      </c>
      <c r="S281" t="e">
        <v>#N/A</v>
      </c>
      <c r="T281" t="e">
        <v>#N/A</v>
      </c>
    </row>
    <row r="282" spans="7:20" x14ac:dyDescent="0.25">
      <c r="G282" s="19">
        <f t="shared" si="13"/>
        <v>110</v>
      </c>
      <c r="H282" s="34">
        <f t="shared" si="15"/>
        <v>44670</v>
      </c>
      <c r="I282">
        <f>HLOOKUP($I$4,meanT!$A$2:$D$368,G282,FALSE)</f>
        <v>15.193548387096699</v>
      </c>
      <c r="K282" t="e">
        <f t="shared" si="14"/>
        <v>#N/A</v>
      </c>
      <c r="L282" s="12" t="e">
        <v>#N/A</v>
      </c>
      <c r="M282" t="e">
        <v>#N/A</v>
      </c>
      <c r="N282" t="e">
        <v>#N/A</v>
      </c>
      <c r="O282" t="e">
        <v>#N/A</v>
      </c>
      <c r="P282" t="e">
        <v>#N/A</v>
      </c>
      <c r="Q282" t="e">
        <v>#N/A</v>
      </c>
      <c r="R282" t="e">
        <v>#N/A</v>
      </c>
      <c r="S282" t="e">
        <v>#N/A</v>
      </c>
      <c r="T282" t="e">
        <v>#N/A</v>
      </c>
    </row>
    <row r="283" spans="7:20" x14ac:dyDescent="0.25">
      <c r="G283" s="19">
        <f t="shared" si="13"/>
        <v>111</v>
      </c>
      <c r="H283" s="34">
        <f t="shared" si="15"/>
        <v>44671</v>
      </c>
      <c r="I283">
        <f>HLOOKUP($I$4,meanT!$A$2:$D$368,G283,FALSE)</f>
        <v>15.4096774193548</v>
      </c>
      <c r="K283" t="e">
        <f t="shared" si="14"/>
        <v>#N/A</v>
      </c>
      <c r="L283" s="12" t="e">
        <v>#N/A</v>
      </c>
      <c r="M283" t="e">
        <v>#N/A</v>
      </c>
      <c r="N283" t="e">
        <v>#N/A</v>
      </c>
      <c r="O283" t="e">
        <v>#N/A</v>
      </c>
      <c r="P283" t="e">
        <v>#N/A</v>
      </c>
      <c r="Q283" t="e">
        <v>#N/A</v>
      </c>
      <c r="R283" t="e">
        <v>#N/A</v>
      </c>
      <c r="S283" t="e">
        <v>#N/A</v>
      </c>
      <c r="T283" t="e">
        <v>#N/A</v>
      </c>
    </row>
    <row r="284" spans="7:20" x14ac:dyDescent="0.25">
      <c r="G284" s="19">
        <f t="shared" si="13"/>
        <v>112</v>
      </c>
      <c r="H284" s="34">
        <f t="shared" si="15"/>
        <v>44672</v>
      </c>
      <c r="I284">
        <f>HLOOKUP($I$4,meanT!$A$2:$D$368,G284,FALSE)</f>
        <v>15.261666666666599</v>
      </c>
      <c r="K284" t="e">
        <f t="shared" si="14"/>
        <v>#N/A</v>
      </c>
      <c r="L284" s="12" t="e">
        <v>#N/A</v>
      </c>
      <c r="M284" t="e">
        <v>#N/A</v>
      </c>
      <c r="N284" t="e">
        <v>#N/A</v>
      </c>
      <c r="O284" t="e">
        <v>#N/A</v>
      </c>
      <c r="P284" t="e">
        <v>#N/A</v>
      </c>
      <c r="Q284" t="e">
        <v>#N/A</v>
      </c>
      <c r="R284" t="e">
        <v>#N/A</v>
      </c>
      <c r="S284" t="e">
        <v>#N/A</v>
      </c>
      <c r="T284" t="e">
        <v>#N/A</v>
      </c>
    </row>
    <row r="285" spans="7:20" x14ac:dyDescent="0.25">
      <c r="G285" s="19">
        <f t="shared" si="13"/>
        <v>113</v>
      </c>
      <c r="H285" s="34">
        <f t="shared" si="15"/>
        <v>44673</v>
      </c>
      <c r="I285">
        <f>HLOOKUP($I$4,meanT!$A$2:$D$368,G285,FALSE)</f>
        <v>14.5283333333333</v>
      </c>
      <c r="K285" t="e">
        <f t="shared" si="14"/>
        <v>#N/A</v>
      </c>
      <c r="L285" s="12" t="e">
        <v>#N/A</v>
      </c>
      <c r="M285" t="e">
        <v>#N/A</v>
      </c>
      <c r="N285" t="e">
        <v>#N/A</v>
      </c>
      <c r="O285" t="e">
        <v>#N/A</v>
      </c>
      <c r="P285" t="e">
        <v>#N/A</v>
      </c>
      <c r="Q285" t="e">
        <v>#N/A</v>
      </c>
      <c r="R285" t="e">
        <v>#N/A</v>
      </c>
      <c r="S285" t="e">
        <v>#N/A</v>
      </c>
      <c r="T285" t="e">
        <v>#N/A</v>
      </c>
    </row>
    <row r="286" spans="7:20" x14ac:dyDescent="0.25">
      <c r="G286" s="19">
        <f t="shared" si="13"/>
        <v>114</v>
      </c>
      <c r="H286" s="34">
        <f t="shared" si="15"/>
        <v>44674</v>
      </c>
      <c r="I286">
        <f>HLOOKUP($I$4,meanT!$A$2:$D$368,G286,FALSE)</f>
        <v>14.68</v>
      </c>
      <c r="K286" t="e">
        <f t="shared" si="14"/>
        <v>#N/A</v>
      </c>
      <c r="L286" s="12" t="e">
        <v>#N/A</v>
      </c>
      <c r="M286" t="e">
        <v>#N/A</v>
      </c>
      <c r="N286" t="e">
        <v>#N/A</v>
      </c>
      <c r="O286" t="e">
        <v>#N/A</v>
      </c>
      <c r="P286" t="e">
        <v>#N/A</v>
      </c>
      <c r="Q286" t="e">
        <v>#N/A</v>
      </c>
      <c r="R286" t="e">
        <v>#N/A</v>
      </c>
      <c r="S286" t="e">
        <v>#N/A</v>
      </c>
      <c r="T286" t="e">
        <v>#N/A</v>
      </c>
    </row>
    <row r="287" spans="7:20" x14ac:dyDescent="0.25">
      <c r="G287" s="19">
        <f t="shared" si="13"/>
        <v>115</v>
      </c>
      <c r="H287" s="34">
        <f t="shared" si="15"/>
        <v>44675</v>
      </c>
      <c r="I287">
        <f>HLOOKUP($I$4,meanT!$A$2:$D$368,G287,FALSE)</f>
        <v>14.4933333333333</v>
      </c>
      <c r="K287" t="e">
        <f t="shared" si="14"/>
        <v>#N/A</v>
      </c>
      <c r="L287" s="12" t="e">
        <v>#N/A</v>
      </c>
      <c r="M287" t="e">
        <v>#N/A</v>
      </c>
      <c r="N287" t="e">
        <v>#N/A</v>
      </c>
      <c r="O287" t="e">
        <v>#N/A</v>
      </c>
      <c r="P287" t="e">
        <v>#N/A</v>
      </c>
      <c r="Q287" t="e">
        <v>#N/A</v>
      </c>
      <c r="R287" t="e">
        <v>#N/A</v>
      </c>
      <c r="S287" t="e">
        <v>#N/A</v>
      </c>
      <c r="T287" t="e">
        <v>#N/A</v>
      </c>
    </row>
    <row r="288" spans="7:20" x14ac:dyDescent="0.25">
      <c r="G288" s="19">
        <f t="shared" si="13"/>
        <v>116</v>
      </c>
      <c r="H288" s="34">
        <f t="shared" si="15"/>
        <v>44676</v>
      </c>
      <c r="I288">
        <f>HLOOKUP($I$4,meanT!$A$2:$D$368,G288,FALSE)</f>
        <v>14.7733333333333</v>
      </c>
      <c r="K288" t="e">
        <f t="shared" si="14"/>
        <v>#N/A</v>
      </c>
      <c r="L288" s="12" t="e">
        <v>#N/A</v>
      </c>
      <c r="M288" t="e">
        <v>#N/A</v>
      </c>
      <c r="N288" t="e">
        <v>#N/A</v>
      </c>
      <c r="O288" t="e">
        <v>#N/A</v>
      </c>
      <c r="P288" t="e">
        <v>#N/A</v>
      </c>
      <c r="Q288" t="e">
        <v>#N/A</v>
      </c>
      <c r="R288" t="e">
        <v>#N/A</v>
      </c>
      <c r="S288" t="e">
        <v>#N/A</v>
      </c>
      <c r="T288" t="e">
        <v>#N/A</v>
      </c>
    </row>
    <row r="289" spans="7:20" x14ac:dyDescent="0.25">
      <c r="G289" s="19">
        <f t="shared" si="13"/>
        <v>117</v>
      </c>
      <c r="H289" s="34">
        <f t="shared" si="15"/>
        <v>44677</v>
      </c>
      <c r="I289">
        <f>HLOOKUP($I$4,meanT!$A$2:$D$368,G289,FALSE)</f>
        <v>14.998333333333299</v>
      </c>
      <c r="K289" t="e">
        <f t="shared" si="14"/>
        <v>#N/A</v>
      </c>
      <c r="L289" s="12" t="e">
        <v>#N/A</v>
      </c>
      <c r="M289" t="e">
        <v>#N/A</v>
      </c>
      <c r="N289" t="e">
        <v>#N/A</v>
      </c>
      <c r="O289" t="e">
        <v>#N/A</v>
      </c>
      <c r="P289" t="e">
        <v>#N/A</v>
      </c>
      <c r="Q289" t="e">
        <v>#N/A</v>
      </c>
      <c r="R289" t="e">
        <v>#N/A</v>
      </c>
      <c r="S289" t="e">
        <v>#N/A</v>
      </c>
      <c r="T289" t="e">
        <v>#N/A</v>
      </c>
    </row>
    <row r="290" spans="7:20" x14ac:dyDescent="0.25">
      <c r="G290" s="19">
        <f t="shared" si="13"/>
        <v>118</v>
      </c>
      <c r="H290" s="34">
        <f t="shared" si="15"/>
        <v>44678</v>
      </c>
      <c r="I290">
        <f>HLOOKUP($I$4,meanT!$A$2:$D$368,G290,FALSE)</f>
        <v>15.395</v>
      </c>
      <c r="K290" t="e">
        <f t="shared" si="14"/>
        <v>#N/A</v>
      </c>
      <c r="L290" s="12" t="e">
        <v>#N/A</v>
      </c>
      <c r="M290" t="e">
        <v>#N/A</v>
      </c>
      <c r="N290" t="e">
        <v>#N/A</v>
      </c>
      <c r="O290" t="e">
        <v>#N/A</v>
      </c>
      <c r="P290" t="e">
        <v>#N/A</v>
      </c>
      <c r="Q290" t="e">
        <v>#N/A</v>
      </c>
      <c r="R290" t="e">
        <v>#N/A</v>
      </c>
      <c r="S290" t="e">
        <v>#N/A</v>
      </c>
      <c r="T290" t="e">
        <v>#N/A</v>
      </c>
    </row>
    <row r="291" spans="7:20" x14ac:dyDescent="0.25">
      <c r="G291" s="19">
        <f t="shared" si="13"/>
        <v>119</v>
      </c>
      <c r="H291" s="34">
        <f t="shared" si="15"/>
        <v>44679</v>
      </c>
      <c r="I291">
        <f>HLOOKUP($I$4,meanT!$A$2:$D$368,G291,FALSE)</f>
        <v>15.641379310344799</v>
      </c>
      <c r="K291" t="e">
        <f t="shared" si="14"/>
        <v>#N/A</v>
      </c>
      <c r="L291" s="12" t="e">
        <v>#N/A</v>
      </c>
      <c r="M291" t="e">
        <v>#N/A</v>
      </c>
      <c r="N291" t="e">
        <v>#N/A</v>
      </c>
      <c r="O291" t="e">
        <v>#N/A</v>
      </c>
      <c r="P291" t="e">
        <v>#N/A</v>
      </c>
      <c r="Q291" t="e">
        <v>#N/A</v>
      </c>
      <c r="R291" t="e">
        <v>#N/A</v>
      </c>
      <c r="S291" t="e">
        <v>#N/A</v>
      </c>
      <c r="T291" t="e">
        <v>#N/A</v>
      </c>
    </row>
    <row r="292" spans="7:20" x14ac:dyDescent="0.25">
      <c r="G292" s="19">
        <f t="shared" si="13"/>
        <v>120</v>
      </c>
      <c r="H292" s="34">
        <f t="shared" si="15"/>
        <v>44680</v>
      </c>
      <c r="I292">
        <f>HLOOKUP($I$4,meanT!$A$2:$D$368,G292,FALSE)</f>
        <v>14.7327586206896</v>
      </c>
      <c r="K292" t="e">
        <f t="shared" si="14"/>
        <v>#N/A</v>
      </c>
      <c r="L292" s="12" t="e">
        <v>#N/A</v>
      </c>
      <c r="M292" t="e">
        <v>#N/A</v>
      </c>
      <c r="N292" t="e">
        <v>#N/A</v>
      </c>
      <c r="O292" t="e">
        <v>#N/A</v>
      </c>
      <c r="P292" t="e">
        <v>#N/A</v>
      </c>
      <c r="Q292" t="e">
        <v>#N/A</v>
      </c>
      <c r="R292" t="e">
        <v>#N/A</v>
      </c>
      <c r="S292" t="e">
        <v>#N/A</v>
      </c>
      <c r="T292" t="e">
        <v>#N/A</v>
      </c>
    </row>
    <row r="293" spans="7:20" x14ac:dyDescent="0.25">
      <c r="G293" s="19">
        <f t="shared" si="13"/>
        <v>121</v>
      </c>
      <c r="H293" s="34">
        <f t="shared" si="15"/>
        <v>44681</v>
      </c>
      <c r="I293">
        <f>HLOOKUP($I$4,meanT!$A$2:$D$368,G293,FALSE)</f>
        <v>14.332758620689599</v>
      </c>
      <c r="K293" t="e">
        <f t="shared" si="14"/>
        <v>#N/A</v>
      </c>
      <c r="L293" s="12" t="e">
        <v>#N/A</v>
      </c>
      <c r="M293" t="e">
        <v>#N/A</v>
      </c>
      <c r="N293" t="e">
        <v>#N/A</v>
      </c>
      <c r="O293" t="e">
        <v>#N/A</v>
      </c>
      <c r="P293" t="e">
        <v>#N/A</v>
      </c>
      <c r="Q293" t="e">
        <v>#N/A</v>
      </c>
      <c r="R293" t="e">
        <v>#N/A</v>
      </c>
      <c r="S293" t="e">
        <v>#N/A</v>
      </c>
      <c r="T293" t="e">
        <v>#N/A</v>
      </c>
    </row>
    <row r="294" spans="7:20" x14ac:dyDescent="0.25">
      <c r="G294" s="19">
        <f t="shared" si="13"/>
        <v>122</v>
      </c>
      <c r="H294" s="34">
        <f t="shared" si="15"/>
        <v>44682</v>
      </c>
      <c r="I294">
        <f>HLOOKUP($I$4,meanT!$A$2:$D$368,G294,FALSE)</f>
        <v>14.3982758620689</v>
      </c>
      <c r="K294" t="e">
        <f t="shared" si="14"/>
        <v>#N/A</v>
      </c>
      <c r="L294" s="12" t="e">
        <v>#N/A</v>
      </c>
      <c r="M294" t="e">
        <v>#N/A</v>
      </c>
      <c r="N294" t="e">
        <v>#N/A</v>
      </c>
      <c r="O294" t="e">
        <v>#N/A</v>
      </c>
      <c r="P294" t="e">
        <v>#N/A</v>
      </c>
      <c r="Q294" t="e">
        <v>#N/A</v>
      </c>
      <c r="R294" t="e">
        <v>#N/A</v>
      </c>
      <c r="S294" t="e">
        <v>#N/A</v>
      </c>
      <c r="T294" t="e">
        <v>#N/A</v>
      </c>
    </row>
    <row r="295" spans="7:20" x14ac:dyDescent="0.25">
      <c r="G295" s="19">
        <f t="shared" si="13"/>
        <v>123</v>
      </c>
      <c r="H295" s="34">
        <f t="shared" si="15"/>
        <v>44683</v>
      </c>
      <c r="I295">
        <f>HLOOKUP($I$4,meanT!$A$2:$D$368,G295,FALSE)</f>
        <v>14.296666666666599</v>
      </c>
      <c r="K295" t="e">
        <f t="shared" si="14"/>
        <v>#N/A</v>
      </c>
      <c r="L295" s="12" t="e">
        <v>#N/A</v>
      </c>
      <c r="M295" t="e">
        <v>#N/A</v>
      </c>
      <c r="N295" t="e">
        <v>#N/A</v>
      </c>
      <c r="O295" t="e">
        <v>#N/A</v>
      </c>
      <c r="P295" t="e">
        <v>#N/A</v>
      </c>
      <c r="Q295" t="e">
        <v>#N/A</v>
      </c>
      <c r="R295" t="e">
        <v>#N/A</v>
      </c>
      <c r="S295" t="e">
        <v>#N/A</v>
      </c>
      <c r="T295" t="e">
        <v>#N/A</v>
      </c>
    </row>
    <row r="296" spans="7:20" x14ac:dyDescent="0.25">
      <c r="G296" s="19">
        <f t="shared" si="13"/>
        <v>124</v>
      </c>
      <c r="H296" s="34">
        <f t="shared" si="15"/>
        <v>44684</v>
      </c>
      <c r="I296">
        <f>HLOOKUP($I$4,meanT!$A$2:$D$368,G296,FALSE)</f>
        <v>14.1866666666666</v>
      </c>
      <c r="K296" t="e">
        <f t="shared" si="14"/>
        <v>#N/A</v>
      </c>
      <c r="L296" s="12" t="e">
        <v>#N/A</v>
      </c>
      <c r="M296" t="e">
        <v>#N/A</v>
      </c>
      <c r="N296" t="e">
        <v>#N/A</v>
      </c>
      <c r="O296" t="e">
        <v>#N/A</v>
      </c>
      <c r="P296" t="e">
        <v>#N/A</v>
      </c>
      <c r="Q296" t="e">
        <v>#N/A</v>
      </c>
      <c r="R296" t="e">
        <v>#N/A</v>
      </c>
      <c r="S296" t="e">
        <v>#N/A</v>
      </c>
      <c r="T296" t="e">
        <v>#N/A</v>
      </c>
    </row>
    <row r="297" spans="7:20" x14ac:dyDescent="0.25">
      <c r="G297" s="19">
        <f t="shared" si="13"/>
        <v>125</v>
      </c>
      <c r="H297" s="34">
        <f t="shared" si="15"/>
        <v>44685</v>
      </c>
      <c r="I297">
        <f>HLOOKUP($I$4,meanT!$A$2:$D$368,G297,FALSE)</f>
        <v>13.9112903225806</v>
      </c>
      <c r="K297" t="e">
        <f t="shared" si="14"/>
        <v>#N/A</v>
      </c>
      <c r="L297" s="12" t="e">
        <v>#N/A</v>
      </c>
      <c r="M297" t="e">
        <v>#N/A</v>
      </c>
      <c r="N297" t="e">
        <v>#N/A</v>
      </c>
      <c r="O297" t="e">
        <v>#N/A</v>
      </c>
      <c r="P297" t="e">
        <v>#N/A</v>
      </c>
      <c r="Q297" t="e">
        <v>#N/A</v>
      </c>
      <c r="R297" t="e">
        <v>#N/A</v>
      </c>
      <c r="S297" t="e">
        <v>#N/A</v>
      </c>
      <c r="T297" t="e">
        <v>#N/A</v>
      </c>
    </row>
    <row r="298" spans="7:20" x14ac:dyDescent="0.25">
      <c r="G298" s="19">
        <f t="shared" si="13"/>
        <v>126</v>
      </c>
      <c r="H298" s="34">
        <f t="shared" si="15"/>
        <v>44686</v>
      </c>
      <c r="I298">
        <f>HLOOKUP($I$4,meanT!$A$2:$D$368,G298,FALSE)</f>
        <v>13.9966666666666</v>
      </c>
      <c r="K298" t="e">
        <f t="shared" si="14"/>
        <v>#N/A</v>
      </c>
      <c r="L298" s="12" t="e">
        <v>#N/A</v>
      </c>
      <c r="M298" t="e">
        <v>#N/A</v>
      </c>
      <c r="N298" t="e">
        <v>#N/A</v>
      </c>
      <c r="O298" t="e">
        <v>#N/A</v>
      </c>
      <c r="P298" t="e">
        <v>#N/A</v>
      </c>
      <c r="Q298" t="e">
        <v>#N/A</v>
      </c>
      <c r="R298" t="e">
        <v>#N/A</v>
      </c>
      <c r="S298" t="e">
        <v>#N/A</v>
      </c>
      <c r="T298" t="e">
        <v>#N/A</v>
      </c>
    </row>
    <row r="299" spans="7:20" x14ac:dyDescent="0.25">
      <c r="G299" s="19">
        <f t="shared" si="13"/>
        <v>127</v>
      </c>
      <c r="H299" s="34">
        <f t="shared" si="15"/>
        <v>44687</v>
      </c>
      <c r="I299">
        <f>HLOOKUP($I$4,meanT!$A$2:$D$368,G299,FALSE)</f>
        <v>14.1596774193548</v>
      </c>
      <c r="K299" t="e">
        <f t="shared" si="14"/>
        <v>#N/A</v>
      </c>
      <c r="L299" s="12" t="e">
        <v>#N/A</v>
      </c>
      <c r="M299" t="e">
        <v>#N/A</v>
      </c>
      <c r="N299" t="e">
        <v>#N/A</v>
      </c>
      <c r="O299" t="e">
        <v>#N/A</v>
      </c>
      <c r="P299" t="e">
        <v>#N/A</v>
      </c>
      <c r="Q299" t="e">
        <v>#N/A</v>
      </c>
      <c r="R299" t="e">
        <v>#N/A</v>
      </c>
      <c r="S299" t="e">
        <v>#N/A</v>
      </c>
      <c r="T299" t="e">
        <v>#N/A</v>
      </c>
    </row>
    <row r="300" spans="7:20" x14ac:dyDescent="0.25">
      <c r="G300" s="19">
        <f t="shared" si="13"/>
        <v>128</v>
      </c>
      <c r="H300" s="34">
        <f t="shared" si="15"/>
        <v>44688</v>
      </c>
      <c r="I300">
        <f>HLOOKUP($I$4,meanT!$A$2:$D$368,G300,FALSE)</f>
        <v>13.8403225806451</v>
      </c>
      <c r="K300" t="e">
        <f t="shared" si="14"/>
        <v>#N/A</v>
      </c>
      <c r="L300" s="12" t="e">
        <v>#N/A</v>
      </c>
      <c r="M300" t="e">
        <v>#N/A</v>
      </c>
      <c r="N300" t="e">
        <v>#N/A</v>
      </c>
      <c r="O300" t="e">
        <v>#N/A</v>
      </c>
      <c r="P300" t="e">
        <v>#N/A</v>
      </c>
      <c r="Q300" t="e">
        <v>#N/A</v>
      </c>
      <c r="R300" t="e">
        <v>#N/A</v>
      </c>
      <c r="S300" t="e">
        <v>#N/A</v>
      </c>
      <c r="T300" t="e">
        <v>#N/A</v>
      </c>
    </row>
    <row r="301" spans="7:20" x14ac:dyDescent="0.25">
      <c r="G301" s="19">
        <f t="shared" si="13"/>
        <v>129</v>
      </c>
      <c r="H301" s="34">
        <f t="shared" si="15"/>
        <v>44689</v>
      </c>
      <c r="I301">
        <f>HLOOKUP($I$4,meanT!$A$2:$D$368,G301,FALSE)</f>
        <v>13.5774193548387</v>
      </c>
      <c r="K301" t="e">
        <f t="shared" si="14"/>
        <v>#N/A</v>
      </c>
      <c r="L301" s="12" t="e">
        <v>#N/A</v>
      </c>
      <c r="M301" t="e">
        <v>#N/A</v>
      </c>
      <c r="N301" t="e">
        <v>#N/A</v>
      </c>
      <c r="O301" t="e">
        <v>#N/A</v>
      </c>
      <c r="P301" t="e">
        <v>#N/A</v>
      </c>
      <c r="Q301" t="e">
        <v>#N/A</v>
      </c>
      <c r="R301" t="e">
        <v>#N/A</v>
      </c>
      <c r="S301" t="e">
        <v>#N/A</v>
      </c>
      <c r="T301" t="e">
        <v>#N/A</v>
      </c>
    </row>
    <row r="302" spans="7:20" x14ac:dyDescent="0.25">
      <c r="G302" s="19">
        <f t="shared" si="13"/>
        <v>130</v>
      </c>
      <c r="H302" s="34">
        <f t="shared" si="15"/>
        <v>44690</v>
      </c>
      <c r="I302">
        <f>HLOOKUP($I$4,meanT!$A$2:$D$368,G302,FALSE)</f>
        <v>13.1612903225806</v>
      </c>
      <c r="K302" t="e">
        <f t="shared" si="14"/>
        <v>#N/A</v>
      </c>
      <c r="L302" s="12" t="e">
        <v>#N/A</v>
      </c>
      <c r="M302" t="e">
        <v>#N/A</v>
      </c>
      <c r="N302" t="e">
        <v>#N/A</v>
      </c>
      <c r="O302" t="e">
        <v>#N/A</v>
      </c>
      <c r="P302" t="e">
        <v>#N/A</v>
      </c>
      <c r="Q302" t="e">
        <v>#N/A</v>
      </c>
      <c r="R302" t="e">
        <v>#N/A</v>
      </c>
      <c r="S302" t="e">
        <v>#N/A</v>
      </c>
      <c r="T302" t="e">
        <v>#N/A</v>
      </c>
    </row>
    <row r="303" spans="7:20" x14ac:dyDescent="0.25">
      <c r="G303" s="19">
        <f t="shared" si="13"/>
        <v>131</v>
      </c>
      <c r="H303" s="34">
        <f t="shared" si="15"/>
        <v>44691</v>
      </c>
      <c r="I303">
        <f>HLOOKUP($I$4,meanT!$A$2:$D$368,G303,FALSE)</f>
        <v>13.291935483870899</v>
      </c>
      <c r="K303" t="e">
        <f t="shared" si="14"/>
        <v>#N/A</v>
      </c>
      <c r="L303" s="12" t="e">
        <v>#N/A</v>
      </c>
      <c r="M303" t="e">
        <v>#N/A</v>
      </c>
      <c r="N303" t="e">
        <v>#N/A</v>
      </c>
      <c r="O303" t="e">
        <v>#N/A</v>
      </c>
      <c r="P303" t="e">
        <v>#N/A</v>
      </c>
      <c r="Q303" t="e">
        <v>#N/A</v>
      </c>
      <c r="R303" t="e">
        <v>#N/A</v>
      </c>
      <c r="S303" t="e">
        <v>#N/A</v>
      </c>
      <c r="T303" t="e">
        <v>#N/A</v>
      </c>
    </row>
    <row r="304" spans="7:20" x14ac:dyDescent="0.25">
      <c r="G304" s="19">
        <f t="shared" si="13"/>
        <v>132</v>
      </c>
      <c r="H304" s="34">
        <f t="shared" si="15"/>
        <v>44692</v>
      </c>
      <c r="I304">
        <f>HLOOKUP($I$4,meanT!$A$2:$D$368,G304,FALSE)</f>
        <v>13.5774193548387</v>
      </c>
      <c r="K304" t="e">
        <f t="shared" si="14"/>
        <v>#N/A</v>
      </c>
      <c r="L304" s="12" t="e">
        <v>#N/A</v>
      </c>
      <c r="M304" t="e">
        <v>#N/A</v>
      </c>
      <c r="N304" t="e">
        <v>#N/A</v>
      </c>
      <c r="O304" t="e">
        <v>#N/A</v>
      </c>
      <c r="P304" t="e">
        <v>#N/A</v>
      </c>
      <c r="Q304" t="e">
        <v>#N/A</v>
      </c>
      <c r="R304" t="e">
        <v>#N/A</v>
      </c>
      <c r="S304" t="e">
        <v>#N/A</v>
      </c>
      <c r="T304" t="e">
        <v>#N/A</v>
      </c>
    </row>
    <row r="305" spans="7:20" x14ac:dyDescent="0.25">
      <c r="G305" s="19">
        <f t="shared" si="13"/>
        <v>133</v>
      </c>
      <c r="H305" s="34">
        <f t="shared" si="15"/>
        <v>44693</v>
      </c>
      <c r="I305">
        <f>HLOOKUP($I$4,meanT!$A$2:$D$368,G305,FALSE)</f>
        <v>13.898387096774099</v>
      </c>
      <c r="K305" t="e">
        <f t="shared" si="14"/>
        <v>#N/A</v>
      </c>
      <c r="L305" s="12" t="e">
        <v>#N/A</v>
      </c>
      <c r="M305" t="e">
        <v>#N/A</v>
      </c>
      <c r="N305" t="e">
        <v>#N/A</v>
      </c>
      <c r="O305" t="e">
        <v>#N/A</v>
      </c>
      <c r="P305" t="e">
        <v>#N/A</v>
      </c>
      <c r="Q305" t="e">
        <v>#N/A</v>
      </c>
      <c r="R305" t="e">
        <v>#N/A</v>
      </c>
      <c r="S305" t="e">
        <v>#N/A</v>
      </c>
      <c r="T305" t="e">
        <v>#N/A</v>
      </c>
    </row>
    <row r="306" spans="7:20" x14ac:dyDescent="0.25">
      <c r="G306" s="19">
        <f t="shared" si="13"/>
        <v>134</v>
      </c>
      <c r="H306" s="34">
        <f t="shared" si="15"/>
        <v>44694</v>
      </c>
      <c r="I306">
        <f>HLOOKUP($I$4,meanT!$A$2:$D$368,G306,FALSE)</f>
        <v>13.8193548387096</v>
      </c>
      <c r="K306" t="e">
        <f t="shared" si="14"/>
        <v>#N/A</v>
      </c>
      <c r="L306" s="12" t="e">
        <v>#N/A</v>
      </c>
      <c r="M306" t="e">
        <v>#N/A</v>
      </c>
      <c r="N306" t="e">
        <v>#N/A</v>
      </c>
      <c r="O306" t="e">
        <v>#N/A</v>
      </c>
      <c r="P306" t="e">
        <v>#N/A</v>
      </c>
      <c r="Q306" t="e">
        <v>#N/A</v>
      </c>
      <c r="R306" t="e">
        <v>#N/A</v>
      </c>
      <c r="S306" t="e">
        <v>#N/A</v>
      </c>
      <c r="T306" t="e">
        <v>#N/A</v>
      </c>
    </row>
    <row r="307" spans="7:20" x14ac:dyDescent="0.25">
      <c r="G307" s="19">
        <f t="shared" si="13"/>
        <v>135</v>
      </c>
      <c r="H307" s="34">
        <f t="shared" si="15"/>
        <v>44695</v>
      </c>
      <c r="I307">
        <f>HLOOKUP($I$4,meanT!$A$2:$D$368,G307,FALSE)</f>
        <v>13.49</v>
      </c>
      <c r="K307" t="e">
        <f t="shared" si="14"/>
        <v>#N/A</v>
      </c>
      <c r="L307" s="12" t="e">
        <v>#N/A</v>
      </c>
      <c r="M307" t="e">
        <v>#N/A</v>
      </c>
      <c r="N307" t="e">
        <v>#N/A</v>
      </c>
      <c r="O307" t="e">
        <v>#N/A</v>
      </c>
      <c r="P307" t="e">
        <v>#N/A</v>
      </c>
      <c r="Q307" t="e">
        <v>#N/A</v>
      </c>
      <c r="R307" t="e">
        <v>#N/A</v>
      </c>
      <c r="S307" t="e">
        <v>#N/A</v>
      </c>
      <c r="T307" t="e">
        <v>#N/A</v>
      </c>
    </row>
    <row r="308" spans="7:20" x14ac:dyDescent="0.25">
      <c r="G308" s="19">
        <f t="shared" si="13"/>
        <v>136</v>
      </c>
      <c r="H308" s="34">
        <f t="shared" si="15"/>
        <v>44696</v>
      </c>
      <c r="I308">
        <f>HLOOKUP($I$4,meanT!$A$2:$D$368,G308,FALSE)</f>
        <v>13.408064516129</v>
      </c>
      <c r="K308" t="e">
        <f t="shared" si="14"/>
        <v>#N/A</v>
      </c>
      <c r="L308" s="12" t="e">
        <v>#N/A</v>
      </c>
      <c r="M308" t="e">
        <v>#N/A</v>
      </c>
      <c r="N308" t="e">
        <v>#N/A</v>
      </c>
      <c r="O308" t="e">
        <v>#N/A</v>
      </c>
      <c r="P308" t="e">
        <v>#N/A</v>
      </c>
      <c r="Q308" t="e">
        <v>#N/A</v>
      </c>
      <c r="R308" t="e">
        <v>#N/A</v>
      </c>
      <c r="S308" t="e">
        <v>#N/A</v>
      </c>
      <c r="T308" t="e">
        <v>#N/A</v>
      </c>
    </row>
    <row r="309" spans="7:20" x14ac:dyDescent="0.25">
      <c r="G309" s="19">
        <f t="shared" si="13"/>
        <v>137</v>
      </c>
      <c r="H309" s="34">
        <f t="shared" si="15"/>
        <v>44697</v>
      </c>
      <c r="I309">
        <f>HLOOKUP($I$4,meanT!$A$2:$D$368,G309,FALSE)</f>
        <v>13.4193548387096</v>
      </c>
      <c r="K309" t="e">
        <f t="shared" si="14"/>
        <v>#N/A</v>
      </c>
      <c r="L309" s="12" t="e">
        <v>#N/A</v>
      </c>
      <c r="M309" t="e">
        <v>#N/A</v>
      </c>
      <c r="N309" t="e">
        <v>#N/A</v>
      </c>
      <c r="O309" t="e">
        <v>#N/A</v>
      </c>
      <c r="P309" t="e">
        <v>#N/A</v>
      </c>
      <c r="Q309" t="e">
        <v>#N/A</v>
      </c>
      <c r="R309" t="e">
        <v>#N/A</v>
      </c>
      <c r="S309" t="e">
        <v>#N/A</v>
      </c>
      <c r="T309" t="e">
        <v>#N/A</v>
      </c>
    </row>
    <row r="310" spans="7:20" x14ac:dyDescent="0.25">
      <c r="G310" s="19">
        <f t="shared" si="13"/>
        <v>138</v>
      </c>
      <c r="H310" s="34">
        <f t="shared" si="15"/>
        <v>44698</v>
      </c>
      <c r="I310">
        <f>HLOOKUP($I$4,meanT!$A$2:$D$368,G310,FALSE)</f>
        <v>13.0177419354838</v>
      </c>
      <c r="K310" t="e">
        <f t="shared" si="14"/>
        <v>#N/A</v>
      </c>
      <c r="L310" s="12" t="e">
        <v>#N/A</v>
      </c>
      <c r="M310" t="e">
        <v>#N/A</v>
      </c>
      <c r="N310" t="e">
        <v>#N/A</v>
      </c>
      <c r="O310" t="e">
        <v>#N/A</v>
      </c>
      <c r="P310" t="e">
        <v>#N/A</v>
      </c>
      <c r="Q310" t="e">
        <v>#N/A</v>
      </c>
      <c r="R310" t="e">
        <v>#N/A</v>
      </c>
      <c r="S310" t="e">
        <v>#N/A</v>
      </c>
      <c r="T310" t="e">
        <v>#N/A</v>
      </c>
    </row>
    <row r="311" spans="7:20" x14ac:dyDescent="0.25">
      <c r="G311" s="19">
        <f t="shared" si="13"/>
        <v>139</v>
      </c>
      <c r="H311" s="34">
        <f t="shared" si="15"/>
        <v>44699</v>
      </c>
      <c r="I311">
        <f>HLOOKUP($I$4,meanT!$A$2:$D$368,G311,FALSE)</f>
        <v>12.8774193548387</v>
      </c>
      <c r="K311" t="e">
        <f t="shared" si="14"/>
        <v>#N/A</v>
      </c>
      <c r="L311" s="12" t="e">
        <v>#N/A</v>
      </c>
      <c r="M311" t="e">
        <v>#N/A</v>
      </c>
      <c r="N311" t="e">
        <v>#N/A</v>
      </c>
      <c r="O311" t="e">
        <v>#N/A</v>
      </c>
      <c r="P311" t="e">
        <v>#N/A</v>
      </c>
      <c r="Q311" t="e">
        <v>#N/A</v>
      </c>
      <c r="R311" t="e">
        <v>#N/A</v>
      </c>
      <c r="S311" t="e">
        <v>#N/A</v>
      </c>
      <c r="T311" t="e">
        <v>#N/A</v>
      </c>
    </row>
    <row r="312" spans="7:20" x14ac:dyDescent="0.25">
      <c r="G312" s="19">
        <f t="shared" si="13"/>
        <v>140</v>
      </c>
      <c r="H312" s="34">
        <f t="shared" si="15"/>
        <v>44700</v>
      </c>
      <c r="I312">
        <f>HLOOKUP($I$4,meanT!$A$2:$D$368,G312,FALSE)</f>
        <v>13.3629032258064</v>
      </c>
      <c r="K312" t="e">
        <f t="shared" si="14"/>
        <v>#N/A</v>
      </c>
      <c r="L312" s="12" t="e">
        <v>#N/A</v>
      </c>
      <c r="M312" t="e">
        <v>#N/A</v>
      </c>
      <c r="N312" t="e">
        <v>#N/A</v>
      </c>
      <c r="O312" t="e">
        <v>#N/A</v>
      </c>
      <c r="P312" t="e">
        <v>#N/A</v>
      </c>
      <c r="Q312" t="e">
        <v>#N/A</v>
      </c>
      <c r="R312" t="e">
        <v>#N/A</v>
      </c>
      <c r="S312" t="e">
        <v>#N/A</v>
      </c>
      <c r="T312" t="e">
        <v>#N/A</v>
      </c>
    </row>
    <row r="313" spans="7:20" x14ac:dyDescent="0.25">
      <c r="G313" s="19">
        <f t="shared" si="13"/>
        <v>141</v>
      </c>
      <c r="H313" s="34">
        <f t="shared" si="15"/>
        <v>44701</v>
      </c>
      <c r="I313">
        <f>HLOOKUP($I$4,meanT!$A$2:$D$368,G313,FALSE)</f>
        <v>13.314516129032199</v>
      </c>
      <c r="K313" t="e">
        <f t="shared" si="14"/>
        <v>#N/A</v>
      </c>
      <c r="L313" s="12" t="e">
        <v>#N/A</v>
      </c>
      <c r="M313" t="e">
        <v>#N/A</v>
      </c>
      <c r="N313" t="e">
        <v>#N/A</v>
      </c>
      <c r="O313" t="e">
        <v>#N/A</v>
      </c>
      <c r="P313" t="e">
        <v>#N/A</v>
      </c>
      <c r="Q313" t="e">
        <v>#N/A</v>
      </c>
      <c r="R313" t="e">
        <v>#N/A</v>
      </c>
      <c r="S313" t="e">
        <v>#N/A</v>
      </c>
      <c r="T313" t="e">
        <v>#N/A</v>
      </c>
    </row>
    <row r="314" spans="7:20" x14ac:dyDescent="0.25">
      <c r="G314" s="19">
        <f t="shared" si="13"/>
        <v>142</v>
      </c>
      <c r="H314" s="34">
        <f t="shared" si="15"/>
        <v>44702</v>
      </c>
      <c r="I314">
        <f>HLOOKUP($I$4,meanT!$A$2:$D$368,G314,FALSE)</f>
        <v>13.598387096774101</v>
      </c>
      <c r="K314" t="e">
        <f t="shared" si="14"/>
        <v>#N/A</v>
      </c>
      <c r="L314" s="12" t="e">
        <v>#N/A</v>
      </c>
      <c r="M314" t="e">
        <v>#N/A</v>
      </c>
      <c r="N314" t="e">
        <v>#N/A</v>
      </c>
      <c r="O314" t="e">
        <v>#N/A</v>
      </c>
      <c r="P314" t="e">
        <v>#N/A</v>
      </c>
      <c r="Q314" t="e">
        <v>#N/A</v>
      </c>
      <c r="R314" t="e">
        <v>#N/A</v>
      </c>
      <c r="S314" t="e">
        <v>#N/A</v>
      </c>
      <c r="T314" t="e">
        <v>#N/A</v>
      </c>
    </row>
    <row r="315" spans="7:20" x14ac:dyDescent="0.25">
      <c r="G315" s="19">
        <f t="shared" si="13"/>
        <v>143</v>
      </c>
      <c r="H315" s="34">
        <f t="shared" si="15"/>
        <v>44703</v>
      </c>
      <c r="I315">
        <f>HLOOKUP($I$4,meanT!$A$2:$D$368,G315,FALSE)</f>
        <v>13.074193548387001</v>
      </c>
      <c r="K315" t="e">
        <f t="shared" si="14"/>
        <v>#N/A</v>
      </c>
      <c r="L315" s="12" t="e">
        <v>#N/A</v>
      </c>
      <c r="M315" t="e">
        <v>#N/A</v>
      </c>
      <c r="N315" t="e">
        <v>#N/A</v>
      </c>
      <c r="O315" t="e">
        <v>#N/A</v>
      </c>
      <c r="P315" t="e">
        <v>#N/A</v>
      </c>
      <c r="Q315" t="e">
        <v>#N/A</v>
      </c>
      <c r="R315" t="e">
        <v>#N/A</v>
      </c>
      <c r="S315" t="e">
        <v>#N/A</v>
      </c>
      <c r="T315" t="e">
        <v>#N/A</v>
      </c>
    </row>
    <row r="316" spans="7:20" x14ac:dyDescent="0.25">
      <c r="G316" s="19">
        <f t="shared" si="13"/>
        <v>144</v>
      </c>
      <c r="H316" s="34">
        <f t="shared" si="15"/>
        <v>44704</v>
      </c>
      <c r="I316">
        <f>HLOOKUP($I$4,meanT!$A$2:$D$368,G316,FALSE)</f>
        <v>12.8338709677419</v>
      </c>
      <c r="K316" t="e">
        <f t="shared" si="14"/>
        <v>#N/A</v>
      </c>
      <c r="L316" s="12" t="e">
        <v>#N/A</v>
      </c>
      <c r="M316" t="e">
        <v>#N/A</v>
      </c>
      <c r="N316" t="e">
        <v>#N/A</v>
      </c>
      <c r="O316" t="e">
        <v>#N/A</v>
      </c>
      <c r="P316" t="e">
        <v>#N/A</v>
      </c>
      <c r="Q316" t="e">
        <v>#N/A</v>
      </c>
      <c r="R316" t="e">
        <v>#N/A</v>
      </c>
      <c r="S316" t="e">
        <v>#N/A</v>
      </c>
      <c r="T316" t="e">
        <v>#N/A</v>
      </c>
    </row>
    <row r="317" spans="7:20" x14ac:dyDescent="0.25">
      <c r="G317" s="19">
        <f t="shared" si="13"/>
        <v>145</v>
      </c>
      <c r="H317" s="34">
        <f t="shared" si="15"/>
        <v>44705</v>
      </c>
      <c r="I317">
        <f>HLOOKUP($I$4,meanT!$A$2:$D$368,G317,FALSE)</f>
        <v>12.761290322580599</v>
      </c>
      <c r="K317" t="e">
        <f t="shared" si="14"/>
        <v>#N/A</v>
      </c>
      <c r="L317" s="12" t="e">
        <v>#N/A</v>
      </c>
      <c r="M317" t="e">
        <v>#N/A</v>
      </c>
      <c r="N317" t="e">
        <v>#N/A</v>
      </c>
      <c r="O317" t="e">
        <v>#N/A</v>
      </c>
      <c r="P317" t="e">
        <v>#N/A</v>
      </c>
      <c r="Q317" t="e">
        <v>#N/A</v>
      </c>
      <c r="R317" t="e">
        <v>#N/A</v>
      </c>
      <c r="S317" t="e">
        <v>#N/A</v>
      </c>
      <c r="T317" t="e">
        <v>#N/A</v>
      </c>
    </row>
    <row r="318" spans="7:20" x14ac:dyDescent="0.25">
      <c r="G318" s="19">
        <f t="shared" si="13"/>
        <v>146</v>
      </c>
      <c r="H318" s="34">
        <f t="shared" si="15"/>
        <v>44706</v>
      </c>
      <c r="I318">
        <f>HLOOKUP($I$4,meanT!$A$2:$D$368,G318,FALSE)</f>
        <v>13.04</v>
      </c>
      <c r="K318" t="e">
        <f t="shared" si="14"/>
        <v>#N/A</v>
      </c>
      <c r="L318" s="12" t="e">
        <v>#N/A</v>
      </c>
      <c r="M318" t="e">
        <v>#N/A</v>
      </c>
      <c r="N318" t="e">
        <v>#N/A</v>
      </c>
      <c r="O318" t="e">
        <v>#N/A</v>
      </c>
      <c r="P318" t="e">
        <v>#N/A</v>
      </c>
      <c r="Q318" t="e">
        <v>#N/A</v>
      </c>
      <c r="R318" t="e">
        <v>#N/A</v>
      </c>
      <c r="S318" t="e">
        <v>#N/A</v>
      </c>
      <c r="T318" t="e">
        <v>#N/A</v>
      </c>
    </row>
    <row r="319" spans="7:20" x14ac:dyDescent="0.25">
      <c r="G319" s="19">
        <f t="shared" si="13"/>
        <v>147</v>
      </c>
      <c r="H319" s="34">
        <f t="shared" si="15"/>
        <v>44707</v>
      </c>
      <c r="I319">
        <f>HLOOKUP($I$4,meanT!$A$2:$D$368,G319,FALSE)</f>
        <v>13.44</v>
      </c>
      <c r="K319" t="e">
        <f t="shared" si="14"/>
        <v>#N/A</v>
      </c>
      <c r="L319" s="12" t="e">
        <v>#N/A</v>
      </c>
      <c r="M319" t="e">
        <v>#N/A</v>
      </c>
      <c r="N319" t="e">
        <v>#N/A</v>
      </c>
      <c r="O319" t="e">
        <v>#N/A</v>
      </c>
      <c r="P319" t="e">
        <v>#N/A</v>
      </c>
      <c r="Q319" t="e">
        <v>#N/A</v>
      </c>
      <c r="R319" t="e">
        <v>#N/A</v>
      </c>
      <c r="S319" t="e">
        <v>#N/A</v>
      </c>
      <c r="T319" t="e">
        <v>#N/A</v>
      </c>
    </row>
    <row r="320" spans="7:20" x14ac:dyDescent="0.25">
      <c r="G320" s="19">
        <f t="shared" si="13"/>
        <v>148</v>
      </c>
      <c r="H320" s="34">
        <f t="shared" si="15"/>
        <v>44708</v>
      </c>
      <c r="I320">
        <f>HLOOKUP($I$4,meanT!$A$2:$D$368,G320,FALSE)</f>
        <v>12.8183333333333</v>
      </c>
      <c r="K320" t="e">
        <f t="shared" si="14"/>
        <v>#N/A</v>
      </c>
      <c r="L320" s="12" t="e">
        <v>#N/A</v>
      </c>
      <c r="M320" t="e">
        <v>#N/A</v>
      </c>
      <c r="N320" t="e">
        <v>#N/A</v>
      </c>
      <c r="O320" t="e">
        <v>#N/A</v>
      </c>
      <c r="P320" t="e">
        <v>#N/A</v>
      </c>
      <c r="Q320" t="e">
        <v>#N/A</v>
      </c>
      <c r="R320" t="e">
        <v>#N/A</v>
      </c>
      <c r="S320" t="e">
        <v>#N/A</v>
      </c>
      <c r="T320" t="e">
        <v>#N/A</v>
      </c>
    </row>
    <row r="321" spans="7:20" x14ac:dyDescent="0.25">
      <c r="G321" s="19">
        <f t="shared" si="13"/>
        <v>149</v>
      </c>
      <c r="H321" s="34">
        <f t="shared" si="15"/>
        <v>44709</v>
      </c>
      <c r="I321">
        <f>HLOOKUP($I$4,meanT!$A$2:$D$368,G321,FALSE)</f>
        <v>12.088333333333299</v>
      </c>
      <c r="K321" t="e">
        <f t="shared" si="14"/>
        <v>#N/A</v>
      </c>
      <c r="L321" s="12" t="e">
        <v>#N/A</v>
      </c>
      <c r="M321" t="e">
        <v>#N/A</v>
      </c>
      <c r="N321" t="e">
        <v>#N/A</v>
      </c>
      <c r="O321" t="e">
        <v>#N/A</v>
      </c>
      <c r="P321" t="e">
        <v>#N/A</v>
      </c>
      <c r="Q321" t="e">
        <v>#N/A</v>
      </c>
      <c r="R321" t="e">
        <v>#N/A</v>
      </c>
      <c r="S321" t="e">
        <v>#N/A</v>
      </c>
      <c r="T321" t="e">
        <v>#N/A</v>
      </c>
    </row>
    <row r="322" spans="7:20" x14ac:dyDescent="0.25">
      <c r="G322" s="19">
        <f t="shared" si="13"/>
        <v>150</v>
      </c>
      <c r="H322" s="34">
        <f t="shared" si="15"/>
        <v>44710</v>
      </c>
      <c r="I322">
        <f>HLOOKUP($I$4,meanT!$A$2:$D$368,G322,FALSE)</f>
        <v>11.7193548387096</v>
      </c>
      <c r="K322" t="e">
        <f t="shared" si="14"/>
        <v>#N/A</v>
      </c>
      <c r="L322" s="12" t="e">
        <v>#N/A</v>
      </c>
      <c r="M322" t="e">
        <v>#N/A</v>
      </c>
      <c r="N322" t="e">
        <v>#N/A</v>
      </c>
      <c r="O322" t="e">
        <v>#N/A</v>
      </c>
      <c r="P322" t="e">
        <v>#N/A</v>
      </c>
      <c r="Q322" t="e">
        <v>#N/A</v>
      </c>
      <c r="R322" t="e">
        <v>#N/A</v>
      </c>
      <c r="S322" t="e">
        <v>#N/A</v>
      </c>
      <c r="T322" t="e">
        <v>#N/A</v>
      </c>
    </row>
    <row r="323" spans="7:20" x14ac:dyDescent="0.25">
      <c r="G323" s="19">
        <f t="shared" si="13"/>
        <v>151</v>
      </c>
      <c r="H323" s="34">
        <f t="shared" si="15"/>
        <v>44711</v>
      </c>
      <c r="I323">
        <f>HLOOKUP($I$4,meanT!$A$2:$D$368,G323,FALSE)</f>
        <v>12.024193548387</v>
      </c>
      <c r="K323" t="e">
        <f t="shared" si="14"/>
        <v>#N/A</v>
      </c>
      <c r="L323" s="12" t="e">
        <v>#N/A</v>
      </c>
      <c r="M323" t="e">
        <v>#N/A</v>
      </c>
      <c r="N323" t="e">
        <v>#N/A</v>
      </c>
      <c r="O323" t="e">
        <v>#N/A</v>
      </c>
      <c r="P323" t="e">
        <v>#N/A</v>
      </c>
      <c r="Q323" t="e">
        <v>#N/A</v>
      </c>
      <c r="R323" t="e">
        <v>#N/A</v>
      </c>
      <c r="S323" t="e">
        <v>#N/A</v>
      </c>
      <c r="T323" t="e">
        <v>#N/A</v>
      </c>
    </row>
    <row r="324" spans="7:20" x14ac:dyDescent="0.25">
      <c r="G324" s="19">
        <f t="shared" si="13"/>
        <v>152</v>
      </c>
      <c r="H324" s="34">
        <f t="shared" si="15"/>
        <v>44712</v>
      </c>
      <c r="I324">
        <f>HLOOKUP($I$4,meanT!$A$2:$D$368,G324,FALSE)</f>
        <v>11.7258064516129</v>
      </c>
      <c r="K324" t="e">
        <f t="shared" si="14"/>
        <v>#N/A</v>
      </c>
      <c r="L324" s="12" t="e">
        <v>#N/A</v>
      </c>
      <c r="M324" t="e">
        <v>#N/A</v>
      </c>
      <c r="N324" t="e">
        <v>#N/A</v>
      </c>
      <c r="O324" t="e">
        <v>#N/A</v>
      </c>
      <c r="P324" t="e">
        <v>#N/A</v>
      </c>
      <c r="Q324" t="e">
        <v>#N/A</v>
      </c>
      <c r="R324" t="e">
        <v>#N/A</v>
      </c>
      <c r="S324" t="e">
        <v>#N/A</v>
      </c>
      <c r="T324" t="e">
        <v>#N/A</v>
      </c>
    </row>
    <row r="325" spans="7:20" x14ac:dyDescent="0.25">
      <c r="G325" s="19">
        <f t="shared" si="13"/>
        <v>153</v>
      </c>
      <c r="H325" s="34">
        <f t="shared" si="15"/>
        <v>44713</v>
      </c>
      <c r="I325">
        <f>HLOOKUP($I$4,meanT!$A$2:$D$368,G325,FALSE)</f>
        <v>11.7564516129032</v>
      </c>
      <c r="K325" t="e">
        <f t="shared" si="14"/>
        <v>#N/A</v>
      </c>
      <c r="L325" s="12" t="e">
        <v>#N/A</v>
      </c>
      <c r="M325" t="e">
        <v>#N/A</v>
      </c>
      <c r="N325" t="e">
        <v>#N/A</v>
      </c>
      <c r="O325" t="e">
        <v>#N/A</v>
      </c>
      <c r="P325" t="e">
        <v>#N/A</v>
      </c>
      <c r="Q325" t="e">
        <v>#N/A</v>
      </c>
      <c r="R325" t="e">
        <v>#N/A</v>
      </c>
      <c r="S325" t="e">
        <v>#N/A</v>
      </c>
      <c r="T325" t="e">
        <v>#N/A</v>
      </c>
    </row>
    <row r="326" spans="7:20" x14ac:dyDescent="0.25">
      <c r="G326" s="19">
        <f t="shared" si="13"/>
        <v>154</v>
      </c>
      <c r="H326" s="34">
        <f t="shared" si="15"/>
        <v>44714</v>
      </c>
      <c r="I326">
        <f>HLOOKUP($I$4,meanT!$A$2:$D$368,G326,FALSE)</f>
        <v>11.6033333333333</v>
      </c>
      <c r="K326" t="e">
        <f t="shared" si="14"/>
        <v>#N/A</v>
      </c>
      <c r="L326" s="12" t="e">
        <v>#N/A</v>
      </c>
      <c r="M326" t="e">
        <v>#N/A</v>
      </c>
      <c r="N326" t="e">
        <v>#N/A</v>
      </c>
      <c r="O326" t="e">
        <v>#N/A</v>
      </c>
      <c r="P326" t="e">
        <v>#N/A</v>
      </c>
      <c r="Q326" t="e">
        <v>#N/A</v>
      </c>
      <c r="R326" t="e">
        <v>#N/A</v>
      </c>
      <c r="S326" t="e">
        <v>#N/A</v>
      </c>
      <c r="T326" t="e">
        <v>#N/A</v>
      </c>
    </row>
    <row r="327" spans="7:20" x14ac:dyDescent="0.25">
      <c r="G327" s="19">
        <f t="shared" ref="G327:G390" si="16">H327-DATE(YEAR(H327),1,0)+1</f>
        <v>155</v>
      </c>
      <c r="H327" s="34">
        <f t="shared" si="15"/>
        <v>44715</v>
      </c>
      <c r="I327">
        <f>HLOOKUP($I$4,meanT!$A$2:$D$368,G327,FALSE)</f>
        <v>11.056666666666599</v>
      </c>
      <c r="K327" t="e">
        <f t="shared" ref="K327:K390" si="17">AND(IF(L327&gt;($B$24-1),TRUE,FALSE),IF(L327&lt;($B$26+1),TRUE,FALSE))</f>
        <v>#N/A</v>
      </c>
      <c r="L327" s="12" t="e">
        <v>#N/A</v>
      </c>
      <c r="M327" t="e">
        <v>#N/A</v>
      </c>
      <c r="N327" t="e">
        <v>#N/A</v>
      </c>
      <c r="O327" t="e">
        <v>#N/A</v>
      </c>
      <c r="P327" t="e">
        <v>#N/A</v>
      </c>
      <c r="Q327" t="e">
        <v>#N/A</v>
      </c>
      <c r="R327" t="e">
        <v>#N/A</v>
      </c>
      <c r="S327" t="e">
        <v>#N/A</v>
      </c>
      <c r="T327" t="e">
        <v>#N/A</v>
      </c>
    </row>
    <row r="328" spans="7:20" x14ac:dyDescent="0.25">
      <c r="G328" s="19">
        <f t="shared" si="16"/>
        <v>156</v>
      </c>
      <c r="H328" s="34">
        <f t="shared" ref="H328:H391" si="18">H327+1</f>
        <v>44716</v>
      </c>
      <c r="I328">
        <f>HLOOKUP($I$4,meanT!$A$2:$D$368,G328,FALSE)</f>
        <v>11.1733333333333</v>
      </c>
      <c r="K328" t="e">
        <f t="shared" si="17"/>
        <v>#N/A</v>
      </c>
      <c r="L328" s="12" t="e">
        <v>#N/A</v>
      </c>
      <c r="M328" t="e">
        <v>#N/A</v>
      </c>
      <c r="N328" t="e">
        <v>#N/A</v>
      </c>
      <c r="O328" t="e">
        <v>#N/A</v>
      </c>
      <c r="P328" t="e">
        <v>#N/A</v>
      </c>
      <c r="Q328" t="e">
        <v>#N/A</v>
      </c>
      <c r="R328" t="e">
        <v>#N/A</v>
      </c>
      <c r="S328" t="e">
        <v>#N/A</v>
      </c>
      <c r="T328" t="e">
        <v>#N/A</v>
      </c>
    </row>
    <row r="329" spans="7:20" x14ac:dyDescent="0.25">
      <c r="G329" s="19">
        <f t="shared" si="16"/>
        <v>157</v>
      </c>
      <c r="H329" s="34">
        <f t="shared" si="18"/>
        <v>44717</v>
      </c>
      <c r="I329">
        <f>HLOOKUP($I$4,meanT!$A$2:$D$368,G329,FALSE)</f>
        <v>11.3016666666666</v>
      </c>
      <c r="K329" t="e">
        <f t="shared" si="17"/>
        <v>#N/A</v>
      </c>
      <c r="L329" s="12" t="e">
        <v>#N/A</v>
      </c>
      <c r="M329" t="e">
        <v>#N/A</v>
      </c>
      <c r="N329" t="e">
        <v>#N/A</v>
      </c>
      <c r="O329" t="e">
        <v>#N/A</v>
      </c>
      <c r="P329" t="e">
        <v>#N/A</v>
      </c>
      <c r="Q329" t="e">
        <v>#N/A</v>
      </c>
      <c r="R329" t="e">
        <v>#N/A</v>
      </c>
      <c r="S329" t="e">
        <v>#N/A</v>
      </c>
      <c r="T329" t="e">
        <v>#N/A</v>
      </c>
    </row>
    <row r="330" spans="7:20" x14ac:dyDescent="0.25">
      <c r="G330" s="19">
        <f t="shared" si="16"/>
        <v>158</v>
      </c>
      <c r="H330" s="34">
        <f t="shared" si="18"/>
        <v>44718</v>
      </c>
      <c r="I330">
        <f>HLOOKUP($I$4,meanT!$A$2:$D$368,G330,FALSE)</f>
        <v>11.2416666666666</v>
      </c>
      <c r="K330" t="e">
        <f t="shared" si="17"/>
        <v>#N/A</v>
      </c>
      <c r="L330" s="12" t="e">
        <v>#N/A</v>
      </c>
      <c r="M330" t="e">
        <v>#N/A</v>
      </c>
      <c r="N330" t="e">
        <v>#N/A</v>
      </c>
      <c r="O330" t="e">
        <v>#N/A</v>
      </c>
      <c r="P330" t="e">
        <v>#N/A</v>
      </c>
      <c r="Q330" t="e">
        <v>#N/A</v>
      </c>
      <c r="R330" t="e">
        <v>#N/A</v>
      </c>
      <c r="S330" t="e">
        <v>#N/A</v>
      </c>
      <c r="T330" t="e">
        <v>#N/A</v>
      </c>
    </row>
    <row r="331" spans="7:20" x14ac:dyDescent="0.25">
      <c r="G331" s="19">
        <f t="shared" si="16"/>
        <v>159</v>
      </c>
      <c r="H331" s="34">
        <f t="shared" si="18"/>
        <v>44719</v>
      </c>
      <c r="I331">
        <f>HLOOKUP($I$4,meanT!$A$2:$D$368,G331,FALSE)</f>
        <v>11.3533333333333</v>
      </c>
      <c r="K331" t="e">
        <f t="shared" si="17"/>
        <v>#N/A</v>
      </c>
      <c r="L331" s="12" t="e">
        <v>#N/A</v>
      </c>
      <c r="M331" t="e">
        <v>#N/A</v>
      </c>
      <c r="N331" t="e">
        <v>#N/A</v>
      </c>
      <c r="O331" t="e">
        <v>#N/A</v>
      </c>
      <c r="P331" t="e">
        <v>#N/A</v>
      </c>
      <c r="Q331" t="e">
        <v>#N/A</v>
      </c>
      <c r="R331" t="e">
        <v>#N/A</v>
      </c>
      <c r="S331" t="e">
        <v>#N/A</v>
      </c>
      <c r="T331" t="e">
        <v>#N/A</v>
      </c>
    </row>
    <row r="332" spans="7:20" x14ac:dyDescent="0.25">
      <c r="G332" s="19">
        <f t="shared" si="16"/>
        <v>160</v>
      </c>
      <c r="H332" s="34">
        <f t="shared" si="18"/>
        <v>44720</v>
      </c>
      <c r="I332">
        <f>HLOOKUP($I$4,meanT!$A$2:$D$368,G332,FALSE)</f>
        <v>11.6383333333333</v>
      </c>
      <c r="K332" t="e">
        <f t="shared" si="17"/>
        <v>#N/A</v>
      </c>
      <c r="L332" s="12" t="e">
        <v>#N/A</v>
      </c>
      <c r="M332" t="e">
        <v>#N/A</v>
      </c>
      <c r="N332" t="e">
        <v>#N/A</v>
      </c>
      <c r="O332" t="e">
        <v>#N/A</v>
      </c>
      <c r="P332" t="e">
        <v>#N/A</v>
      </c>
      <c r="Q332" t="e">
        <v>#N/A</v>
      </c>
      <c r="R332" t="e">
        <v>#N/A</v>
      </c>
      <c r="S332" t="e">
        <v>#N/A</v>
      </c>
      <c r="T332" t="e">
        <v>#N/A</v>
      </c>
    </row>
    <row r="333" spans="7:20" x14ac:dyDescent="0.25">
      <c r="G333" s="19">
        <f t="shared" si="16"/>
        <v>161</v>
      </c>
      <c r="H333" s="34">
        <f t="shared" si="18"/>
        <v>44721</v>
      </c>
      <c r="I333">
        <f>HLOOKUP($I$4,meanT!$A$2:$D$368,G333,FALSE)</f>
        <v>12.033333333333299</v>
      </c>
      <c r="K333" t="e">
        <f t="shared" si="17"/>
        <v>#N/A</v>
      </c>
      <c r="L333" s="12" t="e">
        <v>#N/A</v>
      </c>
      <c r="M333" t="e">
        <v>#N/A</v>
      </c>
      <c r="N333" t="e">
        <v>#N/A</v>
      </c>
      <c r="O333" t="e">
        <v>#N/A</v>
      </c>
      <c r="P333" t="e">
        <v>#N/A</v>
      </c>
      <c r="Q333" t="e">
        <v>#N/A</v>
      </c>
      <c r="R333" t="e">
        <v>#N/A</v>
      </c>
      <c r="S333" t="e">
        <v>#N/A</v>
      </c>
      <c r="T333" t="e">
        <v>#N/A</v>
      </c>
    </row>
    <row r="334" spans="7:20" x14ac:dyDescent="0.25">
      <c r="G334" s="19">
        <f t="shared" si="16"/>
        <v>162</v>
      </c>
      <c r="H334" s="34">
        <f t="shared" si="18"/>
        <v>44722</v>
      </c>
      <c r="I334">
        <f>HLOOKUP($I$4,meanT!$A$2:$D$368,G334,FALSE)</f>
        <v>12.0483333333333</v>
      </c>
      <c r="K334" t="e">
        <f t="shared" si="17"/>
        <v>#N/A</v>
      </c>
      <c r="L334" s="12" t="e">
        <v>#N/A</v>
      </c>
      <c r="M334" t="e">
        <v>#N/A</v>
      </c>
      <c r="N334" t="e">
        <v>#N/A</v>
      </c>
      <c r="O334" t="e">
        <v>#N/A</v>
      </c>
      <c r="P334" t="e">
        <v>#N/A</v>
      </c>
      <c r="Q334" t="e">
        <v>#N/A</v>
      </c>
      <c r="R334" t="e">
        <v>#N/A</v>
      </c>
      <c r="S334" t="e">
        <v>#N/A</v>
      </c>
      <c r="T334" t="e">
        <v>#N/A</v>
      </c>
    </row>
    <row r="335" spans="7:20" x14ac:dyDescent="0.25">
      <c r="G335" s="19">
        <f t="shared" si="16"/>
        <v>163</v>
      </c>
      <c r="H335" s="34">
        <f t="shared" si="18"/>
        <v>44723</v>
      </c>
      <c r="I335">
        <f>HLOOKUP($I$4,meanT!$A$2:$D$368,G335,FALSE)</f>
        <v>12.105</v>
      </c>
      <c r="K335" t="e">
        <f t="shared" si="17"/>
        <v>#N/A</v>
      </c>
      <c r="L335" s="12" t="e">
        <v>#N/A</v>
      </c>
      <c r="M335" t="e">
        <v>#N/A</v>
      </c>
      <c r="N335" t="e">
        <v>#N/A</v>
      </c>
      <c r="O335" t="e">
        <v>#N/A</v>
      </c>
      <c r="P335" t="e">
        <v>#N/A</v>
      </c>
      <c r="Q335" t="e">
        <v>#N/A</v>
      </c>
      <c r="R335" t="e">
        <v>#N/A</v>
      </c>
      <c r="S335" t="e">
        <v>#N/A</v>
      </c>
      <c r="T335" t="e">
        <v>#N/A</v>
      </c>
    </row>
    <row r="336" spans="7:20" x14ac:dyDescent="0.25">
      <c r="G336" s="19">
        <f t="shared" si="16"/>
        <v>164</v>
      </c>
      <c r="H336" s="34">
        <f t="shared" si="18"/>
        <v>44724</v>
      </c>
      <c r="I336">
        <f>HLOOKUP($I$4,meanT!$A$2:$D$368,G336,FALSE)</f>
        <v>11.93</v>
      </c>
      <c r="K336" t="e">
        <f t="shared" si="17"/>
        <v>#N/A</v>
      </c>
      <c r="L336" s="12" t="e">
        <v>#N/A</v>
      </c>
      <c r="M336" t="e">
        <v>#N/A</v>
      </c>
      <c r="N336" t="e">
        <v>#N/A</v>
      </c>
      <c r="O336" t="e">
        <v>#N/A</v>
      </c>
      <c r="P336" t="e">
        <v>#N/A</v>
      </c>
      <c r="Q336" t="e">
        <v>#N/A</v>
      </c>
      <c r="R336" t="e">
        <v>#N/A</v>
      </c>
      <c r="S336" t="e">
        <v>#N/A</v>
      </c>
      <c r="T336" t="e">
        <v>#N/A</v>
      </c>
    </row>
    <row r="337" spans="7:20" x14ac:dyDescent="0.25">
      <c r="G337" s="19">
        <f t="shared" si="16"/>
        <v>165</v>
      </c>
      <c r="H337" s="34">
        <f t="shared" si="18"/>
        <v>44725</v>
      </c>
      <c r="I337">
        <f>HLOOKUP($I$4,meanT!$A$2:$D$368,G337,FALSE)</f>
        <v>11.734999999999999</v>
      </c>
      <c r="K337" t="e">
        <f t="shared" si="17"/>
        <v>#N/A</v>
      </c>
      <c r="L337" s="12" t="e">
        <v>#N/A</v>
      </c>
      <c r="M337" t="e">
        <v>#N/A</v>
      </c>
      <c r="N337" t="e">
        <v>#N/A</v>
      </c>
      <c r="O337" t="e">
        <v>#N/A</v>
      </c>
      <c r="P337" t="e">
        <v>#N/A</v>
      </c>
      <c r="Q337" t="e">
        <v>#N/A</v>
      </c>
      <c r="R337" t="e">
        <v>#N/A</v>
      </c>
      <c r="S337" t="e">
        <v>#N/A</v>
      </c>
      <c r="T337" t="e">
        <v>#N/A</v>
      </c>
    </row>
    <row r="338" spans="7:20" x14ac:dyDescent="0.25">
      <c r="G338" s="19">
        <f t="shared" si="16"/>
        <v>166</v>
      </c>
      <c r="H338" s="34">
        <f t="shared" si="18"/>
        <v>44726</v>
      </c>
      <c r="I338">
        <f>HLOOKUP($I$4,meanT!$A$2:$D$368,G338,FALSE)</f>
        <v>11.1666666666666</v>
      </c>
      <c r="K338" t="e">
        <f t="shared" si="17"/>
        <v>#N/A</v>
      </c>
      <c r="L338" s="12" t="e">
        <v>#N/A</v>
      </c>
      <c r="M338" t="e">
        <v>#N/A</v>
      </c>
      <c r="N338" t="e">
        <v>#N/A</v>
      </c>
      <c r="O338" t="e">
        <v>#N/A</v>
      </c>
      <c r="P338" t="e">
        <v>#N/A</v>
      </c>
      <c r="Q338" t="e">
        <v>#N/A</v>
      </c>
      <c r="R338" t="e">
        <v>#N/A</v>
      </c>
      <c r="S338" t="e">
        <v>#N/A</v>
      </c>
      <c r="T338" t="e">
        <v>#N/A</v>
      </c>
    </row>
    <row r="339" spans="7:20" x14ac:dyDescent="0.25">
      <c r="G339" s="19">
        <f t="shared" si="16"/>
        <v>167</v>
      </c>
      <c r="H339" s="34">
        <f t="shared" si="18"/>
        <v>44727</v>
      </c>
      <c r="I339">
        <f>HLOOKUP($I$4,meanT!$A$2:$D$368,G339,FALSE)</f>
        <v>11.2283333333333</v>
      </c>
      <c r="K339" t="e">
        <f t="shared" si="17"/>
        <v>#N/A</v>
      </c>
      <c r="L339" s="12" t="e">
        <v>#N/A</v>
      </c>
      <c r="M339" t="e">
        <v>#N/A</v>
      </c>
      <c r="N339" t="e">
        <v>#N/A</v>
      </c>
      <c r="O339" t="e">
        <v>#N/A</v>
      </c>
      <c r="P339" t="e">
        <v>#N/A</v>
      </c>
      <c r="Q339" t="e">
        <v>#N/A</v>
      </c>
      <c r="R339" t="e">
        <v>#N/A</v>
      </c>
      <c r="S339" t="e">
        <v>#N/A</v>
      </c>
      <c r="T339" t="e">
        <v>#N/A</v>
      </c>
    </row>
    <row r="340" spans="7:20" x14ac:dyDescent="0.25">
      <c r="G340" s="19">
        <f t="shared" si="16"/>
        <v>168</v>
      </c>
      <c r="H340" s="34">
        <f t="shared" si="18"/>
        <v>44728</v>
      </c>
      <c r="I340">
        <f>HLOOKUP($I$4,meanT!$A$2:$D$368,G340,FALSE)</f>
        <v>10.6586206896551</v>
      </c>
      <c r="K340" t="e">
        <f t="shared" si="17"/>
        <v>#N/A</v>
      </c>
      <c r="L340" s="12" t="e">
        <v>#N/A</v>
      </c>
      <c r="M340" t="e">
        <v>#N/A</v>
      </c>
      <c r="N340" t="e">
        <v>#N/A</v>
      </c>
      <c r="O340" t="e">
        <v>#N/A</v>
      </c>
      <c r="P340" t="e">
        <v>#N/A</v>
      </c>
      <c r="Q340" t="e">
        <v>#N/A</v>
      </c>
      <c r="R340" t="e">
        <v>#N/A</v>
      </c>
      <c r="S340" t="e">
        <v>#N/A</v>
      </c>
      <c r="T340" t="e">
        <v>#N/A</v>
      </c>
    </row>
    <row r="341" spans="7:20" x14ac:dyDescent="0.25">
      <c r="G341" s="19">
        <f t="shared" si="16"/>
        <v>169</v>
      </c>
      <c r="H341" s="34">
        <f t="shared" si="18"/>
        <v>44729</v>
      </c>
      <c r="I341">
        <f>HLOOKUP($I$4,meanT!$A$2:$D$368,G341,FALSE)</f>
        <v>10.7310344827586</v>
      </c>
      <c r="K341" t="e">
        <f t="shared" si="17"/>
        <v>#N/A</v>
      </c>
      <c r="L341" s="12" t="e">
        <v>#N/A</v>
      </c>
      <c r="M341" t="e">
        <v>#N/A</v>
      </c>
      <c r="N341" t="e">
        <v>#N/A</v>
      </c>
      <c r="O341" t="e">
        <v>#N/A</v>
      </c>
      <c r="P341" t="e">
        <v>#N/A</v>
      </c>
      <c r="Q341" t="e">
        <v>#N/A</v>
      </c>
      <c r="R341" t="e">
        <v>#N/A</v>
      </c>
      <c r="S341" t="e">
        <v>#N/A</v>
      </c>
      <c r="T341" t="e">
        <v>#N/A</v>
      </c>
    </row>
    <row r="342" spans="7:20" x14ac:dyDescent="0.25">
      <c r="G342" s="19">
        <f t="shared" si="16"/>
        <v>170</v>
      </c>
      <c r="H342" s="34">
        <f t="shared" si="18"/>
        <v>44730</v>
      </c>
      <c r="I342">
        <f>HLOOKUP($I$4,meanT!$A$2:$D$368,G342,FALSE)</f>
        <v>11.2603448275862</v>
      </c>
      <c r="K342" t="e">
        <f t="shared" si="17"/>
        <v>#N/A</v>
      </c>
      <c r="L342" s="12" t="e">
        <v>#N/A</v>
      </c>
      <c r="M342" t="e">
        <v>#N/A</v>
      </c>
      <c r="N342" t="e">
        <v>#N/A</v>
      </c>
      <c r="O342" t="e">
        <v>#N/A</v>
      </c>
      <c r="P342" t="e">
        <v>#N/A</v>
      </c>
      <c r="Q342" t="e">
        <v>#N/A</v>
      </c>
      <c r="R342" t="e">
        <v>#N/A</v>
      </c>
      <c r="S342" t="e">
        <v>#N/A</v>
      </c>
      <c r="T342" t="e">
        <v>#N/A</v>
      </c>
    </row>
    <row r="343" spans="7:20" x14ac:dyDescent="0.25">
      <c r="G343" s="19">
        <f t="shared" si="16"/>
        <v>171</v>
      </c>
      <c r="H343" s="34">
        <f t="shared" si="18"/>
        <v>44731</v>
      </c>
      <c r="I343">
        <f>HLOOKUP($I$4,meanT!$A$2:$D$368,G343,FALSE)</f>
        <v>10.906896551724101</v>
      </c>
      <c r="K343" t="e">
        <f t="shared" si="17"/>
        <v>#N/A</v>
      </c>
      <c r="L343" s="12" t="e">
        <v>#N/A</v>
      </c>
      <c r="M343" t="e">
        <v>#N/A</v>
      </c>
      <c r="N343" t="e">
        <v>#N/A</v>
      </c>
      <c r="O343" t="e">
        <v>#N/A</v>
      </c>
      <c r="P343" t="e">
        <v>#N/A</v>
      </c>
      <c r="Q343" t="e">
        <v>#N/A</v>
      </c>
      <c r="R343" t="e">
        <v>#N/A</v>
      </c>
      <c r="S343" t="e">
        <v>#N/A</v>
      </c>
      <c r="T343" t="e">
        <v>#N/A</v>
      </c>
    </row>
    <row r="344" spans="7:20" x14ac:dyDescent="0.25">
      <c r="G344" s="19">
        <f t="shared" si="16"/>
        <v>172</v>
      </c>
      <c r="H344" s="34">
        <f t="shared" si="18"/>
        <v>44732</v>
      </c>
      <c r="I344">
        <f>HLOOKUP($I$4,meanT!$A$2:$D$368,G344,FALSE)</f>
        <v>11.072413793103401</v>
      </c>
      <c r="K344" t="e">
        <f t="shared" si="17"/>
        <v>#N/A</v>
      </c>
      <c r="L344" s="12" t="e">
        <v>#N/A</v>
      </c>
      <c r="M344" t="e">
        <v>#N/A</v>
      </c>
      <c r="N344" t="e">
        <v>#N/A</v>
      </c>
      <c r="O344" t="e">
        <v>#N/A</v>
      </c>
      <c r="P344" t="e">
        <v>#N/A</v>
      </c>
      <c r="Q344" t="e">
        <v>#N/A</v>
      </c>
      <c r="R344" t="e">
        <v>#N/A</v>
      </c>
      <c r="S344" t="e">
        <v>#N/A</v>
      </c>
      <c r="T344" t="e">
        <v>#N/A</v>
      </c>
    </row>
    <row r="345" spans="7:20" x14ac:dyDescent="0.25">
      <c r="G345" s="19">
        <f t="shared" si="16"/>
        <v>173</v>
      </c>
      <c r="H345" s="34">
        <f t="shared" si="18"/>
        <v>44733</v>
      </c>
      <c r="I345">
        <f>HLOOKUP($I$4,meanT!$A$2:$D$368,G345,FALSE)</f>
        <v>11.1844827586206</v>
      </c>
      <c r="K345" t="e">
        <f t="shared" si="17"/>
        <v>#N/A</v>
      </c>
      <c r="L345" s="12" t="e">
        <v>#N/A</v>
      </c>
      <c r="M345" t="e">
        <v>#N/A</v>
      </c>
      <c r="N345" t="e">
        <v>#N/A</v>
      </c>
      <c r="O345" t="e">
        <v>#N/A</v>
      </c>
      <c r="P345" t="e">
        <v>#N/A</v>
      </c>
      <c r="Q345" t="e">
        <v>#N/A</v>
      </c>
      <c r="R345" t="e">
        <v>#N/A</v>
      </c>
      <c r="S345" t="e">
        <v>#N/A</v>
      </c>
      <c r="T345" t="e">
        <v>#N/A</v>
      </c>
    </row>
    <row r="346" spans="7:20" x14ac:dyDescent="0.25">
      <c r="G346" s="19">
        <f t="shared" si="16"/>
        <v>174</v>
      </c>
      <c r="H346" s="34">
        <f t="shared" si="18"/>
        <v>44734</v>
      </c>
      <c r="I346">
        <f>HLOOKUP($I$4,meanT!$A$2:$D$368,G346,FALSE)</f>
        <v>10.84</v>
      </c>
      <c r="K346" t="e">
        <f t="shared" si="17"/>
        <v>#N/A</v>
      </c>
      <c r="L346" s="12" t="e">
        <v>#N/A</v>
      </c>
      <c r="M346" t="e">
        <v>#N/A</v>
      </c>
      <c r="N346" t="e">
        <v>#N/A</v>
      </c>
      <c r="O346" t="e">
        <v>#N/A</v>
      </c>
      <c r="P346" t="e">
        <v>#N/A</v>
      </c>
      <c r="Q346" t="e">
        <v>#N/A</v>
      </c>
      <c r="R346" t="e">
        <v>#N/A</v>
      </c>
      <c r="S346" t="e">
        <v>#N/A</v>
      </c>
      <c r="T346" t="e">
        <v>#N/A</v>
      </c>
    </row>
    <row r="347" spans="7:20" x14ac:dyDescent="0.25">
      <c r="G347" s="19">
        <f t="shared" si="16"/>
        <v>175</v>
      </c>
      <c r="H347" s="34">
        <f t="shared" si="18"/>
        <v>44735</v>
      </c>
      <c r="I347">
        <f>HLOOKUP($I$4,meanT!$A$2:$D$368,G347,FALSE)</f>
        <v>10.578333333333299</v>
      </c>
      <c r="K347" t="e">
        <f t="shared" si="17"/>
        <v>#N/A</v>
      </c>
      <c r="L347" s="12" t="e">
        <v>#N/A</v>
      </c>
      <c r="M347" t="e">
        <v>#N/A</v>
      </c>
      <c r="N347" t="e">
        <v>#N/A</v>
      </c>
      <c r="O347" t="e">
        <v>#N/A</v>
      </c>
      <c r="P347" t="e">
        <v>#N/A</v>
      </c>
      <c r="Q347" t="e">
        <v>#N/A</v>
      </c>
      <c r="R347" t="e">
        <v>#N/A</v>
      </c>
      <c r="S347" t="e">
        <v>#N/A</v>
      </c>
      <c r="T347" t="e">
        <v>#N/A</v>
      </c>
    </row>
    <row r="348" spans="7:20" x14ac:dyDescent="0.25">
      <c r="G348" s="19">
        <f t="shared" si="16"/>
        <v>176</v>
      </c>
      <c r="H348" s="34">
        <f t="shared" si="18"/>
        <v>44736</v>
      </c>
      <c r="I348">
        <f>HLOOKUP($I$4,meanT!$A$2:$D$368,G348,FALSE)</f>
        <v>10.6928571428571</v>
      </c>
      <c r="K348" t="e">
        <f t="shared" si="17"/>
        <v>#N/A</v>
      </c>
      <c r="L348" s="12" t="e">
        <v>#N/A</v>
      </c>
      <c r="M348" t="e">
        <v>#N/A</v>
      </c>
      <c r="N348" t="e">
        <v>#N/A</v>
      </c>
      <c r="O348" t="e">
        <v>#N/A</v>
      </c>
      <c r="P348" t="e">
        <v>#N/A</v>
      </c>
      <c r="Q348" t="e">
        <v>#N/A</v>
      </c>
      <c r="R348" t="e">
        <v>#N/A</v>
      </c>
      <c r="S348" t="e">
        <v>#N/A</v>
      </c>
      <c r="T348" t="e">
        <v>#N/A</v>
      </c>
    </row>
    <row r="349" spans="7:20" x14ac:dyDescent="0.25">
      <c r="G349" s="19">
        <f t="shared" si="16"/>
        <v>177</v>
      </c>
      <c r="H349" s="34">
        <f t="shared" si="18"/>
        <v>44737</v>
      </c>
      <c r="I349">
        <f>HLOOKUP($I$4,meanT!$A$2:$D$368,G349,FALSE)</f>
        <v>10.8642857142857</v>
      </c>
      <c r="K349" t="e">
        <f t="shared" si="17"/>
        <v>#N/A</v>
      </c>
      <c r="L349" s="12" t="e">
        <v>#N/A</v>
      </c>
      <c r="M349" t="e">
        <v>#N/A</v>
      </c>
      <c r="N349" t="e">
        <v>#N/A</v>
      </c>
      <c r="O349" t="e">
        <v>#N/A</v>
      </c>
      <c r="P349" t="e">
        <v>#N/A</v>
      </c>
      <c r="Q349" t="e">
        <v>#N/A</v>
      </c>
      <c r="R349" t="e">
        <v>#N/A</v>
      </c>
      <c r="S349" t="e">
        <v>#N/A</v>
      </c>
      <c r="T349" t="e">
        <v>#N/A</v>
      </c>
    </row>
    <row r="350" spans="7:20" x14ac:dyDescent="0.25">
      <c r="G350" s="19">
        <f t="shared" si="16"/>
        <v>178</v>
      </c>
      <c r="H350" s="34">
        <f t="shared" si="18"/>
        <v>44738</v>
      </c>
      <c r="I350">
        <f>HLOOKUP($I$4,meanT!$A$2:$D$368,G350,FALSE)</f>
        <v>10.492857142857099</v>
      </c>
      <c r="K350" t="e">
        <f t="shared" si="17"/>
        <v>#N/A</v>
      </c>
      <c r="L350" s="12" t="e">
        <v>#N/A</v>
      </c>
      <c r="M350" t="e">
        <v>#N/A</v>
      </c>
      <c r="N350" t="e">
        <v>#N/A</v>
      </c>
      <c r="O350" t="e">
        <v>#N/A</v>
      </c>
      <c r="P350" t="e">
        <v>#N/A</v>
      </c>
      <c r="Q350" t="e">
        <v>#N/A</v>
      </c>
      <c r="R350" t="e">
        <v>#N/A</v>
      </c>
      <c r="S350" t="e">
        <v>#N/A</v>
      </c>
      <c r="T350" t="e">
        <v>#N/A</v>
      </c>
    </row>
    <row r="351" spans="7:20" x14ac:dyDescent="0.25">
      <c r="G351" s="19">
        <f t="shared" si="16"/>
        <v>179</v>
      </c>
      <c r="H351" s="34">
        <f t="shared" si="18"/>
        <v>44739</v>
      </c>
      <c r="I351">
        <f>HLOOKUP($I$4,meanT!$A$2:$D$368,G351,FALSE)</f>
        <v>10.592857142857101</v>
      </c>
      <c r="K351" t="e">
        <f t="shared" si="17"/>
        <v>#N/A</v>
      </c>
      <c r="L351" s="12" t="e">
        <v>#N/A</v>
      </c>
      <c r="M351" t="e">
        <v>#N/A</v>
      </c>
      <c r="N351" t="e">
        <v>#N/A</v>
      </c>
      <c r="O351" t="e">
        <v>#N/A</v>
      </c>
      <c r="P351" t="e">
        <v>#N/A</v>
      </c>
      <c r="Q351" t="e">
        <v>#N/A</v>
      </c>
      <c r="R351" t="e">
        <v>#N/A</v>
      </c>
      <c r="S351" t="e">
        <v>#N/A</v>
      </c>
      <c r="T351" t="e">
        <v>#N/A</v>
      </c>
    </row>
    <row r="352" spans="7:20" x14ac:dyDescent="0.25">
      <c r="G352" s="19">
        <f t="shared" si="16"/>
        <v>180</v>
      </c>
      <c r="H352" s="34">
        <f t="shared" si="18"/>
        <v>44740</v>
      </c>
      <c r="I352">
        <f>HLOOKUP($I$4,meanT!$A$2:$D$368,G352,FALSE)</f>
        <v>10.465517241379301</v>
      </c>
      <c r="K352" t="e">
        <f t="shared" si="17"/>
        <v>#N/A</v>
      </c>
      <c r="L352" s="12" t="e">
        <v>#N/A</v>
      </c>
      <c r="M352" t="e">
        <v>#N/A</v>
      </c>
      <c r="N352" t="e">
        <v>#N/A</v>
      </c>
      <c r="O352" t="e">
        <v>#N/A</v>
      </c>
      <c r="P352" t="e">
        <v>#N/A</v>
      </c>
      <c r="Q352" t="e">
        <v>#N/A</v>
      </c>
      <c r="R352" t="e">
        <v>#N/A</v>
      </c>
      <c r="S352" t="e">
        <v>#N/A</v>
      </c>
      <c r="T352" t="e">
        <v>#N/A</v>
      </c>
    </row>
    <row r="353" spans="7:20" x14ac:dyDescent="0.25">
      <c r="G353" s="19">
        <f t="shared" si="16"/>
        <v>181</v>
      </c>
      <c r="H353" s="34">
        <f t="shared" si="18"/>
        <v>44741</v>
      </c>
      <c r="I353">
        <f>HLOOKUP($I$4,meanT!$A$2:$D$368,G353,FALSE)</f>
        <v>10.572413793103401</v>
      </c>
      <c r="K353" t="e">
        <f t="shared" si="17"/>
        <v>#N/A</v>
      </c>
      <c r="L353" s="12" t="e">
        <v>#N/A</v>
      </c>
      <c r="M353" t="e">
        <v>#N/A</v>
      </c>
      <c r="N353" t="e">
        <v>#N/A</v>
      </c>
      <c r="O353" t="e">
        <v>#N/A</v>
      </c>
      <c r="P353" t="e">
        <v>#N/A</v>
      </c>
      <c r="Q353" t="e">
        <v>#N/A</v>
      </c>
      <c r="R353" t="e">
        <v>#N/A</v>
      </c>
      <c r="S353" t="e">
        <v>#N/A</v>
      </c>
      <c r="T353" t="e">
        <v>#N/A</v>
      </c>
    </row>
    <row r="354" spans="7:20" x14ac:dyDescent="0.25">
      <c r="G354" s="19">
        <f t="shared" si="16"/>
        <v>182</v>
      </c>
      <c r="H354" s="34">
        <f t="shared" si="18"/>
        <v>44742</v>
      </c>
      <c r="I354">
        <f>HLOOKUP($I$4,meanT!$A$2:$D$368,G354,FALSE)</f>
        <v>10.655357142857101</v>
      </c>
      <c r="K354" t="e">
        <f t="shared" si="17"/>
        <v>#N/A</v>
      </c>
      <c r="L354" s="12" t="e">
        <v>#N/A</v>
      </c>
      <c r="M354" t="e">
        <v>#N/A</v>
      </c>
      <c r="N354" t="e">
        <v>#N/A</v>
      </c>
      <c r="O354" t="e">
        <v>#N/A</v>
      </c>
      <c r="P354" t="e">
        <v>#N/A</v>
      </c>
      <c r="Q354" t="e">
        <v>#N/A</v>
      </c>
      <c r="R354" t="e">
        <v>#N/A</v>
      </c>
      <c r="S354" t="e">
        <v>#N/A</v>
      </c>
      <c r="T354" t="e">
        <v>#N/A</v>
      </c>
    </row>
    <row r="355" spans="7:20" x14ac:dyDescent="0.25">
      <c r="G355" s="19">
        <f t="shared" si="16"/>
        <v>183</v>
      </c>
      <c r="H355" s="34">
        <f t="shared" si="18"/>
        <v>44743</v>
      </c>
      <c r="I355">
        <f>HLOOKUP($I$4,meanT!$A$2:$D$368,G355,FALSE)</f>
        <v>10.0517857142857</v>
      </c>
      <c r="K355" t="e">
        <f t="shared" si="17"/>
        <v>#N/A</v>
      </c>
      <c r="L355" s="12" t="e">
        <v>#N/A</v>
      </c>
      <c r="M355" t="e">
        <v>#N/A</v>
      </c>
      <c r="N355" t="e">
        <v>#N/A</v>
      </c>
      <c r="O355" t="e">
        <v>#N/A</v>
      </c>
      <c r="P355" t="e">
        <v>#N/A</v>
      </c>
      <c r="Q355" t="e">
        <v>#N/A</v>
      </c>
      <c r="R355" t="e">
        <v>#N/A</v>
      </c>
      <c r="S355" t="e">
        <v>#N/A</v>
      </c>
      <c r="T355" t="e">
        <v>#N/A</v>
      </c>
    </row>
    <row r="356" spans="7:20" x14ac:dyDescent="0.25">
      <c r="G356" s="19">
        <f t="shared" si="16"/>
        <v>184</v>
      </c>
      <c r="H356" s="34">
        <f t="shared" si="18"/>
        <v>44744</v>
      </c>
      <c r="I356">
        <f>HLOOKUP($I$4,meanT!$A$2:$D$368,G356,FALSE)</f>
        <v>9.5678571428571395</v>
      </c>
      <c r="K356" t="e">
        <f t="shared" si="17"/>
        <v>#N/A</v>
      </c>
      <c r="L356" s="12" t="e">
        <v>#N/A</v>
      </c>
      <c r="M356" t="e">
        <v>#N/A</v>
      </c>
      <c r="N356" t="e">
        <v>#N/A</v>
      </c>
      <c r="O356" t="e">
        <v>#N/A</v>
      </c>
      <c r="P356" t="e">
        <v>#N/A</v>
      </c>
      <c r="Q356" t="e">
        <v>#N/A</v>
      </c>
      <c r="R356" t="e">
        <v>#N/A</v>
      </c>
      <c r="S356" t="e">
        <v>#N/A</v>
      </c>
      <c r="T356" t="e">
        <v>#N/A</v>
      </c>
    </row>
    <row r="357" spans="7:20" x14ac:dyDescent="0.25">
      <c r="G357" s="19">
        <f t="shared" si="16"/>
        <v>185</v>
      </c>
      <c r="H357" s="34">
        <f t="shared" si="18"/>
        <v>44745</v>
      </c>
      <c r="I357">
        <f>HLOOKUP($I$4,meanT!$A$2:$D$368,G357,FALSE)</f>
        <v>9.7035714285714292</v>
      </c>
      <c r="K357" t="e">
        <f t="shared" si="17"/>
        <v>#N/A</v>
      </c>
      <c r="L357" s="12" t="e">
        <v>#N/A</v>
      </c>
      <c r="M357" t="e">
        <v>#N/A</v>
      </c>
      <c r="N357" t="e">
        <v>#N/A</v>
      </c>
      <c r="O357" t="e">
        <v>#N/A</v>
      </c>
      <c r="P357" t="e">
        <v>#N/A</v>
      </c>
      <c r="Q357" t="e">
        <v>#N/A</v>
      </c>
      <c r="R357" t="e">
        <v>#N/A</v>
      </c>
      <c r="S357" t="e">
        <v>#N/A</v>
      </c>
      <c r="T357" t="e">
        <v>#N/A</v>
      </c>
    </row>
    <row r="358" spans="7:20" x14ac:dyDescent="0.25">
      <c r="G358" s="19">
        <f t="shared" si="16"/>
        <v>186</v>
      </c>
      <c r="H358" s="34">
        <f t="shared" si="18"/>
        <v>44746</v>
      </c>
      <c r="I358">
        <f>HLOOKUP($I$4,meanT!$A$2:$D$368,G358,FALSE)</f>
        <v>10.1785714285714</v>
      </c>
      <c r="K358" t="e">
        <f t="shared" si="17"/>
        <v>#N/A</v>
      </c>
      <c r="L358" s="12" t="e">
        <v>#N/A</v>
      </c>
      <c r="M358" t="e">
        <v>#N/A</v>
      </c>
      <c r="N358" t="e">
        <v>#N/A</v>
      </c>
      <c r="O358" t="e">
        <v>#N/A</v>
      </c>
      <c r="P358" t="e">
        <v>#N/A</v>
      </c>
      <c r="Q358" t="e">
        <v>#N/A</v>
      </c>
      <c r="R358" t="e">
        <v>#N/A</v>
      </c>
      <c r="S358" t="e">
        <v>#N/A</v>
      </c>
      <c r="T358" t="e">
        <v>#N/A</v>
      </c>
    </row>
    <row r="359" spans="7:20" x14ac:dyDescent="0.25">
      <c r="G359" s="19">
        <f t="shared" si="16"/>
        <v>187</v>
      </c>
      <c r="H359" s="34">
        <f t="shared" si="18"/>
        <v>44747</v>
      </c>
      <c r="I359">
        <f>HLOOKUP($I$4,meanT!$A$2:$D$368,G359,FALSE)</f>
        <v>10.675000000000001</v>
      </c>
      <c r="K359" t="e">
        <f t="shared" si="17"/>
        <v>#N/A</v>
      </c>
      <c r="L359" s="12" t="e">
        <v>#N/A</v>
      </c>
      <c r="M359" t="e">
        <v>#N/A</v>
      </c>
      <c r="N359" t="e">
        <v>#N/A</v>
      </c>
      <c r="O359" t="e">
        <v>#N/A</v>
      </c>
      <c r="P359" t="e">
        <v>#N/A</v>
      </c>
      <c r="Q359" t="e">
        <v>#N/A</v>
      </c>
      <c r="R359" t="e">
        <v>#N/A</v>
      </c>
      <c r="S359" t="e">
        <v>#N/A</v>
      </c>
      <c r="T359" t="e">
        <v>#N/A</v>
      </c>
    </row>
    <row r="360" spans="7:20" x14ac:dyDescent="0.25">
      <c r="G360" s="19">
        <f t="shared" si="16"/>
        <v>188</v>
      </c>
      <c r="H360" s="34">
        <f t="shared" si="18"/>
        <v>44748</v>
      </c>
      <c r="I360">
        <f>HLOOKUP($I$4,meanT!$A$2:$D$368,G360,FALSE)</f>
        <v>10.6303571428571</v>
      </c>
      <c r="K360" t="e">
        <f t="shared" si="17"/>
        <v>#N/A</v>
      </c>
      <c r="L360" s="12" t="e">
        <v>#N/A</v>
      </c>
      <c r="M360" t="e">
        <v>#N/A</v>
      </c>
      <c r="N360" t="e">
        <v>#N/A</v>
      </c>
      <c r="O360" t="e">
        <v>#N/A</v>
      </c>
      <c r="P360" t="e">
        <v>#N/A</v>
      </c>
      <c r="Q360" t="e">
        <v>#N/A</v>
      </c>
      <c r="R360" t="e">
        <v>#N/A</v>
      </c>
      <c r="S360" t="e">
        <v>#N/A</v>
      </c>
      <c r="T360" t="e">
        <v>#N/A</v>
      </c>
    </row>
    <row r="361" spans="7:20" x14ac:dyDescent="0.25">
      <c r="G361" s="19">
        <f t="shared" si="16"/>
        <v>189</v>
      </c>
      <c r="H361" s="34">
        <f t="shared" si="18"/>
        <v>44749</v>
      </c>
      <c r="I361">
        <f>HLOOKUP($I$4,meanT!$A$2:$D$368,G361,FALSE)</f>
        <v>10.5714285714285</v>
      </c>
      <c r="K361" t="e">
        <f t="shared" si="17"/>
        <v>#N/A</v>
      </c>
      <c r="L361" s="12" t="e">
        <v>#N/A</v>
      </c>
      <c r="M361" t="e">
        <v>#N/A</v>
      </c>
      <c r="N361" t="e">
        <v>#N/A</v>
      </c>
      <c r="O361" t="e">
        <v>#N/A</v>
      </c>
      <c r="P361" t="e">
        <v>#N/A</v>
      </c>
      <c r="Q361" t="e">
        <v>#N/A</v>
      </c>
      <c r="R361" t="e">
        <v>#N/A</v>
      </c>
      <c r="S361" t="e">
        <v>#N/A</v>
      </c>
      <c r="T361" t="e">
        <v>#N/A</v>
      </c>
    </row>
    <row r="362" spans="7:20" x14ac:dyDescent="0.25">
      <c r="G362" s="19">
        <f t="shared" si="16"/>
        <v>190</v>
      </c>
      <c r="H362" s="34">
        <f t="shared" si="18"/>
        <v>44750</v>
      </c>
      <c r="I362">
        <f>HLOOKUP($I$4,meanT!$A$2:$D$368,G362,FALSE)</f>
        <v>10.2685185185185</v>
      </c>
      <c r="K362" t="e">
        <f t="shared" si="17"/>
        <v>#N/A</v>
      </c>
      <c r="L362" s="12" t="e">
        <v>#N/A</v>
      </c>
      <c r="M362" t="e">
        <v>#N/A</v>
      </c>
      <c r="N362" t="e">
        <v>#N/A</v>
      </c>
      <c r="O362" t="e">
        <v>#N/A</v>
      </c>
      <c r="P362" t="e">
        <v>#N/A</v>
      </c>
      <c r="Q362" t="e">
        <v>#N/A</v>
      </c>
      <c r="R362" t="e">
        <v>#N/A</v>
      </c>
      <c r="S362" t="e">
        <v>#N/A</v>
      </c>
      <c r="T362" t="e">
        <v>#N/A</v>
      </c>
    </row>
    <row r="363" spans="7:20" x14ac:dyDescent="0.25">
      <c r="G363" s="19">
        <f t="shared" si="16"/>
        <v>191</v>
      </c>
      <c r="H363" s="34">
        <f t="shared" si="18"/>
        <v>44751</v>
      </c>
      <c r="I363">
        <f>HLOOKUP($I$4,meanT!$A$2:$D$368,G363,FALSE)</f>
        <v>10.4166666666666</v>
      </c>
      <c r="K363" t="e">
        <f t="shared" si="17"/>
        <v>#N/A</v>
      </c>
      <c r="L363" s="12" t="e">
        <v>#N/A</v>
      </c>
      <c r="M363" t="e">
        <v>#N/A</v>
      </c>
      <c r="N363" t="e">
        <v>#N/A</v>
      </c>
      <c r="O363" t="e">
        <v>#N/A</v>
      </c>
      <c r="P363" t="e">
        <v>#N/A</v>
      </c>
      <c r="Q363" t="e">
        <v>#N/A</v>
      </c>
      <c r="R363" t="e">
        <v>#N/A</v>
      </c>
      <c r="S363" t="e">
        <v>#N/A</v>
      </c>
      <c r="T363" t="e">
        <v>#N/A</v>
      </c>
    </row>
    <row r="364" spans="7:20" x14ac:dyDescent="0.25">
      <c r="G364" s="19">
        <f t="shared" si="16"/>
        <v>192</v>
      </c>
      <c r="H364" s="34">
        <f t="shared" si="18"/>
        <v>44752</v>
      </c>
      <c r="I364">
        <f>HLOOKUP($I$4,meanT!$A$2:$D$368,G364,FALSE)</f>
        <v>9.7703703703703706</v>
      </c>
      <c r="K364" t="e">
        <f t="shared" si="17"/>
        <v>#N/A</v>
      </c>
      <c r="L364" s="12" t="e">
        <v>#N/A</v>
      </c>
      <c r="M364" t="e">
        <v>#N/A</v>
      </c>
      <c r="N364" t="e">
        <v>#N/A</v>
      </c>
      <c r="O364" t="e">
        <v>#N/A</v>
      </c>
      <c r="P364" t="e">
        <v>#N/A</v>
      </c>
      <c r="Q364" t="e">
        <v>#N/A</v>
      </c>
      <c r="R364" t="e">
        <v>#N/A</v>
      </c>
      <c r="S364" t="e">
        <v>#N/A</v>
      </c>
      <c r="T364" t="e">
        <v>#N/A</v>
      </c>
    </row>
    <row r="365" spans="7:20" x14ac:dyDescent="0.25">
      <c r="G365" s="19">
        <f t="shared" si="16"/>
        <v>193</v>
      </c>
      <c r="H365" s="34">
        <f t="shared" si="18"/>
        <v>44753</v>
      </c>
      <c r="I365">
        <f>HLOOKUP($I$4,meanT!$A$2:$D$368,G365,FALSE)</f>
        <v>9.4057692307692307</v>
      </c>
      <c r="K365" t="e">
        <f t="shared" si="17"/>
        <v>#N/A</v>
      </c>
      <c r="L365" s="12" t="e">
        <v>#N/A</v>
      </c>
      <c r="M365" t="e">
        <v>#N/A</v>
      </c>
      <c r="N365" t="e">
        <v>#N/A</v>
      </c>
      <c r="O365" t="e">
        <v>#N/A</v>
      </c>
      <c r="P365" t="e">
        <v>#N/A</v>
      </c>
      <c r="Q365" t="e">
        <v>#N/A</v>
      </c>
      <c r="R365" t="e">
        <v>#N/A</v>
      </c>
      <c r="S365" t="e">
        <v>#N/A</v>
      </c>
      <c r="T365" t="e">
        <v>#N/A</v>
      </c>
    </row>
    <row r="366" spans="7:20" x14ac:dyDescent="0.25">
      <c r="G366" s="19">
        <f t="shared" si="16"/>
        <v>194</v>
      </c>
      <c r="H366" s="34">
        <f t="shared" si="18"/>
        <v>44754</v>
      </c>
      <c r="I366">
        <f>HLOOKUP($I$4,meanT!$A$2:$D$368,G366,FALSE)</f>
        <v>9.7037037037037006</v>
      </c>
      <c r="K366" t="e">
        <f t="shared" si="17"/>
        <v>#N/A</v>
      </c>
      <c r="L366" s="12" t="e">
        <v>#N/A</v>
      </c>
      <c r="M366" t="e">
        <v>#N/A</v>
      </c>
      <c r="N366" t="e">
        <v>#N/A</v>
      </c>
      <c r="O366" t="e">
        <v>#N/A</v>
      </c>
      <c r="P366" t="e">
        <v>#N/A</v>
      </c>
      <c r="Q366" t="e">
        <v>#N/A</v>
      </c>
      <c r="R366" t="e">
        <v>#N/A</v>
      </c>
      <c r="S366" t="e">
        <v>#N/A</v>
      </c>
      <c r="T366" t="e">
        <v>#N/A</v>
      </c>
    </row>
    <row r="367" spans="7:20" x14ac:dyDescent="0.25">
      <c r="G367" s="19">
        <f t="shared" si="16"/>
        <v>195</v>
      </c>
      <c r="H367" s="34">
        <f t="shared" si="18"/>
        <v>44755</v>
      </c>
      <c r="I367">
        <f>HLOOKUP($I$4,meanT!$A$2:$D$368,G367,FALSE)</f>
        <v>9.875</v>
      </c>
      <c r="K367" t="e">
        <f t="shared" si="17"/>
        <v>#N/A</v>
      </c>
      <c r="L367" s="12" t="e">
        <v>#N/A</v>
      </c>
      <c r="M367" t="e">
        <v>#N/A</v>
      </c>
      <c r="N367" t="e">
        <v>#N/A</v>
      </c>
      <c r="O367" t="e">
        <v>#N/A</v>
      </c>
      <c r="P367" t="e">
        <v>#N/A</v>
      </c>
      <c r="Q367" t="e">
        <v>#N/A</v>
      </c>
      <c r="R367" t="e">
        <v>#N/A</v>
      </c>
      <c r="S367" t="e">
        <v>#N/A</v>
      </c>
      <c r="T367" t="e">
        <v>#N/A</v>
      </c>
    </row>
    <row r="368" spans="7:20" x14ac:dyDescent="0.25">
      <c r="G368" s="19">
        <f t="shared" si="16"/>
        <v>196</v>
      </c>
      <c r="H368" s="34">
        <f t="shared" si="18"/>
        <v>44756</v>
      </c>
      <c r="I368">
        <f>HLOOKUP($I$4,meanT!$A$2:$D$368,G368,FALSE)</f>
        <v>9.4732142857142794</v>
      </c>
      <c r="K368" t="e">
        <f t="shared" si="17"/>
        <v>#N/A</v>
      </c>
      <c r="L368" s="12" t="e">
        <v>#N/A</v>
      </c>
      <c r="M368" t="e">
        <v>#N/A</v>
      </c>
      <c r="N368" t="e">
        <v>#N/A</v>
      </c>
      <c r="O368" t="e">
        <v>#N/A</v>
      </c>
      <c r="P368" t="e">
        <v>#N/A</v>
      </c>
      <c r="Q368" t="e">
        <v>#N/A</v>
      </c>
      <c r="R368" t="e">
        <v>#N/A</v>
      </c>
      <c r="S368" t="e">
        <v>#N/A</v>
      </c>
      <c r="T368" t="e">
        <v>#N/A</v>
      </c>
    </row>
    <row r="369" spans="7:20" x14ac:dyDescent="0.25">
      <c r="G369" s="19">
        <f t="shared" si="16"/>
        <v>197</v>
      </c>
      <c r="H369" s="34">
        <f t="shared" si="18"/>
        <v>44757</v>
      </c>
      <c r="I369">
        <f>HLOOKUP($I$4,meanT!$A$2:$D$368,G369,FALSE)</f>
        <v>10.3732142857142</v>
      </c>
      <c r="K369" t="e">
        <f t="shared" si="17"/>
        <v>#N/A</v>
      </c>
      <c r="L369" s="12" t="e">
        <v>#N/A</v>
      </c>
      <c r="M369" t="e">
        <v>#N/A</v>
      </c>
      <c r="N369" t="e">
        <v>#N/A</v>
      </c>
      <c r="O369" t="e">
        <v>#N/A</v>
      </c>
      <c r="P369" t="e">
        <v>#N/A</v>
      </c>
      <c r="Q369" t="e">
        <v>#N/A</v>
      </c>
      <c r="R369" t="e">
        <v>#N/A</v>
      </c>
      <c r="S369" t="e">
        <v>#N/A</v>
      </c>
      <c r="T369" t="e">
        <v>#N/A</v>
      </c>
    </row>
    <row r="370" spans="7:20" x14ac:dyDescent="0.25">
      <c r="G370" s="19">
        <f t="shared" si="16"/>
        <v>198</v>
      </c>
      <c r="H370" s="34">
        <f t="shared" si="18"/>
        <v>44758</v>
      </c>
      <c r="I370">
        <f>HLOOKUP($I$4,meanT!$A$2:$D$368,G370,FALSE)</f>
        <v>10.9428571428571</v>
      </c>
      <c r="K370" t="e">
        <f t="shared" si="17"/>
        <v>#N/A</v>
      </c>
      <c r="L370" s="12" t="e">
        <v>#N/A</v>
      </c>
      <c r="M370" t="e">
        <v>#N/A</v>
      </c>
      <c r="N370" t="e">
        <v>#N/A</v>
      </c>
      <c r="O370" t="e">
        <v>#N/A</v>
      </c>
      <c r="P370" t="e">
        <v>#N/A</v>
      </c>
      <c r="Q370" t="e">
        <v>#N/A</v>
      </c>
      <c r="R370" t="e">
        <v>#N/A</v>
      </c>
      <c r="S370" t="e">
        <v>#N/A</v>
      </c>
      <c r="T370" t="e">
        <v>#N/A</v>
      </c>
    </row>
    <row r="371" spans="7:20" x14ac:dyDescent="0.25">
      <c r="G371" s="19">
        <f t="shared" si="16"/>
        <v>199</v>
      </c>
      <c r="H371" s="34">
        <f t="shared" si="18"/>
        <v>44759</v>
      </c>
      <c r="I371">
        <f>HLOOKUP($I$4,meanT!$A$2:$D$368,G371,FALSE)</f>
        <v>10.689655172413699</v>
      </c>
      <c r="K371" t="e">
        <f t="shared" si="17"/>
        <v>#N/A</v>
      </c>
      <c r="L371" s="12" t="e">
        <v>#N/A</v>
      </c>
      <c r="M371" t="e">
        <v>#N/A</v>
      </c>
      <c r="N371" t="e">
        <v>#N/A</v>
      </c>
      <c r="O371" t="e">
        <v>#N/A</v>
      </c>
      <c r="P371" t="e">
        <v>#N/A</v>
      </c>
      <c r="Q371" t="e">
        <v>#N/A</v>
      </c>
      <c r="R371" t="e">
        <v>#N/A</v>
      </c>
      <c r="S371" t="e">
        <v>#N/A</v>
      </c>
      <c r="T371" t="e">
        <v>#N/A</v>
      </c>
    </row>
    <row r="372" spans="7:20" x14ac:dyDescent="0.25">
      <c r="G372" s="19">
        <f t="shared" si="16"/>
        <v>200</v>
      </c>
      <c r="H372" s="34">
        <f t="shared" si="18"/>
        <v>44760</v>
      </c>
      <c r="I372">
        <f>HLOOKUP($I$4,meanT!$A$2:$D$368,G372,FALSE)</f>
        <v>10.322413793103401</v>
      </c>
      <c r="K372" t="e">
        <f t="shared" si="17"/>
        <v>#N/A</v>
      </c>
      <c r="L372" s="12" t="e">
        <v>#N/A</v>
      </c>
      <c r="M372" t="e">
        <v>#N/A</v>
      </c>
      <c r="N372" t="e">
        <v>#N/A</v>
      </c>
      <c r="O372" t="e">
        <v>#N/A</v>
      </c>
      <c r="P372" t="e">
        <v>#N/A</v>
      </c>
      <c r="Q372" t="e">
        <v>#N/A</v>
      </c>
      <c r="R372" t="e">
        <v>#N/A</v>
      </c>
      <c r="S372" t="e">
        <v>#N/A</v>
      </c>
      <c r="T372" t="e">
        <v>#N/A</v>
      </c>
    </row>
    <row r="373" spans="7:20" x14ac:dyDescent="0.25">
      <c r="G373" s="19">
        <f t="shared" si="16"/>
        <v>201</v>
      </c>
      <c r="H373" s="34">
        <f t="shared" si="18"/>
        <v>44761</v>
      </c>
      <c r="I373">
        <f>HLOOKUP($I$4,meanT!$A$2:$D$368,G373,FALSE)</f>
        <v>10.189655172413699</v>
      </c>
      <c r="K373" t="e">
        <f t="shared" si="17"/>
        <v>#N/A</v>
      </c>
      <c r="L373" s="12" t="e">
        <v>#N/A</v>
      </c>
      <c r="M373" t="e">
        <v>#N/A</v>
      </c>
      <c r="N373" t="e">
        <v>#N/A</v>
      </c>
      <c r="O373" t="e">
        <v>#N/A</v>
      </c>
      <c r="P373" t="e">
        <v>#N/A</v>
      </c>
      <c r="Q373" t="e">
        <v>#N/A</v>
      </c>
      <c r="R373" t="e">
        <v>#N/A</v>
      </c>
      <c r="S373" t="e">
        <v>#N/A</v>
      </c>
      <c r="T373" t="e">
        <v>#N/A</v>
      </c>
    </row>
    <row r="374" spans="7:20" x14ac:dyDescent="0.25">
      <c r="G374" s="19">
        <f t="shared" si="16"/>
        <v>202</v>
      </c>
      <c r="H374" s="34">
        <f t="shared" si="18"/>
        <v>44762</v>
      </c>
      <c r="I374">
        <f>HLOOKUP($I$4,meanT!$A$2:$D$368,G374,FALSE)</f>
        <v>10.668333333333299</v>
      </c>
      <c r="K374" t="e">
        <f t="shared" si="17"/>
        <v>#N/A</v>
      </c>
      <c r="L374" s="12" t="e">
        <v>#N/A</v>
      </c>
      <c r="M374" t="e">
        <v>#N/A</v>
      </c>
      <c r="N374" t="e">
        <v>#N/A</v>
      </c>
      <c r="O374" t="e">
        <v>#N/A</v>
      </c>
      <c r="P374" t="e">
        <v>#N/A</v>
      </c>
      <c r="Q374" t="e">
        <v>#N/A</v>
      </c>
      <c r="R374" t="e">
        <v>#N/A</v>
      </c>
      <c r="S374" t="e">
        <v>#N/A</v>
      </c>
      <c r="T374" t="e">
        <v>#N/A</v>
      </c>
    </row>
    <row r="375" spans="7:20" x14ac:dyDescent="0.25">
      <c r="G375" s="19">
        <f t="shared" si="16"/>
        <v>203</v>
      </c>
      <c r="H375" s="34">
        <f t="shared" si="18"/>
        <v>44763</v>
      </c>
      <c r="I375">
        <f>HLOOKUP($I$4,meanT!$A$2:$D$368,G375,FALSE)</f>
        <v>10.181666666666599</v>
      </c>
      <c r="K375" t="e">
        <f t="shared" si="17"/>
        <v>#N/A</v>
      </c>
      <c r="L375" s="12" t="e">
        <v>#N/A</v>
      </c>
      <c r="M375" t="e">
        <v>#N/A</v>
      </c>
      <c r="N375" t="e">
        <v>#N/A</v>
      </c>
      <c r="O375" t="e">
        <v>#N/A</v>
      </c>
      <c r="P375" t="e">
        <v>#N/A</v>
      </c>
      <c r="Q375" t="e">
        <v>#N/A</v>
      </c>
      <c r="R375" t="e">
        <v>#N/A</v>
      </c>
      <c r="S375" t="e">
        <v>#N/A</v>
      </c>
      <c r="T375" t="e">
        <v>#N/A</v>
      </c>
    </row>
    <row r="376" spans="7:20" x14ac:dyDescent="0.25">
      <c r="G376" s="19">
        <f t="shared" si="16"/>
        <v>204</v>
      </c>
      <c r="H376" s="34">
        <f t="shared" si="18"/>
        <v>44764</v>
      </c>
      <c r="I376">
        <f>HLOOKUP($I$4,meanT!$A$2:$D$368,G376,FALSE)</f>
        <v>10.761666666666599</v>
      </c>
      <c r="K376" t="e">
        <f t="shared" si="17"/>
        <v>#N/A</v>
      </c>
      <c r="L376" s="12" t="e">
        <v>#N/A</v>
      </c>
      <c r="M376" t="e">
        <v>#N/A</v>
      </c>
      <c r="N376" t="e">
        <v>#N/A</v>
      </c>
      <c r="O376" t="e">
        <v>#N/A</v>
      </c>
      <c r="P376" t="e">
        <v>#N/A</v>
      </c>
      <c r="Q376" t="e">
        <v>#N/A</v>
      </c>
      <c r="R376" t="e">
        <v>#N/A</v>
      </c>
      <c r="S376" t="e">
        <v>#N/A</v>
      </c>
      <c r="T376" t="e">
        <v>#N/A</v>
      </c>
    </row>
    <row r="377" spans="7:20" x14ac:dyDescent="0.25">
      <c r="G377" s="19">
        <f t="shared" si="16"/>
        <v>205</v>
      </c>
      <c r="H377" s="34">
        <f t="shared" si="18"/>
        <v>44765</v>
      </c>
      <c r="I377">
        <f>HLOOKUP($I$4,meanT!$A$2:$D$368,G377,FALSE)</f>
        <v>10.623333333333299</v>
      </c>
      <c r="K377" t="e">
        <f t="shared" si="17"/>
        <v>#N/A</v>
      </c>
      <c r="L377" s="12" t="e">
        <v>#N/A</v>
      </c>
      <c r="M377" t="e">
        <v>#N/A</v>
      </c>
      <c r="N377" t="e">
        <v>#N/A</v>
      </c>
      <c r="O377" t="e">
        <v>#N/A</v>
      </c>
      <c r="P377" t="e">
        <v>#N/A</v>
      </c>
      <c r="Q377" t="e">
        <v>#N/A</v>
      </c>
      <c r="R377" t="e">
        <v>#N/A</v>
      </c>
      <c r="S377" t="e">
        <v>#N/A</v>
      </c>
      <c r="T377" t="e">
        <v>#N/A</v>
      </c>
    </row>
    <row r="378" spans="7:20" x14ac:dyDescent="0.25">
      <c r="G378" s="19">
        <f t="shared" si="16"/>
        <v>206</v>
      </c>
      <c r="H378" s="34">
        <f t="shared" si="18"/>
        <v>44766</v>
      </c>
      <c r="I378">
        <f>HLOOKUP($I$4,meanT!$A$2:$D$368,G378,FALSE)</f>
        <v>10.654999999999999</v>
      </c>
      <c r="K378" t="e">
        <f t="shared" si="17"/>
        <v>#N/A</v>
      </c>
      <c r="L378" s="12" t="e">
        <v>#N/A</v>
      </c>
      <c r="M378" t="e">
        <v>#N/A</v>
      </c>
      <c r="N378" t="e">
        <v>#N/A</v>
      </c>
      <c r="O378" t="e">
        <v>#N/A</v>
      </c>
      <c r="P378" t="e">
        <v>#N/A</v>
      </c>
      <c r="Q378" t="e">
        <v>#N/A</v>
      </c>
      <c r="R378" t="e">
        <v>#N/A</v>
      </c>
      <c r="S378" t="e">
        <v>#N/A</v>
      </c>
      <c r="T378" t="e">
        <v>#N/A</v>
      </c>
    </row>
    <row r="379" spans="7:20" x14ac:dyDescent="0.25">
      <c r="G379" s="19">
        <f t="shared" si="16"/>
        <v>207</v>
      </c>
      <c r="H379" s="34">
        <f t="shared" si="18"/>
        <v>44767</v>
      </c>
      <c r="I379">
        <f>HLOOKUP($I$4,meanT!$A$2:$D$368,G379,FALSE)</f>
        <v>10.085000000000001</v>
      </c>
      <c r="K379" t="e">
        <f t="shared" si="17"/>
        <v>#N/A</v>
      </c>
      <c r="L379" s="12" t="e">
        <v>#N/A</v>
      </c>
      <c r="M379" t="e">
        <v>#N/A</v>
      </c>
      <c r="N379" t="e">
        <v>#N/A</v>
      </c>
      <c r="O379" t="e">
        <v>#N/A</v>
      </c>
      <c r="P379" t="e">
        <v>#N/A</v>
      </c>
      <c r="Q379" t="e">
        <v>#N/A</v>
      </c>
      <c r="R379" t="e">
        <v>#N/A</v>
      </c>
      <c r="S379" t="e">
        <v>#N/A</v>
      </c>
      <c r="T379" t="e">
        <v>#N/A</v>
      </c>
    </row>
    <row r="380" spans="7:20" x14ac:dyDescent="0.25">
      <c r="G380" s="19">
        <f t="shared" si="16"/>
        <v>208</v>
      </c>
      <c r="H380" s="34">
        <f t="shared" si="18"/>
        <v>44768</v>
      </c>
      <c r="I380">
        <f>HLOOKUP($I$4,meanT!$A$2:$D$368,G380,FALSE)</f>
        <v>9.99</v>
      </c>
      <c r="K380" t="e">
        <f t="shared" si="17"/>
        <v>#N/A</v>
      </c>
      <c r="L380" s="12" t="e">
        <v>#N/A</v>
      </c>
      <c r="M380" t="e">
        <v>#N/A</v>
      </c>
      <c r="N380" t="e">
        <v>#N/A</v>
      </c>
      <c r="O380" t="e">
        <v>#N/A</v>
      </c>
      <c r="P380" t="e">
        <v>#N/A</v>
      </c>
      <c r="Q380" t="e">
        <v>#N/A</v>
      </c>
      <c r="R380" t="e">
        <v>#N/A</v>
      </c>
      <c r="S380" t="e">
        <v>#N/A</v>
      </c>
      <c r="T380" t="e">
        <v>#N/A</v>
      </c>
    </row>
    <row r="381" spans="7:20" x14ac:dyDescent="0.25">
      <c r="G381" s="19">
        <f t="shared" si="16"/>
        <v>209</v>
      </c>
      <c r="H381" s="34">
        <f t="shared" si="18"/>
        <v>44769</v>
      </c>
      <c r="I381">
        <f>HLOOKUP($I$4,meanT!$A$2:$D$368,G381,FALSE)</f>
        <v>10.4116666666666</v>
      </c>
      <c r="K381" t="e">
        <f t="shared" si="17"/>
        <v>#N/A</v>
      </c>
      <c r="L381" s="12" t="e">
        <v>#N/A</v>
      </c>
      <c r="M381" t="e">
        <v>#N/A</v>
      </c>
      <c r="N381" t="e">
        <v>#N/A</v>
      </c>
      <c r="O381" t="e">
        <v>#N/A</v>
      </c>
      <c r="P381" t="e">
        <v>#N/A</v>
      </c>
      <c r="Q381" t="e">
        <v>#N/A</v>
      </c>
      <c r="R381" t="e">
        <v>#N/A</v>
      </c>
      <c r="S381" t="e">
        <v>#N/A</v>
      </c>
      <c r="T381" t="e">
        <v>#N/A</v>
      </c>
    </row>
    <row r="382" spans="7:20" x14ac:dyDescent="0.25">
      <c r="G382" s="19">
        <f t="shared" si="16"/>
        <v>210</v>
      </c>
      <c r="H382" s="34">
        <f t="shared" si="18"/>
        <v>44770</v>
      </c>
      <c r="I382">
        <f>HLOOKUP($I$4,meanT!$A$2:$D$368,G382,FALSE)</f>
        <v>10.494999999999999</v>
      </c>
      <c r="K382" t="e">
        <f t="shared" si="17"/>
        <v>#N/A</v>
      </c>
      <c r="L382" s="12" t="e">
        <v>#N/A</v>
      </c>
      <c r="M382" t="e">
        <v>#N/A</v>
      </c>
      <c r="N382" t="e">
        <v>#N/A</v>
      </c>
      <c r="O382" t="e">
        <v>#N/A</v>
      </c>
      <c r="P382" t="e">
        <v>#N/A</v>
      </c>
      <c r="Q382" t="e">
        <v>#N/A</v>
      </c>
      <c r="R382" t="e">
        <v>#N/A</v>
      </c>
      <c r="S382" t="e">
        <v>#N/A</v>
      </c>
      <c r="T382" t="e">
        <v>#N/A</v>
      </c>
    </row>
    <row r="383" spans="7:20" x14ac:dyDescent="0.25">
      <c r="G383" s="19">
        <f t="shared" si="16"/>
        <v>211</v>
      </c>
      <c r="H383" s="34">
        <f t="shared" si="18"/>
        <v>44771</v>
      </c>
      <c r="I383">
        <f>HLOOKUP($I$4,meanT!$A$2:$D$368,G383,FALSE)</f>
        <v>10.685</v>
      </c>
      <c r="K383" t="e">
        <f t="shared" si="17"/>
        <v>#N/A</v>
      </c>
      <c r="L383" s="12" t="e">
        <v>#N/A</v>
      </c>
      <c r="M383" t="e">
        <v>#N/A</v>
      </c>
      <c r="N383" t="e">
        <v>#N/A</v>
      </c>
      <c r="O383" t="e">
        <v>#N/A</v>
      </c>
      <c r="P383" t="e">
        <v>#N/A</v>
      </c>
      <c r="Q383" t="e">
        <v>#N/A</v>
      </c>
      <c r="R383" t="e">
        <v>#N/A</v>
      </c>
      <c r="S383" t="e">
        <v>#N/A</v>
      </c>
      <c r="T383" t="e">
        <v>#N/A</v>
      </c>
    </row>
    <row r="384" spans="7:20" x14ac:dyDescent="0.25">
      <c r="G384" s="19">
        <f t="shared" si="16"/>
        <v>212</v>
      </c>
      <c r="H384" s="34">
        <f t="shared" si="18"/>
        <v>44772</v>
      </c>
      <c r="I384">
        <f>HLOOKUP($I$4,meanT!$A$2:$D$368,G384,FALSE)</f>
        <v>10.678333333333301</v>
      </c>
      <c r="K384" t="e">
        <f t="shared" si="17"/>
        <v>#N/A</v>
      </c>
      <c r="L384" s="12" t="e">
        <v>#N/A</v>
      </c>
      <c r="M384" t="e">
        <v>#N/A</v>
      </c>
      <c r="N384" t="e">
        <v>#N/A</v>
      </c>
      <c r="O384" t="e">
        <v>#N/A</v>
      </c>
      <c r="P384" t="e">
        <v>#N/A</v>
      </c>
      <c r="Q384" t="e">
        <v>#N/A</v>
      </c>
      <c r="R384" t="e">
        <v>#N/A</v>
      </c>
      <c r="S384" t="e">
        <v>#N/A</v>
      </c>
      <c r="T384" t="e">
        <v>#N/A</v>
      </c>
    </row>
    <row r="385" spans="7:20" x14ac:dyDescent="0.25">
      <c r="G385" s="19">
        <f t="shared" si="16"/>
        <v>213</v>
      </c>
      <c r="H385" s="34">
        <f t="shared" si="18"/>
        <v>44773</v>
      </c>
      <c r="I385">
        <f>HLOOKUP($I$4,meanT!$A$2:$D$368,G385,FALSE)</f>
        <v>10.767241379310301</v>
      </c>
      <c r="K385" t="e">
        <f t="shared" si="17"/>
        <v>#N/A</v>
      </c>
      <c r="L385" s="12" t="e">
        <v>#N/A</v>
      </c>
      <c r="M385" t="e">
        <v>#N/A</v>
      </c>
      <c r="N385" t="e">
        <v>#N/A</v>
      </c>
      <c r="O385" t="e">
        <v>#N/A</v>
      </c>
      <c r="P385" t="e">
        <v>#N/A</v>
      </c>
      <c r="Q385" t="e">
        <v>#N/A</v>
      </c>
      <c r="R385" t="e">
        <v>#N/A</v>
      </c>
      <c r="S385" t="e">
        <v>#N/A</v>
      </c>
      <c r="T385" t="e">
        <v>#N/A</v>
      </c>
    </row>
    <row r="386" spans="7:20" x14ac:dyDescent="0.25">
      <c r="G386" s="19">
        <f t="shared" si="16"/>
        <v>214</v>
      </c>
      <c r="H386" s="34">
        <f t="shared" si="18"/>
        <v>44774</v>
      </c>
      <c r="I386">
        <f>HLOOKUP($I$4,meanT!$A$2:$D$368,G386,FALSE)</f>
        <v>10.815</v>
      </c>
      <c r="K386" t="e">
        <f t="shared" si="17"/>
        <v>#N/A</v>
      </c>
      <c r="L386" s="12" t="e">
        <v>#N/A</v>
      </c>
      <c r="M386" t="e">
        <v>#N/A</v>
      </c>
      <c r="N386" t="e">
        <v>#N/A</v>
      </c>
      <c r="O386" t="e">
        <v>#N/A</v>
      </c>
      <c r="P386" t="e">
        <v>#N/A</v>
      </c>
      <c r="Q386" t="e">
        <v>#N/A</v>
      </c>
      <c r="R386" t="e">
        <v>#N/A</v>
      </c>
      <c r="S386" t="e">
        <v>#N/A</v>
      </c>
      <c r="T386" t="e">
        <v>#N/A</v>
      </c>
    </row>
    <row r="387" spans="7:20" x14ac:dyDescent="0.25">
      <c r="G387" s="19">
        <f t="shared" si="16"/>
        <v>215</v>
      </c>
      <c r="H387" s="34">
        <f t="shared" si="18"/>
        <v>44775</v>
      </c>
      <c r="I387">
        <f>HLOOKUP($I$4,meanT!$A$2:$D$368,G387,FALSE)</f>
        <v>11.156666666666601</v>
      </c>
      <c r="K387" t="e">
        <f t="shared" si="17"/>
        <v>#N/A</v>
      </c>
      <c r="L387" s="12" t="e">
        <v>#N/A</v>
      </c>
      <c r="M387" t="e">
        <v>#N/A</v>
      </c>
      <c r="N387" t="e">
        <v>#N/A</v>
      </c>
      <c r="O387" t="e">
        <v>#N/A</v>
      </c>
      <c r="P387" t="e">
        <v>#N/A</v>
      </c>
      <c r="Q387" t="e">
        <v>#N/A</v>
      </c>
      <c r="R387" t="e">
        <v>#N/A</v>
      </c>
      <c r="S387" t="e">
        <v>#N/A</v>
      </c>
      <c r="T387" t="e">
        <v>#N/A</v>
      </c>
    </row>
    <row r="388" spans="7:20" x14ac:dyDescent="0.25">
      <c r="G388" s="19">
        <f t="shared" si="16"/>
        <v>216</v>
      </c>
      <c r="H388" s="34">
        <f t="shared" si="18"/>
        <v>44776</v>
      </c>
      <c r="I388">
        <f>HLOOKUP($I$4,meanT!$A$2:$D$368,G388,FALSE)</f>
        <v>11.0879310344827</v>
      </c>
      <c r="K388" t="e">
        <f t="shared" si="17"/>
        <v>#N/A</v>
      </c>
      <c r="L388" s="12" t="e">
        <v>#N/A</v>
      </c>
      <c r="M388" t="e">
        <v>#N/A</v>
      </c>
      <c r="N388" t="e">
        <v>#N/A</v>
      </c>
      <c r="O388" t="e">
        <v>#N/A</v>
      </c>
      <c r="P388" t="e">
        <v>#N/A</v>
      </c>
      <c r="Q388" t="e">
        <v>#N/A</v>
      </c>
      <c r="R388" t="e">
        <v>#N/A</v>
      </c>
      <c r="S388" t="e">
        <v>#N/A</v>
      </c>
      <c r="T388" t="e">
        <v>#N/A</v>
      </c>
    </row>
    <row r="389" spans="7:20" x14ac:dyDescent="0.25">
      <c r="G389" s="19">
        <f t="shared" si="16"/>
        <v>217</v>
      </c>
      <c r="H389" s="34">
        <f t="shared" si="18"/>
        <v>44777</v>
      </c>
      <c r="I389">
        <f>HLOOKUP($I$4,meanT!$A$2:$D$368,G389,FALSE)</f>
        <v>10.9965517241379</v>
      </c>
      <c r="K389" t="e">
        <f t="shared" si="17"/>
        <v>#N/A</v>
      </c>
      <c r="L389" s="12" t="e">
        <v>#N/A</v>
      </c>
      <c r="M389" t="e">
        <v>#N/A</v>
      </c>
      <c r="N389" t="e">
        <v>#N/A</v>
      </c>
      <c r="O389" t="e">
        <v>#N/A</v>
      </c>
      <c r="P389" t="e">
        <v>#N/A</v>
      </c>
      <c r="Q389" t="e">
        <v>#N/A</v>
      </c>
      <c r="R389" t="e">
        <v>#N/A</v>
      </c>
      <c r="S389" t="e">
        <v>#N/A</v>
      </c>
      <c r="T389" t="e">
        <v>#N/A</v>
      </c>
    </row>
    <row r="390" spans="7:20" x14ac:dyDescent="0.25">
      <c r="G390" s="19">
        <f t="shared" si="16"/>
        <v>218</v>
      </c>
      <c r="H390" s="34">
        <f t="shared" si="18"/>
        <v>44778</v>
      </c>
      <c r="I390">
        <f>HLOOKUP($I$4,meanT!$A$2:$D$368,G390,FALSE)</f>
        <v>10.706395995550601</v>
      </c>
      <c r="K390" t="e">
        <f t="shared" si="17"/>
        <v>#N/A</v>
      </c>
      <c r="L390" s="12" t="e">
        <v>#N/A</v>
      </c>
      <c r="M390" t="e">
        <v>#N/A</v>
      </c>
      <c r="N390" t="e">
        <v>#N/A</v>
      </c>
      <c r="O390" t="e">
        <v>#N/A</v>
      </c>
      <c r="P390" t="e">
        <v>#N/A</v>
      </c>
      <c r="Q390" t="e">
        <v>#N/A</v>
      </c>
      <c r="R390" t="e">
        <v>#N/A</v>
      </c>
      <c r="S390" t="e">
        <v>#N/A</v>
      </c>
      <c r="T390" t="e">
        <v>#N/A</v>
      </c>
    </row>
    <row r="391" spans="7:20" x14ac:dyDescent="0.25">
      <c r="G391" s="19">
        <f t="shared" ref="G391:G454" si="19">H391-DATE(YEAR(H391),1,0)+1</f>
        <v>219</v>
      </c>
      <c r="H391" s="34">
        <f t="shared" si="18"/>
        <v>44779</v>
      </c>
      <c r="I391">
        <f>HLOOKUP($I$4,meanT!$A$2:$D$368,G391,FALSE)</f>
        <v>10.6327586206896</v>
      </c>
      <c r="K391" t="e">
        <f t="shared" ref="K391:K454" si="20">AND(IF(L391&gt;($B$24-1),TRUE,FALSE),IF(L391&lt;($B$26+1),TRUE,FALSE))</f>
        <v>#N/A</v>
      </c>
      <c r="L391" s="12" t="e">
        <v>#N/A</v>
      </c>
      <c r="M391" t="e">
        <v>#N/A</v>
      </c>
      <c r="N391" t="e">
        <v>#N/A</v>
      </c>
      <c r="O391" t="e">
        <v>#N/A</v>
      </c>
      <c r="P391" t="e">
        <v>#N/A</v>
      </c>
      <c r="Q391" t="e">
        <v>#N/A</v>
      </c>
      <c r="R391" t="e">
        <v>#N/A</v>
      </c>
      <c r="S391" t="e">
        <v>#N/A</v>
      </c>
      <c r="T391" t="e">
        <v>#N/A</v>
      </c>
    </row>
    <row r="392" spans="7:20" x14ac:dyDescent="0.25">
      <c r="G392" s="19">
        <f t="shared" si="19"/>
        <v>220</v>
      </c>
      <c r="H392" s="34">
        <f t="shared" ref="H392:H455" si="21">H391+1</f>
        <v>44780</v>
      </c>
      <c r="I392">
        <f>HLOOKUP($I$4,meanT!$A$2:$D$368,G392,FALSE)</f>
        <v>10.7362068965517</v>
      </c>
      <c r="K392" t="e">
        <f t="shared" si="20"/>
        <v>#N/A</v>
      </c>
      <c r="L392" s="12" t="e">
        <v>#N/A</v>
      </c>
      <c r="M392" t="e">
        <v>#N/A</v>
      </c>
      <c r="N392" t="e">
        <v>#N/A</v>
      </c>
      <c r="O392" t="e">
        <v>#N/A</v>
      </c>
      <c r="P392" t="e">
        <v>#N/A</v>
      </c>
      <c r="Q392" t="e">
        <v>#N/A</v>
      </c>
      <c r="R392" t="e">
        <v>#N/A</v>
      </c>
      <c r="S392" t="e">
        <v>#N/A</v>
      </c>
      <c r="T392" t="e">
        <v>#N/A</v>
      </c>
    </row>
    <row r="393" spans="7:20" x14ac:dyDescent="0.25">
      <c r="G393" s="19">
        <f t="shared" si="19"/>
        <v>221</v>
      </c>
      <c r="H393" s="34">
        <f t="shared" si="21"/>
        <v>44781</v>
      </c>
      <c r="I393">
        <f>HLOOKUP($I$4,meanT!$A$2:$D$368,G393,FALSE)</f>
        <v>10.733333333333301</v>
      </c>
      <c r="K393" t="e">
        <f t="shared" si="20"/>
        <v>#N/A</v>
      </c>
      <c r="L393" s="12" t="e">
        <v>#N/A</v>
      </c>
      <c r="M393" t="e">
        <v>#N/A</v>
      </c>
      <c r="N393" t="e">
        <v>#N/A</v>
      </c>
      <c r="O393" t="e">
        <v>#N/A</v>
      </c>
      <c r="P393" t="e">
        <v>#N/A</v>
      </c>
      <c r="Q393" t="e">
        <v>#N/A</v>
      </c>
      <c r="R393" t="e">
        <v>#N/A</v>
      </c>
      <c r="S393" t="e">
        <v>#N/A</v>
      </c>
      <c r="T393" t="e">
        <v>#N/A</v>
      </c>
    </row>
    <row r="394" spans="7:20" x14ac:dyDescent="0.25">
      <c r="G394" s="19">
        <f t="shared" si="19"/>
        <v>222</v>
      </c>
      <c r="H394" s="34">
        <f t="shared" si="21"/>
        <v>44782</v>
      </c>
      <c r="I394">
        <f>HLOOKUP($I$4,meanT!$A$2:$D$368,G394,FALSE)</f>
        <v>10.86</v>
      </c>
      <c r="K394" t="e">
        <f t="shared" si="20"/>
        <v>#N/A</v>
      </c>
      <c r="L394" s="12" t="e">
        <v>#N/A</v>
      </c>
      <c r="M394" t="e">
        <v>#N/A</v>
      </c>
      <c r="N394" t="e">
        <v>#N/A</v>
      </c>
      <c r="O394" t="e">
        <v>#N/A</v>
      </c>
      <c r="P394" t="e">
        <v>#N/A</v>
      </c>
      <c r="Q394" t="e">
        <v>#N/A</v>
      </c>
      <c r="R394" t="e">
        <v>#N/A</v>
      </c>
      <c r="S394" t="e">
        <v>#N/A</v>
      </c>
      <c r="T394" t="e">
        <v>#N/A</v>
      </c>
    </row>
    <row r="395" spans="7:20" x14ac:dyDescent="0.25">
      <c r="G395" s="19">
        <f t="shared" si="19"/>
        <v>223</v>
      </c>
      <c r="H395" s="34">
        <f t="shared" si="21"/>
        <v>44783</v>
      </c>
      <c r="I395">
        <f>HLOOKUP($I$4,meanT!$A$2:$D$368,G395,FALSE)</f>
        <v>10.6416666666666</v>
      </c>
      <c r="K395" t="e">
        <f t="shared" si="20"/>
        <v>#N/A</v>
      </c>
      <c r="L395" s="12" t="e">
        <v>#N/A</v>
      </c>
      <c r="M395" t="e">
        <v>#N/A</v>
      </c>
      <c r="N395" t="e">
        <v>#N/A</v>
      </c>
      <c r="O395" t="e">
        <v>#N/A</v>
      </c>
      <c r="P395" t="e">
        <v>#N/A</v>
      </c>
      <c r="Q395" t="e">
        <v>#N/A</v>
      </c>
      <c r="R395" t="e">
        <v>#N/A</v>
      </c>
      <c r="S395" t="e">
        <v>#N/A</v>
      </c>
      <c r="T395" t="e">
        <v>#N/A</v>
      </c>
    </row>
    <row r="396" spans="7:20" x14ac:dyDescent="0.25">
      <c r="G396" s="19">
        <f t="shared" si="19"/>
        <v>224</v>
      </c>
      <c r="H396" s="34">
        <f t="shared" si="21"/>
        <v>44784</v>
      </c>
      <c r="I396">
        <f>HLOOKUP($I$4,meanT!$A$2:$D$368,G396,FALSE)</f>
        <v>10.8983333333333</v>
      </c>
      <c r="K396" t="e">
        <f t="shared" si="20"/>
        <v>#N/A</v>
      </c>
      <c r="L396" s="12" t="e">
        <v>#N/A</v>
      </c>
      <c r="M396" t="e">
        <v>#N/A</v>
      </c>
      <c r="N396" t="e">
        <v>#N/A</v>
      </c>
      <c r="O396" t="e">
        <v>#N/A</v>
      </c>
      <c r="P396" t="e">
        <v>#N/A</v>
      </c>
      <c r="Q396" t="e">
        <v>#N/A</v>
      </c>
      <c r="R396" t="e">
        <v>#N/A</v>
      </c>
      <c r="S396" t="e">
        <v>#N/A</v>
      </c>
      <c r="T396" t="e">
        <v>#N/A</v>
      </c>
    </row>
    <row r="397" spans="7:20" x14ac:dyDescent="0.25">
      <c r="G397" s="19">
        <f t="shared" si="19"/>
        <v>225</v>
      </c>
      <c r="H397" s="34">
        <f t="shared" si="21"/>
        <v>44785</v>
      </c>
      <c r="I397">
        <f>HLOOKUP($I$4,meanT!$A$2:$D$368,G397,FALSE)</f>
        <v>10.62</v>
      </c>
      <c r="K397" t="e">
        <f t="shared" si="20"/>
        <v>#N/A</v>
      </c>
      <c r="L397" s="12" t="e">
        <v>#N/A</v>
      </c>
      <c r="M397" t="e">
        <v>#N/A</v>
      </c>
      <c r="N397" t="e">
        <v>#N/A</v>
      </c>
      <c r="O397" t="e">
        <v>#N/A</v>
      </c>
      <c r="P397" t="e">
        <v>#N/A</v>
      </c>
      <c r="Q397" t="e">
        <v>#N/A</v>
      </c>
      <c r="R397" t="e">
        <v>#N/A</v>
      </c>
      <c r="S397" t="e">
        <v>#N/A</v>
      </c>
      <c r="T397" t="e">
        <v>#N/A</v>
      </c>
    </row>
    <row r="398" spans="7:20" x14ac:dyDescent="0.25">
      <c r="G398" s="19">
        <f t="shared" si="19"/>
        <v>226</v>
      </c>
      <c r="H398" s="34">
        <f t="shared" si="21"/>
        <v>44786</v>
      </c>
      <c r="I398">
        <f>HLOOKUP($I$4,meanT!$A$2:$D$368,G398,FALSE)</f>
        <v>10.851666666666601</v>
      </c>
      <c r="K398" t="e">
        <f t="shared" si="20"/>
        <v>#N/A</v>
      </c>
      <c r="L398" s="12" t="e">
        <v>#N/A</v>
      </c>
      <c r="M398" t="e">
        <v>#N/A</v>
      </c>
      <c r="N398" t="e">
        <v>#N/A</v>
      </c>
      <c r="O398" t="e">
        <v>#N/A</v>
      </c>
      <c r="P398" t="e">
        <v>#N/A</v>
      </c>
      <c r="Q398" t="e">
        <v>#N/A</v>
      </c>
      <c r="R398" t="e">
        <v>#N/A</v>
      </c>
      <c r="S398" t="e">
        <v>#N/A</v>
      </c>
      <c r="T398" t="e">
        <v>#N/A</v>
      </c>
    </row>
    <row r="399" spans="7:20" x14ac:dyDescent="0.25">
      <c r="G399" s="19">
        <f t="shared" si="19"/>
        <v>227</v>
      </c>
      <c r="H399" s="34">
        <f t="shared" si="21"/>
        <v>44787</v>
      </c>
      <c r="I399">
        <f>HLOOKUP($I$4,meanT!$A$2:$D$368,G399,FALSE)</f>
        <v>10.715517241379301</v>
      </c>
      <c r="K399" t="e">
        <f t="shared" si="20"/>
        <v>#N/A</v>
      </c>
      <c r="L399" s="12" t="e">
        <v>#N/A</v>
      </c>
      <c r="M399" t="e">
        <v>#N/A</v>
      </c>
      <c r="N399" t="e">
        <v>#N/A</v>
      </c>
      <c r="O399" t="e">
        <v>#N/A</v>
      </c>
      <c r="P399" t="e">
        <v>#N/A</v>
      </c>
      <c r="Q399" t="e">
        <v>#N/A</v>
      </c>
      <c r="R399" t="e">
        <v>#N/A</v>
      </c>
      <c r="S399" t="e">
        <v>#N/A</v>
      </c>
      <c r="T399" t="e">
        <v>#N/A</v>
      </c>
    </row>
    <row r="400" spans="7:20" x14ac:dyDescent="0.25">
      <c r="G400" s="19">
        <f t="shared" si="19"/>
        <v>228</v>
      </c>
      <c r="H400" s="34">
        <f t="shared" si="21"/>
        <v>44788</v>
      </c>
      <c r="I400">
        <f>HLOOKUP($I$4,meanT!$A$2:$D$368,G400,FALSE)</f>
        <v>10.171666666666599</v>
      </c>
      <c r="K400" t="e">
        <f t="shared" si="20"/>
        <v>#N/A</v>
      </c>
      <c r="L400" s="12" t="e">
        <v>#N/A</v>
      </c>
      <c r="M400" t="e">
        <v>#N/A</v>
      </c>
      <c r="N400" t="e">
        <v>#N/A</v>
      </c>
      <c r="O400" t="e">
        <v>#N/A</v>
      </c>
      <c r="P400" t="e">
        <v>#N/A</v>
      </c>
      <c r="Q400" t="e">
        <v>#N/A</v>
      </c>
      <c r="R400" t="e">
        <v>#N/A</v>
      </c>
      <c r="S400" t="e">
        <v>#N/A</v>
      </c>
      <c r="T400" t="e">
        <v>#N/A</v>
      </c>
    </row>
    <row r="401" spans="7:20" x14ac:dyDescent="0.25">
      <c r="G401" s="19">
        <f t="shared" si="19"/>
        <v>229</v>
      </c>
      <c r="H401" s="34">
        <f t="shared" si="21"/>
        <v>44789</v>
      </c>
      <c r="I401">
        <f>HLOOKUP($I$4,meanT!$A$2:$D$368,G401,FALSE)</f>
        <v>10.203333333333299</v>
      </c>
      <c r="K401" t="e">
        <f t="shared" si="20"/>
        <v>#N/A</v>
      </c>
      <c r="L401" s="12" t="e">
        <v>#N/A</v>
      </c>
      <c r="M401" t="e">
        <v>#N/A</v>
      </c>
      <c r="N401" t="e">
        <v>#N/A</v>
      </c>
      <c r="O401" t="e">
        <v>#N/A</v>
      </c>
      <c r="P401" t="e">
        <v>#N/A</v>
      </c>
      <c r="Q401" t="e">
        <v>#N/A</v>
      </c>
      <c r="R401" t="e">
        <v>#N/A</v>
      </c>
      <c r="S401" t="e">
        <v>#N/A</v>
      </c>
      <c r="T401" t="e">
        <v>#N/A</v>
      </c>
    </row>
    <row r="402" spans="7:20" x14ac:dyDescent="0.25">
      <c r="G402" s="19">
        <f t="shared" si="19"/>
        <v>230</v>
      </c>
      <c r="H402" s="34">
        <f t="shared" si="21"/>
        <v>44790</v>
      </c>
      <c r="I402">
        <f>HLOOKUP($I$4,meanT!$A$2:$D$368,G402,FALSE)</f>
        <v>10.0833333333333</v>
      </c>
      <c r="K402" t="e">
        <f t="shared" si="20"/>
        <v>#N/A</v>
      </c>
      <c r="L402" s="12" t="e">
        <v>#N/A</v>
      </c>
      <c r="M402" t="e">
        <v>#N/A</v>
      </c>
      <c r="N402" t="e">
        <v>#N/A</v>
      </c>
      <c r="O402" t="e">
        <v>#N/A</v>
      </c>
      <c r="P402" t="e">
        <v>#N/A</v>
      </c>
      <c r="Q402" t="e">
        <v>#N/A</v>
      </c>
      <c r="R402" t="e">
        <v>#N/A</v>
      </c>
      <c r="S402" t="e">
        <v>#N/A</v>
      </c>
      <c r="T402" t="e">
        <v>#N/A</v>
      </c>
    </row>
    <row r="403" spans="7:20" x14ac:dyDescent="0.25">
      <c r="G403" s="19">
        <f t="shared" si="19"/>
        <v>231</v>
      </c>
      <c r="H403" s="34">
        <f t="shared" si="21"/>
        <v>44791</v>
      </c>
      <c r="I403">
        <f>HLOOKUP($I$4,meanT!$A$2:$D$368,G403,FALSE)</f>
        <v>10.0833333333333</v>
      </c>
      <c r="K403" t="e">
        <f t="shared" si="20"/>
        <v>#N/A</v>
      </c>
      <c r="L403" s="12" t="e">
        <v>#N/A</v>
      </c>
      <c r="M403" t="e">
        <v>#N/A</v>
      </c>
      <c r="N403" t="e">
        <v>#N/A</v>
      </c>
      <c r="O403" t="e">
        <v>#N/A</v>
      </c>
      <c r="P403" t="e">
        <v>#N/A</v>
      </c>
      <c r="Q403" t="e">
        <v>#N/A</v>
      </c>
      <c r="R403" t="e">
        <v>#N/A</v>
      </c>
      <c r="S403" t="e">
        <v>#N/A</v>
      </c>
      <c r="T403" t="e">
        <v>#N/A</v>
      </c>
    </row>
    <row r="404" spans="7:20" x14ac:dyDescent="0.25">
      <c r="G404" s="19">
        <f t="shared" si="19"/>
        <v>232</v>
      </c>
      <c r="H404" s="34">
        <f t="shared" si="21"/>
        <v>44792</v>
      </c>
      <c r="I404">
        <f>HLOOKUP($I$4,meanT!$A$2:$D$368,G404,FALSE)</f>
        <v>10.1383333333333</v>
      </c>
      <c r="K404" t="e">
        <f t="shared" si="20"/>
        <v>#N/A</v>
      </c>
      <c r="L404" s="12" t="e">
        <v>#N/A</v>
      </c>
      <c r="M404" t="e">
        <v>#N/A</v>
      </c>
      <c r="N404" t="e">
        <v>#N/A</v>
      </c>
      <c r="O404" t="e">
        <v>#N/A</v>
      </c>
      <c r="P404" t="e">
        <v>#N/A</v>
      </c>
      <c r="Q404" t="e">
        <v>#N/A</v>
      </c>
      <c r="R404" t="e">
        <v>#N/A</v>
      </c>
      <c r="S404" t="e">
        <v>#N/A</v>
      </c>
      <c r="T404" t="e">
        <v>#N/A</v>
      </c>
    </row>
    <row r="405" spans="7:20" x14ac:dyDescent="0.25">
      <c r="G405" s="19">
        <f t="shared" si="19"/>
        <v>233</v>
      </c>
      <c r="H405" s="34">
        <f t="shared" si="21"/>
        <v>44793</v>
      </c>
      <c r="I405">
        <f>HLOOKUP($I$4,meanT!$A$2:$D$368,G405,FALSE)</f>
        <v>10.421666666666599</v>
      </c>
      <c r="K405" t="e">
        <f t="shared" si="20"/>
        <v>#N/A</v>
      </c>
      <c r="L405" s="12" t="e">
        <v>#N/A</v>
      </c>
      <c r="M405" t="e">
        <v>#N/A</v>
      </c>
      <c r="N405" t="e">
        <v>#N/A</v>
      </c>
      <c r="O405" t="e">
        <v>#N/A</v>
      </c>
      <c r="P405" t="e">
        <v>#N/A</v>
      </c>
      <c r="Q405" t="e">
        <v>#N/A</v>
      </c>
      <c r="R405" t="e">
        <v>#N/A</v>
      </c>
      <c r="S405" t="e">
        <v>#N/A</v>
      </c>
      <c r="T405" t="e">
        <v>#N/A</v>
      </c>
    </row>
    <row r="406" spans="7:20" x14ac:dyDescent="0.25">
      <c r="G406" s="19">
        <f t="shared" si="19"/>
        <v>234</v>
      </c>
      <c r="H406" s="34">
        <f t="shared" si="21"/>
        <v>44794</v>
      </c>
      <c r="I406">
        <f>HLOOKUP($I$4,meanT!$A$2:$D$368,G406,FALSE)</f>
        <v>10.703333333333299</v>
      </c>
      <c r="K406" t="e">
        <f t="shared" si="20"/>
        <v>#N/A</v>
      </c>
      <c r="L406" s="12" t="e">
        <v>#N/A</v>
      </c>
      <c r="M406" t="e">
        <v>#N/A</v>
      </c>
      <c r="N406" t="e">
        <v>#N/A</v>
      </c>
      <c r="O406" t="e">
        <v>#N/A</v>
      </c>
      <c r="P406" t="e">
        <v>#N/A</v>
      </c>
      <c r="Q406" t="e">
        <v>#N/A</v>
      </c>
      <c r="R406" t="e">
        <v>#N/A</v>
      </c>
      <c r="S406" t="e">
        <v>#N/A</v>
      </c>
      <c r="T406" t="e">
        <v>#N/A</v>
      </c>
    </row>
    <row r="407" spans="7:20" x14ac:dyDescent="0.25">
      <c r="G407" s="19">
        <f t="shared" si="19"/>
        <v>235</v>
      </c>
      <c r="H407" s="34">
        <f t="shared" si="21"/>
        <v>44795</v>
      </c>
      <c r="I407">
        <f>HLOOKUP($I$4,meanT!$A$2:$D$368,G407,FALSE)</f>
        <v>10.8266666666666</v>
      </c>
      <c r="K407" t="e">
        <f t="shared" si="20"/>
        <v>#N/A</v>
      </c>
      <c r="L407" s="12" t="e">
        <v>#N/A</v>
      </c>
      <c r="M407" t="e">
        <v>#N/A</v>
      </c>
      <c r="N407" t="e">
        <v>#N/A</v>
      </c>
      <c r="O407" t="e">
        <v>#N/A</v>
      </c>
      <c r="P407" t="e">
        <v>#N/A</v>
      </c>
      <c r="Q407" t="e">
        <v>#N/A</v>
      </c>
      <c r="R407" t="e">
        <v>#N/A</v>
      </c>
      <c r="S407" t="e">
        <v>#N/A</v>
      </c>
      <c r="T407" t="e">
        <v>#N/A</v>
      </c>
    </row>
    <row r="408" spans="7:20" x14ac:dyDescent="0.25">
      <c r="G408" s="19">
        <f t="shared" si="19"/>
        <v>236</v>
      </c>
      <c r="H408" s="34">
        <f t="shared" si="21"/>
        <v>44796</v>
      </c>
      <c r="I408">
        <f>HLOOKUP($I$4,meanT!$A$2:$D$368,G408,FALSE)</f>
        <v>11.0766666666666</v>
      </c>
      <c r="K408" t="e">
        <f t="shared" si="20"/>
        <v>#N/A</v>
      </c>
      <c r="L408" s="12" t="e">
        <v>#N/A</v>
      </c>
      <c r="M408" t="e">
        <v>#N/A</v>
      </c>
      <c r="N408" t="e">
        <v>#N/A</v>
      </c>
      <c r="O408" t="e">
        <v>#N/A</v>
      </c>
      <c r="P408" t="e">
        <v>#N/A</v>
      </c>
      <c r="Q408" t="e">
        <v>#N/A</v>
      </c>
      <c r="R408" t="e">
        <v>#N/A</v>
      </c>
      <c r="S408" t="e">
        <v>#N/A</v>
      </c>
      <c r="T408" t="e">
        <v>#N/A</v>
      </c>
    </row>
    <row r="409" spans="7:20" x14ac:dyDescent="0.25">
      <c r="G409" s="19">
        <f t="shared" si="19"/>
        <v>237</v>
      </c>
      <c r="H409" s="34">
        <f t="shared" si="21"/>
        <v>44797</v>
      </c>
      <c r="I409">
        <f>HLOOKUP($I$4,meanT!$A$2:$D$368,G409,FALSE)</f>
        <v>11.088333333333299</v>
      </c>
      <c r="K409" t="e">
        <f t="shared" si="20"/>
        <v>#N/A</v>
      </c>
      <c r="L409" s="12" t="e">
        <v>#N/A</v>
      </c>
      <c r="M409" t="e">
        <v>#N/A</v>
      </c>
      <c r="N409" t="e">
        <v>#N/A</v>
      </c>
      <c r="O409" t="e">
        <v>#N/A</v>
      </c>
      <c r="P409" t="e">
        <v>#N/A</v>
      </c>
      <c r="Q409" t="e">
        <v>#N/A</v>
      </c>
      <c r="R409" t="e">
        <v>#N/A</v>
      </c>
      <c r="S409" t="e">
        <v>#N/A</v>
      </c>
      <c r="T409" t="e">
        <v>#N/A</v>
      </c>
    </row>
    <row r="410" spans="7:20" x14ac:dyDescent="0.25">
      <c r="G410" s="19">
        <f t="shared" si="19"/>
        <v>238</v>
      </c>
      <c r="H410" s="34">
        <f t="shared" si="21"/>
        <v>44798</v>
      </c>
      <c r="I410">
        <f>HLOOKUP($I$4,meanT!$A$2:$D$368,G410,FALSE)</f>
        <v>11.283333333333299</v>
      </c>
      <c r="K410" t="e">
        <f t="shared" si="20"/>
        <v>#N/A</v>
      </c>
      <c r="L410" s="12" t="e">
        <v>#N/A</v>
      </c>
      <c r="M410" t="e">
        <v>#N/A</v>
      </c>
      <c r="N410" t="e">
        <v>#N/A</v>
      </c>
      <c r="O410" t="e">
        <v>#N/A</v>
      </c>
      <c r="P410" t="e">
        <v>#N/A</v>
      </c>
      <c r="Q410" t="e">
        <v>#N/A</v>
      </c>
      <c r="R410" t="e">
        <v>#N/A</v>
      </c>
      <c r="S410" t="e">
        <v>#N/A</v>
      </c>
      <c r="T410" t="e">
        <v>#N/A</v>
      </c>
    </row>
    <row r="411" spans="7:20" x14ac:dyDescent="0.25">
      <c r="G411" s="19">
        <f t="shared" si="19"/>
        <v>239</v>
      </c>
      <c r="H411" s="34">
        <f t="shared" si="21"/>
        <v>44799</v>
      </c>
      <c r="I411">
        <f>HLOOKUP($I$4,meanT!$A$2:$D$368,G411,FALSE)</f>
        <v>11.1383333333333</v>
      </c>
      <c r="K411" t="e">
        <f t="shared" si="20"/>
        <v>#N/A</v>
      </c>
      <c r="L411" s="12" t="e">
        <v>#N/A</v>
      </c>
      <c r="M411" t="e">
        <v>#N/A</v>
      </c>
      <c r="N411" t="e">
        <v>#N/A</v>
      </c>
      <c r="O411" t="e">
        <v>#N/A</v>
      </c>
      <c r="P411" t="e">
        <v>#N/A</v>
      </c>
      <c r="Q411" t="e">
        <v>#N/A</v>
      </c>
      <c r="R411" t="e">
        <v>#N/A</v>
      </c>
      <c r="S411" t="e">
        <v>#N/A</v>
      </c>
      <c r="T411" t="e">
        <v>#N/A</v>
      </c>
    </row>
    <row r="412" spans="7:20" x14ac:dyDescent="0.25">
      <c r="G412" s="19">
        <f t="shared" si="19"/>
        <v>240</v>
      </c>
      <c r="H412" s="34">
        <f t="shared" si="21"/>
        <v>44800</v>
      </c>
      <c r="I412">
        <f>HLOOKUP($I$4,meanT!$A$2:$D$368,G412,FALSE)</f>
        <v>11.1133333333333</v>
      </c>
      <c r="K412" t="e">
        <f t="shared" si="20"/>
        <v>#N/A</v>
      </c>
      <c r="L412" s="12" t="e">
        <v>#N/A</v>
      </c>
      <c r="M412" t="e">
        <v>#N/A</v>
      </c>
      <c r="N412" t="e">
        <v>#N/A</v>
      </c>
      <c r="O412" t="e">
        <v>#N/A</v>
      </c>
      <c r="P412" t="e">
        <v>#N/A</v>
      </c>
      <c r="Q412" t="e">
        <v>#N/A</v>
      </c>
      <c r="R412" t="e">
        <v>#N/A</v>
      </c>
      <c r="S412" t="e">
        <v>#N/A</v>
      </c>
      <c r="T412" t="e">
        <v>#N/A</v>
      </c>
    </row>
    <row r="413" spans="7:20" x14ac:dyDescent="0.25">
      <c r="G413" s="19">
        <f t="shared" si="19"/>
        <v>241</v>
      </c>
      <c r="H413" s="34">
        <f t="shared" si="21"/>
        <v>44801</v>
      </c>
      <c r="I413">
        <f>HLOOKUP($I$4,meanT!$A$2:$D$368,G413,FALSE)</f>
        <v>10.7724137931034</v>
      </c>
      <c r="K413" t="e">
        <f t="shared" si="20"/>
        <v>#N/A</v>
      </c>
      <c r="L413" s="12" t="e">
        <v>#N/A</v>
      </c>
      <c r="M413" t="e">
        <v>#N/A</v>
      </c>
      <c r="N413" t="e">
        <v>#N/A</v>
      </c>
      <c r="O413" t="e">
        <v>#N/A</v>
      </c>
      <c r="P413" t="e">
        <v>#N/A</v>
      </c>
      <c r="Q413" t="e">
        <v>#N/A</v>
      </c>
      <c r="R413" t="e">
        <v>#N/A</v>
      </c>
      <c r="S413" t="e">
        <v>#N/A</v>
      </c>
      <c r="T413" t="e">
        <v>#N/A</v>
      </c>
    </row>
    <row r="414" spans="7:20" x14ac:dyDescent="0.25">
      <c r="G414" s="19">
        <f t="shared" si="19"/>
        <v>242</v>
      </c>
      <c r="H414" s="34">
        <f t="shared" si="21"/>
        <v>44802</v>
      </c>
      <c r="I414">
        <f>HLOOKUP($I$4,meanT!$A$2:$D$368,G414,FALSE)</f>
        <v>10.753448275862</v>
      </c>
      <c r="K414" t="e">
        <f t="shared" si="20"/>
        <v>#N/A</v>
      </c>
      <c r="L414" s="12" t="e">
        <v>#N/A</v>
      </c>
      <c r="M414" t="e">
        <v>#N/A</v>
      </c>
      <c r="N414" t="e">
        <v>#N/A</v>
      </c>
      <c r="O414" t="e">
        <v>#N/A</v>
      </c>
      <c r="P414" t="e">
        <v>#N/A</v>
      </c>
      <c r="Q414" t="e">
        <v>#N/A</v>
      </c>
      <c r="R414" t="e">
        <v>#N/A</v>
      </c>
      <c r="S414" t="e">
        <v>#N/A</v>
      </c>
      <c r="T414" t="e">
        <v>#N/A</v>
      </c>
    </row>
    <row r="415" spans="7:20" x14ac:dyDescent="0.25">
      <c r="G415" s="19">
        <f t="shared" si="19"/>
        <v>243</v>
      </c>
      <c r="H415" s="34">
        <f t="shared" si="21"/>
        <v>44803</v>
      </c>
      <c r="I415">
        <f>HLOOKUP($I$4,meanT!$A$2:$D$368,G415,FALSE)</f>
        <v>10.891379310344799</v>
      </c>
      <c r="K415" t="e">
        <f t="shared" si="20"/>
        <v>#N/A</v>
      </c>
      <c r="L415" s="12" t="e">
        <v>#N/A</v>
      </c>
      <c r="M415" t="e">
        <v>#N/A</v>
      </c>
      <c r="N415" t="e">
        <v>#N/A</v>
      </c>
      <c r="O415" t="e">
        <v>#N/A</v>
      </c>
      <c r="P415" t="e">
        <v>#N/A</v>
      </c>
      <c r="Q415" t="e">
        <v>#N/A</v>
      </c>
      <c r="R415" t="e">
        <v>#N/A</v>
      </c>
      <c r="S415" t="e">
        <v>#N/A</v>
      </c>
      <c r="T415" t="e">
        <v>#N/A</v>
      </c>
    </row>
    <row r="416" spans="7:20" x14ac:dyDescent="0.25">
      <c r="G416" s="19">
        <f t="shared" si="19"/>
        <v>244</v>
      </c>
      <c r="H416" s="34">
        <f t="shared" si="21"/>
        <v>44804</v>
      </c>
      <c r="I416">
        <f>HLOOKUP($I$4,meanT!$A$2:$D$368,G416,FALSE)</f>
        <v>10.953448275862</v>
      </c>
      <c r="K416" t="e">
        <f t="shared" si="20"/>
        <v>#N/A</v>
      </c>
      <c r="L416" s="12" t="e">
        <v>#N/A</v>
      </c>
      <c r="M416" t="e">
        <v>#N/A</v>
      </c>
      <c r="N416" t="e">
        <v>#N/A</v>
      </c>
      <c r="O416" t="e">
        <v>#N/A</v>
      </c>
      <c r="P416" t="e">
        <v>#N/A</v>
      </c>
      <c r="Q416" t="e">
        <v>#N/A</v>
      </c>
      <c r="R416" t="e">
        <v>#N/A</v>
      </c>
      <c r="S416" t="e">
        <v>#N/A</v>
      </c>
      <c r="T416" t="e">
        <v>#N/A</v>
      </c>
    </row>
    <row r="417" spans="7:20" x14ac:dyDescent="0.25">
      <c r="G417" s="19">
        <f t="shared" si="19"/>
        <v>245</v>
      </c>
      <c r="H417" s="34">
        <f t="shared" si="21"/>
        <v>44805</v>
      </c>
      <c r="I417">
        <f>HLOOKUP($I$4,meanT!$A$2:$D$368,G417,FALSE)</f>
        <v>10.803333333333301</v>
      </c>
      <c r="K417" t="e">
        <f t="shared" si="20"/>
        <v>#N/A</v>
      </c>
      <c r="L417" s="12" t="e">
        <v>#N/A</v>
      </c>
      <c r="M417" t="e">
        <v>#N/A</v>
      </c>
      <c r="N417" t="e">
        <v>#N/A</v>
      </c>
      <c r="O417" t="e">
        <v>#N/A</v>
      </c>
      <c r="P417" t="e">
        <v>#N/A</v>
      </c>
      <c r="Q417" t="e">
        <v>#N/A</v>
      </c>
      <c r="R417" t="e">
        <v>#N/A</v>
      </c>
      <c r="S417" t="e">
        <v>#N/A</v>
      </c>
      <c r="T417" t="e">
        <v>#N/A</v>
      </c>
    </row>
    <row r="418" spans="7:20" x14ac:dyDescent="0.25">
      <c r="G418" s="19">
        <f t="shared" si="19"/>
        <v>246</v>
      </c>
      <c r="H418" s="34">
        <f t="shared" si="21"/>
        <v>44806</v>
      </c>
      <c r="I418">
        <f>HLOOKUP($I$4,meanT!$A$2:$D$368,G418,FALSE)</f>
        <v>10.862068965517199</v>
      </c>
      <c r="K418" t="e">
        <f t="shared" si="20"/>
        <v>#N/A</v>
      </c>
      <c r="L418" s="12" t="e">
        <v>#N/A</v>
      </c>
      <c r="M418" t="e">
        <v>#N/A</v>
      </c>
      <c r="N418" t="e">
        <v>#N/A</v>
      </c>
      <c r="O418" t="e">
        <v>#N/A</v>
      </c>
      <c r="P418" t="e">
        <v>#N/A</v>
      </c>
      <c r="Q418" t="e">
        <v>#N/A</v>
      </c>
      <c r="R418" t="e">
        <v>#N/A</v>
      </c>
      <c r="S418" t="e">
        <v>#N/A</v>
      </c>
      <c r="T418" t="e">
        <v>#N/A</v>
      </c>
    </row>
    <row r="419" spans="7:20" x14ac:dyDescent="0.25">
      <c r="G419" s="19">
        <f t="shared" si="19"/>
        <v>247</v>
      </c>
      <c r="H419" s="34">
        <f t="shared" si="21"/>
        <v>44807</v>
      </c>
      <c r="I419">
        <f>HLOOKUP($I$4,meanT!$A$2:$D$368,G419,FALSE)</f>
        <v>11.4379310344827</v>
      </c>
      <c r="K419" t="e">
        <f t="shared" si="20"/>
        <v>#N/A</v>
      </c>
      <c r="L419" s="12" t="e">
        <v>#N/A</v>
      </c>
      <c r="M419" t="e">
        <v>#N/A</v>
      </c>
      <c r="N419" t="e">
        <v>#N/A</v>
      </c>
      <c r="O419" t="e">
        <v>#N/A</v>
      </c>
      <c r="P419" t="e">
        <v>#N/A</v>
      </c>
      <c r="Q419" t="e">
        <v>#N/A</v>
      </c>
      <c r="R419" t="e">
        <v>#N/A</v>
      </c>
      <c r="S419" t="e">
        <v>#N/A</v>
      </c>
      <c r="T419" t="e">
        <v>#N/A</v>
      </c>
    </row>
    <row r="420" spans="7:20" x14ac:dyDescent="0.25">
      <c r="G420" s="19">
        <f t="shared" si="19"/>
        <v>248</v>
      </c>
      <c r="H420" s="34">
        <f t="shared" si="21"/>
        <v>44808</v>
      </c>
      <c r="I420">
        <f>HLOOKUP($I$4,meanT!$A$2:$D$368,G420,FALSE)</f>
        <v>11.5448275862068</v>
      </c>
      <c r="K420" t="e">
        <f t="shared" si="20"/>
        <v>#N/A</v>
      </c>
      <c r="L420" s="12" t="e">
        <v>#N/A</v>
      </c>
      <c r="M420" t="e">
        <v>#N/A</v>
      </c>
      <c r="N420" t="e">
        <v>#N/A</v>
      </c>
      <c r="O420" t="e">
        <v>#N/A</v>
      </c>
      <c r="P420" t="e">
        <v>#N/A</v>
      </c>
      <c r="Q420" t="e">
        <v>#N/A</v>
      </c>
      <c r="R420" t="e">
        <v>#N/A</v>
      </c>
      <c r="S420" t="e">
        <v>#N/A</v>
      </c>
      <c r="T420" t="e">
        <v>#N/A</v>
      </c>
    </row>
    <row r="421" spans="7:20" x14ac:dyDescent="0.25">
      <c r="G421" s="19">
        <f t="shared" si="19"/>
        <v>249</v>
      </c>
      <c r="H421" s="34">
        <f t="shared" si="21"/>
        <v>44809</v>
      </c>
      <c r="I421">
        <f>HLOOKUP($I$4,meanT!$A$2:$D$368,G421,FALSE)</f>
        <v>11.734482758620601</v>
      </c>
      <c r="K421" t="e">
        <f t="shared" si="20"/>
        <v>#N/A</v>
      </c>
      <c r="L421" s="12" t="e">
        <v>#N/A</v>
      </c>
      <c r="M421" t="e">
        <v>#N/A</v>
      </c>
      <c r="N421" t="e">
        <v>#N/A</v>
      </c>
      <c r="O421" t="e">
        <v>#N/A</v>
      </c>
      <c r="P421" t="e">
        <v>#N/A</v>
      </c>
      <c r="Q421" t="e">
        <v>#N/A</v>
      </c>
      <c r="R421" t="e">
        <v>#N/A</v>
      </c>
      <c r="S421" t="e">
        <v>#N/A</v>
      </c>
      <c r="T421" t="e">
        <v>#N/A</v>
      </c>
    </row>
    <row r="422" spans="7:20" x14ac:dyDescent="0.25">
      <c r="G422" s="19">
        <f t="shared" si="19"/>
        <v>250</v>
      </c>
      <c r="H422" s="34">
        <f t="shared" si="21"/>
        <v>44810</v>
      </c>
      <c r="I422">
        <f>HLOOKUP($I$4,meanT!$A$2:$D$368,G422,FALSE)</f>
        <v>11.682758620689601</v>
      </c>
      <c r="K422" t="e">
        <f t="shared" si="20"/>
        <v>#N/A</v>
      </c>
      <c r="L422" s="12" t="e">
        <v>#N/A</v>
      </c>
      <c r="M422" t="e">
        <v>#N/A</v>
      </c>
      <c r="N422" t="e">
        <v>#N/A</v>
      </c>
      <c r="O422" t="e">
        <v>#N/A</v>
      </c>
      <c r="P422" t="e">
        <v>#N/A</v>
      </c>
      <c r="Q422" t="e">
        <v>#N/A</v>
      </c>
      <c r="R422" t="e">
        <v>#N/A</v>
      </c>
      <c r="S422" t="e">
        <v>#N/A</v>
      </c>
      <c r="T422" t="e">
        <v>#N/A</v>
      </c>
    </row>
    <row r="423" spans="7:20" x14ac:dyDescent="0.25">
      <c r="G423" s="19">
        <f t="shared" si="19"/>
        <v>251</v>
      </c>
      <c r="H423" s="34">
        <f t="shared" si="21"/>
        <v>44811</v>
      </c>
      <c r="I423">
        <f>HLOOKUP($I$4,meanT!$A$2:$D$368,G423,FALSE)</f>
        <v>11.389655172413701</v>
      </c>
      <c r="K423" t="e">
        <f t="shared" si="20"/>
        <v>#N/A</v>
      </c>
      <c r="L423" s="12" t="e">
        <v>#N/A</v>
      </c>
      <c r="M423" t="e">
        <v>#N/A</v>
      </c>
      <c r="N423" t="e">
        <v>#N/A</v>
      </c>
      <c r="O423" t="e">
        <v>#N/A</v>
      </c>
      <c r="P423" t="e">
        <v>#N/A</v>
      </c>
      <c r="Q423" t="e">
        <v>#N/A</v>
      </c>
      <c r="R423" t="e">
        <v>#N/A</v>
      </c>
      <c r="S423" t="e">
        <v>#N/A</v>
      </c>
      <c r="T423" t="e">
        <v>#N/A</v>
      </c>
    </row>
    <row r="424" spans="7:20" x14ac:dyDescent="0.25">
      <c r="G424" s="19">
        <f t="shared" si="19"/>
        <v>252</v>
      </c>
      <c r="H424" s="34">
        <f t="shared" si="21"/>
        <v>44812</v>
      </c>
      <c r="I424">
        <f>HLOOKUP($I$4,meanT!$A$2:$D$368,G424,FALSE)</f>
        <v>11.834482758620601</v>
      </c>
      <c r="K424" t="e">
        <f t="shared" si="20"/>
        <v>#N/A</v>
      </c>
      <c r="L424" s="12" t="e">
        <v>#N/A</v>
      </c>
      <c r="M424" t="e">
        <v>#N/A</v>
      </c>
      <c r="N424" t="e">
        <v>#N/A</v>
      </c>
      <c r="O424" t="e">
        <v>#N/A</v>
      </c>
      <c r="P424" t="e">
        <v>#N/A</v>
      </c>
      <c r="Q424" t="e">
        <v>#N/A</v>
      </c>
      <c r="R424" t="e">
        <v>#N/A</v>
      </c>
      <c r="S424" t="e">
        <v>#N/A</v>
      </c>
      <c r="T424" t="e">
        <v>#N/A</v>
      </c>
    </row>
    <row r="425" spans="7:20" x14ac:dyDescent="0.25">
      <c r="G425" s="19">
        <f t="shared" si="19"/>
        <v>253</v>
      </c>
      <c r="H425" s="34">
        <f t="shared" si="21"/>
        <v>44813</v>
      </c>
      <c r="I425">
        <f>HLOOKUP($I$4,meanT!$A$2:$D$368,G425,FALSE)</f>
        <v>11.465</v>
      </c>
      <c r="K425" t="e">
        <f t="shared" si="20"/>
        <v>#N/A</v>
      </c>
      <c r="L425" s="12" t="e">
        <v>#N/A</v>
      </c>
      <c r="M425" t="e">
        <v>#N/A</v>
      </c>
      <c r="N425" t="e">
        <v>#N/A</v>
      </c>
      <c r="O425" t="e">
        <v>#N/A</v>
      </c>
      <c r="P425" t="e">
        <v>#N/A</v>
      </c>
      <c r="Q425" t="e">
        <v>#N/A</v>
      </c>
      <c r="R425" t="e">
        <v>#N/A</v>
      </c>
      <c r="S425" t="e">
        <v>#N/A</v>
      </c>
      <c r="T425" t="e">
        <v>#N/A</v>
      </c>
    </row>
    <row r="426" spans="7:20" x14ac:dyDescent="0.25">
      <c r="G426" s="19">
        <f t="shared" si="19"/>
        <v>254</v>
      </c>
      <c r="H426" s="34">
        <f t="shared" si="21"/>
        <v>44814</v>
      </c>
      <c r="I426">
        <f>HLOOKUP($I$4,meanT!$A$2:$D$368,G426,FALSE)</f>
        <v>11.62</v>
      </c>
      <c r="K426" t="e">
        <f t="shared" si="20"/>
        <v>#N/A</v>
      </c>
      <c r="L426" s="12" t="e">
        <v>#N/A</v>
      </c>
      <c r="M426" t="e">
        <v>#N/A</v>
      </c>
      <c r="N426" t="e">
        <v>#N/A</v>
      </c>
      <c r="O426" t="e">
        <v>#N/A</v>
      </c>
      <c r="P426" t="e">
        <v>#N/A</v>
      </c>
      <c r="Q426" t="e">
        <v>#N/A</v>
      </c>
      <c r="R426" t="e">
        <v>#N/A</v>
      </c>
      <c r="S426" t="e">
        <v>#N/A</v>
      </c>
      <c r="T426" t="e">
        <v>#N/A</v>
      </c>
    </row>
    <row r="427" spans="7:20" x14ac:dyDescent="0.25">
      <c r="G427" s="19">
        <f t="shared" si="19"/>
        <v>255</v>
      </c>
      <c r="H427" s="34">
        <f t="shared" si="21"/>
        <v>44815</v>
      </c>
      <c r="I427">
        <f>HLOOKUP($I$4,meanT!$A$2:$D$368,G427,FALSE)</f>
        <v>11.7633333333333</v>
      </c>
      <c r="K427" t="e">
        <f t="shared" si="20"/>
        <v>#N/A</v>
      </c>
      <c r="L427" s="12" t="e">
        <v>#N/A</v>
      </c>
      <c r="M427" t="e">
        <v>#N/A</v>
      </c>
      <c r="N427" t="e">
        <v>#N/A</v>
      </c>
      <c r="O427" t="e">
        <v>#N/A</v>
      </c>
      <c r="P427" t="e">
        <v>#N/A</v>
      </c>
      <c r="Q427" t="e">
        <v>#N/A</v>
      </c>
      <c r="R427" t="e">
        <v>#N/A</v>
      </c>
      <c r="S427" t="e">
        <v>#N/A</v>
      </c>
      <c r="T427" t="e">
        <v>#N/A</v>
      </c>
    </row>
    <row r="428" spans="7:20" x14ac:dyDescent="0.25">
      <c r="G428" s="19">
        <f t="shared" si="19"/>
        <v>256</v>
      </c>
      <c r="H428" s="34">
        <f t="shared" si="21"/>
        <v>44816</v>
      </c>
      <c r="I428">
        <f>HLOOKUP($I$4,meanT!$A$2:$D$368,G428,FALSE)</f>
        <v>12.158333333333299</v>
      </c>
      <c r="K428" t="e">
        <f t="shared" si="20"/>
        <v>#N/A</v>
      </c>
      <c r="L428" s="12" t="e">
        <v>#N/A</v>
      </c>
      <c r="M428" t="e">
        <v>#N/A</v>
      </c>
      <c r="N428" t="e">
        <v>#N/A</v>
      </c>
      <c r="O428" t="e">
        <v>#N/A</v>
      </c>
      <c r="P428" t="e">
        <v>#N/A</v>
      </c>
      <c r="Q428" t="e">
        <v>#N/A</v>
      </c>
      <c r="R428" t="e">
        <v>#N/A</v>
      </c>
      <c r="S428" t="e">
        <v>#N/A</v>
      </c>
      <c r="T428" t="e">
        <v>#N/A</v>
      </c>
    </row>
    <row r="429" spans="7:20" x14ac:dyDescent="0.25">
      <c r="G429" s="19">
        <f t="shared" si="19"/>
        <v>257</v>
      </c>
      <c r="H429" s="34">
        <f t="shared" si="21"/>
        <v>44817</v>
      </c>
      <c r="I429">
        <f>HLOOKUP($I$4,meanT!$A$2:$D$368,G429,FALSE)</f>
        <v>11.908333333333299</v>
      </c>
      <c r="K429" t="e">
        <f t="shared" si="20"/>
        <v>#N/A</v>
      </c>
      <c r="L429" s="12" t="e">
        <v>#N/A</v>
      </c>
      <c r="M429" t="e">
        <v>#N/A</v>
      </c>
      <c r="N429" t="e">
        <v>#N/A</v>
      </c>
      <c r="O429" t="e">
        <v>#N/A</v>
      </c>
      <c r="P429" t="e">
        <v>#N/A</v>
      </c>
      <c r="Q429" t="e">
        <v>#N/A</v>
      </c>
      <c r="R429" t="e">
        <v>#N/A</v>
      </c>
      <c r="S429" t="e">
        <v>#N/A</v>
      </c>
      <c r="T429" t="e">
        <v>#N/A</v>
      </c>
    </row>
    <row r="430" spans="7:20" x14ac:dyDescent="0.25">
      <c r="G430" s="19">
        <f t="shared" si="19"/>
        <v>258</v>
      </c>
      <c r="H430" s="34">
        <f t="shared" si="21"/>
        <v>44818</v>
      </c>
      <c r="I430">
        <f>HLOOKUP($I$4,meanT!$A$2:$D$368,G430,FALSE)</f>
        <v>12.074999999999999</v>
      </c>
      <c r="K430" t="e">
        <f t="shared" si="20"/>
        <v>#N/A</v>
      </c>
      <c r="L430" s="12" t="e">
        <v>#N/A</v>
      </c>
      <c r="M430" t="e">
        <v>#N/A</v>
      </c>
      <c r="N430" t="e">
        <v>#N/A</v>
      </c>
      <c r="O430" t="e">
        <v>#N/A</v>
      </c>
      <c r="P430" t="e">
        <v>#N/A</v>
      </c>
      <c r="Q430" t="e">
        <v>#N/A</v>
      </c>
      <c r="R430" t="e">
        <v>#N/A</v>
      </c>
      <c r="S430" t="e">
        <v>#N/A</v>
      </c>
      <c r="T430" t="e">
        <v>#N/A</v>
      </c>
    </row>
    <row r="431" spans="7:20" x14ac:dyDescent="0.25">
      <c r="G431" s="19">
        <f t="shared" si="19"/>
        <v>259</v>
      </c>
      <c r="H431" s="34">
        <f t="shared" si="21"/>
        <v>44819</v>
      </c>
      <c r="I431">
        <f>HLOOKUP($I$4,meanT!$A$2:$D$368,G431,FALSE)</f>
        <v>12.3883333333333</v>
      </c>
      <c r="K431" t="e">
        <f t="shared" si="20"/>
        <v>#N/A</v>
      </c>
      <c r="L431" s="12" t="e">
        <v>#N/A</v>
      </c>
      <c r="M431" t="e">
        <v>#N/A</v>
      </c>
      <c r="N431" t="e">
        <v>#N/A</v>
      </c>
      <c r="O431" t="e">
        <v>#N/A</v>
      </c>
      <c r="P431" t="e">
        <v>#N/A</v>
      </c>
      <c r="Q431" t="e">
        <v>#N/A</v>
      </c>
      <c r="R431" t="e">
        <v>#N/A</v>
      </c>
      <c r="S431" t="e">
        <v>#N/A</v>
      </c>
      <c r="T431" t="e">
        <v>#N/A</v>
      </c>
    </row>
    <row r="432" spans="7:20" x14ac:dyDescent="0.25">
      <c r="G432" s="19">
        <f t="shared" si="19"/>
        <v>260</v>
      </c>
      <c r="H432" s="34">
        <f t="shared" si="21"/>
        <v>44820</v>
      </c>
      <c r="I432">
        <f>HLOOKUP($I$4,meanT!$A$2:$D$368,G432,FALSE)</f>
        <v>12.5766666666666</v>
      </c>
      <c r="K432" t="e">
        <f t="shared" si="20"/>
        <v>#N/A</v>
      </c>
      <c r="L432" s="12" t="e">
        <v>#N/A</v>
      </c>
      <c r="M432" t="e">
        <v>#N/A</v>
      </c>
      <c r="N432" t="e">
        <v>#N/A</v>
      </c>
      <c r="O432" t="e">
        <v>#N/A</v>
      </c>
      <c r="P432" t="e">
        <v>#N/A</v>
      </c>
      <c r="Q432" t="e">
        <v>#N/A</v>
      </c>
      <c r="R432" t="e">
        <v>#N/A</v>
      </c>
      <c r="S432" t="e">
        <v>#N/A</v>
      </c>
      <c r="T432" t="e">
        <v>#N/A</v>
      </c>
    </row>
    <row r="433" spans="7:20" x14ac:dyDescent="0.25">
      <c r="G433" s="19">
        <f t="shared" si="19"/>
        <v>261</v>
      </c>
      <c r="H433" s="34">
        <f t="shared" si="21"/>
        <v>44821</v>
      </c>
      <c r="I433">
        <f>HLOOKUP($I$4,meanT!$A$2:$D$368,G433,FALSE)</f>
        <v>12.482258064516101</v>
      </c>
      <c r="K433" t="e">
        <f t="shared" si="20"/>
        <v>#N/A</v>
      </c>
      <c r="L433" s="12" t="e">
        <v>#N/A</v>
      </c>
      <c r="M433" t="e">
        <v>#N/A</v>
      </c>
      <c r="N433" t="e">
        <v>#N/A</v>
      </c>
      <c r="O433" t="e">
        <v>#N/A</v>
      </c>
      <c r="P433" t="e">
        <v>#N/A</v>
      </c>
      <c r="Q433" t="e">
        <v>#N/A</v>
      </c>
      <c r="R433" t="e">
        <v>#N/A</v>
      </c>
      <c r="S433" t="e">
        <v>#N/A</v>
      </c>
      <c r="T433" t="e">
        <v>#N/A</v>
      </c>
    </row>
    <row r="434" spans="7:20" x14ac:dyDescent="0.25">
      <c r="G434" s="19">
        <f t="shared" si="19"/>
        <v>262</v>
      </c>
      <c r="H434" s="34">
        <f t="shared" si="21"/>
        <v>44822</v>
      </c>
      <c r="I434">
        <f>HLOOKUP($I$4,meanT!$A$2:$D$368,G434,FALSE)</f>
        <v>12.261290322580599</v>
      </c>
      <c r="K434" t="e">
        <f t="shared" si="20"/>
        <v>#N/A</v>
      </c>
      <c r="L434" s="12" t="e">
        <v>#N/A</v>
      </c>
      <c r="M434" t="e">
        <v>#N/A</v>
      </c>
      <c r="N434" t="e">
        <v>#N/A</v>
      </c>
      <c r="O434" t="e">
        <v>#N/A</v>
      </c>
      <c r="P434" t="e">
        <v>#N/A</v>
      </c>
      <c r="Q434" t="e">
        <v>#N/A</v>
      </c>
      <c r="R434" t="e">
        <v>#N/A</v>
      </c>
      <c r="S434" t="e">
        <v>#N/A</v>
      </c>
      <c r="T434" t="e">
        <v>#N/A</v>
      </c>
    </row>
    <row r="435" spans="7:20" x14ac:dyDescent="0.25">
      <c r="G435" s="19">
        <f t="shared" si="19"/>
        <v>263</v>
      </c>
      <c r="H435" s="34">
        <f t="shared" si="21"/>
        <v>44823</v>
      </c>
      <c r="I435">
        <f>HLOOKUP($I$4,meanT!$A$2:$D$368,G435,FALSE)</f>
        <v>12.1677419354838</v>
      </c>
      <c r="K435" t="e">
        <f t="shared" si="20"/>
        <v>#N/A</v>
      </c>
      <c r="L435" s="12" t="e">
        <v>#N/A</v>
      </c>
      <c r="M435" t="e">
        <v>#N/A</v>
      </c>
      <c r="N435" t="e">
        <v>#N/A</v>
      </c>
      <c r="O435" t="e">
        <v>#N/A</v>
      </c>
      <c r="P435" t="e">
        <v>#N/A</v>
      </c>
      <c r="Q435" t="e">
        <v>#N/A</v>
      </c>
      <c r="R435" t="e">
        <v>#N/A</v>
      </c>
      <c r="S435" t="e">
        <v>#N/A</v>
      </c>
      <c r="T435" t="e">
        <v>#N/A</v>
      </c>
    </row>
    <row r="436" spans="7:20" x14ac:dyDescent="0.25">
      <c r="G436" s="19">
        <f t="shared" si="19"/>
        <v>264</v>
      </c>
      <c r="H436" s="34">
        <f t="shared" si="21"/>
        <v>44824</v>
      </c>
      <c r="I436">
        <f>HLOOKUP($I$4,meanT!$A$2:$D$368,G436,FALSE)</f>
        <v>12.1064516129032</v>
      </c>
      <c r="K436" t="e">
        <f t="shared" si="20"/>
        <v>#N/A</v>
      </c>
      <c r="L436" s="12" t="e">
        <v>#N/A</v>
      </c>
      <c r="M436" t="e">
        <v>#N/A</v>
      </c>
      <c r="N436" t="e">
        <v>#N/A</v>
      </c>
      <c r="O436" t="e">
        <v>#N/A</v>
      </c>
      <c r="P436" t="e">
        <v>#N/A</v>
      </c>
      <c r="Q436" t="e">
        <v>#N/A</v>
      </c>
      <c r="R436" t="e">
        <v>#N/A</v>
      </c>
      <c r="S436" t="e">
        <v>#N/A</v>
      </c>
      <c r="T436" t="e">
        <v>#N/A</v>
      </c>
    </row>
    <row r="437" spans="7:20" x14ac:dyDescent="0.25">
      <c r="G437" s="19">
        <f t="shared" si="19"/>
        <v>265</v>
      </c>
      <c r="H437" s="34">
        <f t="shared" si="21"/>
        <v>44825</v>
      </c>
      <c r="I437">
        <f>HLOOKUP($I$4,meanT!$A$2:$D$368,G437,FALSE)</f>
        <v>12.012903225806401</v>
      </c>
      <c r="K437" t="e">
        <f t="shared" si="20"/>
        <v>#N/A</v>
      </c>
      <c r="L437" s="12" t="e">
        <v>#N/A</v>
      </c>
      <c r="M437" t="e">
        <v>#N/A</v>
      </c>
      <c r="N437" t="e">
        <v>#N/A</v>
      </c>
      <c r="O437" t="e">
        <v>#N/A</v>
      </c>
      <c r="P437" t="e">
        <v>#N/A</v>
      </c>
      <c r="Q437" t="e">
        <v>#N/A</v>
      </c>
      <c r="R437" t="e">
        <v>#N/A</v>
      </c>
      <c r="S437" t="e">
        <v>#N/A</v>
      </c>
      <c r="T437" t="e">
        <v>#N/A</v>
      </c>
    </row>
    <row r="438" spans="7:20" x14ac:dyDescent="0.25">
      <c r="G438" s="19">
        <f t="shared" si="19"/>
        <v>266</v>
      </c>
      <c r="H438" s="34">
        <f t="shared" si="21"/>
        <v>44826</v>
      </c>
      <c r="I438">
        <f>HLOOKUP($I$4,meanT!$A$2:$D$368,G438,FALSE)</f>
        <v>12.1612903225806</v>
      </c>
      <c r="K438" t="e">
        <f t="shared" si="20"/>
        <v>#N/A</v>
      </c>
      <c r="L438" s="12" t="e">
        <v>#N/A</v>
      </c>
      <c r="M438" t="e">
        <v>#N/A</v>
      </c>
      <c r="N438" t="e">
        <v>#N/A</v>
      </c>
      <c r="O438" t="e">
        <v>#N/A</v>
      </c>
      <c r="P438" t="e">
        <v>#N/A</v>
      </c>
      <c r="Q438" t="e">
        <v>#N/A</v>
      </c>
      <c r="R438" t="e">
        <v>#N/A</v>
      </c>
      <c r="S438" t="e">
        <v>#N/A</v>
      </c>
      <c r="T438" t="e">
        <v>#N/A</v>
      </c>
    </row>
    <row r="439" spans="7:20" x14ac:dyDescent="0.25">
      <c r="G439" s="19">
        <f t="shared" si="19"/>
        <v>267</v>
      </c>
      <c r="H439" s="34">
        <f t="shared" si="21"/>
        <v>44827</v>
      </c>
      <c r="I439">
        <f>HLOOKUP($I$4,meanT!$A$2:$D$368,G439,FALSE)</f>
        <v>12.285483870967701</v>
      </c>
      <c r="K439" t="e">
        <f t="shared" si="20"/>
        <v>#N/A</v>
      </c>
      <c r="L439" s="12" t="e">
        <v>#N/A</v>
      </c>
      <c r="M439" t="e">
        <v>#N/A</v>
      </c>
      <c r="N439" t="e">
        <v>#N/A</v>
      </c>
      <c r="O439" t="e">
        <v>#N/A</v>
      </c>
      <c r="P439" t="e">
        <v>#N/A</v>
      </c>
      <c r="Q439" t="e">
        <v>#N/A</v>
      </c>
      <c r="R439" t="e">
        <v>#N/A</v>
      </c>
      <c r="S439" t="e">
        <v>#N/A</v>
      </c>
      <c r="T439" t="e">
        <v>#N/A</v>
      </c>
    </row>
    <row r="440" spans="7:20" x14ac:dyDescent="0.25">
      <c r="G440" s="19">
        <f t="shared" si="19"/>
        <v>268</v>
      </c>
      <c r="H440" s="34">
        <f t="shared" si="21"/>
        <v>44828</v>
      </c>
      <c r="I440">
        <f>HLOOKUP($I$4,meanT!$A$2:$D$368,G440,FALSE)</f>
        <v>12.7274193548387</v>
      </c>
      <c r="K440" t="e">
        <f t="shared" si="20"/>
        <v>#N/A</v>
      </c>
      <c r="L440" s="12" t="e">
        <v>#N/A</v>
      </c>
      <c r="M440" t="e">
        <v>#N/A</v>
      </c>
      <c r="N440" t="e">
        <v>#N/A</v>
      </c>
      <c r="O440" t="e">
        <v>#N/A</v>
      </c>
      <c r="P440" t="e">
        <v>#N/A</v>
      </c>
      <c r="Q440" t="e">
        <v>#N/A</v>
      </c>
      <c r="R440" t="e">
        <v>#N/A</v>
      </c>
      <c r="S440" t="e">
        <v>#N/A</v>
      </c>
      <c r="T440" t="e">
        <v>#N/A</v>
      </c>
    </row>
    <row r="441" spans="7:20" x14ac:dyDescent="0.25">
      <c r="G441" s="19">
        <f t="shared" si="19"/>
        <v>269</v>
      </c>
      <c r="H441" s="34">
        <f t="shared" si="21"/>
        <v>44829</v>
      </c>
      <c r="I441">
        <f>HLOOKUP($I$4,meanT!$A$2:$D$368,G441,FALSE)</f>
        <v>12.4338709677419</v>
      </c>
      <c r="K441" t="e">
        <f t="shared" si="20"/>
        <v>#N/A</v>
      </c>
      <c r="L441" s="12" t="e">
        <v>#N/A</v>
      </c>
      <c r="M441" t="e">
        <v>#N/A</v>
      </c>
      <c r="N441" t="e">
        <v>#N/A</v>
      </c>
      <c r="O441" t="e">
        <v>#N/A</v>
      </c>
      <c r="P441" t="e">
        <v>#N/A</v>
      </c>
      <c r="Q441" t="e">
        <v>#N/A</v>
      </c>
      <c r="R441" t="e">
        <v>#N/A</v>
      </c>
      <c r="S441" t="e">
        <v>#N/A</v>
      </c>
      <c r="T441" t="e">
        <v>#N/A</v>
      </c>
    </row>
    <row r="442" spans="7:20" x14ac:dyDescent="0.25">
      <c r="G442" s="19">
        <f t="shared" si="19"/>
        <v>270</v>
      </c>
      <c r="H442" s="34">
        <f t="shared" si="21"/>
        <v>44830</v>
      </c>
      <c r="I442">
        <f>HLOOKUP($I$4,meanT!$A$2:$D$368,G442,FALSE)</f>
        <v>12.341666666666599</v>
      </c>
      <c r="K442" t="e">
        <f t="shared" si="20"/>
        <v>#N/A</v>
      </c>
      <c r="L442" s="12" t="e">
        <v>#N/A</v>
      </c>
      <c r="M442" t="e">
        <v>#N/A</v>
      </c>
      <c r="N442" t="e">
        <v>#N/A</v>
      </c>
      <c r="O442" t="e">
        <v>#N/A</v>
      </c>
      <c r="P442" t="e">
        <v>#N/A</v>
      </c>
      <c r="Q442" t="e">
        <v>#N/A</v>
      </c>
      <c r="R442" t="e">
        <v>#N/A</v>
      </c>
      <c r="S442" t="e">
        <v>#N/A</v>
      </c>
      <c r="T442" t="e">
        <v>#N/A</v>
      </c>
    </row>
    <row r="443" spans="7:20" x14ac:dyDescent="0.25">
      <c r="G443" s="19">
        <f t="shared" si="19"/>
        <v>271</v>
      </c>
      <c r="H443" s="34">
        <f t="shared" si="21"/>
        <v>44831</v>
      </c>
      <c r="I443">
        <f>HLOOKUP($I$4,meanT!$A$2:$D$368,G443,FALSE)</f>
        <v>12.7183333333333</v>
      </c>
      <c r="K443" t="e">
        <f t="shared" si="20"/>
        <v>#N/A</v>
      </c>
      <c r="L443" s="12" t="e">
        <v>#N/A</v>
      </c>
      <c r="M443" t="e">
        <v>#N/A</v>
      </c>
      <c r="N443" t="e">
        <v>#N/A</v>
      </c>
      <c r="O443" t="e">
        <v>#N/A</v>
      </c>
      <c r="P443" t="e">
        <v>#N/A</v>
      </c>
      <c r="Q443" t="e">
        <v>#N/A</v>
      </c>
      <c r="R443" t="e">
        <v>#N/A</v>
      </c>
      <c r="S443" t="e">
        <v>#N/A</v>
      </c>
      <c r="T443" t="e">
        <v>#N/A</v>
      </c>
    </row>
    <row r="444" spans="7:20" x14ac:dyDescent="0.25">
      <c r="G444" s="19">
        <f t="shared" si="19"/>
        <v>272</v>
      </c>
      <c r="H444" s="34">
        <f t="shared" si="21"/>
        <v>44832</v>
      </c>
      <c r="I444">
        <f>HLOOKUP($I$4,meanT!$A$2:$D$368,G444,FALSE)</f>
        <v>13.04</v>
      </c>
      <c r="K444" t="e">
        <f t="shared" si="20"/>
        <v>#N/A</v>
      </c>
      <c r="L444" s="12" t="e">
        <v>#N/A</v>
      </c>
      <c r="M444" t="e">
        <v>#N/A</v>
      </c>
      <c r="N444" t="e">
        <v>#N/A</v>
      </c>
      <c r="O444" t="e">
        <v>#N/A</v>
      </c>
      <c r="P444" t="e">
        <v>#N/A</v>
      </c>
      <c r="Q444" t="e">
        <v>#N/A</v>
      </c>
      <c r="R444" t="e">
        <v>#N/A</v>
      </c>
      <c r="S444" t="e">
        <v>#N/A</v>
      </c>
      <c r="T444" t="e">
        <v>#N/A</v>
      </c>
    </row>
    <row r="445" spans="7:20" x14ac:dyDescent="0.25">
      <c r="G445" s="19">
        <f t="shared" si="19"/>
        <v>273</v>
      </c>
      <c r="H445" s="34">
        <f t="shared" si="21"/>
        <v>44833</v>
      </c>
      <c r="I445">
        <f>HLOOKUP($I$4,meanT!$A$2:$D$368,G445,FALSE)</f>
        <v>13.381034482758601</v>
      </c>
      <c r="K445" t="e">
        <f t="shared" si="20"/>
        <v>#N/A</v>
      </c>
      <c r="L445" s="12" t="e">
        <v>#N/A</v>
      </c>
      <c r="M445" t="e">
        <v>#N/A</v>
      </c>
      <c r="N445" t="e">
        <v>#N/A</v>
      </c>
      <c r="O445" t="e">
        <v>#N/A</v>
      </c>
      <c r="P445" t="e">
        <v>#N/A</v>
      </c>
      <c r="Q445" t="e">
        <v>#N/A</v>
      </c>
      <c r="R445" t="e">
        <v>#N/A</v>
      </c>
      <c r="S445" t="e">
        <v>#N/A</v>
      </c>
      <c r="T445" t="e">
        <v>#N/A</v>
      </c>
    </row>
    <row r="446" spans="7:20" x14ac:dyDescent="0.25">
      <c r="G446" s="19">
        <f t="shared" si="19"/>
        <v>274</v>
      </c>
      <c r="H446" s="34">
        <f t="shared" si="21"/>
        <v>44834</v>
      </c>
      <c r="I446">
        <f>HLOOKUP($I$4,meanT!$A$2:$D$368,G446,FALSE)</f>
        <v>13.274137931034399</v>
      </c>
      <c r="K446" t="e">
        <f t="shared" si="20"/>
        <v>#N/A</v>
      </c>
      <c r="L446" s="12" t="e">
        <v>#N/A</v>
      </c>
      <c r="M446" t="e">
        <v>#N/A</v>
      </c>
      <c r="N446" t="e">
        <v>#N/A</v>
      </c>
      <c r="O446" t="e">
        <v>#N/A</v>
      </c>
      <c r="P446" t="e">
        <v>#N/A</v>
      </c>
      <c r="Q446" t="e">
        <v>#N/A</v>
      </c>
      <c r="R446" t="e">
        <v>#N/A</v>
      </c>
      <c r="S446" t="e">
        <v>#N/A</v>
      </c>
      <c r="T446" t="e">
        <v>#N/A</v>
      </c>
    </row>
    <row r="447" spans="7:20" x14ac:dyDescent="0.25">
      <c r="G447" s="19">
        <f t="shared" si="19"/>
        <v>275</v>
      </c>
      <c r="H447" s="34">
        <f t="shared" si="21"/>
        <v>44835</v>
      </c>
      <c r="I447">
        <f>HLOOKUP($I$4,meanT!$A$2:$D$368,G447,FALSE)</f>
        <v>13.0233333333333</v>
      </c>
      <c r="K447" t="e">
        <f t="shared" si="20"/>
        <v>#N/A</v>
      </c>
      <c r="L447" s="12" t="e">
        <v>#N/A</v>
      </c>
      <c r="M447" t="e">
        <v>#N/A</v>
      </c>
      <c r="N447" t="e">
        <v>#N/A</v>
      </c>
      <c r="O447" t="e">
        <v>#N/A</v>
      </c>
      <c r="P447" t="e">
        <v>#N/A</v>
      </c>
      <c r="Q447" t="e">
        <v>#N/A</v>
      </c>
      <c r="R447" t="e">
        <v>#N/A</v>
      </c>
      <c r="S447" t="e">
        <v>#N/A</v>
      </c>
      <c r="T447" t="e">
        <v>#N/A</v>
      </c>
    </row>
    <row r="448" spans="7:20" x14ac:dyDescent="0.25">
      <c r="G448" s="19">
        <f t="shared" si="19"/>
        <v>276</v>
      </c>
      <c r="H448" s="34">
        <f t="shared" si="21"/>
        <v>44836</v>
      </c>
      <c r="I448">
        <f>HLOOKUP($I$4,meanT!$A$2:$D$368,G448,FALSE)</f>
        <v>12.938333333333301</v>
      </c>
      <c r="K448" t="e">
        <f t="shared" si="20"/>
        <v>#N/A</v>
      </c>
      <c r="L448" s="12" t="e">
        <v>#N/A</v>
      </c>
      <c r="M448" t="e">
        <v>#N/A</v>
      </c>
      <c r="N448" t="e">
        <v>#N/A</v>
      </c>
      <c r="O448" t="e">
        <v>#N/A</v>
      </c>
      <c r="P448" t="e">
        <v>#N/A</v>
      </c>
      <c r="Q448" t="e">
        <v>#N/A</v>
      </c>
      <c r="R448" t="e">
        <v>#N/A</v>
      </c>
      <c r="S448" t="e">
        <v>#N/A</v>
      </c>
      <c r="T448" t="e">
        <v>#N/A</v>
      </c>
    </row>
    <row r="449" spans="7:20" x14ac:dyDescent="0.25">
      <c r="G449" s="19">
        <f t="shared" si="19"/>
        <v>277</v>
      </c>
      <c r="H449" s="34">
        <f t="shared" si="21"/>
        <v>44837</v>
      </c>
      <c r="I449">
        <f>HLOOKUP($I$4,meanT!$A$2:$D$368,G449,FALSE)</f>
        <v>13.2433333333333</v>
      </c>
      <c r="K449" t="e">
        <f t="shared" si="20"/>
        <v>#N/A</v>
      </c>
      <c r="L449" s="12" t="e">
        <v>#N/A</v>
      </c>
      <c r="M449" t="e">
        <v>#N/A</v>
      </c>
      <c r="N449" t="e">
        <v>#N/A</v>
      </c>
      <c r="O449" t="e">
        <v>#N/A</v>
      </c>
      <c r="P449" t="e">
        <v>#N/A</v>
      </c>
      <c r="Q449" t="e">
        <v>#N/A</v>
      </c>
      <c r="R449" t="e">
        <v>#N/A</v>
      </c>
      <c r="S449" t="e">
        <v>#N/A</v>
      </c>
      <c r="T449" t="e">
        <v>#N/A</v>
      </c>
    </row>
    <row r="450" spans="7:20" x14ac:dyDescent="0.25">
      <c r="G450" s="19">
        <f t="shared" si="19"/>
        <v>278</v>
      </c>
      <c r="H450" s="34">
        <f t="shared" si="21"/>
        <v>44838</v>
      </c>
      <c r="I450">
        <f>HLOOKUP($I$4,meanT!$A$2:$D$368,G450,FALSE)</f>
        <v>12.85</v>
      </c>
      <c r="K450" t="e">
        <f t="shared" si="20"/>
        <v>#N/A</v>
      </c>
      <c r="L450" s="12" t="e">
        <v>#N/A</v>
      </c>
      <c r="M450" t="e">
        <v>#N/A</v>
      </c>
      <c r="N450" t="e">
        <v>#N/A</v>
      </c>
      <c r="O450" t="e">
        <v>#N/A</v>
      </c>
      <c r="P450" t="e">
        <v>#N/A</v>
      </c>
      <c r="Q450" t="e">
        <v>#N/A</v>
      </c>
      <c r="R450" t="e">
        <v>#N/A</v>
      </c>
      <c r="S450" t="e">
        <v>#N/A</v>
      </c>
      <c r="T450" t="e">
        <v>#N/A</v>
      </c>
    </row>
    <row r="451" spans="7:20" x14ac:dyDescent="0.25">
      <c r="G451" s="19">
        <f t="shared" si="19"/>
        <v>279</v>
      </c>
      <c r="H451" s="34">
        <f t="shared" si="21"/>
        <v>44839</v>
      </c>
      <c r="I451">
        <f>HLOOKUP($I$4,meanT!$A$2:$D$368,G451,FALSE)</f>
        <v>12.875806451612901</v>
      </c>
      <c r="K451" t="e">
        <f t="shared" si="20"/>
        <v>#N/A</v>
      </c>
      <c r="L451" s="12" t="e">
        <v>#N/A</v>
      </c>
      <c r="M451" t="e">
        <v>#N/A</v>
      </c>
      <c r="N451" t="e">
        <v>#N/A</v>
      </c>
      <c r="O451" t="e">
        <v>#N/A</v>
      </c>
      <c r="P451" t="e">
        <v>#N/A</v>
      </c>
      <c r="Q451" t="e">
        <v>#N/A</v>
      </c>
      <c r="R451" t="e">
        <v>#N/A</v>
      </c>
      <c r="S451" t="e">
        <v>#N/A</v>
      </c>
      <c r="T451" t="e">
        <v>#N/A</v>
      </c>
    </row>
    <row r="452" spans="7:20" x14ac:dyDescent="0.25">
      <c r="G452" s="19">
        <f t="shared" si="19"/>
        <v>280</v>
      </c>
      <c r="H452" s="34">
        <f t="shared" si="21"/>
        <v>44840</v>
      </c>
      <c r="I452">
        <f>HLOOKUP($I$4,meanT!$A$2:$D$368,G452,FALSE)</f>
        <v>12.9966666666666</v>
      </c>
      <c r="K452" t="e">
        <f t="shared" si="20"/>
        <v>#N/A</v>
      </c>
      <c r="L452" s="12" t="e">
        <v>#N/A</v>
      </c>
      <c r="M452" t="e">
        <v>#N/A</v>
      </c>
      <c r="N452" t="e">
        <v>#N/A</v>
      </c>
      <c r="O452" t="e">
        <v>#N/A</v>
      </c>
      <c r="P452" t="e">
        <v>#N/A</v>
      </c>
      <c r="Q452" t="e">
        <v>#N/A</v>
      </c>
      <c r="R452" t="e">
        <v>#N/A</v>
      </c>
      <c r="S452" t="e">
        <v>#N/A</v>
      </c>
      <c r="T452" t="e">
        <v>#N/A</v>
      </c>
    </row>
    <row r="453" spans="7:20" x14ac:dyDescent="0.25">
      <c r="G453" s="19">
        <f t="shared" si="19"/>
        <v>281</v>
      </c>
      <c r="H453" s="34">
        <f t="shared" si="21"/>
        <v>44841</v>
      </c>
      <c r="I453">
        <f>HLOOKUP($I$4,meanT!$A$2:$D$368,G453,FALSE)</f>
        <v>12.7633333333333</v>
      </c>
      <c r="K453" t="e">
        <f t="shared" si="20"/>
        <v>#N/A</v>
      </c>
      <c r="L453" s="12" t="e">
        <v>#N/A</v>
      </c>
      <c r="M453" t="e">
        <v>#N/A</v>
      </c>
      <c r="N453" t="e">
        <v>#N/A</v>
      </c>
      <c r="O453" t="e">
        <v>#N/A</v>
      </c>
      <c r="P453" t="e">
        <v>#N/A</v>
      </c>
      <c r="Q453" t="e">
        <v>#N/A</v>
      </c>
      <c r="R453" t="e">
        <v>#N/A</v>
      </c>
      <c r="S453" t="e">
        <v>#N/A</v>
      </c>
      <c r="T453" t="e">
        <v>#N/A</v>
      </c>
    </row>
    <row r="454" spans="7:20" x14ac:dyDescent="0.25">
      <c r="G454" s="19">
        <f t="shared" si="19"/>
        <v>282</v>
      </c>
      <c r="H454" s="34">
        <f t="shared" si="21"/>
        <v>44842</v>
      </c>
      <c r="I454">
        <f>HLOOKUP($I$4,meanT!$A$2:$D$368,G454,FALSE)</f>
        <v>13.4816666666666</v>
      </c>
      <c r="K454" t="e">
        <f t="shared" si="20"/>
        <v>#N/A</v>
      </c>
      <c r="L454" s="12" t="e">
        <v>#N/A</v>
      </c>
      <c r="M454" t="e">
        <v>#N/A</v>
      </c>
      <c r="N454" t="e">
        <v>#N/A</v>
      </c>
      <c r="O454" t="e">
        <v>#N/A</v>
      </c>
      <c r="P454" t="e">
        <v>#N/A</v>
      </c>
      <c r="Q454" t="e">
        <v>#N/A</v>
      </c>
      <c r="R454" t="e">
        <v>#N/A</v>
      </c>
      <c r="S454" t="e">
        <v>#N/A</v>
      </c>
      <c r="T454" t="e">
        <v>#N/A</v>
      </c>
    </row>
    <row r="455" spans="7:20" x14ac:dyDescent="0.25">
      <c r="G455" s="19">
        <f t="shared" ref="G455:G495" si="22">H455-DATE(YEAR(H455),1,0)+1</f>
        <v>283</v>
      </c>
      <c r="H455" s="34">
        <f t="shared" si="21"/>
        <v>44843</v>
      </c>
      <c r="I455">
        <f>HLOOKUP($I$4,meanT!$A$2:$D$368,G455,FALSE)</f>
        <v>13.6933333333333</v>
      </c>
      <c r="K455" t="e">
        <f t="shared" ref="K455:K495" si="23">AND(IF(L455&gt;($B$24-1),TRUE,FALSE),IF(L455&lt;($B$26+1),TRUE,FALSE))</f>
        <v>#N/A</v>
      </c>
      <c r="L455" s="12" t="e">
        <v>#N/A</v>
      </c>
      <c r="M455" t="e">
        <v>#N/A</v>
      </c>
      <c r="N455" t="e">
        <v>#N/A</v>
      </c>
      <c r="O455" t="e">
        <v>#N/A</v>
      </c>
      <c r="P455" t="e">
        <v>#N/A</v>
      </c>
      <c r="Q455" t="e">
        <v>#N/A</v>
      </c>
      <c r="R455" t="e">
        <v>#N/A</v>
      </c>
      <c r="S455" t="e">
        <v>#N/A</v>
      </c>
      <c r="T455" t="e">
        <v>#N/A</v>
      </c>
    </row>
    <row r="456" spans="7:20" x14ac:dyDescent="0.25">
      <c r="G456" s="19">
        <f t="shared" si="22"/>
        <v>284</v>
      </c>
      <c r="H456" s="34">
        <f t="shared" ref="H456:H495" si="24">H455+1</f>
        <v>44844</v>
      </c>
      <c r="I456">
        <f>HLOOKUP($I$4,meanT!$A$2:$D$368,G456,FALSE)</f>
        <v>12.9568965517241</v>
      </c>
      <c r="K456" t="e">
        <f t="shared" si="23"/>
        <v>#N/A</v>
      </c>
      <c r="L456" s="12" t="e">
        <v>#N/A</v>
      </c>
      <c r="M456" t="e">
        <v>#N/A</v>
      </c>
      <c r="N456" t="e">
        <v>#N/A</v>
      </c>
      <c r="O456" t="e">
        <v>#N/A</v>
      </c>
      <c r="P456" t="e">
        <v>#N/A</v>
      </c>
      <c r="Q456" t="e">
        <v>#N/A</v>
      </c>
      <c r="R456" t="e">
        <v>#N/A</v>
      </c>
      <c r="S456" t="e">
        <v>#N/A</v>
      </c>
      <c r="T456" t="e">
        <v>#N/A</v>
      </c>
    </row>
    <row r="457" spans="7:20" x14ac:dyDescent="0.25">
      <c r="G457" s="19">
        <f t="shared" si="22"/>
        <v>285</v>
      </c>
      <c r="H457" s="34">
        <f t="shared" si="24"/>
        <v>44845</v>
      </c>
      <c r="I457">
        <f>HLOOKUP($I$4,meanT!$A$2:$D$368,G457,FALSE)</f>
        <v>13.2293103448275</v>
      </c>
      <c r="K457" t="e">
        <f t="shared" si="23"/>
        <v>#N/A</v>
      </c>
      <c r="L457" s="12" t="e">
        <v>#N/A</v>
      </c>
      <c r="M457" t="e">
        <v>#N/A</v>
      </c>
      <c r="N457" t="e">
        <v>#N/A</v>
      </c>
      <c r="O457" t="e">
        <v>#N/A</v>
      </c>
      <c r="P457" t="e">
        <v>#N/A</v>
      </c>
      <c r="Q457" t="e">
        <v>#N/A</v>
      </c>
      <c r="R457" t="e">
        <v>#N/A</v>
      </c>
      <c r="S457" t="e">
        <v>#N/A</v>
      </c>
      <c r="T457" t="e">
        <v>#N/A</v>
      </c>
    </row>
    <row r="458" spans="7:20" x14ac:dyDescent="0.25">
      <c r="G458" s="19">
        <f t="shared" si="22"/>
        <v>286</v>
      </c>
      <c r="H458" s="34">
        <f t="shared" si="24"/>
        <v>44846</v>
      </c>
      <c r="I458">
        <f>HLOOKUP($I$4,meanT!$A$2:$D$368,G458,FALSE)</f>
        <v>13.7431034482758</v>
      </c>
      <c r="K458" t="e">
        <f t="shared" si="23"/>
        <v>#N/A</v>
      </c>
      <c r="L458" s="12" t="e">
        <v>#N/A</v>
      </c>
      <c r="M458" t="e">
        <v>#N/A</v>
      </c>
      <c r="N458" t="e">
        <v>#N/A</v>
      </c>
      <c r="O458" t="e">
        <v>#N/A</v>
      </c>
      <c r="P458" t="e">
        <v>#N/A</v>
      </c>
      <c r="Q458" t="e">
        <v>#N/A</v>
      </c>
      <c r="R458" t="e">
        <v>#N/A</v>
      </c>
      <c r="S458" t="e">
        <v>#N/A</v>
      </c>
      <c r="T458" t="e">
        <v>#N/A</v>
      </c>
    </row>
    <row r="459" spans="7:20" x14ac:dyDescent="0.25">
      <c r="G459" s="19">
        <f t="shared" si="22"/>
        <v>287</v>
      </c>
      <c r="H459" s="34">
        <f t="shared" si="24"/>
        <v>44847</v>
      </c>
      <c r="I459">
        <f>HLOOKUP($I$4,meanT!$A$2:$D$368,G459,FALSE)</f>
        <v>13.6551724137931</v>
      </c>
      <c r="K459" t="e">
        <f t="shared" si="23"/>
        <v>#N/A</v>
      </c>
      <c r="L459" s="12" t="e">
        <v>#N/A</v>
      </c>
      <c r="M459" t="e">
        <v>#N/A</v>
      </c>
      <c r="N459" t="e">
        <v>#N/A</v>
      </c>
      <c r="O459" t="e">
        <v>#N/A</v>
      </c>
      <c r="P459" t="e">
        <v>#N/A</v>
      </c>
      <c r="Q459" t="e">
        <v>#N/A</v>
      </c>
      <c r="R459" t="e">
        <v>#N/A</v>
      </c>
      <c r="S459" t="e">
        <v>#N/A</v>
      </c>
      <c r="T459" t="e">
        <v>#N/A</v>
      </c>
    </row>
    <row r="460" spans="7:20" x14ac:dyDescent="0.25">
      <c r="G460" s="19">
        <f t="shared" si="22"/>
        <v>288</v>
      </c>
      <c r="H460" s="34">
        <f t="shared" si="24"/>
        <v>44848</v>
      </c>
      <c r="I460">
        <f>HLOOKUP($I$4,meanT!$A$2:$D$368,G460,FALSE)</f>
        <v>13.334482758620601</v>
      </c>
      <c r="K460" t="e">
        <f t="shared" si="23"/>
        <v>#N/A</v>
      </c>
      <c r="L460" s="12" t="e">
        <v>#N/A</v>
      </c>
      <c r="M460" t="e">
        <v>#N/A</v>
      </c>
      <c r="N460" t="e">
        <v>#N/A</v>
      </c>
      <c r="O460" t="e">
        <v>#N/A</v>
      </c>
      <c r="P460" t="e">
        <v>#N/A</v>
      </c>
      <c r="Q460" t="e">
        <v>#N/A</v>
      </c>
      <c r="R460" t="e">
        <v>#N/A</v>
      </c>
      <c r="S460" t="e">
        <v>#N/A</v>
      </c>
      <c r="T460" t="e">
        <v>#N/A</v>
      </c>
    </row>
    <row r="461" spans="7:20" x14ac:dyDescent="0.25">
      <c r="G461" s="19">
        <f t="shared" si="22"/>
        <v>289</v>
      </c>
      <c r="H461" s="34">
        <f t="shared" si="24"/>
        <v>44849</v>
      </c>
      <c r="I461">
        <f>HLOOKUP($I$4,meanT!$A$2:$D$368,G461,FALSE)</f>
        <v>13.0379310344827</v>
      </c>
      <c r="K461" t="e">
        <f t="shared" si="23"/>
        <v>#N/A</v>
      </c>
      <c r="L461" s="12" t="e">
        <v>#N/A</v>
      </c>
      <c r="M461" t="e">
        <v>#N/A</v>
      </c>
      <c r="N461" t="e">
        <v>#N/A</v>
      </c>
      <c r="O461" t="e">
        <v>#N/A</v>
      </c>
      <c r="P461" t="e">
        <v>#N/A</v>
      </c>
      <c r="Q461" t="e">
        <v>#N/A</v>
      </c>
      <c r="R461" t="e">
        <v>#N/A</v>
      </c>
      <c r="S461" t="e">
        <v>#N/A</v>
      </c>
      <c r="T461" t="e">
        <v>#N/A</v>
      </c>
    </row>
    <row r="462" spans="7:20" x14ac:dyDescent="0.25">
      <c r="G462" s="19">
        <f t="shared" si="22"/>
        <v>290</v>
      </c>
      <c r="H462" s="34">
        <f t="shared" si="24"/>
        <v>44850</v>
      </c>
      <c r="I462">
        <f>HLOOKUP($I$4,meanT!$A$2:$D$368,G462,FALSE)</f>
        <v>13.094827586206801</v>
      </c>
      <c r="K462" t="e">
        <f t="shared" si="23"/>
        <v>#N/A</v>
      </c>
      <c r="L462" s="12" t="e">
        <v>#N/A</v>
      </c>
      <c r="M462" t="e">
        <v>#N/A</v>
      </c>
      <c r="N462" t="e">
        <v>#N/A</v>
      </c>
      <c r="O462" t="e">
        <v>#N/A</v>
      </c>
      <c r="P462" t="e">
        <v>#N/A</v>
      </c>
      <c r="Q462" t="e">
        <v>#N/A</v>
      </c>
      <c r="R462" t="e">
        <v>#N/A</v>
      </c>
      <c r="S462" t="e">
        <v>#N/A</v>
      </c>
      <c r="T462" t="e">
        <v>#N/A</v>
      </c>
    </row>
    <row r="463" spans="7:20" x14ac:dyDescent="0.25">
      <c r="G463" s="19">
        <f t="shared" si="22"/>
        <v>291</v>
      </c>
      <c r="H463" s="34">
        <f t="shared" si="24"/>
        <v>44851</v>
      </c>
      <c r="I463">
        <f>HLOOKUP($I$4,meanT!$A$2:$D$368,G463,FALSE)</f>
        <v>13.6775862068965</v>
      </c>
      <c r="K463" t="e">
        <f t="shared" si="23"/>
        <v>#N/A</v>
      </c>
      <c r="L463" s="12" t="e">
        <v>#N/A</v>
      </c>
      <c r="M463" t="e">
        <v>#N/A</v>
      </c>
      <c r="N463" t="e">
        <v>#N/A</v>
      </c>
      <c r="O463" t="e">
        <v>#N/A</v>
      </c>
      <c r="P463" t="e">
        <v>#N/A</v>
      </c>
      <c r="Q463" t="e">
        <v>#N/A</v>
      </c>
      <c r="R463" t="e">
        <v>#N/A</v>
      </c>
      <c r="S463" t="e">
        <v>#N/A</v>
      </c>
      <c r="T463" t="e">
        <v>#N/A</v>
      </c>
    </row>
    <row r="464" spans="7:20" x14ac:dyDescent="0.25">
      <c r="G464" s="19">
        <f t="shared" si="22"/>
        <v>292</v>
      </c>
      <c r="H464" s="34">
        <f t="shared" si="24"/>
        <v>44852</v>
      </c>
      <c r="I464">
        <f>HLOOKUP($I$4,meanT!$A$2:$D$368,G464,FALSE)</f>
        <v>13.189655172413699</v>
      </c>
      <c r="K464" t="e">
        <f t="shared" si="23"/>
        <v>#N/A</v>
      </c>
      <c r="L464" s="12" t="e">
        <v>#N/A</v>
      </c>
      <c r="M464" t="e">
        <v>#N/A</v>
      </c>
      <c r="N464" t="e">
        <v>#N/A</v>
      </c>
      <c r="O464" t="e">
        <v>#N/A</v>
      </c>
      <c r="P464" t="e">
        <v>#N/A</v>
      </c>
      <c r="Q464" t="e">
        <v>#N/A</v>
      </c>
      <c r="R464" t="e">
        <v>#N/A</v>
      </c>
      <c r="S464" t="e">
        <v>#N/A</v>
      </c>
      <c r="T464" t="e">
        <v>#N/A</v>
      </c>
    </row>
    <row r="465" spans="7:20" x14ac:dyDescent="0.25">
      <c r="G465" s="19">
        <f t="shared" si="22"/>
        <v>293</v>
      </c>
      <c r="H465" s="34">
        <f t="shared" si="24"/>
        <v>44853</v>
      </c>
      <c r="I465">
        <f>HLOOKUP($I$4,meanT!$A$2:$D$368,G465,FALSE)</f>
        <v>12.9428571428571</v>
      </c>
      <c r="K465" t="e">
        <f t="shared" si="23"/>
        <v>#N/A</v>
      </c>
      <c r="L465" s="12" t="e">
        <v>#N/A</v>
      </c>
      <c r="M465" t="e">
        <v>#N/A</v>
      </c>
      <c r="N465" t="e">
        <v>#N/A</v>
      </c>
      <c r="O465" t="e">
        <v>#N/A</v>
      </c>
      <c r="P465" t="e">
        <v>#N/A</v>
      </c>
      <c r="Q465" t="e">
        <v>#N/A</v>
      </c>
      <c r="R465" t="e">
        <v>#N/A</v>
      </c>
      <c r="S465" t="e">
        <v>#N/A</v>
      </c>
      <c r="T465" t="e">
        <v>#N/A</v>
      </c>
    </row>
    <row r="466" spans="7:20" x14ac:dyDescent="0.25">
      <c r="G466" s="19">
        <f t="shared" si="22"/>
        <v>294</v>
      </c>
      <c r="H466" s="34">
        <f t="shared" si="24"/>
        <v>44854</v>
      </c>
      <c r="I466">
        <f>HLOOKUP($I$4,meanT!$A$2:$D$368,G466,FALSE)</f>
        <v>12.819642857142799</v>
      </c>
      <c r="K466" t="e">
        <f t="shared" si="23"/>
        <v>#N/A</v>
      </c>
      <c r="L466" s="12" t="e">
        <v>#N/A</v>
      </c>
      <c r="M466" t="e">
        <v>#N/A</v>
      </c>
      <c r="N466" t="e">
        <v>#N/A</v>
      </c>
      <c r="O466" t="e">
        <v>#N/A</v>
      </c>
      <c r="P466" t="e">
        <v>#N/A</v>
      </c>
      <c r="Q466" t="e">
        <v>#N/A</v>
      </c>
      <c r="R466" t="e">
        <v>#N/A</v>
      </c>
      <c r="S466" t="e">
        <v>#N/A</v>
      </c>
      <c r="T466" t="e">
        <v>#N/A</v>
      </c>
    </row>
    <row r="467" spans="7:20" x14ac:dyDescent="0.25">
      <c r="G467" s="19">
        <f t="shared" si="22"/>
        <v>295</v>
      </c>
      <c r="H467" s="34">
        <f t="shared" si="24"/>
        <v>44855</v>
      </c>
      <c r="I467">
        <f>HLOOKUP($I$4,meanT!$A$2:$D$368,G467,FALSE)</f>
        <v>13.2785714285714</v>
      </c>
      <c r="K467" t="e">
        <f t="shared" si="23"/>
        <v>#N/A</v>
      </c>
      <c r="L467" s="12" t="e">
        <v>#N/A</v>
      </c>
      <c r="M467" t="e">
        <v>#N/A</v>
      </c>
      <c r="N467" t="e">
        <v>#N/A</v>
      </c>
      <c r="O467" t="e">
        <v>#N/A</v>
      </c>
      <c r="P467" t="e">
        <v>#N/A</v>
      </c>
      <c r="Q467" t="e">
        <v>#N/A</v>
      </c>
      <c r="R467" t="e">
        <v>#N/A</v>
      </c>
      <c r="S467" t="e">
        <v>#N/A</v>
      </c>
      <c r="T467" t="e">
        <v>#N/A</v>
      </c>
    </row>
    <row r="468" spans="7:20" x14ac:dyDescent="0.25">
      <c r="G468" s="19">
        <f t="shared" si="22"/>
        <v>296</v>
      </c>
      <c r="H468" s="34">
        <f t="shared" si="24"/>
        <v>44856</v>
      </c>
      <c r="I468">
        <f>HLOOKUP($I$4,meanT!$A$2:$D$368,G468,FALSE)</f>
        <v>13.5625</v>
      </c>
      <c r="K468" t="e">
        <f t="shared" si="23"/>
        <v>#N/A</v>
      </c>
      <c r="L468" s="12" t="e">
        <v>#N/A</v>
      </c>
      <c r="M468" t="e">
        <v>#N/A</v>
      </c>
      <c r="N468" t="e">
        <v>#N/A</v>
      </c>
      <c r="O468" t="e">
        <v>#N/A</v>
      </c>
      <c r="P468" t="e">
        <v>#N/A</v>
      </c>
      <c r="Q468" t="e">
        <v>#N/A</v>
      </c>
      <c r="R468" t="e">
        <v>#N/A</v>
      </c>
      <c r="S468" t="e">
        <v>#N/A</v>
      </c>
      <c r="T468" t="e">
        <v>#N/A</v>
      </c>
    </row>
    <row r="469" spans="7:20" x14ac:dyDescent="0.25">
      <c r="G469" s="19">
        <f t="shared" si="22"/>
        <v>297</v>
      </c>
      <c r="H469" s="34">
        <f t="shared" si="24"/>
        <v>44857</v>
      </c>
      <c r="I469">
        <f>HLOOKUP($I$4,meanT!$A$2:$D$368,G469,FALSE)</f>
        <v>13.9310344827586</v>
      </c>
      <c r="K469" t="e">
        <f t="shared" si="23"/>
        <v>#N/A</v>
      </c>
      <c r="L469" s="12" t="e">
        <v>#N/A</v>
      </c>
      <c r="M469" t="e">
        <v>#N/A</v>
      </c>
      <c r="N469" t="e">
        <v>#N/A</v>
      </c>
      <c r="O469" t="e">
        <v>#N/A</v>
      </c>
      <c r="P469" t="e">
        <v>#N/A</v>
      </c>
      <c r="Q469" t="e">
        <v>#N/A</v>
      </c>
      <c r="R469" t="e">
        <v>#N/A</v>
      </c>
      <c r="S469" t="e">
        <v>#N/A</v>
      </c>
      <c r="T469" t="e">
        <v>#N/A</v>
      </c>
    </row>
    <row r="470" spans="7:20" x14ac:dyDescent="0.25">
      <c r="G470" s="19">
        <f t="shared" si="22"/>
        <v>298</v>
      </c>
      <c r="H470" s="34">
        <f t="shared" si="24"/>
        <v>44858</v>
      </c>
      <c r="I470">
        <f>HLOOKUP($I$4,meanT!$A$2:$D$368,G470,FALSE)</f>
        <v>13.336206896551699</v>
      </c>
      <c r="K470" t="e">
        <f t="shared" si="23"/>
        <v>#N/A</v>
      </c>
      <c r="L470" s="12" t="e">
        <v>#N/A</v>
      </c>
      <c r="M470" t="e">
        <v>#N/A</v>
      </c>
      <c r="N470" t="e">
        <v>#N/A</v>
      </c>
      <c r="O470" t="e">
        <v>#N/A</v>
      </c>
      <c r="P470" t="e">
        <v>#N/A</v>
      </c>
      <c r="Q470" t="e">
        <v>#N/A</v>
      </c>
      <c r="R470" t="e">
        <v>#N/A</v>
      </c>
      <c r="S470" t="e">
        <v>#N/A</v>
      </c>
      <c r="T470" t="e">
        <v>#N/A</v>
      </c>
    </row>
    <row r="471" spans="7:20" x14ac:dyDescent="0.25">
      <c r="G471" s="19">
        <f t="shared" si="22"/>
        <v>299</v>
      </c>
      <c r="H471" s="34">
        <f t="shared" si="24"/>
        <v>44859</v>
      </c>
      <c r="I471">
        <f>HLOOKUP($I$4,meanT!$A$2:$D$368,G471,FALSE)</f>
        <v>13.789655172413701</v>
      </c>
      <c r="K471" t="e">
        <f t="shared" si="23"/>
        <v>#N/A</v>
      </c>
      <c r="L471" s="12" t="e">
        <v>#N/A</v>
      </c>
      <c r="M471" t="e">
        <v>#N/A</v>
      </c>
      <c r="N471" t="e">
        <v>#N/A</v>
      </c>
      <c r="O471" t="e">
        <v>#N/A</v>
      </c>
      <c r="P471" t="e">
        <v>#N/A</v>
      </c>
      <c r="Q471" t="e">
        <v>#N/A</v>
      </c>
      <c r="R471" t="e">
        <v>#N/A</v>
      </c>
      <c r="S471" t="e">
        <v>#N/A</v>
      </c>
      <c r="T471" t="e">
        <v>#N/A</v>
      </c>
    </row>
    <row r="472" spans="7:20" x14ac:dyDescent="0.25">
      <c r="G472" s="19">
        <f t="shared" si="22"/>
        <v>300</v>
      </c>
      <c r="H472" s="34">
        <f t="shared" si="24"/>
        <v>44860</v>
      </c>
      <c r="I472">
        <f>HLOOKUP($I$4,meanT!$A$2:$D$368,G472,FALSE)</f>
        <v>14.0810344827586</v>
      </c>
      <c r="K472" t="e">
        <f t="shared" si="23"/>
        <v>#N/A</v>
      </c>
      <c r="L472" s="12" t="e">
        <v>#N/A</v>
      </c>
      <c r="M472" t="e">
        <v>#N/A</v>
      </c>
      <c r="N472" t="e">
        <v>#N/A</v>
      </c>
      <c r="O472" t="e">
        <v>#N/A</v>
      </c>
      <c r="P472" t="e">
        <v>#N/A</v>
      </c>
      <c r="Q472" t="e">
        <v>#N/A</v>
      </c>
      <c r="R472" t="e">
        <v>#N/A</v>
      </c>
      <c r="S472" t="e">
        <v>#N/A</v>
      </c>
      <c r="T472" t="e">
        <v>#N/A</v>
      </c>
    </row>
    <row r="473" spans="7:20" x14ac:dyDescent="0.25">
      <c r="G473" s="19">
        <f t="shared" si="22"/>
        <v>301</v>
      </c>
      <c r="H473" s="34">
        <f t="shared" si="24"/>
        <v>44861</v>
      </c>
      <c r="I473">
        <f>HLOOKUP($I$4,meanT!$A$2:$D$368,G473,FALSE)</f>
        <v>14.8396551724137</v>
      </c>
      <c r="K473" t="e">
        <f t="shared" si="23"/>
        <v>#N/A</v>
      </c>
      <c r="L473" s="12" t="e">
        <v>#N/A</v>
      </c>
      <c r="M473" t="e">
        <v>#N/A</v>
      </c>
      <c r="N473" t="e">
        <v>#N/A</v>
      </c>
      <c r="O473" t="e">
        <v>#N/A</v>
      </c>
      <c r="P473" t="e">
        <v>#N/A</v>
      </c>
      <c r="Q473" t="e">
        <v>#N/A</v>
      </c>
      <c r="R473" t="e">
        <v>#N/A</v>
      </c>
      <c r="S473" t="e">
        <v>#N/A</v>
      </c>
      <c r="T473" t="e">
        <v>#N/A</v>
      </c>
    </row>
    <row r="474" spans="7:20" x14ac:dyDescent="0.25">
      <c r="G474" s="19">
        <f t="shared" si="22"/>
        <v>302</v>
      </c>
      <c r="H474" s="34">
        <f t="shared" si="24"/>
        <v>44862</v>
      </c>
      <c r="I474">
        <f>HLOOKUP($I$4,meanT!$A$2:$D$368,G474,FALSE)</f>
        <v>14.274137931034399</v>
      </c>
      <c r="K474" t="e">
        <f t="shared" si="23"/>
        <v>#N/A</v>
      </c>
      <c r="L474" s="12" t="e">
        <v>#N/A</v>
      </c>
      <c r="M474" t="e">
        <v>#N/A</v>
      </c>
      <c r="N474" t="e">
        <v>#N/A</v>
      </c>
      <c r="O474" t="e">
        <v>#N/A</v>
      </c>
      <c r="P474" t="e">
        <v>#N/A</v>
      </c>
      <c r="Q474" t="e">
        <v>#N/A</v>
      </c>
      <c r="R474" t="e">
        <v>#N/A</v>
      </c>
      <c r="S474" t="e">
        <v>#N/A</v>
      </c>
      <c r="T474" t="e">
        <v>#N/A</v>
      </c>
    </row>
    <row r="475" spans="7:20" x14ac:dyDescent="0.25">
      <c r="G475" s="19">
        <f t="shared" si="22"/>
        <v>303</v>
      </c>
      <c r="H475" s="34">
        <f t="shared" si="24"/>
        <v>44863</v>
      </c>
      <c r="I475">
        <f>HLOOKUP($I$4,meanT!$A$2:$D$368,G475,FALSE)</f>
        <v>14.29</v>
      </c>
      <c r="K475" t="e">
        <f t="shared" si="23"/>
        <v>#N/A</v>
      </c>
      <c r="L475" s="12" t="e">
        <v>#N/A</v>
      </c>
      <c r="M475" t="e">
        <v>#N/A</v>
      </c>
      <c r="N475" t="e">
        <v>#N/A</v>
      </c>
      <c r="O475" t="e">
        <v>#N/A</v>
      </c>
      <c r="P475" t="e">
        <v>#N/A</v>
      </c>
      <c r="Q475" t="e">
        <v>#N/A</v>
      </c>
      <c r="R475" t="e">
        <v>#N/A</v>
      </c>
      <c r="S475" t="e">
        <v>#N/A</v>
      </c>
      <c r="T475" t="e">
        <v>#N/A</v>
      </c>
    </row>
    <row r="476" spans="7:20" x14ac:dyDescent="0.25">
      <c r="G476" s="19">
        <f t="shared" si="22"/>
        <v>304</v>
      </c>
      <c r="H476" s="34">
        <f t="shared" si="24"/>
        <v>44864</v>
      </c>
      <c r="I476">
        <f>HLOOKUP($I$4,meanT!$A$2:$D$368,G476,FALSE)</f>
        <v>14.715</v>
      </c>
      <c r="K476" t="e">
        <f t="shared" si="23"/>
        <v>#N/A</v>
      </c>
      <c r="L476" s="12" t="e">
        <v>#N/A</v>
      </c>
      <c r="M476" t="e">
        <v>#N/A</v>
      </c>
      <c r="N476" t="e">
        <v>#N/A</v>
      </c>
      <c r="O476" t="e">
        <v>#N/A</v>
      </c>
      <c r="P476" t="e">
        <v>#N/A</v>
      </c>
      <c r="Q476" t="e">
        <v>#N/A</v>
      </c>
      <c r="R476" t="e">
        <v>#N/A</v>
      </c>
      <c r="S476" t="e">
        <v>#N/A</v>
      </c>
      <c r="T476" t="e">
        <v>#N/A</v>
      </c>
    </row>
    <row r="477" spans="7:20" x14ac:dyDescent="0.25">
      <c r="G477" s="19">
        <f t="shared" si="22"/>
        <v>305</v>
      </c>
      <c r="H477" s="34">
        <f t="shared" si="24"/>
        <v>44865</v>
      </c>
      <c r="I477">
        <f>HLOOKUP($I$4,meanT!$A$2:$D$368,G477,FALSE)</f>
        <v>14.5266666666666</v>
      </c>
      <c r="K477" t="e">
        <f t="shared" si="23"/>
        <v>#N/A</v>
      </c>
      <c r="L477" s="12" t="e">
        <v>#N/A</v>
      </c>
      <c r="M477" t="e">
        <v>#N/A</v>
      </c>
      <c r="N477" t="e">
        <v>#N/A</v>
      </c>
      <c r="O477" t="e">
        <v>#N/A</v>
      </c>
      <c r="P477" t="e">
        <v>#N/A</v>
      </c>
      <c r="Q477" t="e">
        <v>#N/A</v>
      </c>
      <c r="R477" t="e">
        <v>#N/A</v>
      </c>
      <c r="S477" t="e">
        <v>#N/A</v>
      </c>
      <c r="T477" t="e">
        <v>#N/A</v>
      </c>
    </row>
    <row r="478" spans="7:20" x14ac:dyDescent="0.25">
      <c r="G478" s="19">
        <f t="shared" si="22"/>
        <v>306</v>
      </c>
      <c r="H478" s="34">
        <f t="shared" si="24"/>
        <v>44866</v>
      </c>
      <c r="I478">
        <f>HLOOKUP($I$4,meanT!$A$2:$D$368,G478,FALSE)</f>
        <v>14.0416666666666</v>
      </c>
      <c r="K478" t="e">
        <f t="shared" si="23"/>
        <v>#N/A</v>
      </c>
      <c r="L478" s="12" t="e">
        <v>#N/A</v>
      </c>
      <c r="M478" t="e">
        <v>#N/A</v>
      </c>
      <c r="N478" t="e">
        <v>#N/A</v>
      </c>
      <c r="O478" t="e">
        <v>#N/A</v>
      </c>
      <c r="P478" t="e">
        <v>#N/A</v>
      </c>
      <c r="Q478" t="e">
        <v>#N/A</v>
      </c>
      <c r="R478" t="e">
        <v>#N/A</v>
      </c>
      <c r="S478" t="e">
        <v>#N/A</v>
      </c>
      <c r="T478" t="e">
        <v>#N/A</v>
      </c>
    </row>
    <row r="479" spans="7:20" x14ac:dyDescent="0.25">
      <c r="G479" s="19">
        <f t="shared" si="22"/>
        <v>307</v>
      </c>
      <c r="H479" s="34">
        <f t="shared" si="24"/>
        <v>44867</v>
      </c>
      <c r="I479">
        <f>HLOOKUP($I$4,meanT!$A$2:$D$368,G479,FALSE)</f>
        <v>14.098333333333301</v>
      </c>
      <c r="K479" t="e">
        <f t="shared" si="23"/>
        <v>#N/A</v>
      </c>
      <c r="L479" s="12" t="e">
        <v>#N/A</v>
      </c>
      <c r="M479" t="e">
        <v>#N/A</v>
      </c>
      <c r="N479" t="e">
        <v>#N/A</v>
      </c>
      <c r="O479" t="e">
        <v>#N/A</v>
      </c>
      <c r="P479" t="e">
        <v>#N/A</v>
      </c>
      <c r="Q479" t="e">
        <v>#N/A</v>
      </c>
      <c r="R479" t="e">
        <v>#N/A</v>
      </c>
      <c r="S479" t="e">
        <v>#N/A</v>
      </c>
      <c r="T479" t="e">
        <v>#N/A</v>
      </c>
    </row>
    <row r="480" spans="7:20" x14ac:dyDescent="0.25">
      <c r="G480" s="19">
        <f t="shared" si="22"/>
        <v>308</v>
      </c>
      <c r="H480" s="34">
        <f t="shared" si="24"/>
        <v>44868</v>
      </c>
      <c r="I480">
        <f>HLOOKUP($I$4,meanT!$A$2:$D$368,G480,FALSE)</f>
        <v>13.9933333333333</v>
      </c>
      <c r="K480" t="e">
        <f t="shared" si="23"/>
        <v>#N/A</v>
      </c>
      <c r="L480" s="12" t="e">
        <v>#N/A</v>
      </c>
      <c r="M480" t="e">
        <v>#N/A</v>
      </c>
      <c r="N480" t="e">
        <v>#N/A</v>
      </c>
      <c r="O480" t="e">
        <v>#N/A</v>
      </c>
      <c r="P480" t="e">
        <v>#N/A</v>
      </c>
      <c r="Q480" t="e">
        <v>#N/A</v>
      </c>
      <c r="R480" t="e">
        <v>#N/A</v>
      </c>
      <c r="S480" t="e">
        <v>#N/A</v>
      </c>
      <c r="T480" t="e">
        <v>#N/A</v>
      </c>
    </row>
    <row r="481" spans="7:20" x14ac:dyDescent="0.25">
      <c r="G481" s="19">
        <f t="shared" si="22"/>
        <v>309</v>
      </c>
      <c r="H481" s="34">
        <f t="shared" si="24"/>
        <v>44869</v>
      </c>
      <c r="I481">
        <f>HLOOKUP($I$4,meanT!$A$2:$D$368,G481,FALSE)</f>
        <v>14.2016666666666</v>
      </c>
      <c r="K481" t="e">
        <f t="shared" si="23"/>
        <v>#N/A</v>
      </c>
      <c r="L481" s="12" t="e">
        <v>#N/A</v>
      </c>
      <c r="M481" t="e">
        <v>#N/A</v>
      </c>
      <c r="N481" t="e">
        <v>#N/A</v>
      </c>
      <c r="O481" t="e">
        <v>#N/A</v>
      </c>
      <c r="P481" t="e">
        <v>#N/A</v>
      </c>
      <c r="Q481" t="e">
        <v>#N/A</v>
      </c>
      <c r="R481" t="e">
        <v>#N/A</v>
      </c>
      <c r="S481" t="e">
        <v>#N/A</v>
      </c>
      <c r="T481" t="e">
        <v>#N/A</v>
      </c>
    </row>
    <row r="482" spans="7:20" x14ac:dyDescent="0.25">
      <c r="G482" s="19">
        <f t="shared" si="22"/>
        <v>310</v>
      </c>
      <c r="H482" s="34">
        <f t="shared" si="24"/>
        <v>44870</v>
      </c>
      <c r="I482">
        <f>HLOOKUP($I$4,meanT!$A$2:$D$368,G482,FALSE)</f>
        <v>14.5483333333333</v>
      </c>
      <c r="K482" t="e">
        <f t="shared" si="23"/>
        <v>#N/A</v>
      </c>
      <c r="L482" s="12" t="e">
        <v>#N/A</v>
      </c>
      <c r="M482" t="e">
        <v>#N/A</v>
      </c>
      <c r="N482" t="e">
        <v>#N/A</v>
      </c>
      <c r="O482" t="e">
        <v>#N/A</v>
      </c>
      <c r="P482" t="e">
        <v>#N/A</v>
      </c>
      <c r="Q482" t="e">
        <v>#N/A</v>
      </c>
      <c r="R482" t="e">
        <v>#N/A</v>
      </c>
      <c r="S482" t="e">
        <v>#N/A</v>
      </c>
      <c r="T482" t="e">
        <v>#N/A</v>
      </c>
    </row>
    <row r="483" spans="7:20" x14ac:dyDescent="0.25">
      <c r="G483" s="19">
        <f t="shared" si="22"/>
        <v>311</v>
      </c>
      <c r="H483" s="34">
        <f t="shared" si="24"/>
        <v>44871</v>
      </c>
      <c r="I483">
        <f>HLOOKUP($I$4,meanT!$A$2:$D$368,G483,FALSE)</f>
        <v>14.156666666666601</v>
      </c>
      <c r="K483" t="e">
        <f t="shared" si="23"/>
        <v>#N/A</v>
      </c>
      <c r="L483" s="12" t="e">
        <v>#N/A</v>
      </c>
      <c r="M483" t="e">
        <v>#N/A</v>
      </c>
      <c r="N483" t="e">
        <v>#N/A</v>
      </c>
      <c r="O483" t="e">
        <v>#N/A</v>
      </c>
      <c r="P483" t="e">
        <v>#N/A</v>
      </c>
      <c r="Q483" t="e">
        <v>#N/A</v>
      </c>
      <c r="R483" t="e">
        <v>#N/A</v>
      </c>
      <c r="S483" t="e">
        <v>#N/A</v>
      </c>
      <c r="T483" t="e">
        <v>#N/A</v>
      </c>
    </row>
    <row r="484" spans="7:20" x14ac:dyDescent="0.25">
      <c r="G484" s="19">
        <f t="shared" si="22"/>
        <v>312</v>
      </c>
      <c r="H484" s="34">
        <f t="shared" si="24"/>
        <v>44872</v>
      </c>
      <c r="I484">
        <f>HLOOKUP($I$4,meanT!$A$2:$D$368,G484,FALSE)</f>
        <v>14.466666666666599</v>
      </c>
      <c r="K484" t="e">
        <f t="shared" si="23"/>
        <v>#N/A</v>
      </c>
      <c r="L484" s="12" t="e">
        <v>#N/A</v>
      </c>
      <c r="M484" t="e">
        <v>#N/A</v>
      </c>
      <c r="N484" t="e">
        <v>#N/A</v>
      </c>
      <c r="O484" t="e">
        <v>#N/A</v>
      </c>
      <c r="P484" t="e">
        <v>#N/A</v>
      </c>
      <c r="Q484" t="e">
        <v>#N/A</v>
      </c>
      <c r="R484" t="e">
        <v>#N/A</v>
      </c>
      <c r="S484" t="e">
        <v>#N/A</v>
      </c>
      <c r="T484" t="e">
        <v>#N/A</v>
      </c>
    </row>
    <row r="485" spans="7:20" x14ac:dyDescent="0.25">
      <c r="G485" s="19">
        <f t="shared" si="22"/>
        <v>313</v>
      </c>
      <c r="H485" s="34">
        <f t="shared" si="24"/>
        <v>44873</v>
      </c>
      <c r="I485">
        <f>HLOOKUP($I$4,meanT!$A$2:$D$368,G485,FALSE)</f>
        <v>14.7283333333333</v>
      </c>
      <c r="K485" t="e">
        <f t="shared" si="23"/>
        <v>#N/A</v>
      </c>
      <c r="L485" s="12" t="e">
        <v>#N/A</v>
      </c>
      <c r="M485" t="e">
        <v>#N/A</v>
      </c>
      <c r="N485" t="e">
        <v>#N/A</v>
      </c>
      <c r="O485" t="e">
        <v>#N/A</v>
      </c>
      <c r="P485" t="e">
        <v>#N/A</v>
      </c>
      <c r="Q485" t="e">
        <v>#N/A</v>
      </c>
      <c r="R485" t="e">
        <v>#N/A</v>
      </c>
      <c r="S485" t="e">
        <v>#N/A</v>
      </c>
      <c r="T485" t="e">
        <v>#N/A</v>
      </c>
    </row>
    <row r="486" spans="7:20" x14ac:dyDescent="0.25">
      <c r="G486" s="19">
        <f t="shared" si="22"/>
        <v>314</v>
      </c>
      <c r="H486" s="34">
        <f t="shared" si="24"/>
        <v>44874</v>
      </c>
      <c r="I486">
        <f>HLOOKUP($I$4,meanT!$A$2:$D$368,G486,FALSE)</f>
        <v>14.37</v>
      </c>
      <c r="K486" t="e">
        <f t="shared" si="23"/>
        <v>#N/A</v>
      </c>
      <c r="L486" s="12" t="e">
        <v>#N/A</v>
      </c>
      <c r="M486" t="e">
        <v>#N/A</v>
      </c>
      <c r="N486" t="e">
        <v>#N/A</v>
      </c>
      <c r="O486" t="e">
        <v>#N/A</v>
      </c>
      <c r="P486" t="e">
        <v>#N/A</v>
      </c>
      <c r="Q486" t="e">
        <v>#N/A</v>
      </c>
      <c r="R486" t="e">
        <v>#N/A</v>
      </c>
      <c r="S486" t="e">
        <v>#N/A</v>
      </c>
      <c r="T486" t="e">
        <v>#N/A</v>
      </c>
    </row>
    <row r="487" spans="7:20" x14ac:dyDescent="0.25">
      <c r="G487" s="19">
        <f t="shared" si="22"/>
        <v>315</v>
      </c>
      <c r="H487" s="34">
        <f t="shared" si="24"/>
        <v>44875</v>
      </c>
      <c r="I487">
        <f>HLOOKUP($I$4,meanT!$A$2:$D$368,G487,FALSE)</f>
        <v>14.7216666666666</v>
      </c>
      <c r="K487" t="e">
        <f t="shared" si="23"/>
        <v>#N/A</v>
      </c>
      <c r="L487" s="12" t="e">
        <v>#N/A</v>
      </c>
      <c r="M487" t="e">
        <v>#N/A</v>
      </c>
      <c r="N487" t="e">
        <v>#N/A</v>
      </c>
      <c r="O487" t="e">
        <v>#N/A</v>
      </c>
      <c r="P487" t="e">
        <v>#N/A</v>
      </c>
      <c r="Q487" t="e">
        <v>#N/A</v>
      </c>
      <c r="R487" t="e">
        <v>#N/A</v>
      </c>
      <c r="S487" t="e">
        <v>#N/A</v>
      </c>
      <c r="T487" t="e">
        <v>#N/A</v>
      </c>
    </row>
    <row r="488" spans="7:20" x14ac:dyDescent="0.25">
      <c r="G488" s="19">
        <f t="shared" si="22"/>
        <v>316</v>
      </c>
      <c r="H488" s="34">
        <f t="shared" si="24"/>
        <v>44876</v>
      </c>
      <c r="I488">
        <f>HLOOKUP($I$4,meanT!$A$2:$D$368,G488,FALSE)</f>
        <v>14.816666666666601</v>
      </c>
      <c r="K488" t="e">
        <f t="shared" si="23"/>
        <v>#N/A</v>
      </c>
      <c r="L488" s="12" t="e">
        <v>#N/A</v>
      </c>
      <c r="M488" t="e">
        <v>#N/A</v>
      </c>
      <c r="N488" t="e">
        <v>#N/A</v>
      </c>
      <c r="O488" t="e">
        <v>#N/A</v>
      </c>
      <c r="P488" t="e">
        <v>#N/A</v>
      </c>
      <c r="Q488" t="e">
        <v>#N/A</v>
      </c>
      <c r="R488" t="e">
        <v>#N/A</v>
      </c>
      <c r="S488" t="e">
        <v>#N/A</v>
      </c>
      <c r="T488" t="e">
        <v>#N/A</v>
      </c>
    </row>
    <row r="489" spans="7:20" x14ac:dyDescent="0.25">
      <c r="G489" s="19">
        <f t="shared" si="22"/>
        <v>317</v>
      </c>
      <c r="H489" s="34">
        <f t="shared" si="24"/>
        <v>44877</v>
      </c>
      <c r="I489">
        <f>HLOOKUP($I$4,meanT!$A$2:$D$368,G489,FALSE)</f>
        <v>14.7883333333333</v>
      </c>
      <c r="K489" t="e">
        <f t="shared" si="23"/>
        <v>#N/A</v>
      </c>
      <c r="L489" s="12" t="e">
        <v>#N/A</v>
      </c>
      <c r="M489" t="e">
        <v>#N/A</v>
      </c>
      <c r="N489" t="e">
        <v>#N/A</v>
      </c>
      <c r="O489" t="e">
        <v>#N/A</v>
      </c>
      <c r="P489" t="e">
        <v>#N/A</v>
      </c>
      <c r="Q489" t="e">
        <v>#N/A</v>
      </c>
      <c r="R489" t="e">
        <v>#N/A</v>
      </c>
      <c r="S489" t="e">
        <v>#N/A</v>
      </c>
      <c r="T489" t="e">
        <v>#N/A</v>
      </c>
    </row>
    <row r="490" spans="7:20" x14ac:dyDescent="0.25">
      <c r="G490" s="19">
        <f t="shared" si="22"/>
        <v>318</v>
      </c>
      <c r="H490" s="34">
        <f t="shared" si="24"/>
        <v>44878</v>
      </c>
      <c r="I490">
        <f>HLOOKUP($I$4,meanT!$A$2:$D$368,G490,FALSE)</f>
        <v>14.5583333333333</v>
      </c>
      <c r="K490" t="e">
        <f t="shared" si="23"/>
        <v>#N/A</v>
      </c>
      <c r="L490" s="12" t="e">
        <v>#N/A</v>
      </c>
      <c r="M490" t="e">
        <v>#N/A</v>
      </c>
      <c r="N490" t="e">
        <v>#N/A</v>
      </c>
      <c r="O490" t="e">
        <v>#N/A</v>
      </c>
      <c r="P490" t="e">
        <v>#N/A</v>
      </c>
      <c r="Q490" t="e">
        <v>#N/A</v>
      </c>
      <c r="R490" t="e">
        <v>#N/A</v>
      </c>
      <c r="S490" t="e">
        <v>#N/A</v>
      </c>
      <c r="T490" t="e">
        <v>#N/A</v>
      </c>
    </row>
    <row r="491" spans="7:20" x14ac:dyDescent="0.25">
      <c r="G491" s="19">
        <f t="shared" si="22"/>
        <v>319</v>
      </c>
      <c r="H491" s="34">
        <f t="shared" si="24"/>
        <v>44879</v>
      </c>
      <c r="I491">
        <f>HLOOKUP($I$4,meanT!$A$2:$D$368,G491,FALSE)</f>
        <v>14.5066666666666</v>
      </c>
      <c r="K491" t="e">
        <f t="shared" si="23"/>
        <v>#N/A</v>
      </c>
      <c r="L491" s="12" t="e">
        <v>#N/A</v>
      </c>
      <c r="M491" t="e">
        <v>#N/A</v>
      </c>
      <c r="N491" t="e">
        <v>#N/A</v>
      </c>
      <c r="O491" t="e">
        <v>#N/A</v>
      </c>
      <c r="P491" t="e">
        <v>#N/A</v>
      </c>
      <c r="Q491" t="e">
        <v>#N/A</v>
      </c>
      <c r="R491" t="e">
        <v>#N/A</v>
      </c>
      <c r="S491" t="e">
        <v>#N/A</v>
      </c>
      <c r="T491" t="e">
        <v>#N/A</v>
      </c>
    </row>
    <row r="492" spans="7:20" x14ac:dyDescent="0.25">
      <c r="G492" s="19">
        <f t="shared" si="22"/>
        <v>320</v>
      </c>
      <c r="H492" s="34">
        <f t="shared" si="24"/>
        <v>44880</v>
      </c>
      <c r="I492">
        <f>HLOOKUP($I$4,meanT!$A$2:$D$368,G492,FALSE)</f>
        <v>14.8633333333333</v>
      </c>
      <c r="K492" t="e">
        <f t="shared" si="23"/>
        <v>#N/A</v>
      </c>
      <c r="L492" s="12" t="e">
        <v>#N/A</v>
      </c>
      <c r="M492" t="e">
        <v>#N/A</v>
      </c>
      <c r="N492" t="e">
        <v>#N/A</v>
      </c>
      <c r="O492" t="e">
        <v>#N/A</v>
      </c>
      <c r="P492" t="e">
        <v>#N/A</v>
      </c>
      <c r="Q492" t="e">
        <v>#N/A</v>
      </c>
      <c r="R492" t="e">
        <v>#N/A</v>
      </c>
      <c r="S492" t="e">
        <v>#N/A</v>
      </c>
      <c r="T492" t="e">
        <v>#N/A</v>
      </c>
    </row>
    <row r="493" spans="7:20" x14ac:dyDescent="0.25">
      <c r="G493" s="19">
        <f t="shared" si="22"/>
        <v>321</v>
      </c>
      <c r="H493" s="34">
        <f t="shared" si="24"/>
        <v>44881</v>
      </c>
      <c r="I493">
        <f>HLOOKUP($I$4,meanT!$A$2:$D$368,G493,FALSE)</f>
        <v>15.191666666666601</v>
      </c>
      <c r="K493" t="e">
        <f t="shared" si="23"/>
        <v>#N/A</v>
      </c>
      <c r="L493" s="12" t="e">
        <v>#N/A</v>
      </c>
      <c r="M493" t="e">
        <v>#N/A</v>
      </c>
      <c r="N493" t="e">
        <v>#N/A</v>
      </c>
      <c r="O493" t="e">
        <v>#N/A</v>
      </c>
      <c r="P493" t="e">
        <v>#N/A</v>
      </c>
      <c r="Q493" t="e">
        <v>#N/A</v>
      </c>
      <c r="R493" t="e">
        <v>#N/A</v>
      </c>
      <c r="S493" t="e">
        <v>#N/A</v>
      </c>
      <c r="T493" t="e">
        <v>#N/A</v>
      </c>
    </row>
    <row r="494" spans="7:20" x14ac:dyDescent="0.25">
      <c r="G494" s="19">
        <f t="shared" si="22"/>
        <v>322</v>
      </c>
      <c r="H494" s="34">
        <f t="shared" si="24"/>
        <v>44882</v>
      </c>
      <c r="I494">
        <f>HLOOKUP($I$4,meanT!$A$2:$D$368,G494,FALSE)</f>
        <v>14.805</v>
      </c>
      <c r="K494" t="e">
        <f t="shared" si="23"/>
        <v>#N/A</v>
      </c>
      <c r="L494" s="12" t="e">
        <v>#N/A</v>
      </c>
      <c r="M494" t="e">
        <v>#N/A</v>
      </c>
      <c r="N494" t="e">
        <v>#N/A</v>
      </c>
      <c r="O494" t="e">
        <v>#N/A</v>
      </c>
      <c r="P494" t="e">
        <v>#N/A</v>
      </c>
      <c r="Q494" t="e">
        <v>#N/A</v>
      </c>
      <c r="R494" t="e">
        <v>#N/A</v>
      </c>
      <c r="S494" t="e">
        <v>#N/A</v>
      </c>
      <c r="T494" t="e">
        <v>#N/A</v>
      </c>
    </row>
    <row r="495" spans="7:20" x14ac:dyDescent="0.25">
      <c r="G495" s="19">
        <f t="shared" si="22"/>
        <v>323</v>
      </c>
      <c r="H495" s="34">
        <f t="shared" si="24"/>
        <v>44883</v>
      </c>
      <c r="I495">
        <f>HLOOKUP($I$4,meanT!$A$2:$D$368,G495,FALSE)</f>
        <v>14.4366666666666</v>
      </c>
      <c r="K495" t="e">
        <f t="shared" si="23"/>
        <v>#N/A</v>
      </c>
      <c r="L495" s="12" t="e">
        <v>#N/A</v>
      </c>
      <c r="M495" t="e">
        <v>#N/A</v>
      </c>
      <c r="N495" t="e">
        <v>#N/A</v>
      </c>
      <c r="O495" t="e">
        <v>#N/A</v>
      </c>
      <c r="P495" t="e">
        <v>#N/A</v>
      </c>
      <c r="Q495" t="e">
        <v>#N/A</v>
      </c>
      <c r="R495" t="e">
        <v>#N/A</v>
      </c>
      <c r="S495" t="e">
        <v>#N/A</v>
      </c>
      <c r="T495" t="e">
        <v>#N/A</v>
      </c>
    </row>
  </sheetData>
  <mergeCells count="3">
    <mergeCell ref="D2:E2"/>
    <mergeCell ref="D12:E12"/>
    <mergeCell ref="A1:B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1431F-E1EC-4DD2-8B94-BF609778D009}">
  <dimension ref="A1:BA38"/>
  <sheetViews>
    <sheetView workbookViewId="0">
      <selection activeCell="O8" sqref="O8"/>
    </sheetView>
  </sheetViews>
  <sheetFormatPr defaultRowHeight="15" x14ac:dyDescent="0.25"/>
  <cols>
    <col min="1" max="1" width="15.140625" bestFit="1" customWidth="1"/>
    <col min="2" max="2" width="18.85546875" bestFit="1" customWidth="1"/>
    <col min="3" max="3" width="16.28515625" bestFit="1" customWidth="1"/>
    <col min="4" max="4" width="5.5703125" bestFit="1" customWidth="1"/>
    <col min="5" max="5" width="7.28515625" bestFit="1" customWidth="1"/>
    <col min="6" max="6" width="5.85546875" bestFit="1" customWidth="1"/>
    <col min="7" max="7" width="14" bestFit="1" customWidth="1"/>
    <col min="8" max="8" width="5.42578125" bestFit="1" customWidth="1"/>
    <col min="9" max="9" width="10.140625" bestFit="1" customWidth="1"/>
    <col min="10" max="10" width="7.28515625" bestFit="1" customWidth="1"/>
    <col min="11" max="11" width="11.28515625" bestFit="1" customWidth="1"/>
    <col min="12" max="12" width="15.5703125" bestFit="1" customWidth="1"/>
    <col min="20" max="20" width="13.85546875" bestFit="1" customWidth="1"/>
  </cols>
  <sheetData>
    <row r="1" spans="1:53" x14ac:dyDescent="0.25">
      <c r="A1" s="5" t="s">
        <v>241</v>
      </c>
      <c r="B1" s="5" t="s">
        <v>237</v>
      </c>
      <c r="C1" s="5" t="s">
        <v>276</v>
      </c>
      <c r="D1" s="5" t="s">
        <v>385</v>
      </c>
      <c r="E1" s="5" t="s">
        <v>343</v>
      </c>
      <c r="F1" s="5" t="s">
        <v>341</v>
      </c>
      <c r="G1" s="5" t="s">
        <v>339</v>
      </c>
      <c r="H1" s="5" t="s">
        <v>258</v>
      </c>
      <c r="I1" s="5" t="s">
        <v>306</v>
      </c>
      <c r="J1" s="5" t="s">
        <v>48</v>
      </c>
      <c r="K1" s="5" t="s">
        <v>334</v>
      </c>
      <c r="L1" s="5" t="s">
        <v>263</v>
      </c>
      <c r="M1" s="5" t="s">
        <v>348</v>
      </c>
      <c r="N1" s="5" t="s">
        <v>302</v>
      </c>
      <c r="O1" s="5" t="s">
        <v>352</v>
      </c>
      <c r="P1" s="5" t="s">
        <v>217</v>
      </c>
      <c r="Q1" s="5" t="s">
        <v>330</v>
      </c>
      <c r="R1" s="5" t="s">
        <v>200</v>
      </c>
      <c r="S1" s="5" t="s">
        <v>228</v>
      </c>
      <c r="T1" s="5" t="s">
        <v>369</v>
      </c>
      <c r="U1" s="5" t="s">
        <v>321</v>
      </c>
      <c r="V1" s="5" t="s">
        <v>270</v>
      </c>
      <c r="W1" s="5" t="s">
        <v>20</v>
      </c>
      <c r="X1" s="5" t="s">
        <v>274</v>
      </c>
      <c r="Y1" s="5" t="s">
        <v>285</v>
      </c>
      <c r="Z1" s="5" t="s">
        <v>254</v>
      </c>
      <c r="AA1" s="5" t="s">
        <v>291</v>
      </c>
      <c r="AB1" s="5" t="s">
        <v>208</v>
      </c>
      <c r="AC1" s="5" t="s">
        <v>21</v>
      </c>
      <c r="AD1" s="5" t="s">
        <v>298</v>
      </c>
      <c r="AE1" s="5" t="s">
        <v>374</v>
      </c>
      <c r="AF1" s="5" t="s">
        <v>279</v>
      </c>
      <c r="AG1" s="5" t="s">
        <v>287</v>
      </c>
      <c r="AH1" s="5" t="s">
        <v>22</v>
      </c>
      <c r="AI1" s="5" t="s">
        <v>364</v>
      </c>
      <c r="AJ1" s="5" t="s">
        <v>311</v>
      </c>
      <c r="AK1" s="5" t="s">
        <v>224</v>
      </c>
      <c r="AL1" s="5" t="s">
        <v>294</v>
      </c>
      <c r="AM1" s="5" t="s">
        <v>359</v>
      </c>
      <c r="AN1" s="5" t="s">
        <v>245</v>
      </c>
      <c r="AO1" s="5" t="s">
        <v>308</v>
      </c>
      <c r="AP1" s="5" t="s">
        <v>336</v>
      </c>
      <c r="AQ1" s="5" t="s">
        <v>382</v>
      </c>
      <c r="AR1" s="5" t="s">
        <v>329</v>
      </c>
      <c r="AS1" s="5" t="s">
        <v>362</v>
      </c>
      <c r="AT1" s="5" t="s">
        <v>267</v>
      </c>
      <c r="AU1" s="5" t="s">
        <v>222</v>
      </c>
      <c r="AV1" s="5" t="s">
        <v>386</v>
      </c>
      <c r="AW1" s="5" t="s">
        <v>378</v>
      </c>
      <c r="AX1" s="5" t="s">
        <v>251</v>
      </c>
      <c r="AY1" s="5" t="s">
        <v>191</v>
      </c>
      <c r="AZ1" s="5" t="s">
        <v>230</v>
      </c>
      <c r="BA1" s="5"/>
    </row>
    <row r="2" spans="1:53" x14ac:dyDescent="0.25">
      <c r="A2" t="s">
        <v>192</v>
      </c>
      <c r="B2" t="s">
        <v>192</v>
      </c>
      <c r="C2" t="s">
        <v>192</v>
      </c>
      <c r="D2" t="s">
        <v>192</v>
      </c>
      <c r="E2" t="s">
        <v>344</v>
      </c>
      <c r="F2" t="s">
        <v>192</v>
      </c>
      <c r="G2" t="s">
        <v>192</v>
      </c>
      <c r="H2" t="s">
        <v>192</v>
      </c>
      <c r="I2" t="s">
        <v>192</v>
      </c>
      <c r="J2" t="s">
        <v>192</v>
      </c>
      <c r="K2" t="s">
        <v>192</v>
      </c>
      <c r="L2" t="s">
        <v>192</v>
      </c>
      <c r="M2" t="s">
        <v>192</v>
      </c>
      <c r="N2" t="s">
        <v>192</v>
      </c>
      <c r="O2" t="s">
        <v>192</v>
      </c>
      <c r="P2" t="s">
        <v>192</v>
      </c>
      <c r="Q2" t="s">
        <v>192</v>
      </c>
      <c r="R2" t="s">
        <v>192</v>
      </c>
      <c r="S2" t="s">
        <v>192</v>
      </c>
      <c r="T2" t="s">
        <v>192</v>
      </c>
      <c r="U2" t="s">
        <v>192</v>
      </c>
      <c r="V2" t="s">
        <v>192</v>
      </c>
      <c r="W2" t="s">
        <v>371</v>
      </c>
      <c r="X2" t="s">
        <v>192</v>
      </c>
      <c r="Y2" t="s">
        <v>192</v>
      </c>
      <c r="Z2" t="s">
        <v>192</v>
      </c>
      <c r="AA2" t="s">
        <v>192</v>
      </c>
      <c r="AB2" t="s">
        <v>192</v>
      </c>
      <c r="AC2" t="s">
        <v>325</v>
      </c>
      <c r="AD2" t="s">
        <v>192</v>
      </c>
      <c r="AE2" t="s">
        <v>192</v>
      </c>
      <c r="AF2" t="s">
        <v>192</v>
      </c>
      <c r="AG2" t="s">
        <v>192</v>
      </c>
      <c r="AH2" t="s">
        <v>192</v>
      </c>
      <c r="AI2" t="s">
        <v>192</v>
      </c>
      <c r="AJ2" t="s">
        <v>312</v>
      </c>
      <c r="AK2" t="s">
        <v>192</v>
      </c>
      <c r="AL2" t="s">
        <v>192</v>
      </c>
      <c r="AM2" t="s">
        <v>192</v>
      </c>
      <c r="AN2" t="s">
        <v>192</v>
      </c>
      <c r="AO2" t="s">
        <v>192</v>
      </c>
      <c r="AP2" t="s">
        <v>192</v>
      </c>
      <c r="AQ2" t="s">
        <v>192</v>
      </c>
      <c r="AR2" t="s">
        <v>192</v>
      </c>
      <c r="AS2" t="s">
        <v>192</v>
      </c>
      <c r="AT2" t="s">
        <v>192</v>
      </c>
      <c r="AU2" t="s">
        <v>192</v>
      </c>
      <c r="AV2" t="s">
        <v>192</v>
      </c>
      <c r="AW2" t="s">
        <v>192</v>
      </c>
      <c r="AX2" t="s">
        <v>192</v>
      </c>
      <c r="AY2" t="s">
        <v>192</v>
      </c>
      <c r="AZ2" t="s">
        <v>189</v>
      </c>
    </row>
    <row r="3" spans="1:53" x14ac:dyDescent="0.25">
      <c r="E3" t="s">
        <v>345</v>
      </c>
      <c r="W3" t="s">
        <v>372</v>
      </c>
      <c r="AC3" t="s">
        <v>326</v>
      </c>
      <c r="AZ3" t="s">
        <v>233</v>
      </c>
    </row>
    <row r="4" spans="1:53" x14ac:dyDescent="0.25">
      <c r="AC4" t="s">
        <v>327</v>
      </c>
    </row>
    <row r="7" spans="1:53" x14ac:dyDescent="0.25">
      <c r="A7" s="86" t="s">
        <v>189</v>
      </c>
      <c r="B7" s="86" t="s">
        <v>199</v>
      </c>
      <c r="C7" s="86" t="s">
        <v>206</v>
      </c>
      <c r="D7" s="86" t="s">
        <v>255</v>
      </c>
      <c r="E7" s="86" t="s">
        <v>282</v>
      </c>
      <c r="F7" s="86" t="s">
        <v>142</v>
      </c>
      <c r="G7" s="86" t="s">
        <v>319</v>
      </c>
      <c r="J7" s="5" t="s">
        <v>395</v>
      </c>
      <c r="K7" s="31" t="s">
        <v>396</v>
      </c>
      <c r="L7" s="5" t="s">
        <v>397</v>
      </c>
      <c r="M7" s="5" t="s">
        <v>3</v>
      </c>
      <c r="O7" s="5" t="s">
        <v>11</v>
      </c>
    </row>
    <row r="8" spans="1:53" x14ac:dyDescent="0.25">
      <c r="A8" s="59" t="s">
        <v>191</v>
      </c>
      <c r="B8" s="59" t="s">
        <v>200</v>
      </c>
      <c r="C8" s="59" t="s">
        <v>241</v>
      </c>
      <c r="D8" s="59" t="s">
        <v>237</v>
      </c>
      <c r="E8" s="59" t="s">
        <v>285</v>
      </c>
      <c r="F8" s="59" t="s">
        <v>306</v>
      </c>
      <c r="G8" s="59" t="s">
        <v>276</v>
      </c>
      <c r="J8" t="s">
        <v>142</v>
      </c>
      <c r="K8" t="s">
        <v>143</v>
      </c>
      <c r="L8" t="s">
        <v>398</v>
      </c>
      <c r="M8" t="s">
        <v>5</v>
      </c>
      <c r="O8" t="s">
        <v>10</v>
      </c>
      <c r="P8">
        <v>1</v>
      </c>
    </row>
    <row r="9" spans="1:53" x14ac:dyDescent="0.25">
      <c r="C9" s="59" t="s">
        <v>237</v>
      </c>
      <c r="D9" s="59" t="s">
        <v>276</v>
      </c>
      <c r="E9" s="59" t="s">
        <v>291</v>
      </c>
      <c r="F9" s="59" t="s">
        <v>302</v>
      </c>
      <c r="G9" s="59" t="s">
        <v>385</v>
      </c>
      <c r="J9" t="s">
        <v>144</v>
      </c>
      <c r="K9" t="s">
        <v>145</v>
      </c>
      <c r="L9" t="s">
        <v>399</v>
      </c>
      <c r="M9" t="s">
        <v>400</v>
      </c>
      <c r="O9" t="s">
        <v>12</v>
      </c>
      <c r="P9">
        <v>2</v>
      </c>
    </row>
    <row r="10" spans="1:53" x14ac:dyDescent="0.25">
      <c r="C10" s="59" t="s">
        <v>217</v>
      </c>
      <c r="D10" s="59" t="s">
        <v>258</v>
      </c>
      <c r="E10" s="59" t="s">
        <v>287</v>
      </c>
      <c r="F10" s="59" t="s">
        <v>298</v>
      </c>
      <c r="G10" s="59" t="s">
        <v>343</v>
      </c>
      <c r="K10" t="s">
        <v>146</v>
      </c>
      <c r="L10" t="s">
        <v>401</v>
      </c>
      <c r="M10" t="s">
        <v>116</v>
      </c>
      <c r="O10" t="s">
        <v>13</v>
      </c>
      <c r="P10">
        <v>3</v>
      </c>
    </row>
    <row r="11" spans="1:53" x14ac:dyDescent="0.25">
      <c r="C11" s="59" t="s">
        <v>228</v>
      </c>
      <c r="D11" s="59" t="s">
        <v>263</v>
      </c>
      <c r="E11" s="59" t="s">
        <v>224</v>
      </c>
      <c r="F11" s="59" t="s">
        <v>311</v>
      </c>
      <c r="G11" s="59" t="s">
        <v>341</v>
      </c>
      <c r="K11" t="s">
        <v>147</v>
      </c>
      <c r="L11" t="s">
        <v>402</v>
      </c>
    </row>
    <row r="12" spans="1:53" x14ac:dyDescent="0.25">
      <c r="C12" s="59" t="s">
        <v>254</v>
      </c>
      <c r="D12" s="59" t="s">
        <v>200</v>
      </c>
      <c r="E12" s="59" t="s">
        <v>230</v>
      </c>
      <c r="F12" s="59" t="s">
        <v>224</v>
      </c>
      <c r="G12" s="59" t="s">
        <v>339</v>
      </c>
      <c r="K12" t="s">
        <v>148</v>
      </c>
      <c r="L12" t="s">
        <v>403</v>
      </c>
    </row>
    <row r="13" spans="1:53" x14ac:dyDescent="0.25">
      <c r="C13" s="59" t="s">
        <v>208</v>
      </c>
      <c r="D13" s="59" t="s">
        <v>270</v>
      </c>
      <c r="F13" s="59" t="s">
        <v>294</v>
      </c>
      <c r="G13" s="59" t="s">
        <v>306</v>
      </c>
      <c r="K13" t="s">
        <v>404</v>
      </c>
    </row>
    <row r="14" spans="1:53" x14ac:dyDescent="0.25">
      <c r="C14" s="59" t="s">
        <v>224</v>
      </c>
      <c r="D14" s="59" t="s">
        <v>274</v>
      </c>
      <c r="F14" s="59" t="s">
        <v>308</v>
      </c>
      <c r="G14" s="59" t="s">
        <v>48</v>
      </c>
    </row>
    <row r="15" spans="1:53" x14ac:dyDescent="0.25">
      <c r="C15" s="59" t="s">
        <v>245</v>
      </c>
      <c r="D15" s="59" t="s">
        <v>254</v>
      </c>
      <c r="F15" s="59" t="s">
        <v>315</v>
      </c>
      <c r="G15" s="59" t="s">
        <v>334</v>
      </c>
    </row>
    <row r="16" spans="1:53" x14ac:dyDescent="0.25">
      <c r="C16" s="59" t="s">
        <v>222</v>
      </c>
      <c r="D16" s="59" t="s">
        <v>208</v>
      </c>
      <c r="G16" s="59" t="s">
        <v>348</v>
      </c>
    </row>
    <row r="17" spans="3:7" x14ac:dyDescent="0.25">
      <c r="C17" s="59" t="s">
        <v>251</v>
      </c>
      <c r="D17" s="59" t="s">
        <v>279</v>
      </c>
      <c r="G17" s="59" t="s">
        <v>352</v>
      </c>
    </row>
    <row r="18" spans="3:7" x14ac:dyDescent="0.25">
      <c r="C18" s="59" t="s">
        <v>230</v>
      </c>
      <c r="D18" s="59" t="s">
        <v>267</v>
      </c>
      <c r="G18" s="59" t="s">
        <v>330</v>
      </c>
    </row>
    <row r="19" spans="3:7" x14ac:dyDescent="0.25">
      <c r="C19" s="59" t="s">
        <v>249</v>
      </c>
      <c r="D19" s="59" t="s">
        <v>249</v>
      </c>
      <c r="G19" s="59" t="s">
        <v>369</v>
      </c>
    </row>
    <row r="20" spans="3:7" x14ac:dyDescent="0.25">
      <c r="G20" s="59" t="s">
        <v>321</v>
      </c>
    </row>
    <row r="21" spans="3:7" x14ac:dyDescent="0.25">
      <c r="G21" s="59" t="s">
        <v>20</v>
      </c>
    </row>
    <row r="22" spans="3:7" x14ac:dyDescent="0.25">
      <c r="G22" s="59" t="s">
        <v>21</v>
      </c>
    </row>
    <row r="23" spans="3:7" x14ac:dyDescent="0.25">
      <c r="G23" s="59" t="s">
        <v>298</v>
      </c>
    </row>
    <row r="24" spans="3:7" x14ac:dyDescent="0.25">
      <c r="G24" s="59" t="s">
        <v>374</v>
      </c>
    </row>
    <row r="25" spans="3:7" x14ac:dyDescent="0.25">
      <c r="G25" s="59" t="s">
        <v>279</v>
      </c>
    </row>
    <row r="26" spans="3:7" x14ac:dyDescent="0.25">
      <c r="G26" s="59" t="s">
        <v>22</v>
      </c>
    </row>
    <row r="27" spans="3:7" x14ac:dyDescent="0.25">
      <c r="G27" s="59" t="s">
        <v>364</v>
      </c>
    </row>
    <row r="28" spans="3:7" x14ac:dyDescent="0.25">
      <c r="G28" s="59" t="s">
        <v>294</v>
      </c>
    </row>
    <row r="29" spans="3:7" x14ac:dyDescent="0.25">
      <c r="G29" s="59" t="s">
        <v>359</v>
      </c>
    </row>
    <row r="30" spans="3:7" x14ac:dyDescent="0.25">
      <c r="G30" s="59" t="s">
        <v>336</v>
      </c>
    </row>
    <row r="31" spans="3:7" x14ac:dyDescent="0.25">
      <c r="G31" s="59" t="s">
        <v>382</v>
      </c>
    </row>
    <row r="32" spans="3:7" x14ac:dyDescent="0.25">
      <c r="G32" s="59" t="s">
        <v>329</v>
      </c>
    </row>
    <row r="33" spans="7:7" x14ac:dyDescent="0.25">
      <c r="G33" s="59" t="s">
        <v>362</v>
      </c>
    </row>
    <row r="34" spans="7:7" x14ac:dyDescent="0.25">
      <c r="G34" s="59" t="s">
        <v>386</v>
      </c>
    </row>
    <row r="35" spans="7:7" x14ac:dyDescent="0.25">
      <c r="G35" s="59" t="s">
        <v>378</v>
      </c>
    </row>
    <row r="36" spans="7:7" x14ac:dyDescent="0.25">
      <c r="G36" s="59" t="s">
        <v>357</v>
      </c>
    </row>
    <row r="37" spans="7:7" x14ac:dyDescent="0.25">
      <c r="G37" s="59" t="s">
        <v>350</v>
      </c>
    </row>
    <row r="38" spans="7:7" x14ac:dyDescent="0.25">
      <c r="G38" s="59" t="s">
        <v>365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97D6-ED1D-48D1-831B-D2769340664D}">
  <dimension ref="A1:AG78"/>
  <sheetViews>
    <sheetView topLeftCell="H1" workbookViewId="0">
      <selection activeCell="R1" sqref="R1"/>
    </sheetView>
  </sheetViews>
  <sheetFormatPr defaultRowHeight="15" x14ac:dyDescent="0.25"/>
  <sheetData>
    <row r="1" spans="1:33" x14ac:dyDescent="0.25">
      <c r="A1" s="49" t="s">
        <v>153</v>
      </c>
      <c r="B1" s="49" t="s">
        <v>154</v>
      </c>
      <c r="C1" s="49" t="s">
        <v>155</v>
      </c>
      <c r="D1" s="49" t="s">
        <v>156</v>
      </c>
      <c r="E1" s="50" t="s">
        <v>157</v>
      </c>
      <c r="F1" s="50" t="s">
        <v>158</v>
      </c>
      <c r="G1" s="49" t="s">
        <v>159</v>
      </c>
      <c r="H1" s="49" t="s">
        <v>160</v>
      </c>
      <c r="I1" s="49" t="s">
        <v>161</v>
      </c>
      <c r="J1" s="51" t="s">
        <v>162</v>
      </c>
      <c r="K1" s="50" t="s">
        <v>163</v>
      </c>
      <c r="L1" s="50" t="s">
        <v>164</v>
      </c>
      <c r="M1" s="49" t="s">
        <v>165</v>
      </c>
      <c r="N1" s="49" t="s">
        <v>166</v>
      </c>
      <c r="O1" s="49" t="s">
        <v>167</v>
      </c>
      <c r="P1" s="51" t="s">
        <v>168</v>
      </c>
      <c r="Q1" s="52" t="s">
        <v>169</v>
      </c>
      <c r="R1" s="49" t="s">
        <v>170</v>
      </c>
      <c r="S1" s="49" t="s">
        <v>171</v>
      </c>
      <c r="T1" s="49" t="s">
        <v>172</v>
      </c>
      <c r="U1" s="49" t="s">
        <v>173</v>
      </c>
      <c r="V1" s="51" t="s">
        <v>174</v>
      </c>
      <c r="W1" s="49" t="s">
        <v>175</v>
      </c>
      <c r="X1" s="49" t="s">
        <v>176</v>
      </c>
      <c r="Y1" s="49" t="s">
        <v>177</v>
      </c>
      <c r="Z1" s="52" t="s">
        <v>178</v>
      </c>
      <c r="AA1" s="51" t="s">
        <v>179</v>
      </c>
      <c r="AB1" s="52" t="s">
        <v>180</v>
      </c>
      <c r="AC1" s="51" t="s">
        <v>181</v>
      </c>
      <c r="AD1" s="49" t="s">
        <v>182</v>
      </c>
      <c r="AE1" s="49" t="s">
        <v>183</v>
      </c>
      <c r="AF1" s="51" t="s">
        <v>184</v>
      </c>
      <c r="AG1" s="157" t="s">
        <v>451</v>
      </c>
    </row>
    <row r="2" spans="1:33" ht="15.75" thickBot="1" x14ac:dyDescent="0.3">
      <c r="A2" s="49"/>
      <c r="B2" s="49"/>
      <c r="C2" s="49"/>
      <c r="D2" s="49"/>
      <c r="E2" s="50"/>
      <c r="F2" s="50"/>
      <c r="G2" s="49"/>
      <c r="H2" s="49"/>
      <c r="I2" s="49"/>
      <c r="J2" s="51"/>
      <c r="K2" s="50">
        <v>1</v>
      </c>
      <c r="L2" s="50">
        <v>2</v>
      </c>
      <c r="M2" s="50">
        <v>3</v>
      </c>
      <c r="N2" s="50">
        <v>4</v>
      </c>
      <c r="O2" s="50">
        <v>5</v>
      </c>
      <c r="P2" s="50">
        <v>6</v>
      </c>
      <c r="Q2" s="50">
        <v>7</v>
      </c>
      <c r="R2" s="50">
        <v>8</v>
      </c>
      <c r="S2" s="50">
        <v>9</v>
      </c>
      <c r="T2" s="50">
        <v>10</v>
      </c>
      <c r="U2" s="50">
        <v>11</v>
      </c>
      <c r="V2" s="50">
        <v>12</v>
      </c>
      <c r="W2" s="50">
        <v>13</v>
      </c>
      <c r="X2" s="50">
        <v>14</v>
      </c>
      <c r="Y2" s="50">
        <v>15</v>
      </c>
      <c r="Z2" s="50">
        <v>16</v>
      </c>
      <c r="AA2" s="50">
        <v>17</v>
      </c>
      <c r="AB2" s="50">
        <v>18</v>
      </c>
      <c r="AC2" s="50">
        <v>19</v>
      </c>
      <c r="AD2" s="50">
        <v>20</v>
      </c>
      <c r="AE2" s="50">
        <v>21</v>
      </c>
      <c r="AF2" s="50">
        <v>22</v>
      </c>
      <c r="AG2" s="50">
        <v>23</v>
      </c>
    </row>
    <row r="3" spans="1:33" ht="15.75" thickBot="1" x14ac:dyDescent="0.3">
      <c r="A3" s="49" t="s">
        <v>185</v>
      </c>
      <c r="B3" s="49" t="s">
        <v>186</v>
      </c>
      <c r="C3" s="49" t="s">
        <v>187</v>
      </c>
      <c r="D3" s="53" t="s">
        <v>188</v>
      </c>
      <c r="E3" s="54" t="str">
        <f t="shared" ref="E3:E66" si="0">B3&amp;" "&amp;C3&amp;" "&amp;D3</f>
        <v xml:space="preserve">Tulipa x </v>
      </c>
      <c r="F3" s="54" t="str">
        <f t="shared" ref="F3:F66" si="1">C3&amp;" "&amp;D3</f>
        <v xml:space="preserve">x </v>
      </c>
      <c r="G3" s="49" t="s">
        <v>189</v>
      </c>
      <c r="H3" s="55" t="s">
        <v>190</v>
      </c>
      <c r="I3" s="49" t="s">
        <v>191</v>
      </c>
      <c r="J3" s="56" t="s">
        <v>192</v>
      </c>
      <c r="K3" s="54" t="str">
        <f t="shared" ref="K3:K66" si="2">I3&amp;" "&amp;G3&amp;" "&amp;J3</f>
        <v>Tulip Bulb General</v>
      </c>
      <c r="L3" s="49">
        <v>2</v>
      </c>
      <c r="M3" s="49" t="s">
        <v>142</v>
      </c>
      <c r="N3" s="49" t="s">
        <v>193</v>
      </c>
      <c r="O3" s="49" t="s">
        <v>148</v>
      </c>
      <c r="P3" s="51" t="s">
        <v>194</v>
      </c>
      <c r="Q3" s="52">
        <v>30</v>
      </c>
      <c r="R3" s="49" t="s">
        <v>5</v>
      </c>
      <c r="S3" s="53" t="s">
        <v>195</v>
      </c>
      <c r="T3" s="53" t="s">
        <v>196</v>
      </c>
      <c r="U3" s="49">
        <v>0</v>
      </c>
      <c r="V3" s="51">
        <v>0</v>
      </c>
      <c r="W3" s="49">
        <v>0.9</v>
      </c>
      <c r="X3" s="53">
        <v>0.04</v>
      </c>
      <c r="Y3" s="49">
        <v>55</v>
      </c>
      <c r="Z3" s="39">
        <v>0.1</v>
      </c>
      <c r="AA3" s="40">
        <v>0.6</v>
      </c>
      <c r="AB3" s="39">
        <v>0.9</v>
      </c>
      <c r="AC3" s="40">
        <v>1</v>
      </c>
      <c r="AD3" s="49">
        <v>1</v>
      </c>
      <c r="AE3" s="49">
        <v>0.5</v>
      </c>
      <c r="AF3" s="51">
        <v>1.2</v>
      </c>
      <c r="AG3" s="157">
        <v>80000</v>
      </c>
    </row>
    <row r="4" spans="1:33" ht="15.75" thickBot="1" x14ac:dyDescent="0.3">
      <c r="A4" s="49" t="s">
        <v>197</v>
      </c>
      <c r="B4" s="49" t="s">
        <v>198</v>
      </c>
      <c r="C4" s="49" t="s">
        <v>187</v>
      </c>
      <c r="D4" s="49" t="s">
        <v>188</v>
      </c>
      <c r="E4" s="54" t="str">
        <f t="shared" si="0"/>
        <v xml:space="preserve">Cannabis x </v>
      </c>
      <c r="F4" s="54" t="str">
        <f t="shared" si="1"/>
        <v xml:space="preserve">x </v>
      </c>
      <c r="G4" s="49" t="s">
        <v>199</v>
      </c>
      <c r="H4" s="54" t="s">
        <v>199</v>
      </c>
      <c r="I4" s="49" t="s">
        <v>200</v>
      </c>
      <c r="J4" s="56" t="s">
        <v>192</v>
      </c>
      <c r="K4" s="54" t="str">
        <f t="shared" si="2"/>
        <v>Hemp Fibre General</v>
      </c>
      <c r="L4" s="49">
        <v>3</v>
      </c>
      <c r="M4" s="49" t="s">
        <v>142</v>
      </c>
      <c r="N4" s="49" t="s">
        <v>201</v>
      </c>
      <c r="O4" s="49" t="s">
        <v>146</v>
      </c>
      <c r="P4" s="51" t="s">
        <v>194</v>
      </c>
      <c r="Q4" s="52">
        <v>6</v>
      </c>
      <c r="R4" s="49" t="s">
        <v>5</v>
      </c>
      <c r="S4" s="49" t="s">
        <v>202</v>
      </c>
      <c r="T4" s="53" t="s">
        <v>196</v>
      </c>
      <c r="U4" s="49">
        <v>0</v>
      </c>
      <c r="V4" s="51">
        <v>0</v>
      </c>
      <c r="W4" s="49">
        <v>0.6</v>
      </c>
      <c r="X4" s="49">
        <v>0.1</v>
      </c>
      <c r="Y4" s="49">
        <v>12</v>
      </c>
      <c r="Z4" s="39">
        <v>0.1</v>
      </c>
      <c r="AA4" s="40">
        <v>1.5</v>
      </c>
      <c r="AB4" s="39">
        <v>1</v>
      </c>
      <c r="AC4" s="40">
        <v>1</v>
      </c>
      <c r="AD4" s="49">
        <v>1</v>
      </c>
      <c r="AE4" s="49">
        <v>2.5</v>
      </c>
      <c r="AF4" s="51">
        <v>1.5</v>
      </c>
      <c r="AG4" s="157">
        <v>80000</v>
      </c>
    </row>
    <row r="5" spans="1:33" ht="15.75" thickBot="1" x14ac:dyDescent="0.3">
      <c r="A5" s="49" t="s">
        <v>203</v>
      </c>
      <c r="B5" s="49" t="s">
        <v>204</v>
      </c>
      <c r="C5" s="49" t="s">
        <v>205</v>
      </c>
      <c r="D5" s="49" t="s">
        <v>188</v>
      </c>
      <c r="E5" s="54" t="str">
        <f t="shared" si="0"/>
        <v xml:space="preserve">Avena sativa </v>
      </c>
      <c r="F5" s="54" t="str">
        <f t="shared" si="1"/>
        <v xml:space="preserve">sativa </v>
      </c>
      <c r="G5" s="49" t="s">
        <v>206</v>
      </c>
      <c r="H5" s="49" t="s">
        <v>207</v>
      </c>
      <c r="I5" s="49" t="s">
        <v>208</v>
      </c>
      <c r="J5" s="56" t="s">
        <v>192</v>
      </c>
      <c r="K5" s="54" t="str">
        <f t="shared" si="2"/>
        <v>Oat Fodder General</v>
      </c>
      <c r="L5" s="49">
        <v>4</v>
      </c>
      <c r="M5" s="49" t="s">
        <v>142</v>
      </c>
      <c r="N5" s="49" t="s">
        <v>209</v>
      </c>
      <c r="O5" s="49" t="s">
        <v>145</v>
      </c>
      <c r="P5" s="51" t="s">
        <v>210</v>
      </c>
      <c r="Q5" s="52">
        <v>10</v>
      </c>
      <c r="R5" s="49" t="s">
        <v>5</v>
      </c>
      <c r="S5" s="53" t="s">
        <v>211</v>
      </c>
      <c r="T5" s="53" t="s">
        <v>212</v>
      </c>
      <c r="U5" s="49">
        <v>0</v>
      </c>
      <c r="V5" s="51">
        <v>0</v>
      </c>
      <c r="W5" s="49">
        <v>0.95</v>
      </c>
      <c r="X5" s="49">
        <v>0</v>
      </c>
      <c r="Y5" s="51">
        <v>80</v>
      </c>
      <c r="Z5" s="39">
        <v>0.1</v>
      </c>
      <c r="AA5" s="40">
        <v>1.5</v>
      </c>
      <c r="AB5" s="39">
        <v>1</v>
      </c>
      <c r="AC5" s="40">
        <v>1</v>
      </c>
      <c r="AD5" s="49">
        <v>0.9</v>
      </c>
      <c r="AE5" s="49">
        <v>0.5</v>
      </c>
      <c r="AF5" s="51">
        <v>1.3</v>
      </c>
      <c r="AG5" s="157">
        <v>80000</v>
      </c>
    </row>
    <row r="6" spans="1:33" ht="15.75" thickBot="1" x14ac:dyDescent="0.3">
      <c r="A6" s="49" t="s">
        <v>213</v>
      </c>
      <c r="B6" s="49" t="s">
        <v>214</v>
      </c>
      <c r="C6" s="49" t="s">
        <v>215</v>
      </c>
      <c r="D6" s="49" t="s">
        <v>216</v>
      </c>
      <c r="E6" s="54" t="str">
        <f t="shared" si="0"/>
        <v>Beta vulgaris crassa</v>
      </c>
      <c r="F6" s="54" t="str">
        <f t="shared" si="1"/>
        <v>vulgaris crassa</v>
      </c>
      <c r="G6" s="49" t="s">
        <v>206</v>
      </c>
      <c r="H6" s="49" t="s">
        <v>189</v>
      </c>
      <c r="I6" s="49" t="s">
        <v>217</v>
      </c>
      <c r="J6" s="56" t="s">
        <v>192</v>
      </c>
      <c r="K6" s="54" t="str">
        <f t="shared" si="2"/>
        <v>Fodder beet Fodder General</v>
      </c>
      <c r="L6" s="49">
        <v>5</v>
      </c>
      <c r="M6" s="49" t="s">
        <v>142</v>
      </c>
      <c r="N6" s="49" t="s">
        <v>210</v>
      </c>
      <c r="O6" s="49" t="s">
        <v>145</v>
      </c>
      <c r="P6" s="51" t="s">
        <v>209</v>
      </c>
      <c r="Q6" s="52">
        <v>20</v>
      </c>
      <c r="R6" s="49" t="s">
        <v>5</v>
      </c>
      <c r="S6" s="53" t="s">
        <v>211</v>
      </c>
      <c r="T6" s="53" t="s">
        <v>212</v>
      </c>
      <c r="U6" s="49">
        <v>0</v>
      </c>
      <c r="V6" s="51">
        <v>0</v>
      </c>
      <c r="W6" s="49">
        <v>0.88949999999999996</v>
      </c>
      <c r="X6" s="49">
        <v>-0.11049999999999993</v>
      </c>
      <c r="Y6" s="51">
        <v>17</v>
      </c>
      <c r="Z6" s="39">
        <v>0.1</v>
      </c>
      <c r="AA6" s="40">
        <v>1.5</v>
      </c>
      <c r="AB6" s="39">
        <v>1</v>
      </c>
      <c r="AC6" s="40">
        <v>1</v>
      </c>
      <c r="AD6" s="49">
        <v>0.8</v>
      </c>
      <c r="AE6" s="49">
        <v>1.5</v>
      </c>
      <c r="AF6" s="51">
        <v>1</v>
      </c>
      <c r="AG6" s="157">
        <v>80000</v>
      </c>
    </row>
    <row r="7" spans="1:33" ht="15.75" thickBot="1" x14ac:dyDescent="0.3">
      <c r="A7" s="49" t="s">
        <v>218</v>
      </c>
      <c r="B7" s="49" t="s">
        <v>219</v>
      </c>
      <c r="C7" s="49" t="s">
        <v>220</v>
      </c>
      <c r="D7" s="49" t="s">
        <v>221</v>
      </c>
      <c r="E7" s="54" t="str">
        <f t="shared" si="0"/>
        <v>Brassica napus napobrassica</v>
      </c>
      <c r="F7" s="54" t="str">
        <f t="shared" si="1"/>
        <v>napus napobrassica</v>
      </c>
      <c r="G7" s="49" t="s">
        <v>206</v>
      </c>
      <c r="H7" s="49" t="s">
        <v>189</v>
      </c>
      <c r="I7" s="49" t="s">
        <v>222</v>
      </c>
      <c r="J7" s="56" t="s">
        <v>192</v>
      </c>
      <c r="K7" s="54" t="str">
        <f t="shared" si="2"/>
        <v>Swede Fodder General</v>
      </c>
      <c r="L7" s="49">
        <v>6</v>
      </c>
      <c r="M7" s="49" t="s">
        <v>142</v>
      </c>
      <c r="N7" s="49" t="s">
        <v>210</v>
      </c>
      <c r="O7" s="49" t="s">
        <v>147</v>
      </c>
      <c r="P7" s="51" t="s">
        <v>209</v>
      </c>
      <c r="Q7" s="52">
        <v>12</v>
      </c>
      <c r="R7" s="49" t="s">
        <v>5</v>
      </c>
      <c r="S7" s="53" t="s">
        <v>211</v>
      </c>
      <c r="T7" s="53" t="s">
        <v>212</v>
      </c>
      <c r="U7" s="49">
        <v>0</v>
      </c>
      <c r="V7" s="51">
        <v>0</v>
      </c>
      <c r="W7" s="49">
        <v>0.83399999999999996</v>
      </c>
      <c r="X7" s="49">
        <v>-0.15600000000000003</v>
      </c>
      <c r="Y7" s="51">
        <v>12</v>
      </c>
      <c r="Z7" s="39">
        <v>0.1</v>
      </c>
      <c r="AA7" s="40">
        <v>1.2</v>
      </c>
      <c r="AB7" s="39">
        <v>1</v>
      </c>
      <c r="AC7" s="40">
        <v>2</v>
      </c>
      <c r="AD7" s="49">
        <v>0.8</v>
      </c>
      <c r="AE7" s="49">
        <v>0.6</v>
      </c>
      <c r="AF7" s="51">
        <v>2.5</v>
      </c>
      <c r="AG7" s="157">
        <v>80000</v>
      </c>
    </row>
    <row r="8" spans="1:33" ht="15.75" thickBot="1" x14ac:dyDescent="0.3">
      <c r="A8" s="49" t="s">
        <v>218</v>
      </c>
      <c r="B8" s="49" t="s">
        <v>219</v>
      </c>
      <c r="C8" s="49" t="s">
        <v>220</v>
      </c>
      <c r="D8" s="49" t="s">
        <v>220</v>
      </c>
      <c r="E8" s="54" t="str">
        <f t="shared" si="0"/>
        <v>Brassica napus napus</v>
      </c>
      <c r="F8" s="54" t="str">
        <f t="shared" si="1"/>
        <v>napus napus</v>
      </c>
      <c r="G8" s="49" t="s">
        <v>206</v>
      </c>
      <c r="H8" s="49" t="s">
        <v>223</v>
      </c>
      <c r="I8" s="49" t="s">
        <v>224</v>
      </c>
      <c r="J8" s="56" t="s">
        <v>192</v>
      </c>
      <c r="K8" s="54" t="str">
        <f t="shared" si="2"/>
        <v>Rape Fodder General</v>
      </c>
      <c r="L8" s="49">
        <v>7</v>
      </c>
      <c r="M8" s="49" t="s">
        <v>142</v>
      </c>
      <c r="N8" s="49" t="s">
        <v>201</v>
      </c>
      <c r="O8" s="49" t="s">
        <v>145</v>
      </c>
      <c r="P8" s="51" t="s">
        <v>225</v>
      </c>
      <c r="Q8" s="52">
        <v>6</v>
      </c>
      <c r="R8" s="49" t="s">
        <v>5</v>
      </c>
      <c r="S8" s="53" t="s">
        <v>211</v>
      </c>
      <c r="T8" s="53" t="s">
        <v>212</v>
      </c>
      <c r="U8" s="49">
        <v>0</v>
      </c>
      <c r="V8" s="51">
        <v>0</v>
      </c>
      <c r="W8" s="49">
        <v>0.77800000000000002</v>
      </c>
      <c r="X8" s="49">
        <v>-0.122</v>
      </c>
      <c r="Y8" s="51">
        <v>10</v>
      </c>
      <c r="Z8" s="39">
        <v>0.1</v>
      </c>
      <c r="AA8" s="40">
        <v>1.2</v>
      </c>
      <c r="AB8" s="39">
        <v>1</v>
      </c>
      <c r="AC8" s="40">
        <v>2</v>
      </c>
      <c r="AD8" s="49">
        <v>0.8</v>
      </c>
      <c r="AE8" s="49">
        <v>1</v>
      </c>
      <c r="AF8" s="51">
        <v>3</v>
      </c>
      <c r="AG8" s="157">
        <v>80000</v>
      </c>
    </row>
    <row r="9" spans="1:33" ht="15.75" thickBot="1" x14ac:dyDescent="0.3">
      <c r="A9" s="49" t="s">
        <v>218</v>
      </c>
      <c r="B9" s="49" t="s">
        <v>219</v>
      </c>
      <c r="C9" s="49" t="s">
        <v>226</v>
      </c>
      <c r="D9" s="49" t="s">
        <v>227</v>
      </c>
      <c r="E9" s="54" t="str">
        <f t="shared" si="0"/>
        <v>Brassica oleracea acephala</v>
      </c>
      <c r="F9" s="54" t="str">
        <f t="shared" si="1"/>
        <v>oleracea acephala</v>
      </c>
      <c r="G9" s="49" t="s">
        <v>206</v>
      </c>
      <c r="H9" s="49" t="s">
        <v>223</v>
      </c>
      <c r="I9" s="49" t="s">
        <v>228</v>
      </c>
      <c r="J9" s="56" t="s">
        <v>192</v>
      </c>
      <c r="K9" s="54" t="str">
        <f t="shared" si="2"/>
        <v>Kale Fodder General</v>
      </c>
      <c r="L9" s="49">
        <v>8</v>
      </c>
      <c r="M9" s="49" t="s">
        <v>142</v>
      </c>
      <c r="N9" s="49" t="s">
        <v>201</v>
      </c>
      <c r="O9" s="49" t="s">
        <v>147</v>
      </c>
      <c r="P9" s="51" t="s">
        <v>209</v>
      </c>
      <c r="Q9" s="52">
        <v>12</v>
      </c>
      <c r="R9" s="49" t="s">
        <v>5</v>
      </c>
      <c r="S9" s="53" t="s">
        <v>211</v>
      </c>
      <c r="T9" s="53" t="s">
        <v>212</v>
      </c>
      <c r="U9" s="49">
        <v>0</v>
      </c>
      <c r="V9" s="51">
        <v>0</v>
      </c>
      <c r="W9" s="49">
        <v>0.57999999999999985</v>
      </c>
      <c r="X9" s="49">
        <v>-0.32</v>
      </c>
      <c r="Y9" s="51">
        <v>13</v>
      </c>
      <c r="Z9" s="39">
        <v>0.1</v>
      </c>
      <c r="AA9" s="40">
        <v>1.2</v>
      </c>
      <c r="AB9" s="39">
        <v>1</v>
      </c>
      <c r="AC9" s="40">
        <v>2</v>
      </c>
      <c r="AD9" s="49">
        <v>0.8</v>
      </c>
      <c r="AE9" s="49">
        <v>1</v>
      </c>
      <c r="AF9" s="51">
        <v>3</v>
      </c>
      <c r="AG9" s="157">
        <v>80000</v>
      </c>
    </row>
    <row r="10" spans="1:33" ht="15.75" thickBot="1" x14ac:dyDescent="0.3">
      <c r="A10" s="49" t="s">
        <v>218</v>
      </c>
      <c r="B10" s="49" t="s">
        <v>219</v>
      </c>
      <c r="C10" s="49" t="s">
        <v>229</v>
      </c>
      <c r="D10" s="49" t="s">
        <v>229</v>
      </c>
      <c r="E10" s="54" t="str">
        <f t="shared" si="0"/>
        <v>Brassica rapa rapa</v>
      </c>
      <c r="F10" s="54" t="str">
        <f t="shared" si="1"/>
        <v>rapa rapa</v>
      </c>
      <c r="G10" s="49" t="s">
        <v>206</v>
      </c>
      <c r="H10" s="49" t="s">
        <v>189</v>
      </c>
      <c r="I10" s="49" t="s">
        <v>230</v>
      </c>
      <c r="J10" s="56" t="s">
        <v>189</v>
      </c>
      <c r="K10" s="54" t="str">
        <f t="shared" si="2"/>
        <v>Turnip Fodder Bulb</v>
      </c>
      <c r="L10" s="49">
        <v>9</v>
      </c>
      <c r="M10" s="49" t="s">
        <v>142</v>
      </c>
      <c r="N10" s="49" t="s">
        <v>231</v>
      </c>
      <c r="O10" s="49" t="s">
        <v>145</v>
      </c>
      <c r="P10" s="51" t="s">
        <v>209</v>
      </c>
      <c r="Q10" s="52">
        <v>8</v>
      </c>
      <c r="R10" s="49" t="s">
        <v>5</v>
      </c>
      <c r="S10" s="53" t="s">
        <v>211</v>
      </c>
      <c r="T10" s="53" t="s">
        <v>212</v>
      </c>
      <c r="U10" s="49">
        <v>0</v>
      </c>
      <c r="V10" s="51">
        <v>0</v>
      </c>
      <c r="W10" s="49">
        <v>0.872</v>
      </c>
      <c r="X10" s="49">
        <v>-0.128</v>
      </c>
      <c r="Y10" s="51">
        <v>10</v>
      </c>
      <c r="Z10" s="39">
        <v>0.1</v>
      </c>
      <c r="AA10" s="40">
        <v>1.2</v>
      </c>
      <c r="AB10" s="39">
        <v>1</v>
      </c>
      <c r="AC10" s="40">
        <v>2</v>
      </c>
      <c r="AD10" s="49">
        <v>0.8</v>
      </c>
      <c r="AE10" s="49">
        <v>0.6</v>
      </c>
      <c r="AF10" s="51">
        <v>2.5</v>
      </c>
      <c r="AG10" s="157">
        <v>80000</v>
      </c>
    </row>
    <row r="11" spans="1:33" ht="15.75" thickBot="1" x14ac:dyDescent="0.3">
      <c r="A11" s="49" t="s">
        <v>218</v>
      </c>
      <c r="B11" s="49" t="s">
        <v>219</v>
      </c>
      <c r="C11" s="49" t="s">
        <v>232</v>
      </c>
      <c r="D11" s="49" t="s">
        <v>188</v>
      </c>
      <c r="E11" s="54" t="str">
        <f t="shared" si="0"/>
        <v xml:space="preserve">Brassica rapa x napus </v>
      </c>
      <c r="F11" s="54" t="str">
        <f t="shared" si="1"/>
        <v xml:space="preserve">rapa x napus </v>
      </c>
      <c r="G11" s="49" t="s">
        <v>206</v>
      </c>
      <c r="H11" s="49" t="s">
        <v>223</v>
      </c>
      <c r="I11" s="49" t="s">
        <v>230</v>
      </c>
      <c r="J11" s="56" t="s">
        <v>233</v>
      </c>
      <c r="K11" s="54" t="str">
        <f t="shared" si="2"/>
        <v>Turnip Fodder Leafy</v>
      </c>
      <c r="L11" s="49">
        <v>10</v>
      </c>
      <c r="M11" s="49" t="s">
        <v>142</v>
      </c>
      <c r="N11" s="49" t="s">
        <v>201</v>
      </c>
      <c r="O11" s="49" t="s">
        <v>143</v>
      </c>
      <c r="P11" s="51" t="s">
        <v>234</v>
      </c>
      <c r="Q11" s="52">
        <v>6</v>
      </c>
      <c r="R11" s="49" t="s">
        <v>5</v>
      </c>
      <c r="S11" s="53" t="s">
        <v>211</v>
      </c>
      <c r="T11" s="53" t="s">
        <v>212</v>
      </c>
      <c r="U11" s="49">
        <v>0</v>
      </c>
      <c r="V11" s="51">
        <v>0</v>
      </c>
      <c r="W11" s="49">
        <v>0.49</v>
      </c>
      <c r="X11" s="49">
        <v>-0.21</v>
      </c>
      <c r="Y11" s="51">
        <v>17</v>
      </c>
      <c r="Z11" s="39">
        <v>0.1</v>
      </c>
      <c r="AA11" s="40">
        <v>1.2</v>
      </c>
      <c r="AB11" s="39">
        <v>1</v>
      </c>
      <c r="AC11" s="40">
        <v>2</v>
      </c>
      <c r="AD11" s="49">
        <v>0.8</v>
      </c>
      <c r="AE11" s="49">
        <v>1.5</v>
      </c>
      <c r="AF11" s="51">
        <v>3.5</v>
      </c>
      <c r="AG11" s="157">
        <v>80000</v>
      </c>
    </row>
    <row r="12" spans="1:33" ht="15.75" thickBot="1" x14ac:dyDescent="0.3">
      <c r="A12" s="49" t="s">
        <v>203</v>
      </c>
      <c r="B12" s="49" t="s">
        <v>235</v>
      </c>
      <c r="C12" s="49" t="s">
        <v>236</v>
      </c>
      <c r="D12" s="49" t="s">
        <v>188</v>
      </c>
      <c r="E12" s="54" t="str">
        <f t="shared" si="0"/>
        <v xml:space="preserve">Hordeum vulgure </v>
      </c>
      <c r="F12" s="54" t="str">
        <f t="shared" si="1"/>
        <v xml:space="preserve">vulgure </v>
      </c>
      <c r="G12" s="49" t="s">
        <v>206</v>
      </c>
      <c r="H12" s="49" t="s">
        <v>207</v>
      </c>
      <c r="I12" s="49" t="s">
        <v>237</v>
      </c>
      <c r="J12" s="56" t="s">
        <v>192</v>
      </c>
      <c r="K12" s="54" t="str">
        <f t="shared" si="2"/>
        <v>Barley Fodder General</v>
      </c>
      <c r="L12" s="49">
        <v>11</v>
      </c>
      <c r="M12" s="49" t="s">
        <v>142</v>
      </c>
      <c r="N12" s="49" t="s">
        <v>209</v>
      </c>
      <c r="O12" s="49" t="s">
        <v>145</v>
      </c>
      <c r="P12" s="51" t="s">
        <v>210</v>
      </c>
      <c r="Q12" s="52">
        <v>8</v>
      </c>
      <c r="R12" s="49" t="s">
        <v>5</v>
      </c>
      <c r="S12" s="53" t="s">
        <v>211</v>
      </c>
      <c r="T12" s="53" t="s">
        <v>212</v>
      </c>
      <c r="U12" s="49">
        <v>0</v>
      </c>
      <c r="V12" s="51">
        <v>0</v>
      </c>
      <c r="W12" s="49">
        <v>0.95</v>
      </c>
      <c r="X12" s="49">
        <v>0</v>
      </c>
      <c r="Y12" s="49">
        <v>80</v>
      </c>
      <c r="Z12" s="39">
        <v>0.1</v>
      </c>
      <c r="AA12" s="40">
        <v>1.2</v>
      </c>
      <c r="AB12" s="39">
        <v>1</v>
      </c>
      <c r="AC12" s="40">
        <v>1</v>
      </c>
      <c r="AD12" s="49">
        <v>0.9</v>
      </c>
      <c r="AE12" s="49">
        <v>0.5</v>
      </c>
      <c r="AF12" s="51">
        <v>1.3</v>
      </c>
      <c r="AG12" s="157">
        <v>80000</v>
      </c>
    </row>
    <row r="13" spans="1:33" ht="15.75" thickBot="1" x14ac:dyDescent="0.3">
      <c r="A13" s="49" t="s">
        <v>203</v>
      </c>
      <c r="B13" s="49" t="s">
        <v>238</v>
      </c>
      <c r="C13" s="49" t="s">
        <v>239</v>
      </c>
      <c r="D13" s="49" t="s">
        <v>188</v>
      </c>
      <c r="E13" s="54" t="str">
        <f t="shared" si="0"/>
        <v xml:space="preserve">Lolium multiflorum </v>
      </c>
      <c r="F13" s="54" t="str">
        <f t="shared" si="1"/>
        <v xml:space="preserve">multiflorum </v>
      </c>
      <c r="G13" s="49" t="s">
        <v>206</v>
      </c>
      <c r="H13" s="49" t="s">
        <v>240</v>
      </c>
      <c r="I13" s="49" t="s">
        <v>241</v>
      </c>
      <c r="J13" s="56" t="s">
        <v>192</v>
      </c>
      <c r="K13" s="54" t="str">
        <f t="shared" si="2"/>
        <v>Annual ryegrass Fodder General</v>
      </c>
      <c r="L13" s="49">
        <v>12</v>
      </c>
      <c r="M13" s="49" t="s">
        <v>142</v>
      </c>
      <c r="N13" s="49" t="s">
        <v>242</v>
      </c>
      <c r="O13" s="49" t="s">
        <v>145</v>
      </c>
      <c r="P13" s="51" t="s">
        <v>231</v>
      </c>
      <c r="Q13" s="52">
        <v>5</v>
      </c>
      <c r="R13" s="49" t="s">
        <v>5</v>
      </c>
      <c r="S13" s="53" t="s">
        <v>211</v>
      </c>
      <c r="T13" s="53" t="s">
        <v>212</v>
      </c>
      <c r="U13" s="49">
        <v>0</v>
      </c>
      <c r="V13" s="51">
        <v>0</v>
      </c>
      <c r="W13" s="49">
        <v>0.95</v>
      </c>
      <c r="X13" s="49">
        <v>0</v>
      </c>
      <c r="Y13" s="49">
        <v>80</v>
      </c>
      <c r="Z13" s="39">
        <v>0.1</v>
      </c>
      <c r="AA13" s="40">
        <v>0.9</v>
      </c>
      <c r="AB13" s="39">
        <v>1</v>
      </c>
      <c r="AC13" s="40">
        <v>1.5</v>
      </c>
      <c r="AD13" s="49">
        <v>0.9</v>
      </c>
      <c r="AE13" s="49">
        <v>1</v>
      </c>
      <c r="AF13" s="51">
        <v>2.5</v>
      </c>
      <c r="AG13" s="157">
        <v>80000</v>
      </c>
    </row>
    <row r="14" spans="1:33" ht="15.75" thickBot="1" x14ac:dyDescent="0.3">
      <c r="A14" s="49" t="s">
        <v>203</v>
      </c>
      <c r="B14" s="49" t="s">
        <v>243</v>
      </c>
      <c r="C14" s="49" t="s">
        <v>244</v>
      </c>
      <c r="D14" s="49" t="s">
        <v>188</v>
      </c>
      <c r="E14" s="54" t="str">
        <f t="shared" si="0"/>
        <v xml:space="preserve">Secale cereale </v>
      </c>
      <c r="F14" s="54" t="str">
        <f t="shared" si="1"/>
        <v xml:space="preserve">cereale </v>
      </c>
      <c r="G14" s="49" t="s">
        <v>206</v>
      </c>
      <c r="H14" s="49" t="s">
        <v>207</v>
      </c>
      <c r="I14" s="49" t="s">
        <v>245</v>
      </c>
      <c r="J14" s="56" t="s">
        <v>192</v>
      </c>
      <c r="K14" s="54" t="str">
        <f t="shared" si="2"/>
        <v>Rye corn Fodder General</v>
      </c>
      <c r="L14" s="49">
        <v>13</v>
      </c>
      <c r="M14" s="49" t="s">
        <v>142</v>
      </c>
      <c r="N14" s="49" t="s">
        <v>194</v>
      </c>
      <c r="O14" s="49" t="s">
        <v>145</v>
      </c>
      <c r="P14" s="51" t="s">
        <v>246</v>
      </c>
      <c r="Q14" s="52">
        <v>8</v>
      </c>
      <c r="R14" s="49" t="s">
        <v>5</v>
      </c>
      <c r="S14" s="53" t="s">
        <v>211</v>
      </c>
      <c r="T14" s="53" t="s">
        <v>212</v>
      </c>
      <c r="U14" s="49">
        <v>0</v>
      </c>
      <c r="V14" s="51">
        <v>0</v>
      </c>
      <c r="W14" s="49">
        <v>0.95</v>
      </c>
      <c r="X14" s="49">
        <v>0</v>
      </c>
      <c r="Y14" s="49">
        <v>80</v>
      </c>
      <c r="Z14" s="39">
        <v>0.1</v>
      </c>
      <c r="AA14" s="40">
        <v>1.5</v>
      </c>
      <c r="AB14" s="39">
        <v>1</v>
      </c>
      <c r="AC14" s="40">
        <v>1</v>
      </c>
      <c r="AD14" s="49">
        <v>0.9</v>
      </c>
      <c r="AE14" s="49">
        <v>0.5</v>
      </c>
      <c r="AF14" s="51">
        <v>1.3</v>
      </c>
      <c r="AG14" s="157">
        <v>80000</v>
      </c>
    </row>
    <row r="15" spans="1:33" ht="15.75" thickBot="1" x14ac:dyDescent="0.3">
      <c r="A15" s="49" t="s">
        <v>203</v>
      </c>
      <c r="B15" s="49" t="s">
        <v>247</v>
      </c>
      <c r="C15" s="49" t="s">
        <v>248</v>
      </c>
      <c r="D15" s="49" t="s">
        <v>188</v>
      </c>
      <c r="E15" s="54" t="str">
        <f t="shared" si="0"/>
        <v xml:space="preserve">Triticum astevium </v>
      </c>
      <c r="F15" s="54" t="str">
        <f t="shared" si="1"/>
        <v xml:space="preserve">astevium </v>
      </c>
      <c r="G15" s="49" t="s">
        <v>206</v>
      </c>
      <c r="H15" s="49" t="s">
        <v>207</v>
      </c>
      <c r="I15" s="49" t="s">
        <v>249</v>
      </c>
      <c r="J15" s="56" t="s">
        <v>192</v>
      </c>
      <c r="K15" s="54" t="str">
        <f t="shared" si="2"/>
        <v>Wheat Fodder General</v>
      </c>
      <c r="L15" s="49">
        <v>14</v>
      </c>
      <c r="M15" s="49" t="s">
        <v>142</v>
      </c>
      <c r="N15" s="49" t="s">
        <v>209</v>
      </c>
      <c r="O15" s="49" t="s">
        <v>145</v>
      </c>
      <c r="P15" s="51" t="s">
        <v>210</v>
      </c>
      <c r="Q15" s="52">
        <v>8</v>
      </c>
      <c r="R15" s="49" t="s">
        <v>5</v>
      </c>
      <c r="S15" s="53" t="s">
        <v>211</v>
      </c>
      <c r="T15" s="53" t="s">
        <v>212</v>
      </c>
      <c r="U15" s="49">
        <v>0</v>
      </c>
      <c r="V15" s="51">
        <v>0</v>
      </c>
      <c r="W15" s="49">
        <v>0.95</v>
      </c>
      <c r="X15" s="49">
        <v>0</v>
      </c>
      <c r="Y15" s="49">
        <v>80</v>
      </c>
      <c r="Z15" s="39">
        <v>0.1</v>
      </c>
      <c r="AA15" s="40">
        <v>1.5</v>
      </c>
      <c r="AB15" s="39">
        <v>1</v>
      </c>
      <c r="AC15" s="40">
        <v>1</v>
      </c>
      <c r="AD15" s="49">
        <v>0.9</v>
      </c>
      <c r="AE15" s="49">
        <v>0.5</v>
      </c>
      <c r="AF15" s="51">
        <v>1.3</v>
      </c>
      <c r="AG15" s="157">
        <v>80000</v>
      </c>
    </row>
    <row r="16" spans="1:33" ht="15.75" thickBot="1" x14ac:dyDescent="0.3">
      <c r="A16" s="49" t="s">
        <v>203</v>
      </c>
      <c r="B16" s="49" t="s">
        <v>250</v>
      </c>
      <c r="C16" s="49"/>
      <c r="D16" s="49" t="s">
        <v>188</v>
      </c>
      <c r="E16" s="54" t="str">
        <f t="shared" si="0"/>
        <v xml:space="preserve">Triticum x Secale  </v>
      </c>
      <c r="F16" s="54" t="str">
        <f t="shared" si="1"/>
        <v xml:space="preserve"> </v>
      </c>
      <c r="G16" s="49" t="s">
        <v>206</v>
      </c>
      <c r="H16" s="49" t="s">
        <v>207</v>
      </c>
      <c r="I16" s="49" t="s">
        <v>251</v>
      </c>
      <c r="J16" s="56" t="s">
        <v>192</v>
      </c>
      <c r="K16" s="54" t="str">
        <f t="shared" si="2"/>
        <v>Triticale Fodder General</v>
      </c>
      <c r="L16" s="49">
        <v>15</v>
      </c>
      <c r="M16" s="49" t="s">
        <v>142</v>
      </c>
      <c r="N16" s="49" t="s">
        <v>209</v>
      </c>
      <c r="O16" s="49" t="s">
        <v>145</v>
      </c>
      <c r="P16" s="51" t="s">
        <v>210</v>
      </c>
      <c r="Q16" s="52">
        <v>12</v>
      </c>
      <c r="R16" s="49" t="s">
        <v>5</v>
      </c>
      <c r="S16" s="53" t="s">
        <v>211</v>
      </c>
      <c r="T16" s="53" t="s">
        <v>212</v>
      </c>
      <c r="U16" s="49">
        <v>0</v>
      </c>
      <c r="V16" s="51">
        <v>0</v>
      </c>
      <c r="W16" s="49">
        <v>0.95</v>
      </c>
      <c r="X16" s="49">
        <v>0</v>
      </c>
      <c r="Y16" s="49">
        <v>80</v>
      </c>
      <c r="Z16" s="39">
        <v>0.1</v>
      </c>
      <c r="AA16" s="40">
        <v>1.5</v>
      </c>
      <c r="AB16" s="39">
        <v>1</v>
      </c>
      <c r="AC16" s="40">
        <v>1</v>
      </c>
      <c r="AD16" s="49">
        <v>0.9</v>
      </c>
      <c r="AE16" s="49">
        <v>0.5</v>
      </c>
      <c r="AF16" s="51">
        <v>1.3</v>
      </c>
      <c r="AG16" s="157">
        <v>80000</v>
      </c>
    </row>
    <row r="17" spans="1:33" ht="15.75" thickBot="1" x14ac:dyDescent="0.3">
      <c r="A17" s="49" t="s">
        <v>203</v>
      </c>
      <c r="B17" s="49" t="s">
        <v>252</v>
      </c>
      <c r="C17" s="49" t="s">
        <v>253</v>
      </c>
      <c r="D17" s="49" t="s">
        <v>188</v>
      </c>
      <c r="E17" s="54" t="str">
        <f t="shared" si="0"/>
        <v xml:space="preserve">Zea mays </v>
      </c>
      <c r="F17" s="54" t="str">
        <f t="shared" si="1"/>
        <v xml:space="preserve">mays </v>
      </c>
      <c r="G17" s="49" t="s">
        <v>206</v>
      </c>
      <c r="H17" s="49" t="s">
        <v>207</v>
      </c>
      <c r="I17" s="49" t="s">
        <v>254</v>
      </c>
      <c r="J17" s="56" t="s">
        <v>192</v>
      </c>
      <c r="K17" s="54" t="str">
        <f t="shared" si="2"/>
        <v>Maize Fodder General</v>
      </c>
      <c r="L17" s="49">
        <v>16</v>
      </c>
      <c r="M17" s="49" t="s">
        <v>142</v>
      </c>
      <c r="N17" s="49" t="s">
        <v>210</v>
      </c>
      <c r="O17" s="49" t="s">
        <v>145</v>
      </c>
      <c r="P17" s="51" t="s">
        <v>194</v>
      </c>
      <c r="Q17" s="52">
        <v>17.5</v>
      </c>
      <c r="R17" s="49" t="s">
        <v>5</v>
      </c>
      <c r="S17" s="53" t="s">
        <v>211</v>
      </c>
      <c r="T17" s="53" t="s">
        <v>212</v>
      </c>
      <c r="U17" s="49">
        <v>0</v>
      </c>
      <c r="V17" s="51">
        <v>0</v>
      </c>
      <c r="W17" s="49">
        <v>0.95</v>
      </c>
      <c r="X17" s="49">
        <v>0</v>
      </c>
      <c r="Y17" s="49">
        <v>33</v>
      </c>
      <c r="Z17" s="39">
        <v>0.1</v>
      </c>
      <c r="AA17" s="40">
        <v>1.5</v>
      </c>
      <c r="AB17" s="39">
        <v>0.85</v>
      </c>
      <c r="AC17" s="40">
        <v>1</v>
      </c>
      <c r="AD17" s="49">
        <v>0.9</v>
      </c>
      <c r="AE17" s="49">
        <v>0.7</v>
      </c>
      <c r="AF17" s="51">
        <v>1.4</v>
      </c>
      <c r="AG17" s="157">
        <v>80000</v>
      </c>
    </row>
    <row r="18" spans="1:33" ht="15.75" thickBot="1" x14ac:dyDescent="0.3">
      <c r="A18" s="49" t="s">
        <v>203</v>
      </c>
      <c r="B18" s="49" t="s">
        <v>204</v>
      </c>
      <c r="C18" s="49" t="s">
        <v>205</v>
      </c>
      <c r="D18" s="49" t="s">
        <v>188</v>
      </c>
      <c r="E18" s="54" t="str">
        <f t="shared" si="0"/>
        <v xml:space="preserve">Avena sativa </v>
      </c>
      <c r="F18" s="54" t="str">
        <f t="shared" si="1"/>
        <v xml:space="preserve">sativa </v>
      </c>
      <c r="G18" s="49" t="s">
        <v>255</v>
      </c>
      <c r="H18" s="49" t="s">
        <v>207</v>
      </c>
      <c r="I18" s="49" t="s">
        <v>208</v>
      </c>
      <c r="J18" s="56" t="s">
        <v>192</v>
      </c>
      <c r="K18" s="54" t="str">
        <f t="shared" si="2"/>
        <v>Oat Grain General</v>
      </c>
      <c r="L18" s="49">
        <v>17</v>
      </c>
      <c r="M18" s="49" t="s">
        <v>142</v>
      </c>
      <c r="N18" s="49" t="s">
        <v>193</v>
      </c>
      <c r="O18" s="49" t="s">
        <v>148</v>
      </c>
      <c r="P18" s="51" t="s">
        <v>194</v>
      </c>
      <c r="Q18" s="52">
        <v>6</v>
      </c>
      <c r="R18" s="49" t="s">
        <v>5</v>
      </c>
      <c r="S18" s="53" t="s">
        <v>256</v>
      </c>
      <c r="T18" s="53" t="s">
        <v>196</v>
      </c>
      <c r="U18" s="49">
        <v>0</v>
      </c>
      <c r="V18" s="51">
        <v>0</v>
      </c>
      <c r="W18" s="49">
        <v>0.4</v>
      </c>
      <c r="X18" s="49">
        <v>0.1</v>
      </c>
      <c r="Y18" s="49">
        <v>13</v>
      </c>
      <c r="Z18" s="39">
        <v>0.1</v>
      </c>
      <c r="AA18" s="40">
        <v>1.5</v>
      </c>
      <c r="AB18" s="39">
        <v>1</v>
      </c>
      <c r="AC18" s="40">
        <v>1</v>
      </c>
      <c r="AD18" s="49">
        <v>0.9</v>
      </c>
      <c r="AE18" s="49">
        <v>0.5</v>
      </c>
      <c r="AF18" s="51">
        <v>1.3</v>
      </c>
      <c r="AG18" s="157">
        <v>80000</v>
      </c>
    </row>
    <row r="19" spans="1:33" ht="15.75" thickBot="1" x14ac:dyDescent="0.3">
      <c r="A19" s="49" t="s">
        <v>218</v>
      </c>
      <c r="B19" s="49" t="s">
        <v>219</v>
      </c>
      <c r="C19" s="49" t="s">
        <v>220</v>
      </c>
      <c r="D19" s="49" t="s">
        <v>220</v>
      </c>
      <c r="E19" s="54" t="str">
        <f t="shared" si="0"/>
        <v>Brassica napus napus</v>
      </c>
      <c r="F19" s="54" t="str">
        <f t="shared" si="1"/>
        <v>napus napus</v>
      </c>
      <c r="G19" s="49" t="s">
        <v>255</v>
      </c>
      <c r="H19" s="49" t="s">
        <v>257</v>
      </c>
      <c r="I19" s="49" t="s">
        <v>258</v>
      </c>
      <c r="J19" s="56" t="s">
        <v>192</v>
      </c>
      <c r="K19" s="54" t="str">
        <f t="shared" si="2"/>
        <v>Canola Grain General</v>
      </c>
      <c r="L19" s="49">
        <v>18</v>
      </c>
      <c r="M19" s="49" t="s">
        <v>142</v>
      </c>
      <c r="N19" s="49" t="s">
        <v>242</v>
      </c>
      <c r="O19" s="49" t="s">
        <v>147</v>
      </c>
      <c r="P19" s="51" t="s">
        <v>225</v>
      </c>
      <c r="Q19" s="52">
        <v>4</v>
      </c>
      <c r="R19" s="49" t="s">
        <v>5</v>
      </c>
      <c r="S19" s="53" t="s">
        <v>256</v>
      </c>
      <c r="T19" s="53" t="s">
        <v>196</v>
      </c>
      <c r="U19" s="49">
        <v>0</v>
      </c>
      <c r="V19" s="51">
        <v>0</v>
      </c>
      <c r="W19" s="49">
        <v>0.27</v>
      </c>
      <c r="X19" s="49">
        <v>1.2999999999999999E-2</v>
      </c>
      <c r="Y19" s="49">
        <v>8.9999999999999964</v>
      </c>
      <c r="Z19" s="39">
        <v>0.1</v>
      </c>
      <c r="AA19" s="40">
        <v>1.2</v>
      </c>
      <c r="AB19" s="39">
        <v>1</v>
      </c>
      <c r="AC19" s="40">
        <v>2</v>
      </c>
      <c r="AD19" s="49">
        <v>0.8</v>
      </c>
      <c r="AE19" s="49">
        <v>1.1499999999999999</v>
      </c>
      <c r="AF19" s="51">
        <v>3.22</v>
      </c>
      <c r="AG19" s="157">
        <v>80000</v>
      </c>
    </row>
    <row r="20" spans="1:33" ht="15.75" thickBot="1" x14ac:dyDescent="0.3">
      <c r="A20" s="49" t="s">
        <v>197</v>
      </c>
      <c r="B20" s="49" t="s">
        <v>198</v>
      </c>
      <c r="C20" s="49" t="s">
        <v>187</v>
      </c>
      <c r="D20" s="49" t="s">
        <v>188</v>
      </c>
      <c r="E20" s="54" t="str">
        <f t="shared" si="0"/>
        <v xml:space="preserve">Cannabis x </v>
      </c>
      <c r="F20" s="54" t="str">
        <f t="shared" si="1"/>
        <v xml:space="preserve">x </v>
      </c>
      <c r="G20" s="49" t="s">
        <v>255</v>
      </c>
      <c r="H20" s="49" t="s">
        <v>257</v>
      </c>
      <c r="I20" s="49" t="s">
        <v>200</v>
      </c>
      <c r="J20" s="56" t="s">
        <v>192</v>
      </c>
      <c r="K20" s="54" t="str">
        <f t="shared" si="2"/>
        <v>Hemp Grain General</v>
      </c>
      <c r="L20" s="49">
        <v>19</v>
      </c>
      <c r="M20" s="49" t="s">
        <v>142</v>
      </c>
      <c r="N20" s="49" t="s">
        <v>210</v>
      </c>
      <c r="O20" s="49" t="s">
        <v>148</v>
      </c>
      <c r="P20" s="51" t="s">
        <v>234</v>
      </c>
      <c r="Q20" s="52">
        <v>1.1499999999999999</v>
      </c>
      <c r="R20" s="49" t="s">
        <v>5</v>
      </c>
      <c r="S20" s="53" t="s">
        <v>256</v>
      </c>
      <c r="T20" s="53" t="s">
        <v>196</v>
      </c>
      <c r="U20" s="49">
        <v>0</v>
      </c>
      <c r="V20" s="51">
        <v>0</v>
      </c>
      <c r="W20" s="49">
        <v>0.1</v>
      </c>
      <c r="X20" s="49">
        <v>0.05</v>
      </c>
      <c r="Y20" s="49">
        <v>8.9999999999999964</v>
      </c>
      <c r="Z20" s="39">
        <v>0.1</v>
      </c>
      <c r="AA20" s="40">
        <v>1.5</v>
      </c>
      <c r="AB20" s="39">
        <v>1</v>
      </c>
      <c r="AC20" s="40">
        <v>1</v>
      </c>
      <c r="AD20" s="49">
        <v>1</v>
      </c>
      <c r="AE20" s="49">
        <v>1</v>
      </c>
      <c r="AF20" s="51">
        <v>4</v>
      </c>
      <c r="AG20" s="157">
        <v>80000</v>
      </c>
    </row>
    <row r="21" spans="1:33" ht="15.75" thickBot="1" x14ac:dyDescent="0.3">
      <c r="A21" s="49" t="s">
        <v>259</v>
      </c>
      <c r="B21" s="49" t="s">
        <v>260</v>
      </c>
      <c r="C21" s="49" t="s">
        <v>261</v>
      </c>
      <c r="D21" s="49" t="s">
        <v>188</v>
      </c>
      <c r="E21" s="54" t="str">
        <f t="shared" si="0"/>
        <v xml:space="preserve">Cicer arietinum </v>
      </c>
      <c r="F21" s="54" t="str">
        <f t="shared" si="1"/>
        <v xml:space="preserve">arietinum </v>
      </c>
      <c r="G21" s="49" t="s">
        <v>255</v>
      </c>
      <c r="H21" s="49" t="s">
        <v>262</v>
      </c>
      <c r="I21" s="49" t="s">
        <v>263</v>
      </c>
      <c r="J21" s="56" t="s">
        <v>192</v>
      </c>
      <c r="K21" s="54" t="str">
        <f t="shared" si="2"/>
        <v>Chickpea Grain General</v>
      </c>
      <c r="L21" s="49">
        <v>21</v>
      </c>
      <c r="M21" s="49" t="s">
        <v>142</v>
      </c>
      <c r="N21" s="49" t="s">
        <v>201</v>
      </c>
      <c r="O21" s="49" t="s">
        <v>147</v>
      </c>
      <c r="P21" s="51" t="s">
        <v>234</v>
      </c>
      <c r="Q21" s="52">
        <v>4</v>
      </c>
      <c r="R21" s="49" t="s">
        <v>5</v>
      </c>
      <c r="S21" s="53" t="s">
        <v>256</v>
      </c>
      <c r="T21" s="53" t="s">
        <v>196</v>
      </c>
      <c r="U21" s="49">
        <v>0</v>
      </c>
      <c r="V21" s="51">
        <v>0</v>
      </c>
      <c r="W21" s="49">
        <v>0.3</v>
      </c>
      <c r="X21" s="49">
        <v>0</v>
      </c>
      <c r="Y21" s="49">
        <v>15</v>
      </c>
      <c r="Z21" s="39">
        <v>0.1</v>
      </c>
      <c r="AA21" s="40">
        <v>1</v>
      </c>
      <c r="AB21" s="39">
        <v>1</v>
      </c>
      <c r="AC21" s="40">
        <v>1</v>
      </c>
      <c r="AD21" s="49">
        <v>1.5</v>
      </c>
      <c r="AE21" s="49">
        <v>1.6</v>
      </c>
      <c r="AF21" s="51">
        <v>4.7</v>
      </c>
      <c r="AG21" s="157">
        <v>80000</v>
      </c>
    </row>
    <row r="22" spans="1:33" ht="15.75" thickBot="1" x14ac:dyDescent="0.3">
      <c r="A22" s="49" t="s">
        <v>264</v>
      </c>
      <c r="B22" s="49" t="s">
        <v>265</v>
      </c>
      <c r="C22" s="49" t="s">
        <v>266</v>
      </c>
      <c r="D22" s="49" t="s">
        <v>188</v>
      </c>
      <c r="E22" s="54" t="str">
        <f t="shared" si="0"/>
        <v xml:space="preserve">Helianthus annus </v>
      </c>
      <c r="F22" s="54" t="str">
        <f t="shared" si="1"/>
        <v xml:space="preserve">annus </v>
      </c>
      <c r="G22" s="49" t="s">
        <v>255</v>
      </c>
      <c r="H22" s="49" t="s">
        <v>207</v>
      </c>
      <c r="I22" s="49" t="s">
        <v>267</v>
      </c>
      <c r="J22" s="56" t="s">
        <v>192</v>
      </c>
      <c r="K22" s="54" t="str">
        <f t="shared" si="2"/>
        <v>Sunflower Grain General</v>
      </c>
      <c r="L22" s="49">
        <v>22</v>
      </c>
      <c r="M22" s="49" t="s">
        <v>142</v>
      </c>
      <c r="N22" s="49" t="s">
        <v>201</v>
      </c>
      <c r="O22" s="49" t="s">
        <v>148</v>
      </c>
      <c r="P22" s="51" t="s">
        <v>234</v>
      </c>
      <c r="Q22" s="52">
        <v>3</v>
      </c>
      <c r="R22" s="49" t="s">
        <v>5</v>
      </c>
      <c r="S22" s="53" t="s">
        <v>256</v>
      </c>
      <c r="T22" s="53" t="s">
        <v>196</v>
      </c>
      <c r="U22" s="49">
        <v>0</v>
      </c>
      <c r="V22" s="51">
        <v>0</v>
      </c>
      <c r="W22" s="49">
        <v>0.3</v>
      </c>
      <c r="X22" s="49">
        <v>0.1</v>
      </c>
      <c r="Y22" s="49">
        <v>7.9999999999999964</v>
      </c>
      <c r="Z22" s="39">
        <v>0.1</v>
      </c>
      <c r="AA22" s="40">
        <v>1.5</v>
      </c>
      <c r="AB22" s="39">
        <v>1</v>
      </c>
      <c r="AC22" s="40">
        <v>1</v>
      </c>
      <c r="AD22" s="49">
        <v>0.9</v>
      </c>
      <c r="AE22" s="49">
        <v>1.3</v>
      </c>
      <c r="AF22" s="51">
        <v>2.4</v>
      </c>
      <c r="AG22" s="157">
        <v>80000</v>
      </c>
    </row>
    <row r="23" spans="1:33" ht="15.75" thickBot="1" x14ac:dyDescent="0.3">
      <c r="A23" s="49" t="s">
        <v>203</v>
      </c>
      <c r="B23" s="49" t="s">
        <v>235</v>
      </c>
      <c r="C23" s="49" t="s">
        <v>236</v>
      </c>
      <c r="D23" s="49" t="s">
        <v>188</v>
      </c>
      <c r="E23" s="54" t="str">
        <f t="shared" si="0"/>
        <v xml:space="preserve">Hordeum vulgure </v>
      </c>
      <c r="F23" s="54" t="str">
        <f t="shared" si="1"/>
        <v xml:space="preserve">vulgure </v>
      </c>
      <c r="G23" s="49" t="s">
        <v>255</v>
      </c>
      <c r="H23" s="49" t="s">
        <v>207</v>
      </c>
      <c r="I23" s="49" t="s">
        <v>237</v>
      </c>
      <c r="J23" s="56" t="s">
        <v>192</v>
      </c>
      <c r="K23" s="54" t="str">
        <f t="shared" si="2"/>
        <v>Barley Grain General</v>
      </c>
      <c r="L23" s="49">
        <v>23</v>
      </c>
      <c r="M23" s="49" t="s">
        <v>142</v>
      </c>
      <c r="N23" s="49" t="s">
        <v>246</v>
      </c>
      <c r="O23" s="49" t="s">
        <v>148</v>
      </c>
      <c r="P23" s="51" t="s">
        <v>194</v>
      </c>
      <c r="Q23" s="52">
        <v>8</v>
      </c>
      <c r="R23" s="49" t="s">
        <v>5</v>
      </c>
      <c r="S23" s="53" t="s">
        <v>256</v>
      </c>
      <c r="T23" s="53" t="s">
        <v>196</v>
      </c>
      <c r="U23" s="49">
        <v>0</v>
      </c>
      <c r="V23" s="51">
        <v>0</v>
      </c>
      <c r="W23" s="49">
        <v>0.46299999999999997</v>
      </c>
      <c r="X23" s="49">
        <v>0.1</v>
      </c>
      <c r="Y23" s="49">
        <v>13</v>
      </c>
      <c r="Z23" s="39">
        <v>0.1</v>
      </c>
      <c r="AA23" s="40">
        <v>1.2</v>
      </c>
      <c r="AB23" s="39">
        <v>1</v>
      </c>
      <c r="AC23" s="40">
        <v>1</v>
      </c>
      <c r="AD23" s="49">
        <v>0.9</v>
      </c>
      <c r="AE23" s="49">
        <v>0.5</v>
      </c>
      <c r="AF23" s="51">
        <v>1.2</v>
      </c>
      <c r="AG23" s="157">
        <v>80000</v>
      </c>
    </row>
    <row r="24" spans="1:33" ht="15.75" thickBot="1" x14ac:dyDescent="0.3">
      <c r="A24" s="49" t="s">
        <v>259</v>
      </c>
      <c r="B24" s="49" t="s">
        <v>268</v>
      </c>
      <c r="C24" s="49" t="s">
        <v>269</v>
      </c>
      <c r="D24" s="49" t="s">
        <v>188</v>
      </c>
      <c r="E24" s="54" t="str">
        <f t="shared" si="0"/>
        <v xml:space="preserve">Lens culinaris </v>
      </c>
      <c r="F24" s="54" t="str">
        <f t="shared" si="1"/>
        <v xml:space="preserve">culinaris </v>
      </c>
      <c r="G24" s="49" t="s">
        <v>255</v>
      </c>
      <c r="H24" s="49" t="s">
        <v>262</v>
      </c>
      <c r="I24" s="49" t="s">
        <v>270</v>
      </c>
      <c r="J24" s="56" t="s">
        <v>192</v>
      </c>
      <c r="K24" s="54" t="str">
        <f t="shared" si="2"/>
        <v>Lentil Grain General</v>
      </c>
      <c r="L24" s="49">
        <v>24</v>
      </c>
      <c r="M24" s="49" t="s">
        <v>142</v>
      </c>
      <c r="N24" s="49" t="s">
        <v>201</v>
      </c>
      <c r="O24" s="49" t="s">
        <v>148</v>
      </c>
      <c r="P24" s="51" t="s">
        <v>234</v>
      </c>
      <c r="Q24" s="52">
        <v>3.5</v>
      </c>
      <c r="R24" s="49" t="s">
        <v>5</v>
      </c>
      <c r="S24" s="53" t="s">
        <v>256</v>
      </c>
      <c r="T24" s="53" t="s">
        <v>196</v>
      </c>
      <c r="U24" s="49">
        <v>0</v>
      </c>
      <c r="V24" s="51">
        <v>0</v>
      </c>
      <c r="W24" s="49">
        <v>0.5</v>
      </c>
      <c r="X24" s="49">
        <v>0</v>
      </c>
      <c r="Y24" s="49">
        <v>14.000000000000002</v>
      </c>
      <c r="Z24" s="39">
        <v>0.1</v>
      </c>
      <c r="AA24" s="40">
        <v>1</v>
      </c>
      <c r="AB24" s="39">
        <v>1</v>
      </c>
      <c r="AC24" s="40">
        <v>1</v>
      </c>
      <c r="AD24" s="49">
        <v>1.5</v>
      </c>
      <c r="AE24" s="49">
        <v>1.6</v>
      </c>
      <c r="AF24" s="51">
        <v>3.5</v>
      </c>
      <c r="AG24" s="157">
        <v>80000</v>
      </c>
    </row>
    <row r="25" spans="1:33" ht="15.75" thickBot="1" x14ac:dyDescent="0.3">
      <c r="A25" s="49" t="s">
        <v>271</v>
      </c>
      <c r="B25" s="49" t="s">
        <v>272</v>
      </c>
      <c r="C25" s="49" t="s">
        <v>273</v>
      </c>
      <c r="D25" s="49" t="s">
        <v>188</v>
      </c>
      <c r="E25" s="54" t="str">
        <f t="shared" si="0"/>
        <v xml:space="preserve">Linum usitatissimum </v>
      </c>
      <c r="F25" s="54" t="str">
        <f t="shared" si="1"/>
        <v xml:space="preserve">usitatissimum </v>
      </c>
      <c r="G25" s="49" t="s">
        <v>255</v>
      </c>
      <c r="H25" s="49" t="s">
        <v>257</v>
      </c>
      <c r="I25" s="49" t="s">
        <v>274</v>
      </c>
      <c r="J25" s="56" t="s">
        <v>192</v>
      </c>
      <c r="K25" s="54" t="str">
        <f t="shared" si="2"/>
        <v>Linseed Grain General</v>
      </c>
      <c r="L25" s="49">
        <v>25</v>
      </c>
      <c r="M25" s="49" t="s">
        <v>142</v>
      </c>
      <c r="N25" s="49" t="s">
        <v>246</v>
      </c>
      <c r="O25" s="49" t="s">
        <v>147</v>
      </c>
      <c r="P25" s="51" t="s">
        <v>234</v>
      </c>
      <c r="Q25" s="52">
        <v>2.5</v>
      </c>
      <c r="R25" s="49" t="s">
        <v>5</v>
      </c>
      <c r="S25" s="53" t="s">
        <v>256</v>
      </c>
      <c r="T25" s="53" t="s">
        <v>196</v>
      </c>
      <c r="U25" s="49">
        <v>0</v>
      </c>
      <c r="V25" s="51">
        <v>0</v>
      </c>
      <c r="W25" s="49">
        <v>0.20833333333333334</v>
      </c>
      <c r="X25" s="49">
        <v>0</v>
      </c>
      <c r="Y25" s="49">
        <v>8.9999999999999964</v>
      </c>
      <c r="Z25" s="39">
        <v>0.1</v>
      </c>
      <c r="AA25" s="40">
        <v>1</v>
      </c>
      <c r="AB25" s="39">
        <v>1</v>
      </c>
      <c r="AC25" s="40">
        <v>1</v>
      </c>
      <c r="AD25" s="49">
        <v>1</v>
      </c>
      <c r="AE25" s="49">
        <v>1</v>
      </c>
      <c r="AF25" s="51">
        <v>4.3</v>
      </c>
      <c r="AG25" s="157">
        <v>80000</v>
      </c>
    </row>
    <row r="26" spans="1:33" ht="15.75" thickBot="1" x14ac:dyDescent="0.3">
      <c r="A26" s="49" t="s">
        <v>259</v>
      </c>
      <c r="B26" s="49" t="s">
        <v>275</v>
      </c>
      <c r="C26" s="49" t="s">
        <v>215</v>
      </c>
      <c r="D26" s="49" t="s">
        <v>188</v>
      </c>
      <c r="E26" s="54" t="str">
        <f t="shared" si="0"/>
        <v xml:space="preserve">Phaseolus vulgaris </v>
      </c>
      <c r="F26" s="54" t="str">
        <f t="shared" si="1"/>
        <v xml:space="preserve">vulgaris </v>
      </c>
      <c r="G26" s="49" t="s">
        <v>255</v>
      </c>
      <c r="H26" s="49" t="s">
        <v>262</v>
      </c>
      <c r="I26" s="49" t="s">
        <v>276</v>
      </c>
      <c r="J26" s="56" t="s">
        <v>192</v>
      </c>
      <c r="K26" s="54" t="str">
        <f t="shared" si="2"/>
        <v>Bean Grain General</v>
      </c>
      <c r="L26" s="49">
        <v>27</v>
      </c>
      <c r="M26" s="49" t="s">
        <v>142</v>
      </c>
      <c r="N26" s="49" t="s">
        <v>201</v>
      </c>
      <c r="O26" s="49" t="s">
        <v>148</v>
      </c>
      <c r="P26" s="51" t="s">
        <v>234</v>
      </c>
      <c r="Q26" s="52">
        <v>3.5</v>
      </c>
      <c r="R26" s="49" t="s">
        <v>5</v>
      </c>
      <c r="S26" s="53" t="s">
        <v>256</v>
      </c>
      <c r="T26" s="53" t="s">
        <v>196</v>
      </c>
      <c r="U26" s="49">
        <v>0</v>
      </c>
      <c r="V26" s="51">
        <v>0</v>
      </c>
      <c r="W26" s="49">
        <v>0.5</v>
      </c>
      <c r="X26" s="49">
        <v>0</v>
      </c>
      <c r="Y26" s="49">
        <v>14.000000000000002</v>
      </c>
      <c r="Z26" s="39">
        <v>0.1</v>
      </c>
      <c r="AA26" s="40">
        <v>1</v>
      </c>
      <c r="AB26" s="39">
        <v>1</v>
      </c>
      <c r="AC26" s="40">
        <v>1</v>
      </c>
      <c r="AD26" s="49">
        <v>1.5</v>
      </c>
      <c r="AE26" s="49">
        <v>1.6</v>
      </c>
      <c r="AF26" s="51">
        <v>3.5</v>
      </c>
      <c r="AG26" s="157">
        <v>80000</v>
      </c>
    </row>
    <row r="27" spans="1:33" ht="15.75" thickBot="1" x14ac:dyDescent="0.3">
      <c r="A27" s="49" t="s">
        <v>259</v>
      </c>
      <c r="B27" s="49" t="s">
        <v>277</v>
      </c>
      <c r="C27" s="49" t="s">
        <v>278</v>
      </c>
      <c r="D27" s="49" t="s">
        <v>188</v>
      </c>
      <c r="E27" s="54" t="str">
        <f t="shared" si="0"/>
        <v xml:space="preserve">Pisum sativum </v>
      </c>
      <c r="F27" s="54" t="str">
        <f t="shared" si="1"/>
        <v xml:space="preserve">sativum </v>
      </c>
      <c r="G27" s="49" t="s">
        <v>255</v>
      </c>
      <c r="H27" s="49" t="s">
        <v>262</v>
      </c>
      <c r="I27" s="49" t="s">
        <v>279</v>
      </c>
      <c r="J27" s="56" t="s">
        <v>192</v>
      </c>
      <c r="K27" s="54" t="str">
        <f t="shared" si="2"/>
        <v>Pea Grain General</v>
      </c>
      <c r="L27" s="49">
        <v>28</v>
      </c>
      <c r="M27" s="49" t="s">
        <v>142</v>
      </c>
      <c r="N27" s="49" t="s">
        <v>201</v>
      </c>
      <c r="O27" s="49" t="s">
        <v>148</v>
      </c>
      <c r="P27" s="51" t="s">
        <v>234</v>
      </c>
      <c r="Q27" s="52">
        <v>3.5</v>
      </c>
      <c r="R27" s="49" t="s">
        <v>5</v>
      </c>
      <c r="S27" s="53" t="s">
        <v>256</v>
      </c>
      <c r="T27" s="53" t="s">
        <v>196</v>
      </c>
      <c r="U27" s="49">
        <v>0</v>
      </c>
      <c r="V27" s="51">
        <v>0</v>
      </c>
      <c r="W27" s="49">
        <v>0.3</v>
      </c>
      <c r="X27" s="49">
        <v>0</v>
      </c>
      <c r="Y27" s="49">
        <v>14.000000000000002</v>
      </c>
      <c r="Z27" s="39">
        <v>0.1</v>
      </c>
      <c r="AA27" s="40">
        <v>0.7</v>
      </c>
      <c r="AB27" s="39">
        <v>1</v>
      </c>
      <c r="AC27" s="40">
        <v>1</v>
      </c>
      <c r="AD27" s="49">
        <v>1.5</v>
      </c>
      <c r="AE27" s="49">
        <v>1.6</v>
      </c>
      <c r="AF27" s="51">
        <v>4.7</v>
      </c>
      <c r="AG27" s="157">
        <v>80000</v>
      </c>
    </row>
    <row r="28" spans="1:33" ht="15.75" thickBot="1" x14ac:dyDescent="0.3">
      <c r="A28" s="49" t="s">
        <v>203</v>
      </c>
      <c r="B28" s="49" t="s">
        <v>247</v>
      </c>
      <c r="C28" s="49" t="s">
        <v>248</v>
      </c>
      <c r="D28" s="49" t="s">
        <v>188</v>
      </c>
      <c r="E28" s="54" t="str">
        <f t="shared" si="0"/>
        <v xml:space="preserve">Triticum astevium </v>
      </c>
      <c r="F28" s="54" t="str">
        <f t="shared" si="1"/>
        <v xml:space="preserve">astevium </v>
      </c>
      <c r="G28" s="49" t="s">
        <v>255</v>
      </c>
      <c r="H28" s="49" t="s">
        <v>207</v>
      </c>
      <c r="I28" s="49" t="s">
        <v>249</v>
      </c>
      <c r="J28" s="56" t="s">
        <v>280</v>
      </c>
      <c r="K28" s="54" t="str">
        <f t="shared" si="2"/>
        <v>Wheat Grain Breed</v>
      </c>
      <c r="L28" s="49">
        <v>30</v>
      </c>
      <c r="M28" s="49" t="s">
        <v>142</v>
      </c>
      <c r="N28" s="49" t="s">
        <v>242</v>
      </c>
      <c r="O28" s="49" t="s">
        <v>148</v>
      </c>
      <c r="P28" s="51" t="s">
        <v>194</v>
      </c>
      <c r="Q28" s="52">
        <v>10</v>
      </c>
      <c r="R28" s="49" t="s">
        <v>5</v>
      </c>
      <c r="S28" s="53" t="s">
        <v>256</v>
      </c>
      <c r="T28" s="53" t="s">
        <v>196</v>
      </c>
      <c r="U28" s="49">
        <v>0</v>
      </c>
      <c r="V28" s="51">
        <v>0</v>
      </c>
      <c r="W28" s="49">
        <v>0.41170000000000001</v>
      </c>
      <c r="X28" s="49">
        <v>0.1</v>
      </c>
      <c r="Y28" s="49">
        <v>13</v>
      </c>
      <c r="Z28" s="39">
        <v>0.1</v>
      </c>
      <c r="AA28" s="40">
        <v>1.5</v>
      </c>
      <c r="AB28" s="39">
        <v>1</v>
      </c>
      <c r="AC28" s="40">
        <v>1</v>
      </c>
      <c r="AD28" s="49">
        <v>0.9</v>
      </c>
      <c r="AE28" s="49">
        <v>0.5</v>
      </c>
      <c r="AF28" s="51">
        <v>1.5</v>
      </c>
      <c r="AG28" s="157">
        <v>80000</v>
      </c>
    </row>
    <row r="29" spans="1:33" ht="15.75" thickBot="1" x14ac:dyDescent="0.3">
      <c r="A29" s="49" t="s">
        <v>203</v>
      </c>
      <c r="B29" s="49" t="s">
        <v>247</v>
      </c>
      <c r="C29" s="49" t="s">
        <v>248</v>
      </c>
      <c r="D29" s="49" t="s">
        <v>188</v>
      </c>
      <c r="E29" s="54" t="str">
        <f t="shared" si="0"/>
        <v xml:space="preserve">Triticum astevium </v>
      </c>
      <c r="F29" s="54" t="str">
        <f t="shared" si="1"/>
        <v xml:space="preserve">astevium </v>
      </c>
      <c r="G29" s="49" t="s">
        <v>255</v>
      </c>
      <c r="H29" s="49" t="s">
        <v>207</v>
      </c>
      <c r="I29" s="49" t="s">
        <v>249</v>
      </c>
      <c r="J29" s="56" t="s">
        <v>281</v>
      </c>
      <c r="K29" s="54" t="str">
        <f t="shared" si="2"/>
        <v>Wheat Grain Feed</v>
      </c>
      <c r="L29" s="49">
        <v>31</v>
      </c>
      <c r="M29" s="49" t="s">
        <v>142</v>
      </c>
      <c r="N29" s="49" t="s">
        <v>242</v>
      </c>
      <c r="O29" s="49" t="s">
        <v>148</v>
      </c>
      <c r="P29" s="51" t="s">
        <v>194</v>
      </c>
      <c r="Q29" s="52">
        <v>12</v>
      </c>
      <c r="R29" s="49" t="s">
        <v>5</v>
      </c>
      <c r="S29" s="53" t="s">
        <v>256</v>
      </c>
      <c r="T29" s="53" t="s">
        <v>196</v>
      </c>
      <c r="U29" s="49">
        <v>0</v>
      </c>
      <c r="V29" s="51">
        <v>0</v>
      </c>
      <c r="W29" s="49">
        <v>0.41170000000000001</v>
      </c>
      <c r="X29" s="49">
        <v>0.1</v>
      </c>
      <c r="Y29" s="49">
        <v>13</v>
      </c>
      <c r="Z29" s="39">
        <v>0.1</v>
      </c>
      <c r="AA29" s="40">
        <v>1.5</v>
      </c>
      <c r="AB29" s="39">
        <v>1</v>
      </c>
      <c r="AC29" s="40">
        <v>1</v>
      </c>
      <c r="AD29" s="49">
        <v>0.9</v>
      </c>
      <c r="AE29" s="49">
        <v>0.5</v>
      </c>
      <c r="AF29" s="51">
        <v>1.2</v>
      </c>
      <c r="AG29" s="157">
        <v>80000</v>
      </c>
    </row>
    <row r="30" spans="1:33" ht="15.75" thickBot="1" x14ac:dyDescent="0.3">
      <c r="A30" s="49" t="s">
        <v>203</v>
      </c>
      <c r="B30" s="49" t="s">
        <v>252</v>
      </c>
      <c r="C30" s="49" t="s">
        <v>253</v>
      </c>
      <c r="D30" s="49" t="s">
        <v>188</v>
      </c>
      <c r="E30" s="54" t="str">
        <f t="shared" si="0"/>
        <v xml:space="preserve">Zea mays </v>
      </c>
      <c r="F30" s="54" t="str">
        <f t="shared" si="1"/>
        <v xml:space="preserve">mays </v>
      </c>
      <c r="G30" s="49" t="s">
        <v>255</v>
      </c>
      <c r="H30" s="49" t="s">
        <v>207</v>
      </c>
      <c r="I30" s="49" t="s">
        <v>254</v>
      </c>
      <c r="J30" s="56" t="s">
        <v>192</v>
      </c>
      <c r="K30" s="54" t="str">
        <f t="shared" si="2"/>
        <v>Maize Grain General</v>
      </c>
      <c r="L30" s="49">
        <v>34</v>
      </c>
      <c r="M30" s="49" t="s">
        <v>142</v>
      </c>
      <c r="N30" s="49" t="s">
        <v>201</v>
      </c>
      <c r="O30" s="49" t="s">
        <v>148</v>
      </c>
      <c r="P30" s="51" t="s">
        <v>242</v>
      </c>
      <c r="Q30" s="52">
        <v>13.3</v>
      </c>
      <c r="R30" s="49" t="s">
        <v>5</v>
      </c>
      <c r="S30" s="53" t="s">
        <v>256</v>
      </c>
      <c r="T30" s="53" t="s">
        <v>196</v>
      </c>
      <c r="U30" s="49">
        <v>0</v>
      </c>
      <c r="V30" s="51">
        <v>0</v>
      </c>
      <c r="W30" s="49">
        <v>0.5</v>
      </c>
      <c r="X30" s="49">
        <v>0</v>
      </c>
      <c r="Y30" s="49">
        <v>13</v>
      </c>
      <c r="Z30" s="39">
        <v>0.1</v>
      </c>
      <c r="AA30" s="40">
        <v>1.5</v>
      </c>
      <c r="AB30" s="39">
        <v>0.85</v>
      </c>
      <c r="AC30" s="40">
        <v>1</v>
      </c>
      <c r="AD30" s="49">
        <v>0.9</v>
      </c>
      <c r="AE30" s="51">
        <v>0.7</v>
      </c>
      <c r="AF30" s="51">
        <v>1.4</v>
      </c>
      <c r="AG30" s="157">
        <v>80000</v>
      </c>
    </row>
    <row r="31" spans="1:33" ht="15.75" thickBot="1" x14ac:dyDescent="0.3">
      <c r="A31" s="49" t="s">
        <v>218</v>
      </c>
      <c r="B31" s="49" t="s">
        <v>219</v>
      </c>
      <c r="C31" s="49" t="s">
        <v>220</v>
      </c>
      <c r="D31" s="49" t="s">
        <v>220</v>
      </c>
      <c r="E31" s="54" t="str">
        <f t="shared" si="0"/>
        <v>Brassica napus napus</v>
      </c>
      <c r="F31" s="54" t="str">
        <f t="shared" si="1"/>
        <v>napus napus</v>
      </c>
      <c r="G31" s="49" t="s">
        <v>282</v>
      </c>
      <c r="H31" s="49" t="s">
        <v>282</v>
      </c>
      <c r="I31" s="49" t="s">
        <v>224</v>
      </c>
      <c r="J31" s="56" t="s">
        <v>192</v>
      </c>
      <c r="K31" s="54" t="str">
        <f t="shared" si="2"/>
        <v>Rape Green manure General</v>
      </c>
      <c r="L31" s="49">
        <v>36</v>
      </c>
      <c r="M31" s="49" t="s">
        <v>142</v>
      </c>
      <c r="N31" s="49" t="s">
        <v>242</v>
      </c>
      <c r="O31" s="49" t="s">
        <v>147</v>
      </c>
      <c r="P31" s="51" t="s">
        <v>246</v>
      </c>
      <c r="Q31" s="52">
        <v>4</v>
      </c>
      <c r="R31" s="49" t="s">
        <v>5</v>
      </c>
      <c r="S31" s="53" t="s">
        <v>211</v>
      </c>
      <c r="T31" s="53" t="s">
        <v>212</v>
      </c>
      <c r="U31" s="49">
        <v>0</v>
      </c>
      <c r="V31" s="51">
        <v>0</v>
      </c>
      <c r="W31" s="49">
        <v>1</v>
      </c>
      <c r="X31" s="49">
        <v>0</v>
      </c>
      <c r="Y31" s="49">
        <v>80</v>
      </c>
      <c r="Z31" s="39">
        <v>0.1</v>
      </c>
      <c r="AA31" s="40">
        <v>1.2</v>
      </c>
      <c r="AB31" s="39">
        <v>1</v>
      </c>
      <c r="AC31" s="40">
        <v>1.6</v>
      </c>
      <c r="AD31" s="49">
        <v>0.8</v>
      </c>
      <c r="AE31" s="51">
        <v>3</v>
      </c>
      <c r="AF31" s="51">
        <v>3</v>
      </c>
      <c r="AG31" s="157">
        <v>80000</v>
      </c>
    </row>
    <row r="32" spans="1:33" ht="15.75" thickBot="1" x14ac:dyDescent="0.3">
      <c r="A32" s="49" t="s">
        <v>218</v>
      </c>
      <c r="B32" s="49" t="s">
        <v>219</v>
      </c>
      <c r="C32" s="49" t="s">
        <v>229</v>
      </c>
      <c r="D32" s="49" t="s">
        <v>229</v>
      </c>
      <c r="E32" s="54" t="str">
        <f t="shared" si="0"/>
        <v>Brassica rapa rapa</v>
      </c>
      <c r="F32" s="54" t="str">
        <f t="shared" si="1"/>
        <v>rapa rapa</v>
      </c>
      <c r="G32" s="49" t="s">
        <v>282</v>
      </c>
      <c r="H32" s="49" t="s">
        <v>282</v>
      </c>
      <c r="I32" s="49" t="s">
        <v>230</v>
      </c>
      <c r="J32" s="56" t="s">
        <v>192</v>
      </c>
      <c r="K32" s="54" t="str">
        <f t="shared" si="2"/>
        <v>Turnip Green manure General</v>
      </c>
      <c r="L32" s="49">
        <v>37</v>
      </c>
      <c r="M32" s="49" t="s">
        <v>142</v>
      </c>
      <c r="N32" s="49" t="s">
        <v>242</v>
      </c>
      <c r="O32" s="49" t="s">
        <v>145</v>
      </c>
      <c r="P32" s="51" t="s">
        <v>246</v>
      </c>
      <c r="Q32" s="52">
        <v>8</v>
      </c>
      <c r="R32" s="49" t="s">
        <v>5</v>
      </c>
      <c r="S32" s="53" t="s">
        <v>211</v>
      </c>
      <c r="T32" s="53" t="s">
        <v>212</v>
      </c>
      <c r="U32" s="49">
        <v>0</v>
      </c>
      <c r="V32" s="51">
        <v>0</v>
      </c>
      <c r="W32" s="49">
        <v>1</v>
      </c>
      <c r="X32" s="49">
        <v>0</v>
      </c>
      <c r="Y32" s="49">
        <v>80</v>
      </c>
      <c r="Z32" s="39">
        <v>0.1</v>
      </c>
      <c r="AA32" s="40">
        <v>1.2</v>
      </c>
      <c r="AB32" s="39">
        <v>1</v>
      </c>
      <c r="AC32" s="40">
        <v>2</v>
      </c>
      <c r="AD32" s="49">
        <v>0.8</v>
      </c>
      <c r="AE32" s="51">
        <v>2.5</v>
      </c>
      <c r="AF32" s="51">
        <v>2.5</v>
      </c>
      <c r="AG32" s="157">
        <v>80000</v>
      </c>
    </row>
    <row r="33" spans="1:33" ht="15.75" thickBot="1" x14ac:dyDescent="0.3">
      <c r="A33" s="49" t="s">
        <v>259</v>
      </c>
      <c r="B33" s="49" t="s">
        <v>283</v>
      </c>
      <c r="C33" s="49" t="s">
        <v>284</v>
      </c>
      <c r="D33" s="49" t="s">
        <v>188</v>
      </c>
      <c r="E33" s="54" t="str">
        <f t="shared" si="0"/>
        <v xml:space="preserve">Lupinus angustifolius </v>
      </c>
      <c r="F33" s="54" t="str">
        <f t="shared" si="1"/>
        <v xml:space="preserve">angustifolius </v>
      </c>
      <c r="G33" s="49" t="s">
        <v>282</v>
      </c>
      <c r="H33" s="49" t="s">
        <v>282</v>
      </c>
      <c r="I33" s="49" t="s">
        <v>285</v>
      </c>
      <c r="J33" s="56" t="s">
        <v>192</v>
      </c>
      <c r="K33" s="54" t="str">
        <f t="shared" si="2"/>
        <v>Lupin Green manure General</v>
      </c>
      <c r="L33" s="49">
        <v>38</v>
      </c>
      <c r="M33" s="49" t="s">
        <v>142</v>
      </c>
      <c r="N33" s="49" t="s">
        <v>242</v>
      </c>
      <c r="O33" s="49" t="s">
        <v>145</v>
      </c>
      <c r="P33" s="51" t="s">
        <v>246</v>
      </c>
      <c r="Q33" s="52">
        <v>12</v>
      </c>
      <c r="R33" s="49" t="s">
        <v>5</v>
      </c>
      <c r="S33" s="53" t="s">
        <v>211</v>
      </c>
      <c r="T33" s="53" t="s">
        <v>212</v>
      </c>
      <c r="U33" s="49">
        <v>0</v>
      </c>
      <c r="V33" s="51">
        <v>0</v>
      </c>
      <c r="W33" s="49">
        <v>1</v>
      </c>
      <c r="X33" s="49">
        <v>0</v>
      </c>
      <c r="Y33" s="49">
        <v>80</v>
      </c>
      <c r="Z33" s="39">
        <v>0.1</v>
      </c>
      <c r="AA33" s="40">
        <v>1.5</v>
      </c>
      <c r="AB33" s="39">
        <v>1</v>
      </c>
      <c r="AC33" s="40">
        <v>1</v>
      </c>
      <c r="AD33" s="49">
        <v>1.5</v>
      </c>
      <c r="AE33" s="51">
        <v>3</v>
      </c>
      <c r="AF33" s="51">
        <v>3</v>
      </c>
      <c r="AG33" s="157">
        <v>80000</v>
      </c>
    </row>
    <row r="34" spans="1:33" ht="15.75" thickBot="1" x14ac:dyDescent="0.3">
      <c r="A34" s="49" t="s">
        <v>286</v>
      </c>
      <c r="B34" s="49" t="s">
        <v>287</v>
      </c>
      <c r="C34" s="49" t="s">
        <v>288</v>
      </c>
      <c r="D34" s="49" t="s">
        <v>188</v>
      </c>
      <c r="E34" s="54" t="str">
        <f t="shared" si="0"/>
        <v xml:space="preserve">Phacelia tanacetifolia </v>
      </c>
      <c r="F34" s="54" t="str">
        <f t="shared" si="1"/>
        <v xml:space="preserve">tanacetifolia </v>
      </c>
      <c r="G34" s="49" t="s">
        <v>282</v>
      </c>
      <c r="H34" s="49" t="s">
        <v>282</v>
      </c>
      <c r="I34" s="49" t="s">
        <v>287</v>
      </c>
      <c r="J34" s="56" t="s">
        <v>192</v>
      </c>
      <c r="K34" s="54" t="str">
        <f t="shared" si="2"/>
        <v>Phacelia Green manure General</v>
      </c>
      <c r="L34" s="49">
        <v>39</v>
      </c>
      <c r="M34" s="49" t="s">
        <v>142</v>
      </c>
      <c r="N34" s="49" t="s">
        <v>242</v>
      </c>
      <c r="O34" s="49" t="s">
        <v>143</v>
      </c>
      <c r="P34" s="51" t="s">
        <v>246</v>
      </c>
      <c r="Q34" s="52">
        <v>5</v>
      </c>
      <c r="R34" s="49" t="s">
        <v>5</v>
      </c>
      <c r="S34" s="53" t="s">
        <v>211</v>
      </c>
      <c r="T34" s="53" t="s">
        <v>212</v>
      </c>
      <c r="U34" s="49">
        <v>0</v>
      </c>
      <c r="V34" s="51">
        <v>0</v>
      </c>
      <c r="W34" s="49">
        <v>1</v>
      </c>
      <c r="X34" s="49">
        <v>0</v>
      </c>
      <c r="Y34" s="49">
        <v>80</v>
      </c>
      <c r="Z34" s="39">
        <v>0.1</v>
      </c>
      <c r="AA34" s="40">
        <v>1</v>
      </c>
      <c r="AB34" s="39">
        <v>1</v>
      </c>
      <c r="AC34" s="40">
        <v>1</v>
      </c>
      <c r="AD34" s="49">
        <v>0.9</v>
      </c>
      <c r="AE34" s="51">
        <v>3</v>
      </c>
      <c r="AF34" s="51">
        <v>3</v>
      </c>
      <c r="AG34" s="157">
        <v>80000</v>
      </c>
    </row>
    <row r="35" spans="1:33" ht="15.75" thickBot="1" x14ac:dyDescent="0.3">
      <c r="A35" s="49" t="s">
        <v>218</v>
      </c>
      <c r="B35" s="49" t="s">
        <v>289</v>
      </c>
      <c r="C35" s="49" t="s">
        <v>290</v>
      </c>
      <c r="D35" s="49" t="s">
        <v>188</v>
      </c>
      <c r="E35" s="54" t="str">
        <f t="shared" si="0"/>
        <v xml:space="preserve">Sinapis alba </v>
      </c>
      <c r="F35" s="54" t="str">
        <f t="shared" si="1"/>
        <v xml:space="preserve">alba </v>
      </c>
      <c r="G35" s="49" t="s">
        <v>282</v>
      </c>
      <c r="H35" s="49" t="s">
        <v>282</v>
      </c>
      <c r="I35" s="49" t="s">
        <v>291</v>
      </c>
      <c r="J35" s="56" t="s">
        <v>192</v>
      </c>
      <c r="K35" s="54" t="str">
        <f t="shared" si="2"/>
        <v>Mustard Green manure General</v>
      </c>
      <c r="L35" s="49">
        <v>41</v>
      </c>
      <c r="M35" s="49" t="s">
        <v>142</v>
      </c>
      <c r="N35" s="49" t="s">
        <v>242</v>
      </c>
      <c r="O35" s="49" t="s">
        <v>145</v>
      </c>
      <c r="P35" s="51" t="s">
        <v>246</v>
      </c>
      <c r="Q35" s="52">
        <v>7</v>
      </c>
      <c r="R35" s="49" t="s">
        <v>5</v>
      </c>
      <c r="S35" s="53" t="s">
        <v>211</v>
      </c>
      <c r="T35" s="53" t="s">
        <v>212</v>
      </c>
      <c r="U35" s="49">
        <v>0</v>
      </c>
      <c r="V35" s="51">
        <v>0</v>
      </c>
      <c r="W35" s="49">
        <v>1</v>
      </c>
      <c r="X35" s="49">
        <v>0</v>
      </c>
      <c r="Y35" s="49">
        <v>80</v>
      </c>
      <c r="Z35" s="39">
        <v>0.1</v>
      </c>
      <c r="AA35" s="40">
        <v>1.2</v>
      </c>
      <c r="AB35" s="39">
        <v>1</v>
      </c>
      <c r="AC35" s="40">
        <v>1.1000000000000001</v>
      </c>
      <c r="AD35" s="49">
        <v>0.8</v>
      </c>
      <c r="AE35" s="49">
        <v>3</v>
      </c>
      <c r="AF35" s="51">
        <v>3</v>
      </c>
      <c r="AG35" s="157">
        <v>80000</v>
      </c>
    </row>
    <row r="36" spans="1:33" ht="15.75" thickBot="1" x14ac:dyDescent="0.3">
      <c r="A36" s="49" t="s">
        <v>213</v>
      </c>
      <c r="B36" s="49" t="s">
        <v>214</v>
      </c>
      <c r="C36" s="49" t="s">
        <v>215</v>
      </c>
      <c r="D36" s="49" t="s">
        <v>292</v>
      </c>
      <c r="E36" s="54" t="str">
        <f t="shared" si="0"/>
        <v>Beta vulgaris conditiva</v>
      </c>
      <c r="F36" s="54" t="str">
        <f t="shared" si="1"/>
        <v>vulgaris conditiva</v>
      </c>
      <c r="G36" s="49" t="s">
        <v>142</v>
      </c>
      <c r="H36" s="49" t="s">
        <v>293</v>
      </c>
      <c r="I36" s="49" t="s">
        <v>294</v>
      </c>
      <c r="J36" s="56" t="s">
        <v>192</v>
      </c>
      <c r="K36" s="54" t="str">
        <f t="shared" si="2"/>
        <v>Red beet Seed General</v>
      </c>
      <c r="L36" s="49">
        <v>52</v>
      </c>
      <c r="M36" s="49" t="s">
        <v>142</v>
      </c>
      <c r="N36" s="49" t="s">
        <v>242</v>
      </c>
      <c r="O36" s="49" t="s">
        <v>147</v>
      </c>
      <c r="P36" s="51" t="s">
        <v>234</v>
      </c>
      <c r="Q36" s="52">
        <v>1.2</v>
      </c>
      <c r="R36" s="49" t="s">
        <v>5</v>
      </c>
      <c r="S36" s="49" t="s">
        <v>295</v>
      </c>
      <c r="T36" s="49" t="s">
        <v>196</v>
      </c>
      <c r="U36" s="49">
        <v>15</v>
      </c>
      <c r="V36" s="51">
        <v>0</v>
      </c>
      <c r="W36" s="49">
        <v>0.17</v>
      </c>
      <c r="X36" s="49">
        <v>7.0000000000000007E-2</v>
      </c>
      <c r="Y36" s="49">
        <v>15.000000000000002</v>
      </c>
      <c r="Z36" s="39">
        <v>0.1</v>
      </c>
      <c r="AA36" s="40">
        <v>1.5</v>
      </c>
      <c r="AB36" s="39">
        <v>0.85</v>
      </c>
      <c r="AC36" s="40">
        <v>0.8</v>
      </c>
      <c r="AD36" s="49">
        <v>0.8</v>
      </c>
      <c r="AE36" s="49">
        <v>1.8</v>
      </c>
      <c r="AF36" s="51">
        <v>2.1</v>
      </c>
      <c r="AG36" s="157">
        <v>80000</v>
      </c>
    </row>
    <row r="37" spans="1:33" ht="15.75" thickBot="1" x14ac:dyDescent="0.3">
      <c r="A37" s="49" t="s">
        <v>218</v>
      </c>
      <c r="B37" s="49" t="s">
        <v>219</v>
      </c>
      <c r="C37" s="49" t="s">
        <v>220</v>
      </c>
      <c r="D37" s="49" t="s">
        <v>220</v>
      </c>
      <c r="E37" s="54" t="str">
        <f t="shared" si="0"/>
        <v>Brassica napus napus</v>
      </c>
      <c r="F37" s="54" t="str">
        <f t="shared" si="1"/>
        <v>napus napus</v>
      </c>
      <c r="G37" s="49" t="s">
        <v>142</v>
      </c>
      <c r="H37" s="49" t="s">
        <v>206</v>
      </c>
      <c r="I37" s="49" t="s">
        <v>224</v>
      </c>
      <c r="J37" s="56" t="s">
        <v>192</v>
      </c>
      <c r="K37" s="54" t="str">
        <f t="shared" si="2"/>
        <v>Rape Seed General</v>
      </c>
      <c r="L37" s="49">
        <v>55</v>
      </c>
      <c r="M37" s="49" t="s">
        <v>142</v>
      </c>
      <c r="N37" s="49" t="s">
        <v>242</v>
      </c>
      <c r="O37" s="49" t="s">
        <v>147</v>
      </c>
      <c r="P37" s="51" t="s">
        <v>194</v>
      </c>
      <c r="Q37" s="52">
        <v>4</v>
      </c>
      <c r="R37" s="49" t="s">
        <v>5</v>
      </c>
      <c r="S37" s="49" t="s">
        <v>295</v>
      </c>
      <c r="T37" s="49" t="s">
        <v>196</v>
      </c>
      <c r="U37" s="49">
        <v>3</v>
      </c>
      <c r="V37" s="51">
        <v>0</v>
      </c>
      <c r="W37" s="49">
        <v>0.33</v>
      </c>
      <c r="X37" s="49">
        <v>0.08</v>
      </c>
      <c r="Y37" s="49">
        <v>9.9999999999999982</v>
      </c>
      <c r="Z37" s="39">
        <v>0.1</v>
      </c>
      <c r="AA37" s="40">
        <v>1.2</v>
      </c>
      <c r="AB37" s="39">
        <v>1</v>
      </c>
      <c r="AC37" s="40">
        <v>1.6</v>
      </c>
      <c r="AD37" s="49">
        <v>0.8</v>
      </c>
      <c r="AE37" s="49">
        <v>1.8</v>
      </c>
      <c r="AF37" s="51">
        <v>5</v>
      </c>
      <c r="AG37" s="157">
        <v>80000</v>
      </c>
    </row>
    <row r="38" spans="1:33" ht="15.75" thickBot="1" x14ac:dyDescent="0.3">
      <c r="A38" s="49" t="s">
        <v>218</v>
      </c>
      <c r="B38" s="49" t="s">
        <v>219</v>
      </c>
      <c r="C38" s="49" t="s">
        <v>229</v>
      </c>
      <c r="D38" s="49" t="s">
        <v>296</v>
      </c>
      <c r="E38" s="54" t="str">
        <f t="shared" si="0"/>
        <v>Brassica rapa chinensis</v>
      </c>
      <c r="F38" s="54" t="str">
        <f t="shared" si="1"/>
        <v>rapa chinensis</v>
      </c>
      <c r="G38" s="49" t="s">
        <v>142</v>
      </c>
      <c r="H38" s="49" t="s">
        <v>297</v>
      </c>
      <c r="I38" s="49" t="s">
        <v>298</v>
      </c>
      <c r="J38" s="56" t="s">
        <v>192</v>
      </c>
      <c r="K38" s="54" t="str">
        <f t="shared" si="2"/>
        <v>Pak choi Seed General</v>
      </c>
      <c r="L38" s="49">
        <v>60</v>
      </c>
      <c r="M38" s="49" t="s">
        <v>142</v>
      </c>
      <c r="N38" s="49" t="s">
        <v>246</v>
      </c>
      <c r="O38" s="49" t="s">
        <v>147</v>
      </c>
      <c r="P38" s="51" t="s">
        <v>194</v>
      </c>
      <c r="Q38" s="52">
        <v>1.3</v>
      </c>
      <c r="R38" s="49" t="s">
        <v>5</v>
      </c>
      <c r="S38" s="49" t="s">
        <v>295</v>
      </c>
      <c r="T38" s="49" t="s">
        <v>196</v>
      </c>
      <c r="U38" s="49">
        <v>0</v>
      </c>
      <c r="V38" s="51">
        <v>0</v>
      </c>
      <c r="W38" s="49">
        <v>0.245</v>
      </c>
      <c r="X38" s="49">
        <v>0.14000000000000001</v>
      </c>
      <c r="Y38" s="49">
        <v>7.9999999999999964</v>
      </c>
      <c r="Z38" s="39">
        <v>0.1</v>
      </c>
      <c r="AA38" s="40">
        <v>1.2</v>
      </c>
      <c r="AB38" s="39">
        <v>0.85</v>
      </c>
      <c r="AC38" s="40">
        <v>1.5</v>
      </c>
      <c r="AD38" s="49">
        <v>0.8</v>
      </c>
      <c r="AE38" s="49">
        <v>1.1000000000000001</v>
      </c>
      <c r="AF38" s="51">
        <v>3.2</v>
      </c>
      <c r="AG38" s="157">
        <v>80000</v>
      </c>
    </row>
    <row r="39" spans="1:33" ht="15.75" thickBot="1" x14ac:dyDescent="0.3">
      <c r="A39" s="49" t="s">
        <v>203</v>
      </c>
      <c r="B39" s="49" t="s">
        <v>299</v>
      </c>
      <c r="C39" s="49" t="s">
        <v>300</v>
      </c>
      <c r="D39" s="49" t="s">
        <v>188</v>
      </c>
      <c r="E39" s="54" t="str">
        <f t="shared" si="0"/>
        <v xml:space="preserve">Dactylus glomerata </v>
      </c>
      <c r="F39" s="54" t="str">
        <f t="shared" si="1"/>
        <v xml:space="preserve">glomerata </v>
      </c>
      <c r="G39" s="49" t="s">
        <v>142</v>
      </c>
      <c r="H39" s="49" t="s">
        <v>301</v>
      </c>
      <c r="I39" s="49" t="s">
        <v>302</v>
      </c>
      <c r="J39" s="56" t="s">
        <v>192</v>
      </c>
      <c r="K39" s="54" t="str">
        <f t="shared" si="2"/>
        <v>Cocksfoot Seed General</v>
      </c>
      <c r="L39" s="49">
        <v>71</v>
      </c>
      <c r="M39" s="49" t="s">
        <v>142</v>
      </c>
      <c r="N39" s="49" t="s">
        <v>194</v>
      </c>
      <c r="O39" s="49" t="s">
        <v>147</v>
      </c>
      <c r="P39" s="51" t="s">
        <v>225</v>
      </c>
      <c r="Q39" s="57">
        <v>1</v>
      </c>
      <c r="R39" s="49" t="s">
        <v>5</v>
      </c>
      <c r="S39" s="49" t="s">
        <v>295</v>
      </c>
      <c r="T39" s="49" t="s">
        <v>196</v>
      </c>
      <c r="U39" s="49">
        <v>9.9999999999999982</v>
      </c>
      <c r="V39" s="51">
        <v>0</v>
      </c>
      <c r="W39" s="49">
        <v>0.09</v>
      </c>
      <c r="X39" s="49">
        <v>0.03</v>
      </c>
      <c r="Y39" s="57">
        <v>15.000000000000002</v>
      </c>
      <c r="Z39" s="39">
        <v>0.1</v>
      </c>
      <c r="AA39" s="40">
        <v>1</v>
      </c>
      <c r="AB39" s="39">
        <v>1</v>
      </c>
      <c r="AC39" s="40">
        <v>0.8</v>
      </c>
      <c r="AD39" s="49">
        <v>0.9</v>
      </c>
      <c r="AE39" s="58">
        <v>1.2</v>
      </c>
      <c r="AF39" s="56">
        <v>2</v>
      </c>
      <c r="AG39" s="157">
        <v>80000</v>
      </c>
    </row>
    <row r="40" spans="1:33" ht="15.75" thickBot="1" x14ac:dyDescent="0.3">
      <c r="A40" s="49" t="s">
        <v>303</v>
      </c>
      <c r="B40" s="49" t="s">
        <v>304</v>
      </c>
      <c r="C40" s="49" t="s">
        <v>305</v>
      </c>
      <c r="D40" s="49" t="s">
        <v>188</v>
      </c>
      <c r="E40" s="54" t="str">
        <f t="shared" si="0"/>
        <v xml:space="preserve">Daucus carota </v>
      </c>
      <c r="F40" s="54" t="str">
        <f t="shared" si="1"/>
        <v xml:space="preserve">carota </v>
      </c>
      <c r="G40" s="49" t="s">
        <v>142</v>
      </c>
      <c r="H40" s="49" t="s">
        <v>293</v>
      </c>
      <c r="I40" s="49" t="s">
        <v>306</v>
      </c>
      <c r="J40" s="56" t="s">
        <v>192</v>
      </c>
      <c r="K40" s="54" t="str">
        <f t="shared" si="2"/>
        <v>Carrot Seed General</v>
      </c>
      <c r="L40" s="49">
        <v>72</v>
      </c>
      <c r="M40" s="49" t="s">
        <v>142</v>
      </c>
      <c r="N40" s="49" t="s">
        <v>194</v>
      </c>
      <c r="O40" s="49" t="s">
        <v>147</v>
      </c>
      <c r="P40" s="51" t="s">
        <v>194</v>
      </c>
      <c r="Q40" s="57">
        <v>0.7</v>
      </c>
      <c r="R40" s="49" t="s">
        <v>5</v>
      </c>
      <c r="S40" s="49" t="s">
        <v>295</v>
      </c>
      <c r="T40" s="49" t="s">
        <v>196</v>
      </c>
      <c r="U40" s="49">
        <v>0</v>
      </c>
      <c r="V40" s="51">
        <v>0</v>
      </c>
      <c r="W40" s="49">
        <v>0.12</v>
      </c>
      <c r="X40" s="49">
        <v>0.08</v>
      </c>
      <c r="Y40" s="57">
        <v>15.000000000000002</v>
      </c>
      <c r="Z40" s="39">
        <v>0.1</v>
      </c>
      <c r="AA40" s="40">
        <v>1.2</v>
      </c>
      <c r="AB40" s="39">
        <v>0.85</v>
      </c>
      <c r="AC40" s="40">
        <v>0.7</v>
      </c>
      <c r="AD40" s="49">
        <v>0.9</v>
      </c>
      <c r="AE40" s="58">
        <v>1.2</v>
      </c>
      <c r="AF40" s="56">
        <v>3.4</v>
      </c>
      <c r="AG40" s="157">
        <v>80000</v>
      </c>
    </row>
    <row r="41" spans="1:33" ht="15.75" thickBot="1" x14ac:dyDescent="0.3">
      <c r="A41" s="49" t="s">
        <v>203</v>
      </c>
      <c r="B41" s="49" t="s">
        <v>238</v>
      </c>
      <c r="C41" s="49" t="s">
        <v>307</v>
      </c>
      <c r="D41" s="49" t="s">
        <v>188</v>
      </c>
      <c r="E41" s="54" t="str">
        <f t="shared" si="0"/>
        <v xml:space="preserve">Lolium perenne </v>
      </c>
      <c r="F41" s="54" t="str">
        <f t="shared" si="1"/>
        <v xml:space="preserve">perenne </v>
      </c>
      <c r="G41" s="49" t="s">
        <v>142</v>
      </c>
      <c r="H41" s="49" t="s">
        <v>301</v>
      </c>
      <c r="I41" s="52" t="s">
        <v>308</v>
      </c>
      <c r="J41" s="56" t="s">
        <v>192</v>
      </c>
      <c r="K41" s="54" t="str">
        <f t="shared" si="2"/>
        <v>Ryegrass Seed General</v>
      </c>
      <c r="L41" s="49">
        <v>77</v>
      </c>
      <c r="M41" s="49" t="s">
        <v>142</v>
      </c>
      <c r="N41" s="49" t="s">
        <v>242</v>
      </c>
      <c r="O41" s="49" t="s">
        <v>147</v>
      </c>
      <c r="P41" s="51" t="s">
        <v>225</v>
      </c>
      <c r="Q41" s="52">
        <v>2.0699999999999998</v>
      </c>
      <c r="R41" s="49" t="s">
        <v>5</v>
      </c>
      <c r="S41" s="49" t="s">
        <v>295</v>
      </c>
      <c r="T41" s="49" t="s">
        <v>196</v>
      </c>
      <c r="U41" s="49">
        <v>15</v>
      </c>
      <c r="V41" s="51">
        <v>0</v>
      </c>
      <c r="W41" s="49">
        <v>0.20350000000000001</v>
      </c>
      <c r="X41" s="49">
        <v>0.10349999999999998</v>
      </c>
      <c r="Y41" s="49">
        <v>14.000000000000002</v>
      </c>
      <c r="Z41" s="39">
        <v>0.1</v>
      </c>
      <c r="AA41" s="40">
        <v>0.9</v>
      </c>
      <c r="AB41" s="39">
        <v>1</v>
      </c>
      <c r="AC41" s="40">
        <v>1.5</v>
      </c>
      <c r="AD41" s="49">
        <v>0.9</v>
      </c>
      <c r="AE41" s="49">
        <v>1.1000000000000001</v>
      </c>
      <c r="AF41" s="51">
        <v>2</v>
      </c>
      <c r="AG41" s="157">
        <v>80000</v>
      </c>
    </row>
    <row r="42" spans="1:33" ht="15.75" thickBot="1" x14ac:dyDescent="0.3">
      <c r="A42" s="49" t="s">
        <v>218</v>
      </c>
      <c r="B42" s="49" t="s">
        <v>309</v>
      </c>
      <c r="C42" s="49" t="s">
        <v>310</v>
      </c>
      <c r="D42" s="49" t="s">
        <v>205</v>
      </c>
      <c r="E42" s="54" t="str">
        <f t="shared" si="0"/>
        <v>Raphanus raphanistrum sativa</v>
      </c>
      <c r="F42" s="54" t="str">
        <f t="shared" si="1"/>
        <v>raphanistrum sativa</v>
      </c>
      <c r="G42" s="49" t="s">
        <v>142</v>
      </c>
      <c r="H42" s="49" t="s">
        <v>293</v>
      </c>
      <c r="I42" s="49" t="s">
        <v>311</v>
      </c>
      <c r="J42" s="56" t="s">
        <v>312</v>
      </c>
      <c r="K42" s="54" t="str">
        <f t="shared" si="2"/>
        <v>Radish Seed Open pollinated</v>
      </c>
      <c r="L42" s="49">
        <v>88</v>
      </c>
      <c r="M42" s="49" t="s">
        <v>142</v>
      </c>
      <c r="N42" s="49" t="s">
        <v>246</v>
      </c>
      <c r="O42" s="49" t="s">
        <v>147</v>
      </c>
      <c r="P42" s="51" t="s">
        <v>194</v>
      </c>
      <c r="Q42" s="52">
        <v>1.8</v>
      </c>
      <c r="R42" s="49" t="s">
        <v>5</v>
      </c>
      <c r="S42" s="49" t="s">
        <v>295</v>
      </c>
      <c r="T42" s="49" t="s">
        <v>196</v>
      </c>
      <c r="U42" s="49">
        <v>30</v>
      </c>
      <c r="V42" s="51">
        <v>0</v>
      </c>
      <c r="W42" s="49">
        <v>0.17800000000000002</v>
      </c>
      <c r="X42" s="49">
        <v>0.10800000000000001</v>
      </c>
      <c r="Y42" s="49">
        <v>9.9999999999999982</v>
      </c>
      <c r="Z42" s="39">
        <v>0.1</v>
      </c>
      <c r="AA42" s="40">
        <v>1.2</v>
      </c>
      <c r="AB42" s="39">
        <v>0.85</v>
      </c>
      <c r="AC42" s="40">
        <v>1.1000000000000001</v>
      </c>
      <c r="AD42" s="49">
        <v>0.8</v>
      </c>
      <c r="AE42" s="49">
        <v>1.6</v>
      </c>
      <c r="AF42" s="51">
        <v>4.5</v>
      </c>
      <c r="AG42" s="157">
        <v>80000</v>
      </c>
    </row>
    <row r="43" spans="1:33" ht="15.75" thickBot="1" x14ac:dyDescent="0.3">
      <c r="A43" s="49" t="s">
        <v>259</v>
      </c>
      <c r="B43" s="49" t="s">
        <v>313</v>
      </c>
      <c r="C43" s="49" t="s">
        <v>314</v>
      </c>
      <c r="D43" s="49" t="s">
        <v>188</v>
      </c>
      <c r="E43" s="54" t="str">
        <f t="shared" si="0"/>
        <v xml:space="preserve">Trifolium repens </v>
      </c>
      <c r="F43" s="54" t="str">
        <f t="shared" si="1"/>
        <v xml:space="preserve">repens </v>
      </c>
      <c r="G43" s="49" t="s">
        <v>142</v>
      </c>
      <c r="H43" s="49" t="s">
        <v>301</v>
      </c>
      <c r="I43" s="49" t="s">
        <v>315</v>
      </c>
      <c r="J43" s="56" t="s">
        <v>192</v>
      </c>
      <c r="K43" s="54" t="str">
        <f t="shared" si="2"/>
        <v>White clover Seed General</v>
      </c>
      <c r="L43" s="49">
        <v>93</v>
      </c>
      <c r="M43" s="49" t="s">
        <v>142</v>
      </c>
      <c r="N43" s="49" t="s">
        <v>234</v>
      </c>
      <c r="O43" s="49" t="s">
        <v>147</v>
      </c>
      <c r="P43" s="51" t="s">
        <v>194</v>
      </c>
      <c r="Q43" s="52">
        <v>0.6</v>
      </c>
      <c r="R43" s="49" t="s">
        <v>5</v>
      </c>
      <c r="S43" s="49" t="s">
        <v>295</v>
      </c>
      <c r="T43" s="49" t="s">
        <v>196</v>
      </c>
      <c r="U43" s="49">
        <v>20</v>
      </c>
      <c r="V43" s="51">
        <v>0</v>
      </c>
      <c r="W43" s="49">
        <v>0.15</v>
      </c>
      <c r="X43" s="49">
        <v>0.09</v>
      </c>
      <c r="Y43" s="49">
        <v>14.000000000000002</v>
      </c>
      <c r="Z43" s="39">
        <v>0.1</v>
      </c>
      <c r="AA43" s="40">
        <v>0.9</v>
      </c>
      <c r="AB43" s="39">
        <v>1</v>
      </c>
      <c r="AC43" s="40">
        <v>0.6</v>
      </c>
      <c r="AD43" s="49">
        <v>1.5</v>
      </c>
      <c r="AE43" s="49">
        <v>4</v>
      </c>
      <c r="AF43" s="51">
        <v>3</v>
      </c>
      <c r="AG43" s="157">
        <v>80000</v>
      </c>
    </row>
    <row r="44" spans="1:33" ht="15.75" thickBot="1" x14ac:dyDescent="0.3">
      <c r="A44" s="49" t="s">
        <v>316</v>
      </c>
      <c r="B44" s="49" t="s">
        <v>317</v>
      </c>
      <c r="C44" s="49" t="s">
        <v>318</v>
      </c>
      <c r="D44" s="49" t="s">
        <v>188</v>
      </c>
      <c r="E44" s="54" t="str">
        <f t="shared" si="0"/>
        <v xml:space="preserve">Allium ampeloprasum </v>
      </c>
      <c r="F44" s="54" t="str">
        <f t="shared" si="1"/>
        <v xml:space="preserve">ampeloprasum </v>
      </c>
      <c r="G44" s="49" t="s">
        <v>319</v>
      </c>
      <c r="H44" s="49" t="s">
        <v>320</v>
      </c>
      <c r="I44" s="49" t="s">
        <v>321</v>
      </c>
      <c r="J44" s="56" t="s">
        <v>192</v>
      </c>
      <c r="K44" s="54" t="str">
        <f t="shared" si="2"/>
        <v>Leek Vegetable General</v>
      </c>
      <c r="L44" s="49">
        <v>94</v>
      </c>
      <c r="M44" s="49" t="s">
        <v>144</v>
      </c>
      <c r="N44" s="49" t="s">
        <v>210</v>
      </c>
      <c r="O44" s="49" t="s">
        <v>143</v>
      </c>
      <c r="P44" s="51" t="s">
        <v>193</v>
      </c>
      <c r="Q44" s="52">
        <v>63</v>
      </c>
      <c r="R44" s="49" t="s">
        <v>5</v>
      </c>
      <c r="S44" s="53" t="s">
        <v>322</v>
      </c>
      <c r="T44" s="49" t="s">
        <v>196</v>
      </c>
      <c r="U44" s="49">
        <v>0</v>
      </c>
      <c r="V44" s="51">
        <v>0</v>
      </c>
      <c r="W44" s="49">
        <v>0.9</v>
      </c>
      <c r="X44" s="49">
        <v>0</v>
      </c>
      <c r="Y44" s="49">
        <v>89</v>
      </c>
      <c r="Z44" s="39">
        <v>0.1</v>
      </c>
      <c r="AA44" s="40">
        <v>0.6</v>
      </c>
      <c r="AB44" s="39">
        <v>0.75</v>
      </c>
      <c r="AC44" s="40">
        <v>0.6</v>
      </c>
      <c r="AD44" s="49">
        <v>1</v>
      </c>
      <c r="AE44" s="49">
        <v>3.5</v>
      </c>
      <c r="AF44" s="51">
        <v>2</v>
      </c>
      <c r="AG44" s="157">
        <v>80000</v>
      </c>
    </row>
    <row r="45" spans="1:33" ht="15.75" thickBot="1" x14ac:dyDescent="0.3">
      <c r="A45" s="49" t="s">
        <v>316</v>
      </c>
      <c r="B45" s="49" t="s">
        <v>317</v>
      </c>
      <c r="C45" s="49" t="s">
        <v>323</v>
      </c>
      <c r="D45" s="49" t="s">
        <v>188</v>
      </c>
      <c r="E45" s="54" t="str">
        <f t="shared" si="0"/>
        <v xml:space="preserve">Allium cepa </v>
      </c>
      <c r="F45" s="54" t="str">
        <f t="shared" si="1"/>
        <v xml:space="preserve">cepa </v>
      </c>
      <c r="G45" s="49" t="s">
        <v>319</v>
      </c>
      <c r="H45" s="49" t="s">
        <v>324</v>
      </c>
      <c r="I45" s="49" t="s">
        <v>21</v>
      </c>
      <c r="J45" s="56" t="s">
        <v>325</v>
      </c>
      <c r="K45" s="54" t="str">
        <f t="shared" si="2"/>
        <v>Onion Vegetable Brown</v>
      </c>
      <c r="L45" s="49">
        <v>95</v>
      </c>
      <c r="M45" s="49" t="s">
        <v>142</v>
      </c>
      <c r="N45" s="49" t="s">
        <v>193</v>
      </c>
      <c r="O45" s="49" t="s">
        <v>148</v>
      </c>
      <c r="P45" s="51" t="s">
        <v>194</v>
      </c>
      <c r="Q45" s="52">
        <v>70</v>
      </c>
      <c r="R45" s="49" t="s">
        <v>5</v>
      </c>
      <c r="S45" s="53" t="s">
        <v>322</v>
      </c>
      <c r="T45" s="49" t="s">
        <v>196</v>
      </c>
      <c r="U45" s="49">
        <v>0</v>
      </c>
      <c r="V45" s="51">
        <v>0</v>
      </c>
      <c r="W45" s="49">
        <v>0.8</v>
      </c>
      <c r="X45" s="49">
        <v>0</v>
      </c>
      <c r="Y45" s="49">
        <v>89</v>
      </c>
      <c r="Z45" s="39">
        <v>0.1</v>
      </c>
      <c r="AA45" s="40">
        <v>0.6</v>
      </c>
      <c r="AB45" s="39">
        <v>0.8</v>
      </c>
      <c r="AC45" s="40">
        <v>0.6</v>
      </c>
      <c r="AD45" s="49">
        <v>1</v>
      </c>
      <c r="AE45" s="49">
        <v>2</v>
      </c>
      <c r="AF45" s="51">
        <v>1.4</v>
      </c>
      <c r="AG45" s="157">
        <v>80000</v>
      </c>
    </row>
    <row r="46" spans="1:33" ht="15.75" thickBot="1" x14ac:dyDescent="0.3">
      <c r="A46" s="49" t="s">
        <v>316</v>
      </c>
      <c r="B46" s="49" t="s">
        <v>317</v>
      </c>
      <c r="C46" s="49" t="s">
        <v>323</v>
      </c>
      <c r="D46" s="49" t="s">
        <v>188</v>
      </c>
      <c r="E46" s="54" t="str">
        <f t="shared" si="0"/>
        <v xml:space="preserve">Allium cepa </v>
      </c>
      <c r="F46" s="54" t="str">
        <f t="shared" si="1"/>
        <v xml:space="preserve">cepa </v>
      </c>
      <c r="G46" s="49" t="s">
        <v>319</v>
      </c>
      <c r="H46" s="49" t="s">
        <v>324</v>
      </c>
      <c r="I46" s="49" t="s">
        <v>21</v>
      </c>
      <c r="J46" s="56" t="s">
        <v>326</v>
      </c>
      <c r="K46" s="54" t="str">
        <f t="shared" si="2"/>
        <v>Onion Vegetable Red</v>
      </c>
      <c r="L46" s="49">
        <v>96</v>
      </c>
      <c r="M46" s="49" t="s">
        <v>142</v>
      </c>
      <c r="N46" s="49" t="s">
        <v>193</v>
      </c>
      <c r="O46" s="49" t="s">
        <v>147</v>
      </c>
      <c r="P46" s="51" t="s">
        <v>242</v>
      </c>
      <c r="Q46" s="52">
        <v>80</v>
      </c>
      <c r="R46" s="49" t="s">
        <v>5</v>
      </c>
      <c r="S46" s="53" t="s">
        <v>322</v>
      </c>
      <c r="T46" s="49" t="s">
        <v>196</v>
      </c>
      <c r="U46" s="49">
        <v>0</v>
      </c>
      <c r="V46" s="51">
        <v>0</v>
      </c>
      <c r="W46" s="49">
        <v>0.8</v>
      </c>
      <c r="X46" s="49">
        <v>0</v>
      </c>
      <c r="Y46" s="49">
        <v>90</v>
      </c>
      <c r="Z46" s="39">
        <v>0.1</v>
      </c>
      <c r="AA46" s="40">
        <v>0.6</v>
      </c>
      <c r="AB46" s="39">
        <v>0.8</v>
      </c>
      <c r="AC46" s="40">
        <v>0.6</v>
      </c>
      <c r="AD46" s="49">
        <v>1</v>
      </c>
      <c r="AE46" s="49">
        <v>2</v>
      </c>
      <c r="AF46" s="51">
        <v>1.4</v>
      </c>
      <c r="AG46" s="157">
        <v>80000</v>
      </c>
    </row>
    <row r="47" spans="1:33" ht="15.75" thickBot="1" x14ac:dyDescent="0.3">
      <c r="A47" s="49" t="s">
        <v>316</v>
      </c>
      <c r="B47" s="49" t="s">
        <v>317</v>
      </c>
      <c r="C47" s="49" t="s">
        <v>323</v>
      </c>
      <c r="D47" s="49" t="s">
        <v>188</v>
      </c>
      <c r="E47" s="54" t="str">
        <f t="shared" si="0"/>
        <v xml:space="preserve">Allium cepa </v>
      </c>
      <c r="F47" s="54" t="str">
        <f t="shared" si="1"/>
        <v xml:space="preserve">cepa </v>
      </c>
      <c r="G47" s="49" t="s">
        <v>319</v>
      </c>
      <c r="H47" s="49" t="s">
        <v>324</v>
      </c>
      <c r="I47" s="49" t="s">
        <v>21</v>
      </c>
      <c r="J47" s="56" t="s">
        <v>327</v>
      </c>
      <c r="K47" s="54" t="str">
        <f t="shared" si="2"/>
        <v>Onion Vegetable Shallot</v>
      </c>
      <c r="L47" s="49">
        <v>97</v>
      </c>
      <c r="M47" s="49" t="s">
        <v>142</v>
      </c>
      <c r="N47" s="49" t="s">
        <v>242</v>
      </c>
      <c r="O47" s="49" t="s">
        <v>143</v>
      </c>
      <c r="P47" s="51" t="s">
        <v>231</v>
      </c>
      <c r="Q47" s="52">
        <v>60</v>
      </c>
      <c r="R47" s="49" t="s">
        <v>5</v>
      </c>
      <c r="S47" s="53" t="s">
        <v>322</v>
      </c>
      <c r="T47" s="49" t="s">
        <v>196</v>
      </c>
      <c r="U47" s="49">
        <v>0</v>
      </c>
      <c r="V47" s="51">
        <v>0</v>
      </c>
      <c r="W47" s="49">
        <v>0.8</v>
      </c>
      <c r="X47" s="49">
        <v>0</v>
      </c>
      <c r="Y47" s="49">
        <v>90</v>
      </c>
      <c r="Z47" s="39">
        <v>0.1</v>
      </c>
      <c r="AA47" s="40">
        <v>0.6</v>
      </c>
      <c r="AB47" s="39">
        <v>0.8</v>
      </c>
      <c r="AC47" s="40">
        <v>0.6</v>
      </c>
      <c r="AD47" s="49">
        <v>1</v>
      </c>
      <c r="AE47" s="49">
        <v>2</v>
      </c>
      <c r="AF47" s="51">
        <v>1.4</v>
      </c>
      <c r="AG47" s="157">
        <v>80000</v>
      </c>
    </row>
    <row r="48" spans="1:33" ht="15.75" thickBot="1" x14ac:dyDescent="0.3">
      <c r="A48" s="49" t="s">
        <v>316</v>
      </c>
      <c r="B48" s="49" t="s">
        <v>317</v>
      </c>
      <c r="C48" s="49" t="s">
        <v>328</v>
      </c>
      <c r="D48" s="49" t="s">
        <v>188</v>
      </c>
      <c r="E48" s="54" t="str">
        <f t="shared" si="0"/>
        <v xml:space="preserve">Allium fistulosum </v>
      </c>
      <c r="F48" s="54" t="str">
        <f t="shared" si="1"/>
        <v xml:space="preserve">fistulosum </v>
      </c>
      <c r="G48" s="49" t="s">
        <v>319</v>
      </c>
      <c r="H48" s="49" t="s">
        <v>320</v>
      </c>
      <c r="I48" s="49" t="s">
        <v>329</v>
      </c>
      <c r="J48" s="56" t="s">
        <v>192</v>
      </c>
      <c r="K48" s="54" t="str">
        <f t="shared" si="2"/>
        <v>Spring onion Vegetable General</v>
      </c>
      <c r="L48" s="49">
        <v>98</v>
      </c>
      <c r="M48" s="49" t="s">
        <v>142</v>
      </c>
      <c r="N48" s="49" t="s">
        <v>194</v>
      </c>
      <c r="O48" s="49" t="s">
        <v>143</v>
      </c>
      <c r="P48" s="51" t="s">
        <v>246</v>
      </c>
      <c r="Q48" s="52">
        <v>60</v>
      </c>
      <c r="R48" s="49" t="s">
        <v>5</v>
      </c>
      <c r="S48" s="53" t="s">
        <v>322</v>
      </c>
      <c r="T48" s="49" t="s">
        <v>196</v>
      </c>
      <c r="U48" s="49">
        <v>0</v>
      </c>
      <c r="V48" s="51">
        <v>0</v>
      </c>
      <c r="W48" s="49">
        <v>1</v>
      </c>
      <c r="X48" s="49">
        <v>0</v>
      </c>
      <c r="Y48" s="49">
        <v>95</v>
      </c>
      <c r="Z48" s="39">
        <v>0.1</v>
      </c>
      <c r="AA48" s="40">
        <v>0.6</v>
      </c>
      <c r="AB48" s="39">
        <v>0.75</v>
      </c>
      <c r="AC48" s="40">
        <v>0.6</v>
      </c>
      <c r="AD48" s="49">
        <v>1</v>
      </c>
      <c r="AE48" s="49">
        <v>2.2000000000000002</v>
      </c>
      <c r="AF48" s="51">
        <v>2.2000000000000002</v>
      </c>
      <c r="AG48" s="157">
        <v>80000</v>
      </c>
    </row>
    <row r="49" spans="1:33" ht="15.75" thickBot="1" x14ac:dyDescent="0.3">
      <c r="A49" s="49" t="s">
        <v>316</v>
      </c>
      <c r="B49" s="49" t="s">
        <v>317</v>
      </c>
      <c r="C49" s="49" t="s">
        <v>278</v>
      </c>
      <c r="D49" s="49" t="s">
        <v>188</v>
      </c>
      <c r="E49" s="54" t="str">
        <f t="shared" si="0"/>
        <v xml:space="preserve">Allium sativum </v>
      </c>
      <c r="F49" s="54" t="str">
        <f t="shared" si="1"/>
        <v xml:space="preserve">sativum </v>
      </c>
      <c r="G49" s="49" t="s">
        <v>319</v>
      </c>
      <c r="H49" s="49" t="s">
        <v>324</v>
      </c>
      <c r="I49" s="49" t="s">
        <v>330</v>
      </c>
      <c r="J49" s="51" t="s">
        <v>192</v>
      </c>
      <c r="K49" s="54" t="str">
        <f t="shared" si="2"/>
        <v>Garlic Vegetable General</v>
      </c>
      <c r="L49" s="49">
        <v>99</v>
      </c>
      <c r="M49" s="49" t="s">
        <v>142</v>
      </c>
      <c r="N49" s="49" t="s">
        <v>331</v>
      </c>
      <c r="O49" s="49" t="s">
        <v>143</v>
      </c>
      <c r="P49" s="51" t="s">
        <v>231</v>
      </c>
      <c r="Q49" s="52">
        <v>50</v>
      </c>
      <c r="R49" s="49" t="s">
        <v>5</v>
      </c>
      <c r="S49" s="53" t="s">
        <v>322</v>
      </c>
      <c r="T49" s="49" t="s">
        <v>196</v>
      </c>
      <c r="U49" s="49">
        <v>0</v>
      </c>
      <c r="V49" s="51">
        <v>0</v>
      </c>
      <c r="W49" s="49">
        <v>0.8</v>
      </c>
      <c r="X49" s="49">
        <v>0</v>
      </c>
      <c r="Y49" s="49">
        <v>90</v>
      </c>
      <c r="Z49" s="39">
        <v>0.1</v>
      </c>
      <c r="AA49" s="40">
        <v>0.6</v>
      </c>
      <c r="AB49" s="39">
        <v>0.7</v>
      </c>
      <c r="AC49" s="40">
        <v>0.6</v>
      </c>
      <c r="AD49" s="49">
        <v>1</v>
      </c>
      <c r="AE49" s="49">
        <v>2</v>
      </c>
      <c r="AF49" s="51">
        <v>1.4</v>
      </c>
      <c r="AG49" s="157">
        <v>80000</v>
      </c>
    </row>
    <row r="50" spans="1:33" ht="15.75" thickBot="1" x14ac:dyDescent="0.3">
      <c r="A50" s="49" t="s">
        <v>303</v>
      </c>
      <c r="B50" s="49" t="s">
        <v>332</v>
      </c>
      <c r="C50" s="49" t="s">
        <v>333</v>
      </c>
      <c r="D50" s="49" t="s">
        <v>188</v>
      </c>
      <c r="E50" s="54" t="str">
        <f t="shared" si="0"/>
        <v xml:space="preserve">Apium graveolens </v>
      </c>
      <c r="F50" s="54" t="str">
        <f t="shared" si="1"/>
        <v xml:space="preserve">graveolens </v>
      </c>
      <c r="G50" s="49" t="s">
        <v>319</v>
      </c>
      <c r="H50" s="49" t="s">
        <v>320</v>
      </c>
      <c r="I50" s="49" t="s">
        <v>334</v>
      </c>
      <c r="J50" s="51" t="s">
        <v>192</v>
      </c>
      <c r="K50" s="54" t="str">
        <f t="shared" si="2"/>
        <v>Celery Vegetable General</v>
      </c>
      <c r="L50" s="49">
        <v>100</v>
      </c>
      <c r="M50" s="49" t="s">
        <v>144</v>
      </c>
      <c r="N50" s="49" t="s">
        <v>201</v>
      </c>
      <c r="O50" s="49" t="s">
        <v>143</v>
      </c>
      <c r="P50" s="51" t="s">
        <v>225</v>
      </c>
      <c r="Q50" s="52">
        <v>60</v>
      </c>
      <c r="R50" s="49" t="s">
        <v>5</v>
      </c>
      <c r="S50" s="53" t="s">
        <v>322</v>
      </c>
      <c r="T50" s="49" t="s">
        <v>196</v>
      </c>
      <c r="U50" s="49">
        <v>0</v>
      </c>
      <c r="V50" s="51">
        <v>0</v>
      </c>
      <c r="W50" s="49">
        <v>0.85</v>
      </c>
      <c r="X50" s="49">
        <v>0</v>
      </c>
      <c r="Y50" s="49">
        <v>88</v>
      </c>
      <c r="Z50" s="39">
        <v>0.1</v>
      </c>
      <c r="AA50" s="40">
        <v>1.2</v>
      </c>
      <c r="AB50" s="39">
        <v>1</v>
      </c>
      <c r="AC50" s="40">
        <v>0.8</v>
      </c>
      <c r="AD50" s="49">
        <v>0.9</v>
      </c>
      <c r="AE50" s="49">
        <v>2.5</v>
      </c>
      <c r="AF50" s="51">
        <v>2.5</v>
      </c>
      <c r="AG50" s="157">
        <v>80000</v>
      </c>
    </row>
    <row r="51" spans="1:33" ht="15.75" thickBot="1" x14ac:dyDescent="0.3">
      <c r="A51" s="49" t="s">
        <v>213</v>
      </c>
      <c r="B51" s="49" t="s">
        <v>214</v>
      </c>
      <c r="C51" s="49" t="s">
        <v>215</v>
      </c>
      <c r="D51" s="49" t="s">
        <v>335</v>
      </c>
      <c r="E51" s="54" t="str">
        <f t="shared" si="0"/>
        <v>Beta vulgaris cicla</v>
      </c>
      <c r="F51" s="54" t="str">
        <f t="shared" si="1"/>
        <v>vulgaris cicla</v>
      </c>
      <c r="G51" s="49" t="s">
        <v>319</v>
      </c>
      <c r="H51" s="49" t="s">
        <v>320</v>
      </c>
      <c r="I51" s="49" t="s">
        <v>336</v>
      </c>
      <c r="J51" s="56" t="s">
        <v>192</v>
      </c>
      <c r="K51" s="54" t="str">
        <f t="shared" si="2"/>
        <v>Silver beet Vegetable General</v>
      </c>
      <c r="L51" s="49">
        <v>101</v>
      </c>
      <c r="M51" s="49" t="s">
        <v>144</v>
      </c>
      <c r="N51" s="49" t="s">
        <v>210</v>
      </c>
      <c r="O51" s="49" t="s">
        <v>143</v>
      </c>
      <c r="P51" s="51" t="s">
        <v>193</v>
      </c>
      <c r="Q51" s="52">
        <v>156</v>
      </c>
      <c r="R51" s="49" t="s">
        <v>5</v>
      </c>
      <c r="S51" s="53" t="s">
        <v>322</v>
      </c>
      <c r="T51" s="49" t="s">
        <v>196</v>
      </c>
      <c r="U51" s="49">
        <v>0</v>
      </c>
      <c r="V51" s="51">
        <v>0</v>
      </c>
      <c r="W51" s="49">
        <v>0.8</v>
      </c>
      <c r="X51" s="49">
        <v>0</v>
      </c>
      <c r="Y51" s="49">
        <v>93</v>
      </c>
      <c r="Z51" s="39">
        <v>0.1</v>
      </c>
      <c r="AA51" s="40">
        <v>1.5</v>
      </c>
      <c r="AB51" s="39">
        <f>0.95*1.2/1.5</f>
        <v>0.7599999999999999</v>
      </c>
      <c r="AC51" s="40">
        <v>1</v>
      </c>
      <c r="AD51" s="49">
        <v>0.8</v>
      </c>
      <c r="AE51" s="49">
        <v>2.5</v>
      </c>
      <c r="AF51" s="51">
        <v>3</v>
      </c>
      <c r="AG51" s="157">
        <v>80000</v>
      </c>
    </row>
    <row r="52" spans="1:33" ht="15.75" thickBot="1" x14ac:dyDescent="0.3">
      <c r="A52" s="49" t="s">
        <v>213</v>
      </c>
      <c r="B52" s="49" t="s">
        <v>214</v>
      </c>
      <c r="C52" s="49" t="s">
        <v>215</v>
      </c>
      <c r="D52" s="49" t="s">
        <v>292</v>
      </c>
      <c r="E52" s="54" t="str">
        <f t="shared" si="0"/>
        <v>Beta vulgaris conditiva</v>
      </c>
      <c r="F52" s="54" t="str">
        <f t="shared" si="1"/>
        <v>vulgaris conditiva</v>
      </c>
      <c r="G52" s="49" t="s">
        <v>319</v>
      </c>
      <c r="H52" s="49" t="s">
        <v>324</v>
      </c>
      <c r="I52" s="49" t="s">
        <v>294</v>
      </c>
      <c r="J52" s="56" t="s">
        <v>192</v>
      </c>
      <c r="K52" s="54" t="str">
        <f t="shared" si="2"/>
        <v>Red beet Vegetable General</v>
      </c>
      <c r="L52" s="49">
        <v>102</v>
      </c>
      <c r="M52" s="49" t="s">
        <v>142</v>
      </c>
      <c r="N52" s="49" t="s">
        <v>246</v>
      </c>
      <c r="O52" s="49" t="s">
        <v>145</v>
      </c>
      <c r="P52" s="51" t="s">
        <v>193</v>
      </c>
      <c r="Q52" s="52">
        <v>55</v>
      </c>
      <c r="R52" s="49" t="s">
        <v>5</v>
      </c>
      <c r="S52" s="53" t="s">
        <v>322</v>
      </c>
      <c r="T52" s="49" t="s">
        <v>196</v>
      </c>
      <c r="U52" s="49">
        <v>0</v>
      </c>
      <c r="V52" s="51">
        <v>0</v>
      </c>
      <c r="W52" s="49">
        <v>0.81499999999999995</v>
      </c>
      <c r="X52" s="49">
        <v>5.5000000000000049E-2</v>
      </c>
      <c r="Y52" s="49">
        <v>86</v>
      </c>
      <c r="Z52" s="39">
        <v>0.1</v>
      </c>
      <c r="AA52" s="40">
        <v>1.5</v>
      </c>
      <c r="AB52" s="39">
        <v>0.95</v>
      </c>
      <c r="AC52" s="40">
        <v>0.8</v>
      </c>
      <c r="AD52" s="49">
        <v>0.8</v>
      </c>
      <c r="AE52" s="49">
        <v>2</v>
      </c>
      <c r="AF52" s="51">
        <v>1.5</v>
      </c>
      <c r="AG52" s="157">
        <v>80000</v>
      </c>
    </row>
    <row r="53" spans="1:33" ht="15.75" thickBot="1" x14ac:dyDescent="0.3">
      <c r="A53" s="49" t="s">
        <v>218</v>
      </c>
      <c r="B53" s="49" t="s">
        <v>219</v>
      </c>
      <c r="C53" s="49" t="s">
        <v>226</v>
      </c>
      <c r="D53" s="49" t="s">
        <v>337</v>
      </c>
      <c r="E53" s="54" t="str">
        <f t="shared" si="0"/>
        <v>Brassica oleracea botrytis</v>
      </c>
      <c r="F53" s="54" t="str">
        <f t="shared" si="1"/>
        <v>oleracea botrytis</v>
      </c>
      <c r="G53" s="49" t="s">
        <v>319</v>
      </c>
      <c r="H53" s="49" t="s">
        <v>320</v>
      </c>
      <c r="I53" s="49" t="s">
        <v>48</v>
      </c>
      <c r="J53" s="56" t="s">
        <v>192</v>
      </c>
      <c r="K53" s="54" t="str">
        <f t="shared" si="2"/>
        <v>Cauliflower Vegetable General</v>
      </c>
      <c r="L53" s="49">
        <v>103</v>
      </c>
      <c r="M53" s="49" t="s">
        <v>144</v>
      </c>
      <c r="N53" s="49" t="s">
        <v>246</v>
      </c>
      <c r="O53" s="49" t="s">
        <v>145</v>
      </c>
      <c r="P53" s="51" t="s">
        <v>225</v>
      </c>
      <c r="Q53" s="52">
        <v>40</v>
      </c>
      <c r="R53" s="49" t="s">
        <v>5</v>
      </c>
      <c r="S53" s="53" t="s">
        <v>322</v>
      </c>
      <c r="T53" s="49" t="s">
        <v>196</v>
      </c>
      <c r="U53" s="49">
        <v>0</v>
      </c>
      <c r="V53" s="51">
        <v>0</v>
      </c>
      <c r="W53" s="49">
        <v>0.4</v>
      </c>
      <c r="X53" s="49">
        <v>0</v>
      </c>
      <c r="Y53" s="49">
        <v>93</v>
      </c>
      <c r="Z53" s="39">
        <v>0.1</v>
      </c>
      <c r="AA53" s="40">
        <v>1.2</v>
      </c>
      <c r="AB53" s="39">
        <v>1</v>
      </c>
      <c r="AC53" s="40">
        <v>2</v>
      </c>
      <c r="AD53" s="49">
        <v>0.8</v>
      </c>
      <c r="AE53" s="49">
        <v>3.8</v>
      </c>
      <c r="AF53" s="51">
        <v>3.5</v>
      </c>
      <c r="AG53" s="157">
        <v>80000</v>
      </c>
    </row>
    <row r="54" spans="1:33" ht="15.75" thickBot="1" x14ac:dyDescent="0.3">
      <c r="A54" s="49" t="s">
        <v>218</v>
      </c>
      <c r="B54" s="49" t="s">
        <v>219</v>
      </c>
      <c r="C54" s="49" t="s">
        <v>226</v>
      </c>
      <c r="D54" s="49" t="s">
        <v>338</v>
      </c>
      <c r="E54" s="54" t="str">
        <f t="shared" si="0"/>
        <v>Brassica oleracea capitata</v>
      </c>
      <c r="F54" s="54" t="str">
        <f t="shared" si="1"/>
        <v>oleracea capitata</v>
      </c>
      <c r="G54" s="49" t="s">
        <v>319</v>
      </c>
      <c r="H54" s="49" t="s">
        <v>320</v>
      </c>
      <c r="I54" s="49" t="s">
        <v>339</v>
      </c>
      <c r="J54" s="56" t="s">
        <v>192</v>
      </c>
      <c r="K54" s="54" t="str">
        <f t="shared" si="2"/>
        <v>Cabbage Vegetable General</v>
      </c>
      <c r="L54" s="49">
        <v>104</v>
      </c>
      <c r="M54" s="49" t="s">
        <v>144</v>
      </c>
      <c r="N54" s="49" t="s">
        <v>246</v>
      </c>
      <c r="O54" s="49" t="s">
        <v>143</v>
      </c>
      <c r="P54" s="51" t="s">
        <v>225</v>
      </c>
      <c r="Q54" s="52">
        <v>60</v>
      </c>
      <c r="R54" s="49" t="s">
        <v>5</v>
      </c>
      <c r="S54" s="53" t="s">
        <v>322</v>
      </c>
      <c r="T54" s="49" t="s">
        <v>196</v>
      </c>
      <c r="U54" s="49">
        <v>0</v>
      </c>
      <c r="V54" s="51">
        <v>0</v>
      </c>
      <c r="W54" s="49">
        <v>0.7</v>
      </c>
      <c r="X54" s="49">
        <v>0</v>
      </c>
      <c r="Y54" s="49">
        <v>90</v>
      </c>
      <c r="Z54" s="39">
        <v>0.1</v>
      </c>
      <c r="AA54" s="40">
        <v>1.2</v>
      </c>
      <c r="AB54" s="39">
        <v>1</v>
      </c>
      <c r="AC54" s="40">
        <v>2</v>
      </c>
      <c r="AD54" s="49">
        <v>0.8</v>
      </c>
      <c r="AE54" s="49">
        <v>3</v>
      </c>
      <c r="AF54" s="51">
        <v>2.6</v>
      </c>
      <c r="AG54" s="157">
        <v>80000</v>
      </c>
    </row>
    <row r="55" spans="1:33" ht="15.75" thickBot="1" x14ac:dyDescent="0.3">
      <c r="A55" s="49" t="s">
        <v>218</v>
      </c>
      <c r="B55" s="49" t="s">
        <v>219</v>
      </c>
      <c r="C55" s="49" t="s">
        <v>226</v>
      </c>
      <c r="D55" s="49" t="s">
        <v>340</v>
      </c>
      <c r="E55" s="54" t="str">
        <f t="shared" si="0"/>
        <v>Brassica oleracea gemmifera</v>
      </c>
      <c r="F55" s="54" t="str">
        <f t="shared" si="1"/>
        <v>oleracea gemmifera</v>
      </c>
      <c r="G55" s="49" t="s">
        <v>319</v>
      </c>
      <c r="H55" s="49" t="s">
        <v>320</v>
      </c>
      <c r="I55" s="49" t="s">
        <v>341</v>
      </c>
      <c r="J55" s="56" t="s">
        <v>192</v>
      </c>
      <c r="K55" s="54" t="str">
        <f t="shared" si="2"/>
        <v>Brussel sprout  Vegetable General</v>
      </c>
      <c r="L55" s="49">
        <v>105</v>
      </c>
      <c r="M55" s="49" t="s">
        <v>144</v>
      </c>
      <c r="N55" s="49" t="s">
        <v>210</v>
      </c>
      <c r="O55" s="49" t="s">
        <v>145</v>
      </c>
      <c r="P55" s="51" t="s">
        <v>331</v>
      </c>
      <c r="Q55" s="52">
        <v>15</v>
      </c>
      <c r="R55" s="49" t="s">
        <v>5</v>
      </c>
      <c r="S55" s="53" t="s">
        <v>322</v>
      </c>
      <c r="T55" s="49" t="s">
        <v>196</v>
      </c>
      <c r="U55" s="49">
        <v>0</v>
      </c>
      <c r="V55" s="51">
        <v>0</v>
      </c>
      <c r="W55" s="49">
        <v>0.4</v>
      </c>
      <c r="X55" s="49">
        <v>0</v>
      </c>
      <c r="Y55" s="49">
        <v>80</v>
      </c>
      <c r="Z55" s="39">
        <v>0.1</v>
      </c>
      <c r="AA55" s="40">
        <v>1.2</v>
      </c>
      <c r="AB55" s="39">
        <v>1</v>
      </c>
      <c r="AC55" s="40">
        <v>2</v>
      </c>
      <c r="AD55" s="49">
        <v>0.8</v>
      </c>
      <c r="AE55" s="49">
        <v>3.8</v>
      </c>
      <c r="AF55" s="51">
        <v>3.5</v>
      </c>
      <c r="AG55" s="157">
        <v>80000</v>
      </c>
    </row>
    <row r="56" spans="1:33" ht="15.75" thickBot="1" x14ac:dyDescent="0.3">
      <c r="A56" s="49" t="s">
        <v>218</v>
      </c>
      <c r="B56" s="49" t="s">
        <v>219</v>
      </c>
      <c r="C56" s="49" t="s">
        <v>226</v>
      </c>
      <c r="D56" s="49" t="s">
        <v>342</v>
      </c>
      <c r="E56" s="54" t="str">
        <f t="shared" si="0"/>
        <v>Brassica oleracea italica</v>
      </c>
      <c r="F56" s="54" t="str">
        <f t="shared" si="1"/>
        <v>oleracea italica</v>
      </c>
      <c r="G56" s="49" t="s">
        <v>319</v>
      </c>
      <c r="H56" s="49" t="s">
        <v>320</v>
      </c>
      <c r="I56" s="49" t="s">
        <v>343</v>
      </c>
      <c r="J56" s="56" t="s">
        <v>344</v>
      </c>
      <c r="K56" s="54" t="str">
        <f t="shared" si="2"/>
        <v>Broccoli Vegetable Head only</v>
      </c>
      <c r="L56" s="49">
        <v>106</v>
      </c>
      <c r="M56" s="49" t="s">
        <v>144</v>
      </c>
      <c r="N56" s="49" t="s">
        <v>193</v>
      </c>
      <c r="O56" s="49" t="s">
        <v>145</v>
      </c>
      <c r="P56" s="51" t="s">
        <v>246</v>
      </c>
      <c r="Q56" s="52">
        <v>10</v>
      </c>
      <c r="R56" s="49" t="s">
        <v>5</v>
      </c>
      <c r="S56" s="53" t="s">
        <v>322</v>
      </c>
      <c r="T56" s="49" t="s">
        <v>196</v>
      </c>
      <c r="U56" s="49">
        <v>0</v>
      </c>
      <c r="V56" s="51">
        <v>0</v>
      </c>
      <c r="W56" s="49">
        <v>0.13</v>
      </c>
      <c r="X56" s="49">
        <v>0</v>
      </c>
      <c r="Y56" s="49">
        <v>89</v>
      </c>
      <c r="Z56" s="39">
        <v>0.1</v>
      </c>
      <c r="AA56" s="40">
        <v>1.2</v>
      </c>
      <c r="AB56" s="39">
        <v>1</v>
      </c>
      <c r="AC56" s="40">
        <v>2</v>
      </c>
      <c r="AD56" s="49">
        <v>0.8</v>
      </c>
      <c r="AE56" s="49">
        <v>3.8</v>
      </c>
      <c r="AF56" s="51">
        <v>3.5</v>
      </c>
      <c r="AG56" s="157">
        <v>80000</v>
      </c>
    </row>
    <row r="57" spans="1:33" ht="15.75" thickBot="1" x14ac:dyDescent="0.3">
      <c r="A57" s="49" t="s">
        <v>218</v>
      </c>
      <c r="B57" s="49" t="s">
        <v>219</v>
      </c>
      <c r="C57" s="49" t="s">
        <v>226</v>
      </c>
      <c r="D57" s="49" t="s">
        <v>342</v>
      </c>
      <c r="E57" s="54" t="str">
        <f t="shared" si="0"/>
        <v>Brassica oleracea italica</v>
      </c>
      <c r="F57" s="54" t="str">
        <f t="shared" si="1"/>
        <v>oleracea italica</v>
      </c>
      <c r="G57" s="49" t="s">
        <v>319</v>
      </c>
      <c r="H57" s="49" t="s">
        <v>320</v>
      </c>
      <c r="I57" s="49" t="s">
        <v>343</v>
      </c>
      <c r="J57" s="56" t="s">
        <v>345</v>
      </c>
      <c r="K57" s="54" t="str">
        <f t="shared" si="2"/>
        <v>Broccoli Vegetable Chinese cut</v>
      </c>
      <c r="L57" s="49">
        <v>107</v>
      </c>
      <c r="M57" s="49" t="s">
        <v>144</v>
      </c>
      <c r="N57" s="49" t="s">
        <v>193</v>
      </c>
      <c r="O57" s="49" t="s">
        <v>145</v>
      </c>
      <c r="P57" s="51" t="s">
        <v>246</v>
      </c>
      <c r="Q57" s="52">
        <v>20</v>
      </c>
      <c r="R57" s="49" t="s">
        <v>5</v>
      </c>
      <c r="S57" s="53" t="s">
        <v>322</v>
      </c>
      <c r="T57" s="49" t="s">
        <v>196</v>
      </c>
      <c r="U57" s="49">
        <v>0</v>
      </c>
      <c r="V57" s="51">
        <v>0</v>
      </c>
      <c r="W57" s="49">
        <v>0.26</v>
      </c>
      <c r="X57" s="49">
        <v>0</v>
      </c>
      <c r="Y57" s="49">
        <v>89</v>
      </c>
      <c r="Z57" s="39">
        <v>0.1</v>
      </c>
      <c r="AA57" s="40">
        <v>1.2</v>
      </c>
      <c r="AB57" s="39">
        <v>1</v>
      </c>
      <c r="AC57" s="40">
        <v>2</v>
      </c>
      <c r="AD57" s="49">
        <v>0.8</v>
      </c>
      <c r="AE57" s="49">
        <v>3.6</v>
      </c>
      <c r="AF57" s="51">
        <v>3.6</v>
      </c>
      <c r="AG57" s="157">
        <v>80000</v>
      </c>
    </row>
    <row r="58" spans="1:33" ht="15.75" thickBot="1" x14ac:dyDescent="0.3">
      <c r="A58" s="49" t="s">
        <v>218</v>
      </c>
      <c r="B58" s="49" t="s">
        <v>219</v>
      </c>
      <c r="C58" s="49" t="s">
        <v>229</v>
      </c>
      <c r="D58" s="49" t="s">
        <v>296</v>
      </c>
      <c r="E58" s="54" t="str">
        <f t="shared" si="0"/>
        <v>Brassica rapa chinensis</v>
      </c>
      <c r="F58" s="54" t="str">
        <f t="shared" si="1"/>
        <v>rapa chinensis</v>
      </c>
      <c r="G58" s="49" t="s">
        <v>319</v>
      </c>
      <c r="H58" s="49" t="s">
        <v>320</v>
      </c>
      <c r="I58" s="49" t="s">
        <v>298</v>
      </c>
      <c r="J58" s="56" t="s">
        <v>192</v>
      </c>
      <c r="K58" s="54" t="str">
        <f t="shared" si="2"/>
        <v>Pak choi Vegetable General</v>
      </c>
      <c r="L58" s="49">
        <v>108</v>
      </c>
      <c r="M58" s="49" t="s">
        <v>144</v>
      </c>
      <c r="N58" s="49" t="s">
        <v>193</v>
      </c>
      <c r="O58" s="49" t="s">
        <v>143</v>
      </c>
      <c r="P58" s="51" t="s">
        <v>346</v>
      </c>
      <c r="Q58" s="52">
        <v>45</v>
      </c>
      <c r="R58" s="49" t="s">
        <v>5</v>
      </c>
      <c r="S58" s="53" t="s">
        <v>322</v>
      </c>
      <c r="T58" s="49" t="s">
        <v>196</v>
      </c>
      <c r="U58" s="49">
        <v>0</v>
      </c>
      <c r="V58" s="51">
        <v>0</v>
      </c>
      <c r="W58" s="49">
        <v>0.63</v>
      </c>
      <c r="X58" s="49">
        <v>0</v>
      </c>
      <c r="Y58" s="49">
        <v>96</v>
      </c>
      <c r="Z58" s="39">
        <v>0.1</v>
      </c>
      <c r="AA58" s="40">
        <v>1.2</v>
      </c>
      <c r="AB58" s="39">
        <v>0.8</v>
      </c>
      <c r="AC58" s="40">
        <v>1.5</v>
      </c>
      <c r="AD58" s="49">
        <v>0.8</v>
      </c>
      <c r="AE58" s="49">
        <v>4.5</v>
      </c>
      <c r="AF58" s="51">
        <v>4.8</v>
      </c>
      <c r="AG58" s="157">
        <v>80000</v>
      </c>
    </row>
    <row r="59" spans="1:33" ht="15.75" thickBot="1" x14ac:dyDescent="0.3">
      <c r="A59" s="49" t="s">
        <v>218</v>
      </c>
      <c r="B59" s="49" t="s">
        <v>219</v>
      </c>
      <c r="C59" s="49" t="s">
        <v>229</v>
      </c>
      <c r="D59" s="49" t="s">
        <v>347</v>
      </c>
      <c r="E59" s="54" t="str">
        <f t="shared" si="0"/>
        <v>Brassica rapa parachinensis</v>
      </c>
      <c r="F59" s="54" t="str">
        <f t="shared" si="1"/>
        <v>rapa parachinensis</v>
      </c>
      <c r="G59" s="49" t="s">
        <v>319</v>
      </c>
      <c r="H59" s="49" t="s">
        <v>320</v>
      </c>
      <c r="I59" s="49" t="s">
        <v>348</v>
      </c>
      <c r="J59" s="56" t="s">
        <v>192</v>
      </c>
      <c r="K59" s="54" t="str">
        <f t="shared" si="2"/>
        <v>Choy sum Vegetable General</v>
      </c>
      <c r="L59" s="49">
        <v>109</v>
      </c>
      <c r="M59" s="49" t="s">
        <v>144</v>
      </c>
      <c r="N59" s="49" t="s">
        <v>193</v>
      </c>
      <c r="O59" s="49" t="s">
        <v>143</v>
      </c>
      <c r="P59" s="51" t="s">
        <v>246</v>
      </c>
      <c r="Q59" s="52">
        <v>40</v>
      </c>
      <c r="R59" s="49" t="s">
        <v>5</v>
      </c>
      <c r="S59" s="53" t="s">
        <v>322</v>
      </c>
      <c r="T59" s="49" t="s">
        <v>196</v>
      </c>
      <c r="U59" s="49">
        <v>0</v>
      </c>
      <c r="V59" s="51">
        <v>0</v>
      </c>
      <c r="W59" s="49">
        <v>0.85</v>
      </c>
      <c r="X59" s="49">
        <v>0</v>
      </c>
      <c r="Y59" s="49">
        <v>90</v>
      </c>
      <c r="Z59" s="39">
        <v>0.1</v>
      </c>
      <c r="AA59" s="40">
        <v>1.2</v>
      </c>
      <c r="AB59" s="39">
        <v>0.9</v>
      </c>
      <c r="AC59" s="40">
        <v>2</v>
      </c>
      <c r="AD59" s="49">
        <v>0.8</v>
      </c>
      <c r="AE59" s="49">
        <v>4.5</v>
      </c>
      <c r="AF59" s="51">
        <v>4.8</v>
      </c>
      <c r="AG59" s="157">
        <v>80000</v>
      </c>
    </row>
    <row r="60" spans="1:33" ht="15.75" thickBot="1" x14ac:dyDescent="0.3">
      <c r="A60" s="49" t="s">
        <v>218</v>
      </c>
      <c r="B60" s="49" t="s">
        <v>219</v>
      </c>
      <c r="C60" s="49" t="s">
        <v>229</v>
      </c>
      <c r="D60" s="49" t="s">
        <v>349</v>
      </c>
      <c r="E60" s="54" t="str">
        <f t="shared" si="0"/>
        <v>Brassica rapa pekinensis</v>
      </c>
      <c r="F60" s="54" t="str">
        <f t="shared" si="1"/>
        <v>rapa pekinensis</v>
      </c>
      <c r="G60" s="49" t="s">
        <v>319</v>
      </c>
      <c r="H60" s="49" t="s">
        <v>320</v>
      </c>
      <c r="I60" s="49" t="s">
        <v>350</v>
      </c>
      <c r="J60" s="56" t="s">
        <v>192</v>
      </c>
      <c r="K60" s="54" t="str">
        <f t="shared" si="2"/>
        <v>Wong bok Vegetable General</v>
      </c>
      <c r="L60" s="49">
        <v>110</v>
      </c>
      <c r="M60" s="49" t="s">
        <v>144</v>
      </c>
      <c r="N60" s="49" t="s">
        <v>231</v>
      </c>
      <c r="O60" s="49" t="s">
        <v>143</v>
      </c>
      <c r="P60" s="51" t="s">
        <v>331</v>
      </c>
      <c r="Q60" s="52">
        <v>53</v>
      </c>
      <c r="R60" s="49" t="s">
        <v>5</v>
      </c>
      <c r="S60" s="53" t="s">
        <v>322</v>
      </c>
      <c r="T60" s="49" t="s">
        <v>196</v>
      </c>
      <c r="U60" s="49">
        <v>0</v>
      </c>
      <c r="V60" s="51">
        <v>0</v>
      </c>
      <c r="W60" s="49">
        <v>0.8</v>
      </c>
      <c r="X60" s="49">
        <v>0</v>
      </c>
      <c r="Y60" s="49">
        <v>90</v>
      </c>
      <c r="Z60" s="39">
        <v>0.1</v>
      </c>
      <c r="AA60" s="40">
        <v>1.2</v>
      </c>
      <c r="AB60" s="39">
        <v>0.9</v>
      </c>
      <c r="AC60" s="40">
        <v>2</v>
      </c>
      <c r="AD60" s="49">
        <v>0.8</v>
      </c>
      <c r="AE60" s="49">
        <v>3</v>
      </c>
      <c r="AF60" s="51">
        <v>3</v>
      </c>
      <c r="AG60" s="157">
        <v>80000</v>
      </c>
    </row>
    <row r="61" spans="1:33" ht="15.75" thickBot="1" x14ac:dyDescent="0.3">
      <c r="A61" s="49" t="s">
        <v>303</v>
      </c>
      <c r="B61" s="49" t="s">
        <v>351</v>
      </c>
      <c r="C61" s="49" t="s">
        <v>278</v>
      </c>
      <c r="D61" s="49" t="s">
        <v>188</v>
      </c>
      <c r="E61" s="54" t="str">
        <f t="shared" si="0"/>
        <v xml:space="preserve">Coriandrum sativum </v>
      </c>
      <c r="F61" s="54" t="str">
        <f t="shared" si="1"/>
        <v xml:space="preserve">sativum </v>
      </c>
      <c r="G61" s="49" t="s">
        <v>319</v>
      </c>
      <c r="H61" s="49" t="s">
        <v>320</v>
      </c>
      <c r="I61" s="49" t="s">
        <v>352</v>
      </c>
      <c r="J61" s="56" t="s">
        <v>192</v>
      </c>
      <c r="K61" s="54" t="str">
        <f t="shared" si="2"/>
        <v>Coriander Vegetable General</v>
      </c>
      <c r="L61" s="49">
        <v>111</v>
      </c>
      <c r="M61" s="49" t="s">
        <v>142</v>
      </c>
      <c r="N61" s="49" t="s">
        <v>193</v>
      </c>
      <c r="O61" s="49" t="s">
        <v>143</v>
      </c>
      <c r="P61" s="51" t="s">
        <v>246</v>
      </c>
      <c r="Q61" s="52">
        <v>20</v>
      </c>
      <c r="R61" s="49" t="s">
        <v>5</v>
      </c>
      <c r="S61" s="53" t="s">
        <v>322</v>
      </c>
      <c r="T61" s="49" t="s">
        <v>196</v>
      </c>
      <c r="U61" s="49">
        <v>0</v>
      </c>
      <c r="V61" s="51">
        <v>0</v>
      </c>
      <c r="W61" s="49">
        <v>1</v>
      </c>
      <c r="X61" s="49">
        <v>0</v>
      </c>
      <c r="Y61" s="49">
        <v>95</v>
      </c>
      <c r="Z61" s="39">
        <v>0.1</v>
      </c>
      <c r="AA61" s="40">
        <v>1.2</v>
      </c>
      <c r="AB61" s="39">
        <v>0.9</v>
      </c>
      <c r="AC61" s="40">
        <v>0.8</v>
      </c>
      <c r="AD61" s="49">
        <v>0.9</v>
      </c>
      <c r="AE61" s="49">
        <v>4.7</v>
      </c>
      <c r="AF61" s="51">
        <v>4.7</v>
      </c>
      <c r="AG61" s="157">
        <v>80000</v>
      </c>
    </row>
    <row r="62" spans="1:33" ht="15.75" thickBot="1" x14ac:dyDescent="0.3">
      <c r="A62" s="49" t="s">
        <v>353</v>
      </c>
      <c r="B62" s="49" t="s">
        <v>354</v>
      </c>
      <c r="C62" s="49" t="s">
        <v>355</v>
      </c>
      <c r="D62" s="49" t="s">
        <v>188</v>
      </c>
      <c r="E62" s="54" t="str">
        <f t="shared" si="0"/>
        <v xml:space="preserve">Cucumis lanatus </v>
      </c>
      <c r="F62" s="54" t="str">
        <f t="shared" si="1"/>
        <v xml:space="preserve">lanatus </v>
      </c>
      <c r="G62" s="49" t="s">
        <v>319</v>
      </c>
      <c r="H62" s="49" t="s">
        <v>356</v>
      </c>
      <c r="I62" s="49" t="s">
        <v>357</v>
      </c>
      <c r="J62" s="56" t="s">
        <v>192</v>
      </c>
      <c r="K62" s="54" t="str">
        <f t="shared" si="2"/>
        <v>Water melon Vegetable General</v>
      </c>
      <c r="L62" s="49">
        <v>112</v>
      </c>
      <c r="M62" s="49" t="s">
        <v>144</v>
      </c>
      <c r="N62" s="49" t="s">
        <v>201</v>
      </c>
      <c r="O62" s="49" t="s">
        <v>147</v>
      </c>
      <c r="P62" s="51" t="s">
        <v>194</v>
      </c>
      <c r="Q62" s="52">
        <v>180</v>
      </c>
      <c r="R62" s="49" t="s">
        <v>5</v>
      </c>
      <c r="S62" s="53" t="s">
        <v>322</v>
      </c>
      <c r="T62" s="49" t="s">
        <v>196</v>
      </c>
      <c r="U62" s="49">
        <v>0</v>
      </c>
      <c r="V62" s="51">
        <v>0</v>
      </c>
      <c r="W62" s="49">
        <v>0.85</v>
      </c>
      <c r="X62" s="49">
        <v>0</v>
      </c>
      <c r="Y62" s="49">
        <v>95</v>
      </c>
      <c r="Z62" s="39">
        <v>0.1</v>
      </c>
      <c r="AA62" s="40">
        <v>0.8</v>
      </c>
      <c r="AB62" s="39">
        <v>1</v>
      </c>
      <c r="AC62" s="40">
        <v>1</v>
      </c>
      <c r="AD62" s="49">
        <v>1</v>
      </c>
      <c r="AE62" s="49">
        <v>2</v>
      </c>
      <c r="AF62" s="51">
        <v>2</v>
      </c>
      <c r="AG62" s="157">
        <v>80000</v>
      </c>
    </row>
    <row r="63" spans="1:33" ht="15.75" thickBot="1" x14ac:dyDescent="0.3">
      <c r="A63" s="49" t="s">
        <v>353</v>
      </c>
      <c r="B63" s="49" t="s">
        <v>354</v>
      </c>
      <c r="C63" s="49" t="s">
        <v>358</v>
      </c>
      <c r="D63" s="49" t="s">
        <v>188</v>
      </c>
      <c r="E63" s="54" t="str">
        <f t="shared" si="0"/>
        <v xml:space="preserve">Cucumis melo </v>
      </c>
      <c r="F63" s="54" t="str">
        <f t="shared" si="1"/>
        <v xml:space="preserve">melo </v>
      </c>
      <c r="G63" s="49" t="s">
        <v>319</v>
      </c>
      <c r="H63" s="49" t="s">
        <v>356</v>
      </c>
      <c r="I63" s="49" t="s">
        <v>359</v>
      </c>
      <c r="J63" s="56" t="s">
        <v>192</v>
      </c>
      <c r="K63" s="54" t="str">
        <f t="shared" si="2"/>
        <v>Rock melon Vegetable General</v>
      </c>
      <c r="L63" s="49">
        <v>113</v>
      </c>
      <c r="M63" s="49" t="s">
        <v>144</v>
      </c>
      <c r="N63" s="49" t="s">
        <v>201</v>
      </c>
      <c r="O63" s="49" t="s">
        <v>147</v>
      </c>
      <c r="P63" s="51" t="s">
        <v>194</v>
      </c>
      <c r="Q63" s="52">
        <v>80</v>
      </c>
      <c r="R63" s="49" t="s">
        <v>5</v>
      </c>
      <c r="S63" s="53" t="s">
        <v>322</v>
      </c>
      <c r="T63" s="49" t="s">
        <v>196</v>
      </c>
      <c r="U63" s="49">
        <v>0</v>
      </c>
      <c r="V63" s="51">
        <v>0</v>
      </c>
      <c r="W63" s="49">
        <v>0.7</v>
      </c>
      <c r="X63" s="49">
        <v>0</v>
      </c>
      <c r="Y63" s="49">
        <v>95</v>
      </c>
      <c r="Z63" s="39">
        <v>0.1</v>
      </c>
      <c r="AA63" s="40">
        <v>0.8</v>
      </c>
      <c r="AB63" s="39">
        <v>1</v>
      </c>
      <c r="AC63" s="40">
        <v>1</v>
      </c>
      <c r="AD63" s="49">
        <v>1</v>
      </c>
      <c r="AE63" s="49">
        <v>2</v>
      </c>
      <c r="AF63" s="51">
        <v>2</v>
      </c>
      <c r="AG63" s="157">
        <v>80000</v>
      </c>
    </row>
    <row r="64" spans="1:33" ht="15.75" thickBot="1" x14ac:dyDescent="0.3">
      <c r="A64" s="49" t="s">
        <v>353</v>
      </c>
      <c r="B64" s="49" t="s">
        <v>360</v>
      </c>
      <c r="C64" s="49" t="s">
        <v>361</v>
      </c>
      <c r="D64" s="49" t="s">
        <v>188</v>
      </c>
      <c r="E64" s="54" t="str">
        <f t="shared" si="0"/>
        <v xml:space="preserve">Cucurbita argyrosperma </v>
      </c>
      <c r="F64" s="54" t="str">
        <f t="shared" si="1"/>
        <v xml:space="preserve">argyrosperma </v>
      </c>
      <c r="G64" s="49" t="s">
        <v>319</v>
      </c>
      <c r="H64" s="49" t="s">
        <v>356</v>
      </c>
      <c r="I64" s="49" t="s">
        <v>362</v>
      </c>
      <c r="J64" s="56" t="s">
        <v>192</v>
      </c>
      <c r="K64" s="54" t="str">
        <f t="shared" si="2"/>
        <v>Squash Vegetable General</v>
      </c>
      <c r="L64" s="49">
        <v>114</v>
      </c>
      <c r="M64" s="49" t="s">
        <v>144</v>
      </c>
      <c r="N64" s="49" t="s">
        <v>201</v>
      </c>
      <c r="O64" s="49" t="s">
        <v>148</v>
      </c>
      <c r="P64" s="51" t="s">
        <v>234</v>
      </c>
      <c r="Q64" s="52">
        <v>25</v>
      </c>
      <c r="R64" s="49" t="s">
        <v>5</v>
      </c>
      <c r="S64" s="53" t="s">
        <v>322</v>
      </c>
      <c r="T64" s="49" t="s">
        <v>196</v>
      </c>
      <c r="U64" s="49">
        <v>0</v>
      </c>
      <c r="V64" s="51">
        <v>0</v>
      </c>
      <c r="W64" s="49">
        <v>0.8</v>
      </c>
      <c r="X64" s="49">
        <v>0</v>
      </c>
      <c r="Y64" s="49">
        <v>80</v>
      </c>
      <c r="Z64" s="39">
        <v>0.1</v>
      </c>
      <c r="AA64" s="40">
        <v>0.8</v>
      </c>
      <c r="AB64" s="39">
        <v>0.94</v>
      </c>
      <c r="AC64" s="40">
        <v>1</v>
      </c>
      <c r="AD64" s="49">
        <v>1</v>
      </c>
      <c r="AE64" s="49">
        <v>2</v>
      </c>
      <c r="AF64" s="51">
        <v>2</v>
      </c>
      <c r="AG64" s="157">
        <v>80000</v>
      </c>
    </row>
    <row r="65" spans="1:33" ht="15.75" thickBot="1" x14ac:dyDescent="0.3">
      <c r="A65" s="49" t="s">
        <v>353</v>
      </c>
      <c r="B65" s="49" t="s">
        <v>360</v>
      </c>
      <c r="C65" s="49" t="s">
        <v>363</v>
      </c>
      <c r="D65" s="49" t="s">
        <v>188</v>
      </c>
      <c r="E65" s="54" t="str">
        <f t="shared" si="0"/>
        <v xml:space="preserve">Cucurbita pepo </v>
      </c>
      <c r="F65" s="54" t="str">
        <f t="shared" si="1"/>
        <v xml:space="preserve">pepo </v>
      </c>
      <c r="G65" s="49" t="s">
        <v>319</v>
      </c>
      <c r="H65" s="49" t="s">
        <v>356</v>
      </c>
      <c r="I65" s="49" t="s">
        <v>364</v>
      </c>
      <c r="J65" s="56" t="s">
        <v>192</v>
      </c>
      <c r="K65" s="54" t="str">
        <f t="shared" si="2"/>
        <v>Pumpkin Vegetable General</v>
      </c>
      <c r="L65" s="49">
        <v>115</v>
      </c>
      <c r="M65" s="49" t="s">
        <v>142</v>
      </c>
      <c r="N65" s="49" t="s">
        <v>201</v>
      </c>
      <c r="O65" s="49" t="s">
        <v>147</v>
      </c>
      <c r="P65" s="51" t="s">
        <v>234</v>
      </c>
      <c r="Q65" s="52">
        <v>40</v>
      </c>
      <c r="R65" s="49" t="s">
        <v>5</v>
      </c>
      <c r="S65" s="53" t="s">
        <v>322</v>
      </c>
      <c r="T65" s="49" t="s">
        <v>196</v>
      </c>
      <c r="U65" s="49">
        <v>0</v>
      </c>
      <c r="V65" s="51">
        <v>0</v>
      </c>
      <c r="W65" s="49">
        <v>0.8</v>
      </c>
      <c r="X65" s="49">
        <v>0</v>
      </c>
      <c r="Y65" s="49">
        <v>88</v>
      </c>
      <c r="Z65" s="39">
        <v>0.1</v>
      </c>
      <c r="AA65" s="40">
        <v>0.8</v>
      </c>
      <c r="AB65" s="39">
        <v>1</v>
      </c>
      <c r="AC65" s="40">
        <v>1</v>
      </c>
      <c r="AD65" s="49">
        <v>1</v>
      </c>
      <c r="AE65" s="49">
        <v>1.4</v>
      </c>
      <c r="AF65" s="51">
        <v>2</v>
      </c>
      <c r="AG65" s="157">
        <v>80000</v>
      </c>
    </row>
    <row r="66" spans="1:33" ht="15.75" thickBot="1" x14ac:dyDescent="0.3">
      <c r="A66" s="49" t="s">
        <v>353</v>
      </c>
      <c r="B66" s="49" t="s">
        <v>360</v>
      </c>
      <c r="C66" s="49" t="s">
        <v>363</v>
      </c>
      <c r="D66" s="49" t="s">
        <v>188</v>
      </c>
      <c r="E66" s="54" t="str">
        <f t="shared" si="0"/>
        <v xml:space="preserve">Cucurbita pepo </v>
      </c>
      <c r="F66" s="54" t="str">
        <f t="shared" si="1"/>
        <v xml:space="preserve">pepo </v>
      </c>
      <c r="G66" s="49" t="s">
        <v>319</v>
      </c>
      <c r="H66" s="49" t="s">
        <v>356</v>
      </c>
      <c r="I66" s="49" t="s">
        <v>365</v>
      </c>
      <c r="J66" s="56" t="s">
        <v>192</v>
      </c>
      <c r="K66" s="54" t="str">
        <f t="shared" si="2"/>
        <v>Zucchini Vegetable General</v>
      </c>
      <c r="L66" s="49">
        <v>116</v>
      </c>
      <c r="M66" s="49" t="s">
        <v>142</v>
      </c>
      <c r="N66" s="49" t="s">
        <v>201</v>
      </c>
      <c r="O66" s="49" t="s">
        <v>145</v>
      </c>
      <c r="P66" s="51" t="s">
        <v>225</v>
      </c>
      <c r="Q66" s="52">
        <v>40</v>
      </c>
      <c r="R66" s="49" t="s">
        <v>5</v>
      </c>
      <c r="S66" s="53" t="s">
        <v>322</v>
      </c>
      <c r="T66" s="49" t="s">
        <v>196</v>
      </c>
      <c r="U66" s="49">
        <v>0</v>
      </c>
      <c r="V66" s="51">
        <v>0</v>
      </c>
      <c r="W66" s="49">
        <v>0.4</v>
      </c>
      <c r="X66" s="49">
        <v>0</v>
      </c>
      <c r="Y66" s="49">
        <v>95</v>
      </c>
      <c r="Z66" s="39">
        <v>0.1</v>
      </c>
      <c r="AA66" s="40">
        <v>0.8</v>
      </c>
      <c r="AB66" s="39">
        <v>0.85</v>
      </c>
      <c r="AC66" s="40">
        <v>1</v>
      </c>
      <c r="AD66" s="49">
        <v>1</v>
      </c>
      <c r="AE66" s="49">
        <v>3.8</v>
      </c>
      <c r="AF66" s="51">
        <v>3.2</v>
      </c>
      <c r="AG66" s="157">
        <v>80000</v>
      </c>
    </row>
    <row r="67" spans="1:33" ht="15.75" thickBot="1" x14ac:dyDescent="0.3">
      <c r="A67" s="49" t="s">
        <v>303</v>
      </c>
      <c r="B67" s="49" t="s">
        <v>304</v>
      </c>
      <c r="C67" s="49" t="s">
        <v>305</v>
      </c>
      <c r="D67" s="49" t="s">
        <v>188</v>
      </c>
      <c r="E67" s="54" t="str">
        <f t="shared" ref="E67:E78" si="3">B67&amp;" "&amp;C67&amp;" "&amp;D67</f>
        <v xml:space="preserve">Daucus carota </v>
      </c>
      <c r="F67" s="54" t="str">
        <f t="shared" ref="F67:F78" si="4">C67&amp;" "&amp;D67</f>
        <v xml:space="preserve">carota </v>
      </c>
      <c r="G67" s="49" t="s">
        <v>319</v>
      </c>
      <c r="H67" s="49" t="s">
        <v>324</v>
      </c>
      <c r="I67" s="49" t="s">
        <v>306</v>
      </c>
      <c r="J67" s="56" t="s">
        <v>192</v>
      </c>
      <c r="K67" s="54" t="str">
        <f t="shared" ref="K67:K78" si="5">I67&amp;" "&amp;G67&amp;" "&amp;J67</f>
        <v>Carrot Vegetable General</v>
      </c>
      <c r="L67" s="49">
        <v>117</v>
      </c>
      <c r="M67" s="49" t="s">
        <v>142</v>
      </c>
      <c r="N67" s="49" t="s">
        <v>201</v>
      </c>
      <c r="O67" s="49" t="s">
        <v>145</v>
      </c>
      <c r="P67" s="51" t="s">
        <v>331</v>
      </c>
      <c r="Q67" s="52">
        <v>70</v>
      </c>
      <c r="R67" s="49" t="s">
        <v>5</v>
      </c>
      <c r="S67" s="53" t="s">
        <v>322</v>
      </c>
      <c r="T67" s="49" t="s">
        <v>196</v>
      </c>
      <c r="U67" s="49">
        <v>0</v>
      </c>
      <c r="V67" s="51">
        <v>0</v>
      </c>
      <c r="W67" s="49">
        <v>0.9</v>
      </c>
      <c r="X67" s="49">
        <v>7.0000000000000007E-2</v>
      </c>
      <c r="Y67" s="49">
        <v>88</v>
      </c>
      <c r="Z67" s="39">
        <v>0.1</v>
      </c>
      <c r="AA67" s="40">
        <v>1.2</v>
      </c>
      <c r="AB67" s="39">
        <v>0.9</v>
      </c>
      <c r="AC67" s="40">
        <v>0.7</v>
      </c>
      <c r="AD67" s="49">
        <v>0.9</v>
      </c>
      <c r="AE67" s="49">
        <v>2</v>
      </c>
      <c r="AF67" s="51">
        <v>1</v>
      </c>
      <c r="AG67" s="157">
        <v>80000</v>
      </c>
    </row>
    <row r="68" spans="1:33" ht="15.75" thickBot="1" x14ac:dyDescent="0.3">
      <c r="A68" s="49" t="s">
        <v>366</v>
      </c>
      <c r="B68" s="49" t="s">
        <v>367</v>
      </c>
      <c r="C68" s="49" t="s">
        <v>368</v>
      </c>
      <c r="D68" s="49" t="s">
        <v>188</v>
      </c>
      <c r="E68" s="54" t="str">
        <f t="shared" si="3"/>
        <v xml:space="preserve">Ipomoea batatas </v>
      </c>
      <c r="F68" s="54" t="str">
        <f t="shared" si="4"/>
        <v xml:space="preserve">batatas </v>
      </c>
      <c r="G68" s="49" t="s">
        <v>319</v>
      </c>
      <c r="H68" s="49" t="s">
        <v>324</v>
      </c>
      <c r="I68" s="49" t="s">
        <v>369</v>
      </c>
      <c r="J68" s="56" t="s">
        <v>192</v>
      </c>
      <c r="K68" s="54" t="str">
        <f t="shared" si="5"/>
        <v>Kumara Vegetable General</v>
      </c>
      <c r="L68" s="49">
        <v>118</v>
      </c>
      <c r="M68" s="49" t="s">
        <v>142</v>
      </c>
      <c r="N68" s="49" t="s">
        <v>201</v>
      </c>
      <c r="O68" s="49" t="s">
        <v>148</v>
      </c>
      <c r="P68" s="51" t="s">
        <v>193</v>
      </c>
      <c r="Q68" s="52">
        <v>50</v>
      </c>
      <c r="R68" s="49" t="s">
        <v>5</v>
      </c>
      <c r="S68" s="53" t="s">
        <v>322</v>
      </c>
      <c r="T68" s="49" t="s">
        <v>196</v>
      </c>
      <c r="U68" s="49">
        <v>0</v>
      </c>
      <c r="V68" s="51">
        <v>0</v>
      </c>
      <c r="W68" s="49">
        <v>0.89</v>
      </c>
      <c r="X68" s="49">
        <v>0</v>
      </c>
      <c r="Y68" s="49">
        <v>77.400000000000006</v>
      </c>
      <c r="Z68" s="39">
        <v>0.1</v>
      </c>
      <c r="AA68" s="40">
        <v>0.9</v>
      </c>
      <c r="AB68" s="39">
        <v>1</v>
      </c>
      <c r="AC68" s="40">
        <v>1</v>
      </c>
      <c r="AD68" s="49">
        <v>1</v>
      </c>
      <c r="AE68" s="49">
        <v>2</v>
      </c>
      <c r="AF68" s="51">
        <v>1.8</v>
      </c>
      <c r="AG68" s="157">
        <v>80000</v>
      </c>
    </row>
    <row r="69" spans="1:33" ht="15.75" thickBot="1" x14ac:dyDescent="0.3">
      <c r="A69" s="49" t="s">
        <v>264</v>
      </c>
      <c r="B69" s="49" t="s">
        <v>370</v>
      </c>
      <c r="C69" s="49" t="s">
        <v>205</v>
      </c>
      <c r="D69" s="49" t="s">
        <v>188</v>
      </c>
      <c r="E69" s="54" t="str">
        <f t="shared" si="3"/>
        <v xml:space="preserve">Lactuca sativa </v>
      </c>
      <c r="F69" s="54" t="str">
        <f t="shared" si="4"/>
        <v xml:space="preserve">sativa </v>
      </c>
      <c r="G69" s="49" t="s">
        <v>319</v>
      </c>
      <c r="H69" s="49" t="s">
        <v>320</v>
      </c>
      <c r="I69" s="49" t="s">
        <v>20</v>
      </c>
      <c r="J69" s="56" t="s">
        <v>371</v>
      </c>
      <c r="K69" s="54" t="str">
        <f t="shared" si="5"/>
        <v>Lettuce Vegetable Ice berg</v>
      </c>
      <c r="L69" s="49">
        <v>119</v>
      </c>
      <c r="M69" s="49" t="s">
        <v>144</v>
      </c>
      <c r="N69" s="49" t="s">
        <v>246</v>
      </c>
      <c r="O69" s="49" t="s">
        <v>143</v>
      </c>
      <c r="P69" s="51" t="s">
        <v>231</v>
      </c>
      <c r="Q69" s="52">
        <v>50</v>
      </c>
      <c r="R69" s="49" t="s">
        <v>5</v>
      </c>
      <c r="S69" s="53" t="s">
        <v>322</v>
      </c>
      <c r="T69" s="49" t="s">
        <v>196</v>
      </c>
      <c r="U69" s="49">
        <v>0</v>
      </c>
      <c r="V69" s="51">
        <v>0</v>
      </c>
      <c r="W69" s="49">
        <v>0.7</v>
      </c>
      <c r="X69" s="49">
        <v>0</v>
      </c>
      <c r="Y69" s="49">
        <v>95</v>
      </c>
      <c r="Z69" s="39">
        <v>0.1</v>
      </c>
      <c r="AA69" s="40">
        <v>1</v>
      </c>
      <c r="AB69" s="39">
        <v>0.95</v>
      </c>
      <c r="AC69" s="40">
        <v>1</v>
      </c>
      <c r="AD69" s="49">
        <v>0.9</v>
      </c>
      <c r="AE69" s="49">
        <v>3</v>
      </c>
      <c r="AF69" s="51">
        <v>2.6</v>
      </c>
      <c r="AG69" s="157">
        <v>80000</v>
      </c>
    </row>
    <row r="70" spans="1:33" ht="15.75" thickBot="1" x14ac:dyDescent="0.3">
      <c r="A70" s="49" t="s">
        <v>264</v>
      </c>
      <c r="B70" s="49" t="s">
        <v>370</v>
      </c>
      <c r="C70" s="49" t="s">
        <v>205</v>
      </c>
      <c r="D70" s="49" t="s">
        <v>188</v>
      </c>
      <c r="E70" s="54" t="str">
        <f t="shared" si="3"/>
        <v xml:space="preserve">Lactuca sativa </v>
      </c>
      <c r="F70" s="54" t="str">
        <f t="shared" si="4"/>
        <v xml:space="preserve">sativa </v>
      </c>
      <c r="G70" s="49" t="s">
        <v>319</v>
      </c>
      <c r="H70" s="49" t="s">
        <v>320</v>
      </c>
      <c r="I70" s="49" t="s">
        <v>20</v>
      </c>
      <c r="J70" s="56" t="s">
        <v>372</v>
      </c>
      <c r="K70" s="54" t="str">
        <f t="shared" si="5"/>
        <v>Lettuce Vegetable Leafy-salad</v>
      </c>
      <c r="L70" s="49">
        <v>120</v>
      </c>
      <c r="M70" s="49" t="s">
        <v>144</v>
      </c>
      <c r="N70" s="49" t="s">
        <v>246</v>
      </c>
      <c r="O70" s="49" t="s">
        <v>143</v>
      </c>
      <c r="P70" s="51" t="s">
        <v>231</v>
      </c>
      <c r="Q70" s="52">
        <v>40</v>
      </c>
      <c r="R70" s="49" t="s">
        <v>5</v>
      </c>
      <c r="S70" s="53" t="s">
        <v>322</v>
      </c>
      <c r="T70" s="49" t="s">
        <v>196</v>
      </c>
      <c r="U70" s="49">
        <v>0</v>
      </c>
      <c r="V70" s="51">
        <v>0</v>
      </c>
      <c r="W70" s="49">
        <v>0.8</v>
      </c>
      <c r="X70" s="49">
        <v>0</v>
      </c>
      <c r="Y70" s="49">
        <v>95</v>
      </c>
      <c r="Z70" s="39">
        <v>0.1</v>
      </c>
      <c r="AA70" s="40">
        <v>1</v>
      </c>
      <c r="AB70" s="39">
        <v>0.9</v>
      </c>
      <c r="AC70" s="40">
        <v>1</v>
      </c>
      <c r="AD70" s="49">
        <v>0.9</v>
      </c>
      <c r="AE70" s="49">
        <v>3</v>
      </c>
      <c r="AF70" s="51">
        <v>3.5</v>
      </c>
      <c r="AG70" s="157">
        <v>80000</v>
      </c>
    </row>
    <row r="71" spans="1:33" ht="15.75" thickBot="1" x14ac:dyDescent="0.3">
      <c r="A71" s="49" t="s">
        <v>303</v>
      </c>
      <c r="B71" s="49" t="s">
        <v>373</v>
      </c>
      <c r="C71" s="49" t="s">
        <v>205</v>
      </c>
      <c r="D71" s="49" t="s">
        <v>188</v>
      </c>
      <c r="E71" s="54" t="str">
        <f t="shared" si="3"/>
        <v xml:space="preserve">Pastinaca sativa </v>
      </c>
      <c r="F71" s="54" t="str">
        <f t="shared" si="4"/>
        <v xml:space="preserve">sativa </v>
      </c>
      <c r="G71" s="49" t="s">
        <v>319</v>
      </c>
      <c r="H71" s="49" t="s">
        <v>324</v>
      </c>
      <c r="I71" s="49" t="s">
        <v>374</v>
      </c>
      <c r="J71" s="56" t="s">
        <v>192</v>
      </c>
      <c r="K71" s="54" t="str">
        <f t="shared" si="5"/>
        <v>Parsnip Vegetable General</v>
      </c>
      <c r="L71" s="49">
        <v>121</v>
      </c>
      <c r="M71" s="49" t="s">
        <v>142</v>
      </c>
      <c r="N71" s="49" t="s">
        <v>246</v>
      </c>
      <c r="O71" s="49" t="s">
        <v>145</v>
      </c>
      <c r="P71" s="51" t="s">
        <v>193</v>
      </c>
      <c r="Q71" s="52">
        <v>44</v>
      </c>
      <c r="R71" s="49" t="s">
        <v>5</v>
      </c>
      <c r="S71" s="53" t="s">
        <v>322</v>
      </c>
      <c r="T71" s="49" t="s">
        <v>196</v>
      </c>
      <c r="U71" s="49">
        <v>0</v>
      </c>
      <c r="V71" s="51">
        <v>0</v>
      </c>
      <c r="W71" s="49">
        <v>0.95</v>
      </c>
      <c r="X71" s="49">
        <v>0</v>
      </c>
      <c r="Y71" s="49">
        <v>83</v>
      </c>
      <c r="Z71" s="39">
        <v>0.1</v>
      </c>
      <c r="AA71" s="40">
        <v>1.2</v>
      </c>
      <c r="AB71" s="39">
        <v>0.95</v>
      </c>
      <c r="AC71" s="40">
        <v>0.8</v>
      </c>
      <c r="AD71" s="49">
        <v>0.9</v>
      </c>
      <c r="AE71" s="49">
        <v>2</v>
      </c>
      <c r="AF71" s="51">
        <v>1.35</v>
      </c>
      <c r="AG71" s="157">
        <v>80000</v>
      </c>
    </row>
    <row r="72" spans="1:33" ht="15.75" thickBot="1" x14ac:dyDescent="0.3">
      <c r="A72" s="49" t="s">
        <v>259</v>
      </c>
      <c r="B72" s="49" t="s">
        <v>275</v>
      </c>
      <c r="C72" s="49" t="s">
        <v>215</v>
      </c>
      <c r="D72" s="49" t="s">
        <v>188</v>
      </c>
      <c r="E72" s="54" t="str">
        <f t="shared" si="3"/>
        <v xml:space="preserve">Phaseolus vulgaris </v>
      </c>
      <c r="F72" s="54" t="str">
        <f t="shared" si="4"/>
        <v xml:space="preserve">vulgaris </v>
      </c>
      <c r="G72" s="49" t="s">
        <v>319</v>
      </c>
      <c r="H72" s="49" t="s">
        <v>262</v>
      </c>
      <c r="I72" s="49" t="s">
        <v>276</v>
      </c>
      <c r="J72" s="56" t="s">
        <v>192</v>
      </c>
      <c r="K72" s="54" t="str">
        <f t="shared" si="5"/>
        <v>Bean Vegetable General</v>
      </c>
      <c r="L72" s="49">
        <v>122</v>
      </c>
      <c r="M72" s="49" t="s">
        <v>142</v>
      </c>
      <c r="N72" s="49" t="s">
        <v>210</v>
      </c>
      <c r="O72" s="49" t="s">
        <v>145</v>
      </c>
      <c r="P72" s="51" t="s">
        <v>234</v>
      </c>
      <c r="Q72" s="52">
        <v>18</v>
      </c>
      <c r="R72" s="49" t="s">
        <v>5</v>
      </c>
      <c r="S72" s="53" t="s">
        <v>322</v>
      </c>
      <c r="T72" s="49" t="s">
        <v>196</v>
      </c>
      <c r="U72" s="49">
        <v>0</v>
      </c>
      <c r="V72" s="51">
        <v>0</v>
      </c>
      <c r="W72" s="49">
        <v>0.44</v>
      </c>
      <c r="X72" s="49">
        <v>7.0000000000000007E-2</v>
      </c>
      <c r="Y72" s="49">
        <v>89</v>
      </c>
      <c r="Z72" s="39">
        <v>0.1</v>
      </c>
      <c r="AA72" s="40">
        <v>1</v>
      </c>
      <c r="AB72" s="39">
        <v>0.9</v>
      </c>
      <c r="AC72" s="40">
        <v>1</v>
      </c>
      <c r="AD72" s="49">
        <v>1.5</v>
      </c>
      <c r="AE72" s="49">
        <v>2.5</v>
      </c>
      <c r="AF72" s="51">
        <v>2.8</v>
      </c>
      <c r="AG72" s="157">
        <v>80000</v>
      </c>
    </row>
    <row r="73" spans="1:33" ht="15.75" thickBot="1" x14ac:dyDescent="0.3">
      <c r="A73" s="49" t="s">
        <v>259</v>
      </c>
      <c r="B73" s="49" t="s">
        <v>277</v>
      </c>
      <c r="C73" s="49" t="s">
        <v>278</v>
      </c>
      <c r="D73" s="49" t="s">
        <v>188</v>
      </c>
      <c r="E73" s="54" t="str">
        <f t="shared" si="3"/>
        <v xml:space="preserve">Pisum sativum </v>
      </c>
      <c r="F73" s="54" t="str">
        <f t="shared" si="4"/>
        <v xml:space="preserve">sativum </v>
      </c>
      <c r="G73" s="49" t="s">
        <v>319</v>
      </c>
      <c r="H73" s="49" t="s">
        <v>262</v>
      </c>
      <c r="I73" s="49" t="s">
        <v>279</v>
      </c>
      <c r="J73" s="56" t="s">
        <v>192</v>
      </c>
      <c r="K73" s="54" t="str">
        <f t="shared" si="5"/>
        <v>Pea Vegetable General</v>
      </c>
      <c r="L73" s="49">
        <v>123</v>
      </c>
      <c r="M73" s="49" t="s">
        <v>142</v>
      </c>
      <c r="N73" s="49" t="s">
        <v>346</v>
      </c>
      <c r="O73" s="49" t="s">
        <v>145</v>
      </c>
      <c r="P73" s="51" t="s">
        <v>225</v>
      </c>
      <c r="Q73" s="52">
        <v>9.5</v>
      </c>
      <c r="R73" s="49" t="s">
        <v>5</v>
      </c>
      <c r="S73" s="53" t="s">
        <v>322</v>
      </c>
      <c r="T73" s="49" t="s">
        <v>196</v>
      </c>
      <c r="U73" s="49">
        <v>0</v>
      </c>
      <c r="V73" s="51">
        <v>0</v>
      </c>
      <c r="W73" s="49">
        <v>0.34</v>
      </c>
      <c r="X73" s="49">
        <v>0.08</v>
      </c>
      <c r="Y73" s="49">
        <v>73</v>
      </c>
      <c r="Z73" s="39">
        <v>0.1</v>
      </c>
      <c r="AA73" s="40">
        <v>0.7</v>
      </c>
      <c r="AB73" s="39">
        <v>1</v>
      </c>
      <c r="AC73" s="40">
        <v>1</v>
      </c>
      <c r="AD73" s="49">
        <v>1.5</v>
      </c>
      <c r="AE73" s="49">
        <v>2.1</v>
      </c>
      <c r="AF73" s="51">
        <v>4</v>
      </c>
      <c r="AG73" s="157">
        <v>80000</v>
      </c>
    </row>
    <row r="74" spans="1:33" ht="15.75" thickBot="1" x14ac:dyDescent="0.3">
      <c r="A74" s="49" t="s">
        <v>375</v>
      </c>
      <c r="B74" s="49" t="s">
        <v>376</v>
      </c>
      <c r="C74" s="49" t="s">
        <v>377</v>
      </c>
      <c r="D74" s="49" t="s">
        <v>188</v>
      </c>
      <c r="E74" s="54" t="str">
        <f t="shared" si="3"/>
        <v xml:space="preserve">Solanum  lycopersicum </v>
      </c>
      <c r="F74" s="54" t="str">
        <f t="shared" si="4"/>
        <v xml:space="preserve">lycopersicum </v>
      </c>
      <c r="G74" s="49" t="s">
        <v>319</v>
      </c>
      <c r="H74" s="49" t="s">
        <v>356</v>
      </c>
      <c r="I74" s="49" t="s">
        <v>378</v>
      </c>
      <c r="J74" s="56" t="s">
        <v>192</v>
      </c>
      <c r="K74" s="54" t="str">
        <f t="shared" si="5"/>
        <v>Tomato Vegetable General</v>
      </c>
      <c r="L74" s="49">
        <v>124</v>
      </c>
      <c r="M74" s="49" t="s">
        <v>144</v>
      </c>
      <c r="N74" s="49" t="s">
        <v>201</v>
      </c>
      <c r="O74" s="49" t="s">
        <v>147</v>
      </c>
      <c r="P74" s="51" t="s">
        <v>242</v>
      </c>
      <c r="Q74" s="52">
        <v>100</v>
      </c>
      <c r="R74" s="49" t="s">
        <v>5</v>
      </c>
      <c r="S74" s="53" t="s">
        <v>322</v>
      </c>
      <c r="T74" s="49" t="s">
        <v>196</v>
      </c>
      <c r="U74" s="49">
        <v>0</v>
      </c>
      <c r="V74" s="51">
        <v>0</v>
      </c>
      <c r="W74" s="49">
        <v>0.5</v>
      </c>
      <c r="X74" s="49">
        <v>0</v>
      </c>
      <c r="Y74" s="49">
        <v>95</v>
      </c>
      <c r="Z74" s="39">
        <v>0.1</v>
      </c>
      <c r="AA74" s="40">
        <v>0.6</v>
      </c>
      <c r="AB74" s="39">
        <v>1</v>
      </c>
      <c r="AC74" s="40">
        <v>1.2</v>
      </c>
      <c r="AD74" s="49">
        <v>0.9</v>
      </c>
      <c r="AE74" s="49">
        <v>2</v>
      </c>
      <c r="AF74" s="51">
        <v>2</v>
      </c>
      <c r="AG74" s="157">
        <v>80000</v>
      </c>
    </row>
    <row r="75" spans="1:33" ht="15.75" thickBot="1" x14ac:dyDescent="0.3">
      <c r="A75" s="49" t="s">
        <v>375</v>
      </c>
      <c r="B75" s="49" t="s">
        <v>376</v>
      </c>
      <c r="C75" s="49" t="s">
        <v>379</v>
      </c>
      <c r="D75" s="49" t="s">
        <v>188</v>
      </c>
      <c r="E75" s="54" t="str">
        <f t="shared" si="3"/>
        <v xml:space="preserve">Solanum  tuberosum </v>
      </c>
      <c r="F75" s="54" t="str">
        <f t="shared" si="4"/>
        <v xml:space="preserve">tuberosum </v>
      </c>
      <c r="G75" s="49" t="s">
        <v>319</v>
      </c>
      <c r="H75" s="49" t="s">
        <v>324</v>
      </c>
      <c r="I75" s="49" t="s">
        <v>22</v>
      </c>
      <c r="J75" s="56" t="s">
        <v>192</v>
      </c>
      <c r="K75" s="54" t="str">
        <f t="shared" si="5"/>
        <v>Potato Vegetable General</v>
      </c>
      <c r="L75" s="49">
        <v>125</v>
      </c>
      <c r="M75" s="49" t="s">
        <v>142</v>
      </c>
      <c r="N75" s="49" t="s">
        <v>201</v>
      </c>
      <c r="O75" s="49" t="s">
        <v>147</v>
      </c>
      <c r="P75" s="51" t="s">
        <v>193</v>
      </c>
      <c r="Q75" s="52">
        <v>64</v>
      </c>
      <c r="R75" s="49" t="s">
        <v>5</v>
      </c>
      <c r="S75" s="53" t="s">
        <v>322</v>
      </c>
      <c r="T75" s="49" t="s">
        <v>196</v>
      </c>
      <c r="U75" s="49">
        <v>0</v>
      </c>
      <c r="V75" s="51">
        <v>0</v>
      </c>
      <c r="W75" s="49">
        <v>0.9</v>
      </c>
      <c r="X75" s="49">
        <v>0.06</v>
      </c>
      <c r="Y75" s="49">
        <v>77.7</v>
      </c>
      <c r="Z75" s="39">
        <v>0.1</v>
      </c>
      <c r="AA75" s="40">
        <v>0.6</v>
      </c>
      <c r="AB75" s="39">
        <v>1</v>
      </c>
      <c r="AC75" s="40">
        <v>1.2</v>
      </c>
      <c r="AD75" s="49">
        <v>0.9</v>
      </c>
      <c r="AE75" s="49">
        <v>2</v>
      </c>
      <c r="AF75" s="51">
        <v>1.8</v>
      </c>
      <c r="AG75" s="157">
        <v>80000</v>
      </c>
    </row>
    <row r="76" spans="1:33" ht="15.75" thickBot="1" x14ac:dyDescent="0.3">
      <c r="A76" s="49" t="s">
        <v>213</v>
      </c>
      <c r="B76" s="49" t="s">
        <v>380</v>
      </c>
      <c r="C76" s="49" t="s">
        <v>381</v>
      </c>
      <c r="D76" s="49" t="s">
        <v>188</v>
      </c>
      <c r="E76" s="54" t="str">
        <f t="shared" si="3"/>
        <v xml:space="preserve">Spinacia loeracea </v>
      </c>
      <c r="F76" s="54" t="str">
        <f t="shared" si="4"/>
        <v xml:space="preserve">loeracea </v>
      </c>
      <c r="G76" s="49" t="s">
        <v>319</v>
      </c>
      <c r="H76" s="49" t="s">
        <v>320</v>
      </c>
      <c r="I76" s="49" t="s">
        <v>382</v>
      </c>
      <c r="J76" s="56" t="s">
        <v>192</v>
      </c>
      <c r="K76" s="54" t="str">
        <f t="shared" si="5"/>
        <v>Spinach Vegetable General</v>
      </c>
      <c r="L76" s="49">
        <v>126</v>
      </c>
      <c r="M76" s="49" t="s">
        <v>142</v>
      </c>
      <c r="N76" s="49" t="s">
        <v>193</v>
      </c>
      <c r="O76" s="49" t="s">
        <v>143</v>
      </c>
      <c r="P76" s="51" t="s">
        <v>246</v>
      </c>
      <c r="Q76" s="52">
        <v>22</v>
      </c>
      <c r="R76" s="49" t="s">
        <v>5</v>
      </c>
      <c r="S76" s="53" t="s">
        <v>322</v>
      </c>
      <c r="T76" s="49" t="s">
        <v>196</v>
      </c>
      <c r="U76" s="49">
        <v>0</v>
      </c>
      <c r="V76" s="51">
        <v>0</v>
      </c>
      <c r="W76" s="49">
        <v>0.7</v>
      </c>
      <c r="X76" s="49">
        <v>0</v>
      </c>
      <c r="Y76" s="49">
        <v>92</v>
      </c>
      <c r="Z76" s="39">
        <v>0.1</v>
      </c>
      <c r="AA76" s="40">
        <v>1.5</v>
      </c>
      <c r="AB76" s="39">
        <v>0.8</v>
      </c>
      <c r="AC76" s="40">
        <v>1</v>
      </c>
      <c r="AD76" s="49">
        <v>0.8</v>
      </c>
      <c r="AE76" s="49">
        <v>4</v>
      </c>
      <c r="AF76" s="51">
        <v>4.5</v>
      </c>
      <c r="AG76" s="157">
        <v>80000</v>
      </c>
    </row>
    <row r="77" spans="1:33" ht="15.75" thickBot="1" x14ac:dyDescent="0.3">
      <c r="A77" s="49" t="s">
        <v>259</v>
      </c>
      <c r="B77" s="49" t="s">
        <v>383</v>
      </c>
      <c r="C77" s="49" t="s">
        <v>384</v>
      </c>
      <c r="D77" s="49" t="s">
        <v>188</v>
      </c>
      <c r="E77" s="54" t="str">
        <f t="shared" si="3"/>
        <v xml:space="preserve">Vicia faba </v>
      </c>
      <c r="F77" s="54" t="str">
        <f t="shared" si="4"/>
        <v xml:space="preserve">faba </v>
      </c>
      <c r="G77" s="49" t="s">
        <v>319</v>
      </c>
      <c r="H77" s="49" t="s">
        <v>262</v>
      </c>
      <c r="I77" s="49" t="s">
        <v>385</v>
      </c>
      <c r="J77" s="56" t="s">
        <v>192</v>
      </c>
      <c r="K77" s="54" t="str">
        <f t="shared" si="5"/>
        <v>Broad bean Vegetable General</v>
      </c>
      <c r="L77" s="49">
        <v>127</v>
      </c>
      <c r="M77" s="49" t="s">
        <v>142</v>
      </c>
      <c r="N77" s="49" t="s">
        <v>193</v>
      </c>
      <c r="O77" s="49" t="s">
        <v>145</v>
      </c>
      <c r="P77" s="51" t="s">
        <v>210</v>
      </c>
      <c r="Q77" s="52">
        <v>11</v>
      </c>
      <c r="R77" s="49" t="s">
        <v>5</v>
      </c>
      <c r="S77" s="53" t="s">
        <v>322</v>
      </c>
      <c r="T77" s="49" t="s">
        <v>196</v>
      </c>
      <c r="U77" s="49">
        <v>0</v>
      </c>
      <c r="V77" s="51">
        <v>0</v>
      </c>
      <c r="W77" s="49">
        <v>0.3</v>
      </c>
      <c r="X77" s="49">
        <v>0.05</v>
      </c>
      <c r="Y77" s="49">
        <v>76</v>
      </c>
      <c r="Z77" s="39">
        <v>0.1</v>
      </c>
      <c r="AA77" s="40">
        <v>1</v>
      </c>
      <c r="AB77" s="39">
        <v>0.9</v>
      </c>
      <c r="AC77" s="40">
        <v>1</v>
      </c>
      <c r="AD77" s="49">
        <v>1.5</v>
      </c>
      <c r="AE77" s="49">
        <v>1.7</v>
      </c>
      <c r="AF77" s="51">
        <v>4.4000000000000004</v>
      </c>
      <c r="AG77" s="157">
        <v>80000</v>
      </c>
    </row>
    <row r="78" spans="1:33" ht="15.75" thickBot="1" x14ac:dyDescent="0.3">
      <c r="A78" s="49" t="s">
        <v>203</v>
      </c>
      <c r="B78" s="49" t="s">
        <v>252</v>
      </c>
      <c r="C78" s="49" t="s">
        <v>253</v>
      </c>
      <c r="D78" s="49" t="s">
        <v>188</v>
      </c>
      <c r="E78" s="54" t="str">
        <f t="shared" si="3"/>
        <v xml:space="preserve">Zea mays </v>
      </c>
      <c r="F78" s="54" t="str">
        <f t="shared" si="4"/>
        <v xml:space="preserve">mays </v>
      </c>
      <c r="G78" s="49" t="s">
        <v>319</v>
      </c>
      <c r="H78" s="49" t="s">
        <v>356</v>
      </c>
      <c r="I78" s="49" t="s">
        <v>386</v>
      </c>
      <c r="J78" s="56" t="s">
        <v>192</v>
      </c>
      <c r="K78" s="54" t="str">
        <f t="shared" si="5"/>
        <v>Sweetcorn Vegetable General</v>
      </c>
      <c r="L78" s="49">
        <v>128</v>
      </c>
      <c r="M78" s="49" t="s">
        <v>142</v>
      </c>
      <c r="N78" s="49" t="s">
        <v>201</v>
      </c>
      <c r="O78" s="49" t="s">
        <v>146</v>
      </c>
      <c r="P78" s="51" t="s">
        <v>194</v>
      </c>
      <c r="Q78" s="52">
        <v>22</v>
      </c>
      <c r="R78" s="49" t="s">
        <v>5</v>
      </c>
      <c r="S78" s="53" t="s">
        <v>322</v>
      </c>
      <c r="T78" s="49" t="s">
        <v>196</v>
      </c>
      <c r="U78" s="49">
        <v>0</v>
      </c>
      <c r="V78" s="51">
        <v>0</v>
      </c>
      <c r="W78" s="49">
        <v>0.48</v>
      </c>
      <c r="X78" s="49">
        <v>0.02</v>
      </c>
      <c r="Y78" s="49">
        <v>78</v>
      </c>
      <c r="Z78" s="39">
        <v>0.1</v>
      </c>
      <c r="AA78" s="40">
        <v>1.5</v>
      </c>
      <c r="AB78" s="41">
        <v>0.75</v>
      </c>
      <c r="AC78" s="42">
        <v>1</v>
      </c>
      <c r="AD78" s="49">
        <v>0.9</v>
      </c>
      <c r="AE78" s="49">
        <v>0.9</v>
      </c>
      <c r="AF78" s="51">
        <v>1.4</v>
      </c>
      <c r="AG78" s="157">
        <v>80000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69FD5-B6F7-43A0-BD7B-DF0C0AF54E64}">
  <dimension ref="A2:K369"/>
  <sheetViews>
    <sheetView workbookViewId="0">
      <selection activeCell="H28" sqref="H28"/>
    </sheetView>
  </sheetViews>
  <sheetFormatPr defaultRowHeight="15" x14ac:dyDescent="0.25"/>
  <cols>
    <col min="3" max="3" width="12" bestFit="1" customWidth="1"/>
  </cols>
  <sheetData>
    <row r="2" spans="1:11" x14ac:dyDescent="0.25">
      <c r="A2" t="s">
        <v>389</v>
      </c>
      <c r="B2" t="s">
        <v>390</v>
      </c>
      <c r="C2" t="s">
        <v>24</v>
      </c>
      <c r="D2" t="s">
        <v>391</v>
      </c>
      <c r="E2" t="s">
        <v>393</v>
      </c>
      <c r="F2" t="s">
        <v>31</v>
      </c>
    </row>
    <row r="3" spans="1:11" x14ac:dyDescent="0.25">
      <c r="A3">
        <v>1</v>
      </c>
      <c r="B3">
        <v>16.179411764705801</v>
      </c>
      <c r="C3">
        <v>17.639655172413701</v>
      </c>
      <c r="D3">
        <v>17.1568181818181</v>
      </c>
      <c r="E3">
        <v>14.48</v>
      </c>
      <c r="F3">
        <v>17.908333333333299</v>
      </c>
      <c r="J3" t="s">
        <v>392</v>
      </c>
      <c r="K3">
        <v>0</v>
      </c>
    </row>
    <row r="4" spans="1:11" x14ac:dyDescent="0.25">
      <c r="A4">
        <v>2</v>
      </c>
      <c r="B4">
        <v>17.160294117646998</v>
      </c>
      <c r="C4">
        <v>18.013793103448201</v>
      </c>
      <c r="D4">
        <v>17.6204545454545</v>
      </c>
      <c r="E4">
        <v>14.1261904761904</v>
      </c>
      <c r="F4">
        <v>18.454166666666602</v>
      </c>
      <c r="J4">
        <v>1</v>
      </c>
    </row>
    <row r="5" spans="1:11" x14ac:dyDescent="0.25">
      <c r="A5">
        <v>3</v>
      </c>
      <c r="B5">
        <v>16.8117647058823</v>
      </c>
      <c r="C5">
        <v>17.827586206896498</v>
      </c>
      <c r="D5">
        <v>18.015909090908998</v>
      </c>
      <c r="E5">
        <v>14.112500000000001</v>
      </c>
      <c r="F5">
        <v>18.4916666666666</v>
      </c>
      <c r="J5">
        <v>2</v>
      </c>
    </row>
    <row r="6" spans="1:11" x14ac:dyDescent="0.25">
      <c r="A6">
        <v>4</v>
      </c>
      <c r="B6">
        <v>15.772058823529401</v>
      </c>
      <c r="C6">
        <v>18.068965517241299</v>
      </c>
      <c r="D6">
        <v>16.890909090908998</v>
      </c>
      <c r="E6">
        <v>14.487500000000001</v>
      </c>
      <c r="F6">
        <v>17</v>
      </c>
      <c r="J6">
        <v>3</v>
      </c>
    </row>
    <row r="7" spans="1:11" x14ac:dyDescent="0.25">
      <c r="A7">
        <v>5</v>
      </c>
      <c r="B7">
        <v>16.045588235294101</v>
      </c>
      <c r="C7">
        <v>17.658620689655098</v>
      </c>
      <c r="D7">
        <v>16.95</v>
      </c>
      <c r="E7">
        <v>14.975</v>
      </c>
      <c r="F7">
        <v>16.4166666666666</v>
      </c>
      <c r="J7">
        <v>4</v>
      </c>
    </row>
    <row r="8" spans="1:11" x14ac:dyDescent="0.25">
      <c r="A8">
        <v>6</v>
      </c>
      <c r="B8">
        <v>16.1955882352941</v>
      </c>
      <c r="C8">
        <v>17.7431034482758</v>
      </c>
      <c r="D8">
        <v>17.2431818181818</v>
      </c>
      <c r="E8">
        <v>14.8261904761904</v>
      </c>
      <c r="F8">
        <v>17.629166666666599</v>
      </c>
      <c r="J8">
        <v>5</v>
      </c>
    </row>
    <row r="9" spans="1:11" x14ac:dyDescent="0.25">
      <c r="A9">
        <v>7</v>
      </c>
      <c r="B9">
        <v>17.395588235294099</v>
      </c>
      <c r="C9">
        <v>18.181034482758601</v>
      </c>
      <c r="D9">
        <v>18.231818181818099</v>
      </c>
      <c r="E9">
        <v>14.342857142857101</v>
      </c>
      <c r="F9">
        <v>17.004166666666599</v>
      </c>
      <c r="J9">
        <v>6</v>
      </c>
    </row>
    <row r="10" spans="1:11" x14ac:dyDescent="0.25">
      <c r="A10">
        <v>8</v>
      </c>
      <c r="B10">
        <v>17.102249134948</v>
      </c>
      <c r="C10">
        <v>18.393103448275799</v>
      </c>
      <c r="D10">
        <v>18.6272727272727</v>
      </c>
      <c r="E10">
        <v>13.8761904761904</v>
      </c>
      <c r="F10">
        <v>17.433333333333302</v>
      </c>
      <c r="J10">
        <v>7</v>
      </c>
    </row>
    <row r="11" spans="1:11" x14ac:dyDescent="0.25">
      <c r="A11">
        <v>9</v>
      </c>
      <c r="B11">
        <v>16.213235294117599</v>
      </c>
      <c r="C11">
        <v>18.6103448275862</v>
      </c>
      <c r="D11">
        <v>17.629545454545401</v>
      </c>
      <c r="E11">
        <v>13.595238095238001</v>
      </c>
      <c r="F11">
        <v>17.0208333333333</v>
      </c>
      <c r="J11">
        <v>8</v>
      </c>
    </row>
    <row r="12" spans="1:11" x14ac:dyDescent="0.25">
      <c r="A12">
        <v>10</v>
      </c>
      <c r="B12">
        <v>15.8947058823529</v>
      </c>
      <c r="C12">
        <v>18.453448275862002</v>
      </c>
      <c r="D12">
        <v>17.947727272727199</v>
      </c>
      <c r="E12">
        <v>13.529545454545399</v>
      </c>
      <c r="F12">
        <v>17.6041666666666</v>
      </c>
      <c r="J12">
        <v>9</v>
      </c>
    </row>
    <row r="13" spans="1:11" x14ac:dyDescent="0.25">
      <c r="A13">
        <v>11</v>
      </c>
      <c r="B13">
        <v>16.250588235294099</v>
      </c>
      <c r="C13">
        <v>18.186206896551699</v>
      </c>
      <c r="D13">
        <v>17.4590909090909</v>
      </c>
      <c r="E13">
        <v>14.221739130434701</v>
      </c>
      <c r="F13">
        <v>17.654166666666601</v>
      </c>
      <c r="J13">
        <v>10</v>
      </c>
    </row>
    <row r="14" spans="1:11" x14ac:dyDescent="0.25">
      <c r="A14">
        <v>12</v>
      </c>
      <c r="B14">
        <v>16.662352941176401</v>
      </c>
      <c r="C14">
        <v>18.314999999999898</v>
      </c>
      <c r="D14">
        <v>17.804545454545401</v>
      </c>
      <c r="E14">
        <v>14.328260869565201</v>
      </c>
      <c r="F14">
        <v>18.175000000000001</v>
      </c>
      <c r="J14">
        <v>11</v>
      </c>
    </row>
    <row r="15" spans="1:11" x14ac:dyDescent="0.25">
      <c r="A15">
        <v>13</v>
      </c>
      <c r="B15">
        <v>16.830882352941099</v>
      </c>
      <c r="C15">
        <v>18.473333333333301</v>
      </c>
      <c r="D15">
        <v>17.6613636363636</v>
      </c>
      <c r="E15">
        <v>14.091304347826</v>
      </c>
      <c r="F15">
        <v>17.883333333333301</v>
      </c>
      <c r="J15">
        <v>12</v>
      </c>
    </row>
    <row r="16" spans="1:11" x14ac:dyDescent="0.25">
      <c r="A16">
        <v>14</v>
      </c>
      <c r="B16">
        <v>16.835294117646999</v>
      </c>
      <c r="C16">
        <v>18.684999999999999</v>
      </c>
      <c r="D16">
        <v>17.6272727272727</v>
      </c>
      <c r="E16">
        <v>14.1065217391304</v>
      </c>
      <c r="F16">
        <v>17.279166666666601</v>
      </c>
      <c r="J16">
        <v>13</v>
      </c>
    </row>
    <row r="17" spans="1:10" x14ac:dyDescent="0.25">
      <c r="A17">
        <v>15</v>
      </c>
      <c r="B17">
        <v>17.335294117646999</v>
      </c>
      <c r="C17">
        <v>18.661666666666601</v>
      </c>
      <c r="D17">
        <v>18.465909090909001</v>
      </c>
      <c r="E17">
        <v>13.960869565217299</v>
      </c>
      <c r="F17">
        <v>17.5208333333333</v>
      </c>
      <c r="J17">
        <v>14</v>
      </c>
    </row>
    <row r="18" spans="1:10" x14ac:dyDescent="0.25">
      <c r="A18">
        <v>16</v>
      </c>
      <c r="B18">
        <v>16.8279411764705</v>
      </c>
      <c r="C18">
        <v>18.636666666666599</v>
      </c>
      <c r="D18">
        <v>18.047727272727201</v>
      </c>
      <c r="E18">
        <v>13.783333333333299</v>
      </c>
      <c r="F18">
        <v>17.970833333333299</v>
      </c>
      <c r="J18">
        <v>15</v>
      </c>
    </row>
    <row r="19" spans="1:10" x14ac:dyDescent="0.25">
      <c r="A19">
        <v>17</v>
      </c>
      <c r="B19">
        <v>16.722058823529402</v>
      </c>
      <c r="C19">
        <v>18.4233333333333</v>
      </c>
      <c r="D19">
        <v>17.588636363636301</v>
      </c>
      <c r="E19">
        <v>14.206250000000001</v>
      </c>
      <c r="F19">
        <v>18.2708333333333</v>
      </c>
      <c r="J19">
        <v>16</v>
      </c>
    </row>
    <row r="20" spans="1:10" x14ac:dyDescent="0.25">
      <c r="A20">
        <v>18</v>
      </c>
      <c r="B20">
        <v>17.301470588235201</v>
      </c>
      <c r="C20">
        <v>18.466666666666601</v>
      </c>
      <c r="D20">
        <v>17.822727272727199</v>
      </c>
      <c r="E20">
        <v>14.529166666666599</v>
      </c>
      <c r="F20">
        <v>17.954166666666602</v>
      </c>
      <c r="J20">
        <v>17</v>
      </c>
    </row>
    <row r="21" spans="1:10" x14ac:dyDescent="0.25">
      <c r="A21">
        <v>19</v>
      </c>
      <c r="B21">
        <v>17.052941176470501</v>
      </c>
      <c r="C21">
        <v>18.754999999999999</v>
      </c>
      <c r="D21">
        <v>18.402272727272699</v>
      </c>
      <c r="E21">
        <v>13.35</v>
      </c>
      <c r="F21">
        <v>18.454166666666602</v>
      </c>
      <c r="J21">
        <v>18</v>
      </c>
    </row>
    <row r="22" spans="1:10" x14ac:dyDescent="0.25">
      <c r="A22">
        <v>20</v>
      </c>
      <c r="B22">
        <v>15.9367647058823</v>
      </c>
      <c r="C22">
        <v>18.6933333333333</v>
      </c>
      <c r="D22">
        <v>17.295454545454501</v>
      </c>
      <c r="E22">
        <v>14.018750000000001</v>
      </c>
      <c r="F22">
        <v>18.125</v>
      </c>
      <c r="J22">
        <v>19</v>
      </c>
    </row>
    <row r="23" spans="1:10" x14ac:dyDescent="0.25">
      <c r="A23">
        <v>21</v>
      </c>
      <c r="B23">
        <v>17.475000000000001</v>
      </c>
      <c r="C23">
        <v>18.914999999999999</v>
      </c>
      <c r="D23">
        <v>17.945454545454499</v>
      </c>
      <c r="E23">
        <v>15.262</v>
      </c>
      <c r="F23">
        <v>17.6791666666666</v>
      </c>
      <c r="J23">
        <v>20</v>
      </c>
    </row>
    <row r="24" spans="1:10" x14ac:dyDescent="0.25">
      <c r="A24">
        <v>22</v>
      </c>
      <c r="B24">
        <v>18.2514705882352</v>
      </c>
      <c r="C24">
        <v>19.0133333333333</v>
      </c>
      <c r="D24">
        <v>18.527272727272699</v>
      </c>
      <c r="E24">
        <v>14.724</v>
      </c>
      <c r="F24">
        <v>17.350000000000001</v>
      </c>
      <c r="J24">
        <v>21</v>
      </c>
    </row>
    <row r="25" spans="1:10" x14ac:dyDescent="0.25">
      <c r="A25">
        <v>23</v>
      </c>
      <c r="B25">
        <v>17.176470588235201</v>
      </c>
      <c r="C25">
        <v>19.03</v>
      </c>
      <c r="D25">
        <v>18.188636363636299</v>
      </c>
      <c r="E25">
        <v>14.076000000000001</v>
      </c>
      <c r="F25">
        <v>17.504166666666599</v>
      </c>
      <c r="J25">
        <v>22</v>
      </c>
    </row>
    <row r="26" spans="1:10" x14ac:dyDescent="0.25">
      <c r="A26">
        <v>24</v>
      </c>
      <c r="B26">
        <v>16.835294117646999</v>
      </c>
      <c r="C26">
        <v>19.07</v>
      </c>
      <c r="D26">
        <v>18.277272727272699</v>
      </c>
      <c r="E26">
        <v>14.128</v>
      </c>
      <c r="F26">
        <v>17.713636363636301</v>
      </c>
      <c r="J26">
        <v>23</v>
      </c>
    </row>
    <row r="27" spans="1:10" x14ac:dyDescent="0.25">
      <c r="A27">
        <v>25</v>
      </c>
      <c r="B27">
        <v>16.6941176470588</v>
      </c>
      <c r="C27">
        <v>19.3</v>
      </c>
      <c r="D27">
        <v>18.572727272727199</v>
      </c>
      <c r="E27">
        <v>13.9439999999999</v>
      </c>
      <c r="F27">
        <v>17.8541666666666</v>
      </c>
      <c r="J27">
        <v>24</v>
      </c>
    </row>
    <row r="28" spans="1:10" x14ac:dyDescent="0.25">
      <c r="A28">
        <v>26</v>
      </c>
      <c r="B28">
        <v>16.433823529411701</v>
      </c>
      <c r="C28">
        <v>19.418333333333301</v>
      </c>
      <c r="D28">
        <v>17.813636363636299</v>
      </c>
      <c r="E28">
        <v>14.082000000000001</v>
      </c>
      <c r="F28">
        <v>18.933333333333302</v>
      </c>
      <c r="J28">
        <v>25</v>
      </c>
    </row>
    <row r="29" spans="1:10" x14ac:dyDescent="0.25">
      <c r="A29">
        <v>27</v>
      </c>
      <c r="B29">
        <v>16.332352941176399</v>
      </c>
      <c r="C29">
        <v>19.086666666666599</v>
      </c>
      <c r="D29">
        <v>17.5386363636363</v>
      </c>
      <c r="E29">
        <v>14.061999999999999</v>
      </c>
      <c r="F29">
        <v>18.524999999999999</v>
      </c>
      <c r="J29">
        <v>26</v>
      </c>
    </row>
    <row r="30" spans="1:10" x14ac:dyDescent="0.25">
      <c r="A30">
        <v>28</v>
      </c>
      <c r="B30">
        <v>17.044117647058801</v>
      </c>
      <c r="C30">
        <v>19.248333333333299</v>
      </c>
      <c r="D30">
        <v>17.2931818181818</v>
      </c>
      <c r="E30">
        <v>14.754</v>
      </c>
      <c r="F30">
        <v>18.283333333333299</v>
      </c>
      <c r="J30">
        <v>27</v>
      </c>
    </row>
    <row r="31" spans="1:10" x14ac:dyDescent="0.25">
      <c r="A31">
        <v>29</v>
      </c>
      <c r="B31">
        <v>17.480882352941101</v>
      </c>
      <c r="C31">
        <v>19.486666666666601</v>
      </c>
      <c r="D31">
        <v>18.397727272727199</v>
      </c>
      <c r="E31">
        <v>15.247999999999999</v>
      </c>
      <c r="F31">
        <v>18.95</v>
      </c>
      <c r="J31">
        <v>28</v>
      </c>
    </row>
    <row r="32" spans="1:10" x14ac:dyDescent="0.25">
      <c r="A32">
        <v>30</v>
      </c>
      <c r="B32">
        <v>18.010294117647</v>
      </c>
      <c r="C32">
        <v>19.725000000000001</v>
      </c>
      <c r="D32">
        <v>18.840909090909001</v>
      </c>
      <c r="E32">
        <v>15.3479999999999</v>
      </c>
      <c r="F32">
        <v>19.070833333333301</v>
      </c>
      <c r="J32">
        <v>29</v>
      </c>
    </row>
    <row r="33" spans="1:10" x14ac:dyDescent="0.25">
      <c r="A33">
        <v>31</v>
      </c>
      <c r="B33">
        <v>18.1264705882352</v>
      </c>
      <c r="C33">
        <v>19.670000000000002</v>
      </c>
      <c r="D33">
        <v>19.3363636363636</v>
      </c>
      <c r="E33">
        <v>14.858000000000001</v>
      </c>
      <c r="F33">
        <v>18.716666666666601</v>
      </c>
      <c r="J33">
        <v>30</v>
      </c>
    </row>
    <row r="34" spans="1:10" x14ac:dyDescent="0.25">
      <c r="A34">
        <v>32</v>
      </c>
      <c r="B34">
        <v>17.5632352941176</v>
      </c>
      <c r="C34">
        <v>19.770689655172401</v>
      </c>
      <c r="D34">
        <v>19.163223140495798</v>
      </c>
      <c r="E34">
        <v>14.672000000000001</v>
      </c>
      <c r="F34">
        <v>18.720833333333299</v>
      </c>
      <c r="J34">
        <v>31</v>
      </c>
    </row>
    <row r="35" spans="1:10" x14ac:dyDescent="0.25">
      <c r="A35">
        <v>33</v>
      </c>
      <c r="B35">
        <v>16.530882352941099</v>
      </c>
      <c r="C35">
        <v>19.548275862068898</v>
      </c>
      <c r="D35">
        <v>18.263636363636301</v>
      </c>
      <c r="E35">
        <v>14.042</v>
      </c>
      <c r="F35">
        <v>18.558333333333302</v>
      </c>
      <c r="J35">
        <v>32</v>
      </c>
    </row>
    <row r="36" spans="1:10" x14ac:dyDescent="0.25">
      <c r="A36">
        <v>34</v>
      </c>
      <c r="B36">
        <v>16.339705882352899</v>
      </c>
      <c r="C36">
        <v>19.325862068965499</v>
      </c>
      <c r="D36">
        <v>18.302272727272701</v>
      </c>
      <c r="E36">
        <v>14.7019999999999</v>
      </c>
      <c r="F36">
        <v>18.841666666666601</v>
      </c>
      <c r="J36">
        <v>33</v>
      </c>
    </row>
    <row r="37" spans="1:10" x14ac:dyDescent="0.25">
      <c r="A37">
        <v>35</v>
      </c>
      <c r="B37">
        <v>17.920588235294101</v>
      </c>
      <c r="C37">
        <v>18.712068965517201</v>
      </c>
      <c r="D37">
        <v>17.9113636363636</v>
      </c>
      <c r="E37">
        <v>14.68</v>
      </c>
      <c r="F37">
        <v>18.441666666666599</v>
      </c>
      <c r="J37">
        <v>34</v>
      </c>
    </row>
    <row r="38" spans="1:10" x14ac:dyDescent="0.25">
      <c r="A38">
        <v>36</v>
      </c>
      <c r="B38">
        <v>16.083823529411699</v>
      </c>
      <c r="C38">
        <v>19.178333333333299</v>
      </c>
      <c r="D38">
        <v>18.540909090909</v>
      </c>
      <c r="E38">
        <v>13.277999999999899</v>
      </c>
      <c r="F38">
        <v>17.975000000000001</v>
      </c>
      <c r="J38">
        <v>35</v>
      </c>
    </row>
    <row r="39" spans="1:10" x14ac:dyDescent="0.25">
      <c r="A39">
        <v>37</v>
      </c>
      <c r="B39">
        <v>16.539705882352902</v>
      </c>
      <c r="C39">
        <v>19.063333333333301</v>
      </c>
      <c r="D39">
        <v>18.007142857142799</v>
      </c>
      <c r="E39">
        <v>14.288</v>
      </c>
      <c r="F39">
        <v>17.383333333333301</v>
      </c>
      <c r="J39">
        <v>36</v>
      </c>
    </row>
    <row r="40" spans="1:10" x14ac:dyDescent="0.25">
      <c r="A40">
        <v>38</v>
      </c>
      <c r="B40">
        <v>16.527941176470499</v>
      </c>
      <c r="C40">
        <v>19.164999999999999</v>
      </c>
      <c r="D40">
        <v>17.852380952380901</v>
      </c>
      <c r="E40">
        <v>13.712</v>
      </c>
      <c r="F40">
        <v>17.0416666666666</v>
      </c>
      <c r="J40">
        <v>37</v>
      </c>
    </row>
    <row r="41" spans="1:10" x14ac:dyDescent="0.25">
      <c r="A41">
        <v>39</v>
      </c>
      <c r="B41">
        <v>16.855882352941101</v>
      </c>
      <c r="C41">
        <v>19.145</v>
      </c>
      <c r="D41">
        <v>17.657142857142802</v>
      </c>
      <c r="E41">
        <v>14.7919999999999</v>
      </c>
      <c r="F41">
        <v>17.483333333333299</v>
      </c>
      <c r="J41">
        <v>38</v>
      </c>
    </row>
    <row r="42" spans="1:10" x14ac:dyDescent="0.25">
      <c r="A42">
        <v>40</v>
      </c>
      <c r="B42">
        <v>16.957352941176399</v>
      </c>
      <c r="C42">
        <v>19.28</v>
      </c>
      <c r="D42">
        <v>17.938095238095201</v>
      </c>
      <c r="E42">
        <v>14.8708333333333</v>
      </c>
      <c r="F42">
        <v>17.5625</v>
      </c>
      <c r="J42">
        <v>39</v>
      </c>
    </row>
    <row r="43" spans="1:10" x14ac:dyDescent="0.25">
      <c r="A43">
        <v>41</v>
      </c>
      <c r="B43">
        <v>16.866176470588201</v>
      </c>
      <c r="C43">
        <v>19.6533333333333</v>
      </c>
      <c r="D43">
        <v>18.578571428571401</v>
      </c>
      <c r="E43">
        <v>14.7916666666666</v>
      </c>
      <c r="F43">
        <v>17.7083333333333</v>
      </c>
      <c r="J43">
        <v>40</v>
      </c>
    </row>
    <row r="44" spans="1:10" x14ac:dyDescent="0.25">
      <c r="A44">
        <v>42</v>
      </c>
      <c r="B44">
        <v>17.485294117647001</v>
      </c>
      <c r="C44">
        <v>19.843333333333302</v>
      </c>
      <c r="D44">
        <v>18.902380952380899</v>
      </c>
      <c r="E44">
        <v>15.446</v>
      </c>
      <c r="F44">
        <v>17.654166666666601</v>
      </c>
      <c r="J44">
        <v>41</v>
      </c>
    </row>
    <row r="45" spans="1:10" x14ac:dyDescent="0.25">
      <c r="A45">
        <v>43</v>
      </c>
      <c r="B45">
        <v>17.980882352941101</v>
      </c>
      <c r="C45">
        <v>19.767241379310299</v>
      </c>
      <c r="D45">
        <v>19.242857142857101</v>
      </c>
      <c r="E45">
        <v>14.54</v>
      </c>
      <c r="F45">
        <v>18.245833333333302</v>
      </c>
      <c r="J45">
        <v>42</v>
      </c>
    </row>
    <row r="46" spans="1:10" x14ac:dyDescent="0.25">
      <c r="A46">
        <v>44</v>
      </c>
      <c r="B46">
        <v>16.401470588235199</v>
      </c>
      <c r="C46">
        <v>19.5672413793103</v>
      </c>
      <c r="D46">
        <v>18.5023809523809</v>
      </c>
      <c r="E46">
        <v>14.081999999999899</v>
      </c>
      <c r="F46">
        <v>18.674999999999901</v>
      </c>
      <c r="J46">
        <v>43</v>
      </c>
    </row>
    <row r="47" spans="1:10" x14ac:dyDescent="0.25">
      <c r="A47">
        <v>45</v>
      </c>
      <c r="B47">
        <v>15.8867647058823</v>
      </c>
      <c r="C47">
        <v>19.5910714285714</v>
      </c>
      <c r="D47">
        <v>19.173809523809499</v>
      </c>
      <c r="E47">
        <v>13.542</v>
      </c>
      <c r="F47">
        <v>18.670833333333299</v>
      </c>
      <c r="J47">
        <v>44</v>
      </c>
    </row>
    <row r="48" spans="1:10" x14ac:dyDescent="0.25">
      <c r="A48">
        <v>46</v>
      </c>
      <c r="B48">
        <v>15.4705882352941</v>
      </c>
      <c r="C48">
        <v>19.355357142857098</v>
      </c>
      <c r="D48">
        <v>17.711904761904702</v>
      </c>
      <c r="E48">
        <v>13.713999999999899</v>
      </c>
      <c r="F48">
        <v>18.1666666666666</v>
      </c>
      <c r="J48">
        <v>45</v>
      </c>
    </row>
    <row r="49" spans="1:10" x14ac:dyDescent="0.25">
      <c r="A49">
        <v>47</v>
      </c>
      <c r="B49">
        <v>16.035294117646998</v>
      </c>
      <c r="C49">
        <v>19.258928571428498</v>
      </c>
      <c r="D49">
        <v>17.540476190476099</v>
      </c>
      <c r="E49">
        <v>14.608000000000001</v>
      </c>
      <c r="F49">
        <v>17.879166666666599</v>
      </c>
      <c r="J49">
        <v>46</v>
      </c>
    </row>
    <row r="50" spans="1:10" x14ac:dyDescent="0.25">
      <c r="A50">
        <v>48</v>
      </c>
      <c r="B50">
        <v>17.155882352941099</v>
      </c>
      <c r="C50">
        <v>19.284482758620602</v>
      </c>
      <c r="D50">
        <v>17.480952380952299</v>
      </c>
      <c r="E50">
        <v>15.504</v>
      </c>
      <c r="F50">
        <v>18.2083333333333</v>
      </c>
      <c r="J50">
        <v>47</v>
      </c>
    </row>
    <row r="51" spans="1:10" x14ac:dyDescent="0.25">
      <c r="A51">
        <v>49</v>
      </c>
      <c r="B51">
        <v>17.5720588235294</v>
      </c>
      <c r="C51">
        <v>19.415517241379298</v>
      </c>
      <c r="D51">
        <v>18.180952380952299</v>
      </c>
      <c r="E51">
        <v>14.836</v>
      </c>
      <c r="F51">
        <v>18.529166666666601</v>
      </c>
      <c r="J51">
        <v>48</v>
      </c>
    </row>
    <row r="52" spans="1:10" x14ac:dyDescent="0.25">
      <c r="A52">
        <v>50</v>
      </c>
      <c r="B52">
        <v>16.991176470588201</v>
      </c>
      <c r="C52">
        <v>19.4189655172413</v>
      </c>
      <c r="D52">
        <v>18.052499999999998</v>
      </c>
      <c r="E52">
        <v>14.367999999999901</v>
      </c>
      <c r="F52">
        <v>18.925000000000001</v>
      </c>
      <c r="J52">
        <v>49</v>
      </c>
    </row>
    <row r="53" spans="1:10" x14ac:dyDescent="0.25">
      <c r="A53">
        <v>51</v>
      </c>
      <c r="B53">
        <v>16.655882352941099</v>
      </c>
      <c r="C53">
        <v>19.5068965517241</v>
      </c>
      <c r="D53">
        <v>18.1325</v>
      </c>
      <c r="E53">
        <v>14.052</v>
      </c>
      <c r="F53">
        <v>19.195833333333301</v>
      </c>
      <c r="J53">
        <v>50</v>
      </c>
    </row>
    <row r="54" spans="1:10" x14ac:dyDescent="0.25">
      <c r="A54">
        <v>52</v>
      </c>
      <c r="B54">
        <v>16.6955882352941</v>
      </c>
      <c r="C54">
        <v>19.441666666666599</v>
      </c>
      <c r="D54">
        <v>18.647619047618999</v>
      </c>
      <c r="E54">
        <v>14.202</v>
      </c>
      <c r="F54">
        <v>18.945833333333301</v>
      </c>
      <c r="J54">
        <v>51</v>
      </c>
    </row>
    <row r="55" spans="1:10" x14ac:dyDescent="0.25">
      <c r="A55">
        <v>53</v>
      </c>
      <c r="B55">
        <v>16.394117647058799</v>
      </c>
      <c r="C55">
        <v>19.231666666666602</v>
      </c>
      <c r="D55">
        <v>17.936363636363598</v>
      </c>
      <c r="E55">
        <v>14.043749999999999</v>
      </c>
      <c r="F55">
        <v>18.912499999999898</v>
      </c>
      <c r="J55">
        <v>52</v>
      </c>
    </row>
    <row r="56" spans="1:10" x14ac:dyDescent="0.25">
      <c r="A56">
        <v>54</v>
      </c>
      <c r="B56">
        <v>16.088235294117599</v>
      </c>
      <c r="C56">
        <v>19.22</v>
      </c>
      <c r="D56">
        <v>17.645454545454498</v>
      </c>
      <c r="E56">
        <v>13.1826086956521</v>
      </c>
      <c r="F56">
        <v>17.745833333333302</v>
      </c>
      <c r="J56">
        <v>53</v>
      </c>
    </row>
    <row r="57" spans="1:10" x14ac:dyDescent="0.25">
      <c r="A57">
        <v>55</v>
      </c>
      <c r="B57">
        <v>16.782352941176399</v>
      </c>
      <c r="C57">
        <v>18.793333333333301</v>
      </c>
      <c r="D57">
        <v>16.713636363636301</v>
      </c>
      <c r="E57">
        <v>13.121739130434699</v>
      </c>
      <c r="F57">
        <v>16.945833333333301</v>
      </c>
      <c r="J57">
        <v>54</v>
      </c>
    </row>
    <row r="58" spans="1:10" x14ac:dyDescent="0.25">
      <c r="A58">
        <v>56</v>
      </c>
      <c r="B58">
        <v>16.1897058823529</v>
      </c>
      <c r="C58">
        <v>18.3</v>
      </c>
      <c r="D58">
        <v>16.613636363636299</v>
      </c>
      <c r="E58">
        <v>12.899999999999901</v>
      </c>
      <c r="F58">
        <v>17.495833333333302</v>
      </c>
      <c r="J58">
        <v>55</v>
      </c>
    </row>
    <row r="59" spans="1:10" x14ac:dyDescent="0.25">
      <c r="A59">
        <v>57</v>
      </c>
      <c r="B59">
        <v>16.1941176470588</v>
      </c>
      <c r="C59">
        <v>18.41</v>
      </c>
      <c r="D59">
        <v>17.136363636363601</v>
      </c>
      <c r="E59">
        <v>13.972916666666601</v>
      </c>
      <c r="F59">
        <v>16.954166666666602</v>
      </c>
      <c r="J59">
        <v>56</v>
      </c>
    </row>
    <row r="60" spans="1:10" x14ac:dyDescent="0.25">
      <c r="A60">
        <v>58</v>
      </c>
      <c r="B60">
        <v>16.208823529411699</v>
      </c>
      <c r="C60">
        <v>18.516666666666602</v>
      </c>
      <c r="D60">
        <v>17.429545454545401</v>
      </c>
      <c r="E60">
        <v>13.691666666666601</v>
      </c>
      <c r="F60">
        <v>16.829166666666602</v>
      </c>
      <c r="J60">
        <v>57</v>
      </c>
    </row>
    <row r="61" spans="1:10" x14ac:dyDescent="0.25">
      <c r="A61">
        <v>59</v>
      </c>
      <c r="B61">
        <v>16.074999999999999</v>
      </c>
      <c r="C61">
        <v>18.253571428571401</v>
      </c>
      <c r="D61">
        <v>17.274999999999999</v>
      </c>
      <c r="E61">
        <v>14.056249999999901</v>
      </c>
      <c r="F61">
        <v>17.512499999999999</v>
      </c>
      <c r="J61">
        <v>58</v>
      </c>
    </row>
    <row r="62" spans="1:10" x14ac:dyDescent="0.25">
      <c r="A62">
        <v>60</v>
      </c>
      <c r="B62">
        <v>16.264705882352899</v>
      </c>
      <c r="C62">
        <v>18.313793103448202</v>
      </c>
      <c r="D62">
        <v>17.365909090909</v>
      </c>
      <c r="E62">
        <v>13.167999999999999</v>
      </c>
      <c r="F62">
        <v>17.1166666666666</v>
      </c>
      <c r="J62">
        <v>59</v>
      </c>
    </row>
    <row r="63" spans="1:10" x14ac:dyDescent="0.25">
      <c r="A63">
        <v>61</v>
      </c>
      <c r="B63">
        <v>15.9727272727272</v>
      </c>
      <c r="C63">
        <v>18.701724137930999</v>
      </c>
      <c r="D63">
        <v>17.965909090909001</v>
      </c>
      <c r="E63">
        <v>12.925000000000001</v>
      </c>
      <c r="F63">
        <v>17.037500000000001</v>
      </c>
      <c r="J63">
        <v>60</v>
      </c>
    </row>
    <row r="64" spans="1:10" x14ac:dyDescent="0.25">
      <c r="A64">
        <v>62</v>
      </c>
      <c r="B64">
        <v>15.216666666666599</v>
      </c>
      <c r="C64">
        <v>18.759999999999899</v>
      </c>
      <c r="D64">
        <v>17.652272727272699</v>
      </c>
      <c r="E64">
        <v>12.220833333333299</v>
      </c>
      <c r="F64">
        <v>17.204166666666602</v>
      </c>
      <c r="J64">
        <v>61</v>
      </c>
    </row>
    <row r="65" spans="1:10" x14ac:dyDescent="0.25">
      <c r="A65">
        <v>63</v>
      </c>
      <c r="B65">
        <v>14.612121212121201</v>
      </c>
      <c r="C65">
        <v>18.0322580645161</v>
      </c>
      <c r="D65">
        <v>16.143181818181802</v>
      </c>
      <c r="E65">
        <v>12.49375</v>
      </c>
      <c r="F65">
        <v>16.720833333333299</v>
      </c>
      <c r="J65">
        <v>62</v>
      </c>
    </row>
    <row r="66" spans="1:10" x14ac:dyDescent="0.25">
      <c r="A66">
        <v>64</v>
      </c>
      <c r="B66">
        <v>15.7681818181818</v>
      </c>
      <c r="C66">
        <v>17.95</v>
      </c>
      <c r="D66">
        <v>15.940909090909001</v>
      </c>
      <c r="E66">
        <v>13.4270833333333</v>
      </c>
      <c r="F66">
        <v>17.05</v>
      </c>
      <c r="J66">
        <v>63</v>
      </c>
    </row>
    <row r="67" spans="1:10" x14ac:dyDescent="0.25">
      <c r="A67">
        <v>65</v>
      </c>
      <c r="B67">
        <v>15.9954545454545</v>
      </c>
      <c r="C67">
        <v>18.361290322580601</v>
      </c>
      <c r="D67">
        <v>17.093181818181801</v>
      </c>
      <c r="E67">
        <v>13.106249999999999</v>
      </c>
      <c r="F67">
        <v>16.5625</v>
      </c>
      <c r="J67">
        <v>64</v>
      </c>
    </row>
    <row r="68" spans="1:10" x14ac:dyDescent="0.25">
      <c r="A68">
        <v>66</v>
      </c>
      <c r="B68">
        <v>15.0166666666666</v>
      </c>
      <c r="C68">
        <v>17.7903225806451</v>
      </c>
      <c r="D68">
        <v>17.238636363636299</v>
      </c>
      <c r="E68">
        <v>12.665217391304299</v>
      </c>
      <c r="F68">
        <v>16.349999999999898</v>
      </c>
      <c r="J68">
        <v>65</v>
      </c>
    </row>
    <row r="69" spans="1:10" x14ac:dyDescent="0.25">
      <c r="A69">
        <v>67</v>
      </c>
      <c r="B69">
        <v>15.3257575757575</v>
      </c>
      <c r="C69">
        <v>18.141379310344799</v>
      </c>
      <c r="D69">
        <v>17.193181818181799</v>
      </c>
      <c r="E69">
        <v>13.006521739130401</v>
      </c>
      <c r="F69">
        <v>16.404166666666601</v>
      </c>
      <c r="J69">
        <v>66</v>
      </c>
    </row>
    <row r="70" spans="1:10" x14ac:dyDescent="0.25">
      <c r="A70">
        <v>68</v>
      </c>
      <c r="B70">
        <v>14.630303030303001</v>
      </c>
      <c r="C70">
        <v>18.3816666666666</v>
      </c>
      <c r="D70">
        <v>16.588636363636301</v>
      </c>
      <c r="E70">
        <v>12.5934782608695</v>
      </c>
      <c r="F70">
        <v>16.174999999999901</v>
      </c>
      <c r="J70">
        <v>67</v>
      </c>
    </row>
    <row r="71" spans="1:10" x14ac:dyDescent="0.25">
      <c r="A71">
        <v>69</v>
      </c>
      <c r="B71">
        <v>15.7924242424242</v>
      </c>
      <c r="C71">
        <v>18.100000000000001</v>
      </c>
      <c r="D71">
        <v>16.607142857142801</v>
      </c>
      <c r="E71">
        <v>13.710869565217299</v>
      </c>
      <c r="F71">
        <v>16.625</v>
      </c>
      <c r="J71">
        <v>68</v>
      </c>
    </row>
    <row r="72" spans="1:10" x14ac:dyDescent="0.25">
      <c r="A72">
        <v>70</v>
      </c>
      <c r="B72">
        <v>15.055882352941101</v>
      </c>
      <c r="C72">
        <v>17.931666666666601</v>
      </c>
      <c r="D72">
        <v>16.871428571428499</v>
      </c>
      <c r="E72">
        <v>12.684782608695601</v>
      </c>
      <c r="F72">
        <v>16.266666666666602</v>
      </c>
      <c r="J72">
        <v>69</v>
      </c>
    </row>
    <row r="73" spans="1:10" x14ac:dyDescent="0.25">
      <c r="A73">
        <v>71</v>
      </c>
      <c r="B73">
        <v>14.958823529411699</v>
      </c>
      <c r="C73">
        <v>18.11</v>
      </c>
      <c r="D73">
        <v>16.204761904761899</v>
      </c>
      <c r="E73">
        <v>13.618749999999901</v>
      </c>
      <c r="F73">
        <v>16.404166666666601</v>
      </c>
      <c r="J73">
        <v>70</v>
      </c>
    </row>
    <row r="74" spans="1:10" x14ac:dyDescent="0.25">
      <c r="A74">
        <v>72</v>
      </c>
      <c r="B74">
        <v>15.205882352941099</v>
      </c>
      <c r="C74">
        <v>17.7392857142857</v>
      </c>
      <c r="D74">
        <v>16.140692640692599</v>
      </c>
      <c r="E74">
        <v>13.960869565217299</v>
      </c>
      <c r="F74">
        <v>15.324999999999999</v>
      </c>
      <c r="J74">
        <v>71</v>
      </c>
    </row>
    <row r="75" spans="1:10" x14ac:dyDescent="0.25">
      <c r="A75">
        <v>73</v>
      </c>
      <c r="B75">
        <v>14.888235294117599</v>
      </c>
      <c r="C75">
        <v>17.7431034482758</v>
      </c>
      <c r="D75">
        <v>15.6681818181818</v>
      </c>
      <c r="E75">
        <v>13.0104166666666</v>
      </c>
      <c r="F75">
        <v>15.8333333333333</v>
      </c>
      <c r="J75">
        <v>72</v>
      </c>
    </row>
    <row r="76" spans="1:10" x14ac:dyDescent="0.25">
      <c r="A76">
        <v>74</v>
      </c>
      <c r="B76">
        <v>14.9794117647058</v>
      </c>
      <c r="C76">
        <v>17.582758620689599</v>
      </c>
      <c r="D76">
        <v>15.9727272727272</v>
      </c>
      <c r="E76">
        <v>12.216666666666599</v>
      </c>
      <c r="F76">
        <v>16.966666666666601</v>
      </c>
      <c r="J76">
        <v>73</v>
      </c>
    </row>
    <row r="77" spans="1:10" x14ac:dyDescent="0.25">
      <c r="A77">
        <v>75</v>
      </c>
      <c r="B77">
        <v>15</v>
      </c>
      <c r="C77">
        <v>17.724137931034399</v>
      </c>
      <c r="D77">
        <v>17.070454545454499</v>
      </c>
      <c r="E77">
        <v>11.934782608695601</v>
      </c>
      <c r="F77">
        <v>17.766666666666602</v>
      </c>
      <c r="J77">
        <v>74</v>
      </c>
    </row>
    <row r="78" spans="1:10" x14ac:dyDescent="0.25">
      <c r="A78">
        <v>76</v>
      </c>
      <c r="B78">
        <v>14.8191176470588</v>
      </c>
      <c r="C78">
        <v>17.698333333333299</v>
      </c>
      <c r="D78">
        <v>16.222727272727202</v>
      </c>
      <c r="E78">
        <v>11.064</v>
      </c>
      <c r="F78">
        <v>16.100000000000001</v>
      </c>
      <c r="J78">
        <v>75</v>
      </c>
    </row>
    <row r="79" spans="1:10" x14ac:dyDescent="0.25">
      <c r="A79">
        <v>77</v>
      </c>
      <c r="B79">
        <v>13.742647058823501</v>
      </c>
      <c r="C79">
        <v>17.62</v>
      </c>
      <c r="D79">
        <v>16.545454545454501</v>
      </c>
      <c r="E79">
        <v>10.734</v>
      </c>
      <c r="F79">
        <v>15.379166666666601</v>
      </c>
      <c r="J79">
        <v>76</v>
      </c>
    </row>
    <row r="80" spans="1:10" x14ac:dyDescent="0.25">
      <c r="A80">
        <v>78</v>
      </c>
      <c r="B80">
        <v>14.5911764705882</v>
      </c>
      <c r="C80">
        <v>17.170000000000002</v>
      </c>
      <c r="D80">
        <v>15.986363636363601</v>
      </c>
      <c r="E80">
        <v>11.872</v>
      </c>
      <c r="F80">
        <v>15.858333333333301</v>
      </c>
      <c r="J80">
        <v>77</v>
      </c>
    </row>
    <row r="81" spans="1:10" x14ac:dyDescent="0.25">
      <c r="A81">
        <v>79</v>
      </c>
      <c r="B81">
        <v>15.358823529411699</v>
      </c>
      <c r="C81">
        <v>17.223333333333301</v>
      </c>
      <c r="D81">
        <v>15.9792207792207</v>
      </c>
      <c r="E81">
        <v>12.266</v>
      </c>
      <c r="F81">
        <v>16.216666666666601</v>
      </c>
      <c r="J81">
        <v>78</v>
      </c>
    </row>
    <row r="82" spans="1:10" x14ac:dyDescent="0.25">
      <c r="A82">
        <v>80</v>
      </c>
      <c r="B82">
        <v>14.954411764705799</v>
      </c>
      <c r="C82">
        <v>17.498333333333299</v>
      </c>
      <c r="D82">
        <v>16.5023809523809</v>
      </c>
      <c r="E82">
        <v>12.571999999999999</v>
      </c>
      <c r="F82">
        <v>16.483333333333299</v>
      </c>
      <c r="J82">
        <v>79</v>
      </c>
    </row>
    <row r="83" spans="1:10" x14ac:dyDescent="0.25">
      <c r="A83">
        <v>81</v>
      </c>
      <c r="B83">
        <v>14.5426470588235</v>
      </c>
      <c r="C83">
        <v>17.390322580645101</v>
      </c>
      <c r="D83">
        <v>16.8</v>
      </c>
      <c r="E83">
        <v>12.03125</v>
      </c>
      <c r="F83">
        <v>16.6791666666666</v>
      </c>
      <c r="J83">
        <v>80</v>
      </c>
    </row>
    <row r="84" spans="1:10" x14ac:dyDescent="0.25">
      <c r="A84">
        <v>82</v>
      </c>
      <c r="B84">
        <v>13.9808823529411</v>
      </c>
      <c r="C84">
        <v>17.053333333333299</v>
      </c>
      <c r="D84">
        <v>16.269047619047601</v>
      </c>
      <c r="E84">
        <v>12.4333333333333</v>
      </c>
      <c r="F84">
        <v>16.8</v>
      </c>
      <c r="J84">
        <v>81</v>
      </c>
    </row>
    <row r="85" spans="1:10" x14ac:dyDescent="0.25">
      <c r="A85">
        <v>83</v>
      </c>
      <c r="B85">
        <v>14.1040998217468</v>
      </c>
      <c r="C85">
        <v>16.973333333333301</v>
      </c>
      <c r="D85">
        <v>15.6261904761904</v>
      </c>
      <c r="E85">
        <v>12.039130434782599</v>
      </c>
      <c r="F85">
        <v>16.237500000000001</v>
      </c>
      <c r="J85">
        <v>82</v>
      </c>
    </row>
    <row r="86" spans="1:10" x14ac:dyDescent="0.25">
      <c r="A86">
        <v>84</v>
      </c>
      <c r="B86">
        <v>14.397058823529401</v>
      </c>
      <c r="C86">
        <v>16.984999999999999</v>
      </c>
      <c r="D86">
        <v>16.123809523809499</v>
      </c>
      <c r="E86">
        <v>11.65</v>
      </c>
      <c r="F86">
        <v>16.875</v>
      </c>
      <c r="J86">
        <v>83</v>
      </c>
    </row>
    <row r="87" spans="1:10" x14ac:dyDescent="0.25">
      <c r="A87">
        <v>85</v>
      </c>
      <c r="B87">
        <v>13.613235294117599</v>
      </c>
      <c r="C87">
        <v>17.064516129032199</v>
      </c>
      <c r="D87">
        <v>15.8095238095238</v>
      </c>
      <c r="E87">
        <v>12.1</v>
      </c>
      <c r="F87">
        <v>17.024999999999999</v>
      </c>
      <c r="J87">
        <v>84</v>
      </c>
    </row>
    <row r="88" spans="1:10" x14ac:dyDescent="0.25">
      <c r="A88">
        <v>86</v>
      </c>
      <c r="B88">
        <v>14.4676470588235</v>
      </c>
      <c r="C88">
        <v>17.208064516128999</v>
      </c>
      <c r="D88">
        <v>16.542857142857098</v>
      </c>
      <c r="E88">
        <v>13.327999999999999</v>
      </c>
      <c r="F88">
        <v>17.3</v>
      </c>
      <c r="J88">
        <v>85</v>
      </c>
    </row>
    <row r="89" spans="1:10" x14ac:dyDescent="0.25">
      <c r="A89">
        <v>87</v>
      </c>
      <c r="B89">
        <v>14.926470588235199</v>
      </c>
      <c r="C89">
        <v>17.141666666666602</v>
      </c>
      <c r="D89">
        <v>16.4522727272727</v>
      </c>
      <c r="E89">
        <v>12.539583333333301</v>
      </c>
      <c r="F89">
        <v>15.983333333333301</v>
      </c>
      <c r="J89">
        <v>86</v>
      </c>
    </row>
    <row r="90" spans="1:10" x14ac:dyDescent="0.25">
      <c r="A90">
        <v>88</v>
      </c>
      <c r="B90">
        <v>14.8691176470588</v>
      </c>
      <c r="C90">
        <v>17.338333333333299</v>
      </c>
      <c r="D90">
        <v>16.672727272727201</v>
      </c>
      <c r="E90">
        <v>12.689583333333299</v>
      </c>
      <c r="F90">
        <v>16.404166666666601</v>
      </c>
      <c r="J90">
        <v>87</v>
      </c>
    </row>
    <row r="91" spans="1:10" x14ac:dyDescent="0.25">
      <c r="A91">
        <v>89</v>
      </c>
      <c r="B91">
        <v>14.9382352941176</v>
      </c>
      <c r="C91">
        <v>17.136206896551698</v>
      </c>
      <c r="D91">
        <v>16.197727272727199</v>
      </c>
      <c r="E91">
        <v>12.311999999999999</v>
      </c>
      <c r="F91">
        <v>16.629166666666599</v>
      </c>
      <c r="J91">
        <v>88</v>
      </c>
    </row>
    <row r="92" spans="1:10" x14ac:dyDescent="0.25">
      <c r="A92">
        <v>90</v>
      </c>
      <c r="B92">
        <v>14.0308823529411</v>
      </c>
      <c r="C92">
        <v>16.922413793103399</v>
      </c>
      <c r="D92">
        <v>15.659090909090899</v>
      </c>
      <c r="E92">
        <v>11.952</v>
      </c>
      <c r="F92">
        <v>16.112499999999901</v>
      </c>
      <c r="J92">
        <v>89</v>
      </c>
    </row>
    <row r="93" spans="1:10" x14ac:dyDescent="0.25">
      <c r="A93">
        <v>91</v>
      </c>
      <c r="B93">
        <v>13.4647058823529</v>
      </c>
      <c r="C93">
        <v>16.63</v>
      </c>
      <c r="D93">
        <v>15.4340909090909</v>
      </c>
      <c r="E93">
        <v>11.666</v>
      </c>
      <c r="F93">
        <v>15.862500000000001</v>
      </c>
      <c r="J93">
        <v>90</v>
      </c>
    </row>
    <row r="94" spans="1:10" x14ac:dyDescent="0.25">
      <c r="A94">
        <v>92</v>
      </c>
      <c r="B94">
        <v>14.017647058823499</v>
      </c>
      <c r="C94">
        <v>16.5379310344827</v>
      </c>
      <c r="D94">
        <v>14.9068181818181</v>
      </c>
      <c r="E94">
        <v>11.8020833333333</v>
      </c>
      <c r="F94">
        <v>15.299999999999899</v>
      </c>
      <c r="J94">
        <v>91</v>
      </c>
    </row>
    <row r="95" spans="1:10" x14ac:dyDescent="0.25">
      <c r="A95">
        <v>93</v>
      </c>
      <c r="B95">
        <v>13.6090909090909</v>
      </c>
      <c r="C95">
        <v>16.693103448275799</v>
      </c>
      <c r="D95">
        <v>15.745238095237999</v>
      </c>
      <c r="E95">
        <v>11.683999999999999</v>
      </c>
      <c r="F95">
        <v>16.266666666666602</v>
      </c>
      <c r="J95">
        <v>92</v>
      </c>
    </row>
    <row r="96" spans="1:10" x14ac:dyDescent="0.25">
      <c r="A96">
        <v>94</v>
      </c>
      <c r="B96">
        <v>13.085294117647001</v>
      </c>
      <c r="C96">
        <v>16.29</v>
      </c>
      <c r="D96">
        <v>15.7068181818181</v>
      </c>
      <c r="E96">
        <v>10.448</v>
      </c>
      <c r="F96">
        <v>16.008333333333301</v>
      </c>
      <c r="J96">
        <v>93</v>
      </c>
    </row>
    <row r="97" spans="1:10" x14ac:dyDescent="0.25">
      <c r="A97">
        <v>95</v>
      </c>
      <c r="B97">
        <v>12.85</v>
      </c>
      <c r="C97">
        <v>16.28</v>
      </c>
      <c r="D97">
        <v>14.572727272727199</v>
      </c>
      <c r="E97">
        <v>10.462</v>
      </c>
      <c r="F97">
        <v>14.8083333333333</v>
      </c>
      <c r="J97">
        <v>94</v>
      </c>
    </row>
    <row r="98" spans="1:10" x14ac:dyDescent="0.25">
      <c r="A98">
        <v>96</v>
      </c>
      <c r="B98">
        <v>12.9941176470588</v>
      </c>
      <c r="C98">
        <v>16.288333333333298</v>
      </c>
      <c r="D98">
        <v>14.770238095238</v>
      </c>
      <c r="E98">
        <v>10.786</v>
      </c>
      <c r="F98">
        <v>14.283333333333299</v>
      </c>
      <c r="J98">
        <v>95</v>
      </c>
    </row>
    <row r="99" spans="1:10" x14ac:dyDescent="0.25">
      <c r="A99">
        <v>97</v>
      </c>
      <c r="B99">
        <v>12.891176470588199</v>
      </c>
      <c r="C99">
        <v>16.247502601456802</v>
      </c>
      <c r="D99">
        <v>14.7797619047619</v>
      </c>
      <c r="E99">
        <v>11.13125</v>
      </c>
      <c r="F99">
        <v>13.258333333333301</v>
      </c>
      <c r="J99">
        <v>96</v>
      </c>
    </row>
    <row r="100" spans="1:10" x14ac:dyDescent="0.25">
      <c r="A100">
        <v>98</v>
      </c>
      <c r="B100">
        <v>12.924999999999899</v>
      </c>
      <c r="C100">
        <v>15.9919354838709</v>
      </c>
      <c r="D100">
        <v>14.023809523809501</v>
      </c>
      <c r="E100">
        <v>10.869565217391299</v>
      </c>
      <c r="F100">
        <v>13.8666666666666</v>
      </c>
      <c r="J100">
        <v>97</v>
      </c>
    </row>
    <row r="101" spans="1:10" x14ac:dyDescent="0.25">
      <c r="A101">
        <v>99</v>
      </c>
      <c r="B101">
        <v>12.363235294117599</v>
      </c>
      <c r="C101">
        <v>15.7</v>
      </c>
      <c r="D101">
        <v>13.889502164502099</v>
      </c>
      <c r="E101">
        <v>9.5043478260869492</v>
      </c>
      <c r="F101">
        <v>14.404166666666599</v>
      </c>
      <c r="J101">
        <v>98</v>
      </c>
    </row>
    <row r="102" spans="1:10" x14ac:dyDescent="0.25">
      <c r="A102">
        <v>100</v>
      </c>
      <c r="B102">
        <v>11.3573529411764</v>
      </c>
      <c r="C102">
        <v>15.6066666666666</v>
      </c>
      <c r="D102">
        <v>13.756818181818099</v>
      </c>
      <c r="E102">
        <v>9.8772727272727199</v>
      </c>
      <c r="F102">
        <v>14.5416666666666</v>
      </c>
      <c r="J102">
        <v>99</v>
      </c>
    </row>
    <row r="103" spans="1:10" x14ac:dyDescent="0.25">
      <c r="A103">
        <v>101</v>
      </c>
      <c r="B103">
        <v>11.6044117647058</v>
      </c>
      <c r="C103">
        <v>15.335000000000001</v>
      </c>
      <c r="D103">
        <v>13.3296536796536</v>
      </c>
      <c r="E103">
        <v>10.3785714285714</v>
      </c>
      <c r="F103">
        <v>14.279166666666599</v>
      </c>
      <c r="J103">
        <v>100</v>
      </c>
    </row>
    <row r="104" spans="1:10" x14ac:dyDescent="0.25">
      <c r="A104">
        <v>102</v>
      </c>
      <c r="B104">
        <v>11.445454545454499</v>
      </c>
      <c r="C104">
        <v>15.3916666666666</v>
      </c>
      <c r="D104">
        <v>13.866785714285699</v>
      </c>
      <c r="E104">
        <v>10.0674999999999</v>
      </c>
      <c r="F104">
        <v>15.1666666666666</v>
      </c>
      <c r="J104">
        <v>101</v>
      </c>
    </row>
    <row r="105" spans="1:10" x14ac:dyDescent="0.25">
      <c r="A105">
        <v>103</v>
      </c>
      <c r="B105">
        <v>11.897058823529401</v>
      </c>
      <c r="C105">
        <v>15.6451612903225</v>
      </c>
      <c r="D105">
        <v>13.820454545454499</v>
      </c>
      <c r="E105">
        <v>9.4659090909090899</v>
      </c>
      <c r="F105">
        <v>14.675000000000001</v>
      </c>
      <c r="J105">
        <v>102</v>
      </c>
    </row>
    <row r="106" spans="1:10" x14ac:dyDescent="0.25">
      <c r="A106">
        <v>104</v>
      </c>
      <c r="B106">
        <v>11.5014705882352</v>
      </c>
      <c r="C106">
        <v>15.3435483870967</v>
      </c>
      <c r="D106">
        <v>13.2340909090909</v>
      </c>
      <c r="E106">
        <v>10.4</v>
      </c>
      <c r="F106">
        <v>13.504166666666601</v>
      </c>
      <c r="J106">
        <v>103</v>
      </c>
    </row>
    <row r="107" spans="1:10" x14ac:dyDescent="0.25">
      <c r="A107">
        <v>105</v>
      </c>
      <c r="B107">
        <v>12.461764705882301</v>
      </c>
      <c r="C107">
        <v>15.1612903225806</v>
      </c>
      <c r="D107">
        <v>13.206601731601699</v>
      </c>
      <c r="E107">
        <v>10.731249999999999</v>
      </c>
      <c r="F107">
        <v>13.779166666666599</v>
      </c>
      <c r="J107">
        <v>104</v>
      </c>
    </row>
    <row r="108" spans="1:10" x14ac:dyDescent="0.25">
      <c r="A108">
        <v>106</v>
      </c>
      <c r="B108">
        <v>12.083823529411699</v>
      </c>
      <c r="C108">
        <v>15.658064516129</v>
      </c>
      <c r="D108">
        <v>13.5619047619047</v>
      </c>
      <c r="E108">
        <v>10.7145833333333</v>
      </c>
      <c r="F108">
        <v>13.920833333333301</v>
      </c>
      <c r="J108">
        <v>105</v>
      </c>
    </row>
    <row r="109" spans="1:10" x14ac:dyDescent="0.25">
      <c r="A109">
        <v>107</v>
      </c>
      <c r="B109">
        <v>12.307352941176401</v>
      </c>
      <c r="C109">
        <v>15.408064516129</v>
      </c>
      <c r="D109">
        <v>13.6272727272727</v>
      </c>
      <c r="E109">
        <v>10.143750000000001</v>
      </c>
      <c r="F109">
        <v>13.6416666666666</v>
      </c>
      <c r="J109">
        <v>106</v>
      </c>
    </row>
    <row r="110" spans="1:10" x14ac:dyDescent="0.25">
      <c r="A110">
        <v>108</v>
      </c>
      <c r="B110">
        <v>11.5970588235294</v>
      </c>
      <c r="C110">
        <v>15.420967741935399</v>
      </c>
      <c r="D110">
        <v>13.259090909090901</v>
      </c>
      <c r="E110">
        <v>9.8456521739130398</v>
      </c>
      <c r="F110">
        <v>13.6833333333333</v>
      </c>
      <c r="J110">
        <v>107</v>
      </c>
    </row>
    <row r="111" spans="1:10" x14ac:dyDescent="0.25">
      <c r="A111">
        <v>109</v>
      </c>
      <c r="B111">
        <v>11.710294117647001</v>
      </c>
      <c r="C111">
        <v>15.193548387096699</v>
      </c>
      <c r="D111">
        <v>12.815909090909001</v>
      </c>
      <c r="E111">
        <v>9.9812499999999993</v>
      </c>
      <c r="F111">
        <v>12.945833333333301</v>
      </c>
      <c r="J111">
        <v>108</v>
      </c>
    </row>
    <row r="112" spans="1:10" x14ac:dyDescent="0.25">
      <c r="A112">
        <v>110</v>
      </c>
      <c r="B112">
        <v>12.0897058823529</v>
      </c>
      <c r="C112">
        <v>15.4096774193548</v>
      </c>
      <c r="D112">
        <v>12.6386363636363</v>
      </c>
      <c r="E112">
        <v>9.7791666666666597</v>
      </c>
      <c r="F112">
        <v>14.2875</v>
      </c>
      <c r="J112">
        <v>109</v>
      </c>
    </row>
    <row r="113" spans="1:10" x14ac:dyDescent="0.25">
      <c r="A113">
        <v>111</v>
      </c>
      <c r="B113">
        <v>11.1882352941176</v>
      </c>
      <c r="C113">
        <v>15.261666666666599</v>
      </c>
      <c r="D113">
        <v>13.093181818181799</v>
      </c>
      <c r="E113">
        <v>8.9375</v>
      </c>
      <c r="F113">
        <v>14.275</v>
      </c>
      <c r="J113">
        <v>110</v>
      </c>
    </row>
    <row r="114" spans="1:10" x14ac:dyDescent="0.25">
      <c r="A114">
        <v>112</v>
      </c>
      <c r="B114">
        <v>11.0044117647058</v>
      </c>
      <c r="C114">
        <v>14.5283333333333</v>
      </c>
      <c r="D114">
        <v>12.938095238095199</v>
      </c>
      <c r="E114">
        <v>9.2208333333333297</v>
      </c>
      <c r="F114">
        <v>13.595833333333299</v>
      </c>
      <c r="J114">
        <v>111</v>
      </c>
    </row>
    <row r="115" spans="1:10" x14ac:dyDescent="0.25">
      <c r="A115">
        <v>113</v>
      </c>
      <c r="B115">
        <v>11.586764705882301</v>
      </c>
      <c r="C115">
        <v>14.68</v>
      </c>
      <c r="D115">
        <v>12.8654761904761</v>
      </c>
      <c r="E115">
        <v>9.42916666666666</v>
      </c>
      <c r="F115">
        <v>13.9125</v>
      </c>
      <c r="J115">
        <v>112</v>
      </c>
    </row>
    <row r="116" spans="1:10" x14ac:dyDescent="0.25">
      <c r="A116">
        <v>114</v>
      </c>
      <c r="B116">
        <v>10.9985294117647</v>
      </c>
      <c r="C116">
        <v>14.4933333333333</v>
      </c>
      <c r="D116">
        <v>13.697727272727199</v>
      </c>
      <c r="E116">
        <v>9.6895833333333297</v>
      </c>
      <c r="F116">
        <v>14.820833333333301</v>
      </c>
      <c r="J116">
        <v>113</v>
      </c>
    </row>
    <row r="117" spans="1:10" x14ac:dyDescent="0.25">
      <c r="A117">
        <v>115</v>
      </c>
      <c r="B117">
        <v>11.547058823529399</v>
      </c>
      <c r="C117">
        <v>14.7733333333333</v>
      </c>
      <c r="D117">
        <v>13.3666666666666</v>
      </c>
      <c r="E117">
        <v>9.625</v>
      </c>
      <c r="F117">
        <v>14.4166666666666</v>
      </c>
      <c r="J117">
        <v>114</v>
      </c>
    </row>
    <row r="118" spans="1:10" x14ac:dyDescent="0.25">
      <c r="A118">
        <v>116</v>
      </c>
      <c r="B118">
        <v>11.6955882352941</v>
      </c>
      <c r="C118">
        <v>14.998333333333299</v>
      </c>
      <c r="D118">
        <v>12.558549783549701</v>
      </c>
      <c r="E118">
        <v>9.6312499999999996</v>
      </c>
      <c r="F118">
        <v>13.9375</v>
      </c>
      <c r="J118">
        <v>115</v>
      </c>
    </row>
    <row r="119" spans="1:10" x14ac:dyDescent="0.25">
      <c r="A119">
        <v>117</v>
      </c>
      <c r="B119">
        <v>11.833823529411699</v>
      </c>
      <c r="C119">
        <v>15.395</v>
      </c>
      <c r="D119">
        <v>13.529545454545399</v>
      </c>
      <c r="E119">
        <v>9.9895833333333304</v>
      </c>
      <c r="F119">
        <v>14.8045454545454</v>
      </c>
      <c r="J119">
        <v>116</v>
      </c>
    </row>
    <row r="120" spans="1:10" x14ac:dyDescent="0.25">
      <c r="A120">
        <v>118</v>
      </c>
      <c r="B120">
        <v>12.1279411764705</v>
      </c>
      <c r="C120">
        <v>15.641379310344799</v>
      </c>
      <c r="D120">
        <v>14.0386363636363</v>
      </c>
      <c r="E120">
        <v>10.15</v>
      </c>
      <c r="F120">
        <v>14.1090909090909</v>
      </c>
      <c r="J120">
        <v>117</v>
      </c>
    </row>
    <row r="121" spans="1:10" x14ac:dyDescent="0.25">
      <c r="A121">
        <v>119</v>
      </c>
      <c r="B121">
        <v>10.824999999999999</v>
      </c>
      <c r="C121">
        <v>14.7327586206896</v>
      </c>
      <c r="D121">
        <v>13.595454545454499</v>
      </c>
      <c r="E121">
        <v>9.65</v>
      </c>
      <c r="F121">
        <v>13.8375</v>
      </c>
      <c r="J121">
        <v>118</v>
      </c>
    </row>
    <row r="122" spans="1:10" x14ac:dyDescent="0.25">
      <c r="A122">
        <v>120</v>
      </c>
      <c r="B122">
        <v>10.554411764705799</v>
      </c>
      <c r="C122">
        <v>14.332758620689599</v>
      </c>
      <c r="D122">
        <v>13.049999999999899</v>
      </c>
      <c r="E122">
        <v>8.7749999999999897</v>
      </c>
      <c r="F122">
        <v>13.6458333333333</v>
      </c>
      <c r="J122">
        <v>119</v>
      </c>
    </row>
    <row r="123" spans="1:10" x14ac:dyDescent="0.25">
      <c r="A123">
        <v>121</v>
      </c>
      <c r="B123">
        <v>10.2014705882352</v>
      </c>
      <c r="C123">
        <v>14.3982758620689</v>
      </c>
      <c r="D123">
        <v>12.733333333333301</v>
      </c>
      <c r="E123">
        <v>8.28125</v>
      </c>
      <c r="F123">
        <v>11.883333333333301</v>
      </c>
      <c r="J123">
        <v>120</v>
      </c>
    </row>
    <row r="124" spans="1:10" x14ac:dyDescent="0.25">
      <c r="A124">
        <v>122</v>
      </c>
      <c r="B124">
        <v>10.3191176470588</v>
      </c>
      <c r="C124">
        <v>14.296666666666599</v>
      </c>
      <c r="D124">
        <v>12.1863636363636</v>
      </c>
      <c r="E124">
        <v>8.6854166666666597</v>
      </c>
      <c r="F124">
        <v>11.8541666666666</v>
      </c>
      <c r="J124">
        <v>121</v>
      </c>
    </row>
    <row r="125" spans="1:10" x14ac:dyDescent="0.25">
      <c r="A125">
        <v>123</v>
      </c>
      <c r="B125">
        <v>10.267647058823499</v>
      </c>
      <c r="C125">
        <v>14.1866666666666</v>
      </c>
      <c r="D125">
        <v>12.2068181818181</v>
      </c>
      <c r="E125">
        <v>9.7062499999999901</v>
      </c>
      <c r="F125">
        <v>13.0875</v>
      </c>
      <c r="J125">
        <v>122</v>
      </c>
    </row>
    <row r="126" spans="1:10" x14ac:dyDescent="0.25">
      <c r="A126">
        <v>124</v>
      </c>
      <c r="B126">
        <v>10.807352941176401</v>
      </c>
      <c r="C126">
        <v>13.9112903225806</v>
      </c>
      <c r="D126">
        <v>12.772727272727201</v>
      </c>
      <c r="E126">
        <v>9.3062500000000004</v>
      </c>
      <c r="F126">
        <v>13.137499999999999</v>
      </c>
      <c r="J126">
        <v>123</v>
      </c>
    </row>
    <row r="127" spans="1:10" x14ac:dyDescent="0.25">
      <c r="A127">
        <v>125</v>
      </c>
      <c r="B127">
        <v>10.7742424242424</v>
      </c>
      <c r="C127">
        <v>13.9966666666666</v>
      </c>
      <c r="D127">
        <v>11.6095238095238</v>
      </c>
      <c r="E127">
        <v>9.4208333333333307</v>
      </c>
      <c r="F127">
        <v>13.591666666666599</v>
      </c>
      <c r="J127">
        <v>124</v>
      </c>
    </row>
    <row r="128" spans="1:10" x14ac:dyDescent="0.25">
      <c r="A128">
        <v>126</v>
      </c>
      <c r="B128">
        <v>11.583823529411699</v>
      </c>
      <c r="C128">
        <v>14.1596774193548</v>
      </c>
      <c r="D128">
        <v>12.3136363636363</v>
      </c>
      <c r="E128">
        <v>9.3416666666666597</v>
      </c>
      <c r="F128">
        <v>13.2708333333333</v>
      </c>
      <c r="J128">
        <v>125</v>
      </c>
    </row>
    <row r="129" spans="1:10" x14ac:dyDescent="0.25">
      <c r="A129">
        <v>127</v>
      </c>
      <c r="B129">
        <v>11.138235294117599</v>
      </c>
      <c r="C129">
        <v>13.8403225806451</v>
      </c>
      <c r="D129">
        <v>12.261363636363599</v>
      </c>
      <c r="E129">
        <v>9.0062499999999996</v>
      </c>
      <c r="F129">
        <v>12.6791666666666</v>
      </c>
      <c r="J129">
        <v>126</v>
      </c>
    </row>
    <row r="130" spans="1:10" x14ac:dyDescent="0.25">
      <c r="A130">
        <v>128</v>
      </c>
      <c r="B130">
        <v>10.079411764705799</v>
      </c>
      <c r="C130">
        <v>13.5774193548387</v>
      </c>
      <c r="D130">
        <v>11.9340909090909</v>
      </c>
      <c r="E130">
        <v>9.0187500000000007</v>
      </c>
      <c r="F130">
        <v>12.799999999999899</v>
      </c>
      <c r="J130">
        <v>127</v>
      </c>
    </row>
    <row r="131" spans="1:10" x14ac:dyDescent="0.25">
      <c r="A131">
        <v>129</v>
      </c>
      <c r="B131">
        <v>10.2279411764705</v>
      </c>
      <c r="C131">
        <v>13.1612903225806</v>
      </c>
      <c r="D131">
        <v>11.540909090909</v>
      </c>
      <c r="E131">
        <v>9.3520833333333293</v>
      </c>
      <c r="F131">
        <v>14.1</v>
      </c>
      <c r="J131">
        <v>128</v>
      </c>
    </row>
    <row r="132" spans="1:10" x14ac:dyDescent="0.25">
      <c r="A132">
        <v>130</v>
      </c>
      <c r="B132">
        <v>10.1044117647058</v>
      </c>
      <c r="C132">
        <v>13.291935483870899</v>
      </c>
      <c r="D132">
        <v>11.902272727272701</v>
      </c>
      <c r="E132">
        <v>8.6750000000000007</v>
      </c>
      <c r="F132">
        <v>13.7416666666666</v>
      </c>
      <c r="J132">
        <v>129</v>
      </c>
    </row>
    <row r="133" spans="1:10" x14ac:dyDescent="0.25">
      <c r="A133">
        <v>131</v>
      </c>
      <c r="B133">
        <v>10.4441176470588</v>
      </c>
      <c r="C133">
        <v>13.5774193548387</v>
      </c>
      <c r="D133">
        <v>12.381818181818099</v>
      </c>
      <c r="E133">
        <v>8.9804347826086897</v>
      </c>
      <c r="F133">
        <v>13.1</v>
      </c>
      <c r="J133">
        <v>130</v>
      </c>
    </row>
    <row r="134" spans="1:10" x14ac:dyDescent="0.25">
      <c r="A134">
        <v>132</v>
      </c>
      <c r="B134">
        <v>10.801470588235199</v>
      </c>
      <c r="C134">
        <v>13.898387096774099</v>
      </c>
      <c r="D134">
        <v>12.35</v>
      </c>
      <c r="E134">
        <v>9.6043478260869506</v>
      </c>
      <c r="F134">
        <v>13.566666666666601</v>
      </c>
      <c r="J134">
        <v>131</v>
      </c>
    </row>
    <row r="135" spans="1:10" x14ac:dyDescent="0.25">
      <c r="A135">
        <v>133</v>
      </c>
      <c r="B135">
        <v>10.149999999999901</v>
      </c>
      <c r="C135">
        <v>13.8193548387096</v>
      </c>
      <c r="D135">
        <v>11.884090909090901</v>
      </c>
      <c r="E135">
        <v>8.5217391304347796</v>
      </c>
      <c r="F135">
        <v>12.887499999999999</v>
      </c>
      <c r="J135">
        <v>132</v>
      </c>
    </row>
    <row r="136" spans="1:10" x14ac:dyDescent="0.25">
      <c r="A136">
        <v>134</v>
      </c>
      <c r="B136">
        <v>10.029411764705801</v>
      </c>
      <c r="C136">
        <v>13.49</v>
      </c>
      <c r="D136">
        <v>11.861363636363601</v>
      </c>
      <c r="E136">
        <v>9</v>
      </c>
      <c r="F136">
        <v>13</v>
      </c>
      <c r="J136">
        <v>133</v>
      </c>
    </row>
    <row r="137" spans="1:10" x14ac:dyDescent="0.25">
      <c r="A137">
        <v>135</v>
      </c>
      <c r="B137">
        <v>9.6235294117647001</v>
      </c>
      <c r="C137">
        <v>13.408064516129</v>
      </c>
      <c r="D137">
        <v>12.3318181818181</v>
      </c>
      <c r="E137">
        <v>8.2979166666666604</v>
      </c>
      <c r="F137">
        <v>13.470833333333299</v>
      </c>
      <c r="J137">
        <v>134</v>
      </c>
    </row>
    <row r="138" spans="1:10" x14ac:dyDescent="0.25">
      <c r="A138">
        <v>136</v>
      </c>
      <c r="B138">
        <v>10.177941176470499</v>
      </c>
      <c r="C138">
        <v>13.4193548387096</v>
      </c>
      <c r="D138">
        <v>12.0795454545454</v>
      </c>
      <c r="E138">
        <v>7.59375</v>
      </c>
      <c r="F138">
        <v>12.8666666666666</v>
      </c>
      <c r="J138">
        <v>135</v>
      </c>
    </row>
    <row r="139" spans="1:10" x14ac:dyDescent="0.25">
      <c r="A139">
        <v>137</v>
      </c>
      <c r="B139">
        <v>9.2779411764705806</v>
      </c>
      <c r="C139">
        <v>13.0177419354838</v>
      </c>
      <c r="D139">
        <v>11.25</v>
      </c>
      <c r="E139">
        <v>7.17916666666666</v>
      </c>
      <c r="F139">
        <v>12.237499999999899</v>
      </c>
      <c r="J139">
        <v>136</v>
      </c>
    </row>
    <row r="140" spans="1:10" x14ac:dyDescent="0.25">
      <c r="A140">
        <v>138</v>
      </c>
      <c r="B140">
        <v>9.0485294117647008</v>
      </c>
      <c r="C140">
        <v>12.8774193548387</v>
      </c>
      <c r="D140">
        <v>9.9250000000000007</v>
      </c>
      <c r="E140">
        <v>7.6749999999999998</v>
      </c>
      <c r="F140">
        <v>11.595833333333299</v>
      </c>
      <c r="J140">
        <v>137</v>
      </c>
    </row>
    <row r="141" spans="1:10" x14ac:dyDescent="0.25">
      <c r="A141">
        <v>139</v>
      </c>
      <c r="B141">
        <v>9.3647058823529399</v>
      </c>
      <c r="C141">
        <v>13.3629032258064</v>
      </c>
      <c r="D141">
        <v>10.8318181818181</v>
      </c>
      <c r="E141">
        <v>7.8624999999999998</v>
      </c>
      <c r="F141">
        <v>11.904166666666599</v>
      </c>
      <c r="J141">
        <v>138</v>
      </c>
    </row>
    <row r="142" spans="1:10" x14ac:dyDescent="0.25">
      <c r="A142">
        <v>140</v>
      </c>
      <c r="B142">
        <v>9.4352941176470502</v>
      </c>
      <c r="C142">
        <v>13.314516129032199</v>
      </c>
      <c r="D142">
        <v>10.945454545454499</v>
      </c>
      <c r="E142">
        <v>7.84375</v>
      </c>
      <c r="F142">
        <v>11.762499999999999</v>
      </c>
      <c r="J142">
        <v>139</v>
      </c>
    </row>
    <row r="143" spans="1:10" x14ac:dyDescent="0.25">
      <c r="A143">
        <v>141</v>
      </c>
      <c r="B143">
        <v>9.1705882352941099</v>
      </c>
      <c r="C143">
        <v>13.598387096774101</v>
      </c>
      <c r="D143">
        <v>11.1818181818181</v>
      </c>
      <c r="E143">
        <v>7.05416666666666</v>
      </c>
      <c r="F143">
        <v>11.612500000000001</v>
      </c>
      <c r="J143">
        <v>140</v>
      </c>
    </row>
    <row r="144" spans="1:10" x14ac:dyDescent="0.25">
      <c r="A144">
        <v>142</v>
      </c>
      <c r="B144">
        <v>8.3529411764705799</v>
      </c>
      <c r="C144">
        <v>13.074193548387001</v>
      </c>
      <c r="D144">
        <v>10.756818181818099</v>
      </c>
      <c r="E144">
        <v>7.6083333333333298</v>
      </c>
      <c r="F144">
        <v>10.174999999999899</v>
      </c>
      <c r="J144">
        <v>141</v>
      </c>
    </row>
    <row r="145" spans="1:10" x14ac:dyDescent="0.25">
      <c r="A145">
        <v>143</v>
      </c>
      <c r="B145">
        <v>9.0132352941176404</v>
      </c>
      <c r="C145">
        <v>12.8338709677419</v>
      </c>
      <c r="D145">
        <v>10.147727272727201</v>
      </c>
      <c r="E145">
        <v>7.4833333333333298</v>
      </c>
      <c r="F145">
        <v>10.7416666666666</v>
      </c>
      <c r="J145">
        <v>142</v>
      </c>
    </row>
    <row r="146" spans="1:10" x14ac:dyDescent="0.25">
      <c r="A146">
        <v>144</v>
      </c>
      <c r="B146">
        <v>8.7911764705882298</v>
      </c>
      <c r="C146">
        <v>12.761290322580599</v>
      </c>
      <c r="D146">
        <v>10.890909090909</v>
      </c>
      <c r="E146">
        <v>6.7208333333333297</v>
      </c>
      <c r="F146">
        <v>10.983333333333301</v>
      </c>
      <c r="J146">
        <v>143</v>
      </c>
    </row>
    <row r="147" spans="1:10" x14ac:dyDescent="0.25">
      <c r="A147">
        <v>145</v>
      </c>
      <c r="B147">
        <v>8.3720588235294109</v>
      </c>
      <c r="C147">
        <v>13.04</v>
      </c>
      <c r="D147">
        <v>10.35</v>
      </c>
      <c r="E147">
        <v>7.1956521739130404</v>
      </c>
      <c r="F147">
        <v>10.7666666666666</v>
      </c>
      <c r="J147">
        <v>144</v>
      </c>
    </row>
    <row r="148" spans="1:10" x14ac:dyDescent="0.25">
      <c r="A148">
        <v>146</v>
      </c>
      <c r="B148">
        <v>8.5632352941176393</v>
      </c>
      <c r="C148">
        <v>13.44</v>
      </c>
      <c r="D148">
        <v>10.795454545454501</v>
      </c>
      <c r="E148">
        <v>6.1826086956521698</v>
      </c>
      <c r="F148">
        <v>11.1833333333333</v>
      </c>
      <c r="J148">
        <v>145</v>
      </c>
    </row>
    <row r="149" spans="1:10" x14ac:dyDescent="0.25">
      <c r="A149">
        <v>147</v>
      </c>
      <c r="B149">
        <v>8.4573529411764703</v>
      </c>
      <c r="C149">
        <v>12.8183333333333</v>
      </c>
      <c r="D149">
        <v>10.8363636363636</v>
      </c>
      <c r="E149">
        <v>6.0386363636363596</v>
      </c>
      <c r="F149">
        <v>10.566666666666601</v>
      </c>
      <c r="J149">
        <v>146</v>
      </c>
    </row>
    <row r="150" spans="1:10" x14ac:dyDescent="0.25">
      <c r="A150">
        <v>148</v>
      </c>
      <c r="B150">
        <v>8.1897058823529392</v>
      </c>
      <c r="C150">
        <v>12.088333333333299</v>
      </c>
      <c r="D150">
        <v>9.9977272727272695</v>
      </c>
      <c r="E150">
        <v>6.2409090909090903</v>
      </c>
      <c r="F150">
        <v>10.283333333333299</v>
      </c>
      <c r="J150">
        <v>147</v>
      </c>
    </row>
    <row r="151" spans="1:10" x14ac:dyDescent="0.25">
      <c r="A151">
        <v>149</v>
      </c>
      <c r="B151">
        <v>8.3764705882352892</v>
      </c>
      <c r="C151">
        <v>11.7193548387096</v>
      </c>
      <c r="D151">
        <v>10.025</v>
      </c>
      <c r="E151">
        <v>6.6673913043478201</v>
      </c>
      <c r="F151">
        <v>10.8</v>
      </c>
      <c r="J151">
        <v>148</v>
      </c>
    </row>
    <row r="152" spans="1:10" x14ac:dyDescent="0.25">
      <c r="A152">
        <v>150</v>
      </c>
      <c r="B152">
        <v>7.9235294117646999</v>
      </c>
      <c r="C152">
        <v>12.024193548387</v>
      </c>
      <c r="D152">
        <v>9.4727272727272709</v>
      </c>
      <c r="E152">
        <v>7.2043478260869502</v>
      </c>
      <c r="F152">
        <v>9.6624999999999996</v>
      </c>
      <c r="J152">
        <v>149</v>
      </c>
    </row>
    <row r="153" spans="1:10" x14ac:dyDescent="0.25">
      <c r="A153">
        <v>151</v>
      </c>
      <c r="B153">
        <v>7.9742424242424201</v>
      </c>
      <c r="C153">
        <v>11.7258064516129</v>
      </c>
      <c r="D153">
        <v>9.3613636363636292</v>
      </c>
      <c r="E153">
        <v>7.1826086956521698</v>
      </c>
      <c r="F153">
        <v>9.7166666666666597</v>
      </c>
      <c r="J153">
        <v>150</v>
      </c>
    </row>
    <row r="154" spans="1:10" x14ac:dyDescent="0.25">
      <c r="A154">
        <v>152</v>
      </c>
      <c r="B154">
        <v>8.0696969696969596</v>
      </c>
      <c r="C154">
        <v>11.7564516129032</v>
      </c>
      <c r="D154">
        <v>8.8113636363636303</v>
      </c>
      <c r="E154">
        <v>6.96521739130434</v>
      </c>
      <c r="F154">
        <v>10.004166666666601</v>
      </c>
      <c r="J154">
        <v>151</v>
      </c>
    </row>
    <row r="155" spans="1:10" x14ac:dyDescent="0.25">
      <c r="A155">
        <v>153</v>
      </c>
      <c r="B155">
        <v>7.75</v>
      </c>
      <c r="C155">
        <v>11.6033333333333</v>
      </c>
      <c r="D155">
        <v>10.022727272727201</v>
      </c>
      <c r="E155">
        <v>6.3260869565217304</v>
      </c>
      <c r="F155">
        <v>9.99583333333333</v>
      </c>
      <c r="J155">
        <v>152</v>
      </c>
    </row>
    <row r="156" spans="1:10" x14ac:dyDescent="0.25">
      <c r="A156">
        <v>154</v>
      </c>
      <c r="B156">
        <v>7.4484848484848403</v>
      </c>
      <c r="C156">
        <v>11.056666666666599</v>
      </c>
      <c r="D156">
        <v>9.2272727272727195</v>
      </c>
      <c r="E156">
        <v>5.8586956521739104</v>
      </c>
      <c r="F156">
        <v>9.8999999999999897</v>
      </c>
      <c r="J156">
        <v>153</v>
      </c>
    </row>
    <row r="157" spans="1:10" x14ac:dyDescent="0.25">
      <c r="A157">
        <v>155</v>
      </c>
      <c r="B157">
        <v>7.27424242424242</v>
      </c>
      <c r="C157">
        <v>11.1733333333333</v>
      </c>
      <c r="D157">
        <v>9.1909090909090896</v>
      </c>
      <c r="E157">
        <v>6.80217391304347</v>
      </c>
      <c r="F157">
        <v>10.95</v>
      </c>
      <c r="J157">
        <v>154</v>
      </c>
    </row>
    <row r="158" spans="1:10" x14ac:dyDescent="0.25">
      <c r="A158">
        <v>156</v>
      </c>
      <c r="B158">
        <v>7.1969696969696901</v>
      </c>
      <c r="C158">
        <v>11.3016666666666</v>
      </c>
      <c r="D158">
        <v>8.9022727272727202</v>
      </c>
      <c r="E158">
        <v>6.5326086956521703</v>
      </c>
      <c r="F158">
        <v>10.6875</v>
      </c>
      <c r="J158">
        <v>155</v>
      </c>
    </row>
    <row r="159" spans="1:10" x14ac:dyDescent="0.25">
      <c r="A159">
        <v>157</v>
      </c>
      <c r="B159">
        <v>6.8636363636363598</v>
      </c>
      <c r="C159">
        <v>11.2416666666666</v>
      </c>
      <c r="D159">
        <v>9.3249999999999993</v>
      </c>
      <c r="E159">
        <v>5.6369565217391298</v>
      </c>
      <c r="F159">
        <v>10.5625</v>
      </c>
      <c r="J159">
        <v>156</v>
      </c>
    </row>
    <row r="160" spans="1:10" x14ac:dyDescent="0.25">
      <c r="A160">
        <v>158</v>
      </c>
      <c r="B160">
        <v>7.0772727272727201</v>
      </c>
      <c r="C160">
        <v>11.3533333333333</v>
      </c>
      <c r="D160">
        <v>8.8249999999999993</v>
      </c>
      <c r="E160">
        <v>5.8954545454545402</v>
      </c>
      <c r="F160">
        <v>10.4625</v>
      </c>
      <c r="J160">
        <v>157</v>
      </c>
    </row>
    <row r="161" spans="1:10" x14ac:dyDescent="0.25">
      <c r="A161">
        <v>159</v>
      </c>
      <c r="B161">
        <v>7.6151515151515099</v>
      </c>
      <c r="C161">
        <v>11.6383333333333</v>
      </c>
      <c r="D161">
        <v>8.7545454545454504</v>
      </c>
      <c r="E161">
        <v>6.2239130434782597</v>
      </c>
      <c r="F161">
        <v>9.5875000000000004</v>
      </c>
      <c r="J161">
        <v>158</v>
      </c>
    </row>
    <row r="162" spans="1:10" x14ac:dyDescent="0.25">
      <c r="A162">
        <v>160</v>
      </c>
      <c r="B162">
        <v>7.8272727272727201</v>
      </c>
      <c r="C162">
        <v>12.033333333333299</v>
      </c>
      <c r="D162">
        <v>8.4977272727272695</v>
      </c>
      <c r="E162">
        <v>6.17173913043478</v>
      </c>
      <c r="F162">
        <v>9.4875000000000007</v>
      </c>
      <c r="J162">
        <v>159</v>
      </c>
    </row>
    <row r="163" spans="1:10" x14ac:dyDescent="0.25">
      <c r="A163">
        <v>161</v>
      </c>
      <c r="B163">
        <v>7.8272727272727201</v>
      </c>
      <c r="C163">
        <v>12.0483333333333</v>
      </c>
      <c r="D163">
        <v>9.8119047619047599</v>
      </c>
      <c r="E163">
        <v>5.7826086956521703</v>
      </c>
      <c r="F163">
        <v>10.9</v>
      </c>
      <c r="J163">
        <v>160</v>
      </c>
    </row>
    <row r="164" spans="1:10" x14ac:dyDescent="0.25">
      <c r="A164">
        <v>162</v>
      </c>
      <c r="B164">
        <v>7.6075757575757503</v>
      </c>
      <c r="C164">
        <v>12.105</v>
      </c>
      <c r="D164">
        <v>10.1785714285714</v>
      </c>
      <c r="E164">
        <v>5.7717391304347796</v>
      </c>
      <c r="F164">
        <v>10.8954545454545</v>
      </c>
      <c r="J164">
        <v>161</v>
      </c>
    </row>
    <row r="165" spans="1:10" x14ac:dyDescent="0.25">
      <c r="A165">
        <v>163</v>
      </c>
      <c r="B165">
        <v>7.7030303030302996</v>
      </c>
      <c r="C165">
        <v>11.93</v>
      </c>
      <c r="D165">
        <v>10.6</v>
      </c>
      <c r="E165">
        <v>5.6869565217391296</v>
      </c>
      <c r="F165">
        <v>11.8375</v>
      </c>
      <c r="J165">
        <v>162</v>
      </c>
    </row>
    <row r="166" spans="1:10" x14ac:dyDescent="0.25">
      <c r="A166">
        <v>164</v>
      </c>
      <c r="B166">
        <v>6.8681818181818102</v>
      </c>
      <c r="C166">
        <v>11.734999999999999</v>
      </c>
      <c r="D166">
        <v>9.9095238095238098</v>
      </c>
      <c r="E166">
        <v>5.4086956521739102</v>
      </c>
      <c r="F166">
        <v>10.4916666666666</v>
      </c>
      <c r="J166">
        <v>163</v>
      </c>
    </row>
    <row r="167" spans="1:10" x14ac:dyDescent="0.25">
      <c r="A167">
        <v>165</v>
      </c>
      <c r="B167">
        <v>7.2318181818181797</v>
      </c>
      <c r="C167">
        <v>11.1666666666666</v>
      </c>
      <c r="D167">
        <v>9.4833333333333307</v>
      </c>
      <c r="E167">
        <v>6.0304347826086904</v>
      </c>
      <c r="F167">
        <v>10.133333333333301</v>
      </c>
      <c r="J167">
        <v>164</v>
      </c>
    </row>
    <row r="168" spans="1:10" x14ac:dyDescent="0.25">
      <c r="A168">
        <v>166</v>
      </c>
      <c r="B168">
        <v>7.3390624999999998</v>
      </c>
      <c r="C168">
        <v>11.2283333333333</v>
      </c>
      <c r="D168">
        <v>8.9738095238095195</v>
      </c>
      <c r="E168">
        <v>5.8521739130434698</v>
      </c>
      <c r="F168">
        <v>9.0291666666666597</v>
      </c>
      <c r="J168">
        <v>165</v>
      </c>
    </row>
    <row r="169" spans="1:10" x14ac:dyDescent="0.25">
      <c r="A169">
        <v>167</v>
      </c>
      <c r="B169">
        <v>6.6624999999999996</v>
      </c>
      <c r="C169">
        <v>10.6586206896551</v>
      </c>
      <c r="D169">
        <v>9.1873376623376597</v>
      </c>
      <c r="E169">
        <v>5.9782608695652097</v>
      </c>
      <c r="F169">
        <v>10.125</v>
      </c>
      <c r="J169">
        <v>166</v>
      </c>
    </row>
    <row r="170" spans="1:10" x14ac:dyDescent="0.25">
      <c r="A170">
        <v>168</v>
      </c>
      <c r="B170">
        <v>6.015625</v>
      </c>
      <c r="C170">
        <v>10.7310344827586</v>
      </c>
      <c r="D170">
        <v>9.3000000000000007</v>
      </c>
      <c r="E170">
        <v>5.9340909090908998</v>
      </c>
      <c r="F170">
        <v>10.2291666666666</v>
      </c>
      <c r="J170">
        <v>167</v>
      </c>
    </row>
    <row r="171" spans="1:10" x14ac:dyDescent="0.25">
      <c r="A171">
        <v>169</v>
      </c>
      <c r="B171">
        <v>6.4772727272727204</v>
      </c>
      <c r="C171">
        <v>11.2603448275862</v>
      </c>
      <c r="D171">
        <v>9.0485930735930697</v>
      </c>
      <c r="E171">
        <v>5.67173913043478</v>
      </c>
      <c r="F171">
        <v>10.316666666666601</v>
      </c>
      <c r="J171">
        <v>168</v>
      </c>
    </row>
    <row r="172" spans="1:10" x14ac:dyDescent="0.25">
      <c r="A172">
        <v>170</v>
      </c>
      <c r="B172">
        <v>6.3803030303030299</v>
      </c>
      <c r="C172">
        <v>10.906896551724101</v>
      </c>
      <c r="D172">
        <v>9.3318181818181802</v>
      </c>
      <c r="E172">
        <v>4.92173913043478</v>
      </c>
      <c r="F172">
        <v>10.6666666666666</v>
      </c>
      <c r="J172">
        <v>169</v>
      </c>
    </row>
    <row r="173" spans="1:10" x14ac:dyDescent="0.25">
      <c r="A173">
        <v>171</v>
      </c>
      <c r="B173">
        <v>6.4439393939393899</v>
      </c>
      <c r="C173">
        <v>11.072413793103401</v>
      </c>
      <c r="D173">
        <v>8.5568181818181799</v>
      </c>
      <c r="E173">
        <v>4.7863636363636299</v>
      </c>
      <c r="F173">
        <v>10.6181818181818</v>
      </c>
      <c r="J173">
        <v>170</v>
      </c>
    </row>
    <row r="174" spans="1:10" x14ac:dyDescent="0.25">
      <c r="A174">
        <v>172</v>
      </c>
      <c r="B174">
        <v>6.5606060606060597</v>
      </c>
      <c r="C174">
        <v>11.1844827586206</v>
      </c>
      <c r="D174">
        <v>9.0977272727272709</v>
      </c>
      <c r="E174">
        <v>4.4522727272727201</v>
      </c>
      <c r="F174">
        <v>10.0318181818181</v>
      </c>
      <c r="J174">
        <v>171</v>
      </c>
    </row>
    <row r="175" spans="1:10" x14ac:dyDescent="0.25">
      <c r="A175">
        <v>173</v>
      </c>
      <c r="B175">
        <v>6.1424242424242399</v>
      </c>
      <c r="C175">
        <v>10.84</v>
      </c>
      <c r="D175">
        <v>8.1601731601731604</v>
      </c>
      <c r="E175">
        <v>4.80217391304347</v>
      </c>
      <c r="F175">
        <v>8.9727272727272709</v>
      </c>
      <c r="J175">
        <v>172</v>
      </c>
    </row>
    <row r="176" spans="1:10" x14ac:dyDescent="0.25">
      <c r="A176">
        <v>174</v>
      </c>
      <c r="B176">
        <v>6.20757575757575</v>
      </c>
      <c r="C176">
        <v>10.578333333333299</v>
      </c>
      <c r="D176">
        <v>8.8409090909090899</v>
      </c>
      <c r="E176">
        <v>5.2086956521739101</v>
      </c>
      <c r="F176">
        <v>9.0227272727272698</v>
      </c>
      <c r="J176">
        <v>173</v>
      </c>
    </row>
    <row r="177" spans="1:10" x14ac:dyDescent="0.25">
      <c r="A177">
        <v>175</v>
      </c>
      <c r="B177">
        <v>6.5106060606060598</v>
      </c>
      <c r="C177">
        <v>10.6928571428571</v>
      </c>
      <c r="D177">
        <v>8.4772727272727195</v>
      </c>
      <c r="E177">
        <v>5.4739130434782597</v>
      </c>
      <c r="F177">
        <v>10.3590909090909</v>
      </c>
      <c r="J177">
        <v>174</v>
      </c>
    </row>
    <row r="178" spans="1:10" x14ac:dyDescent="0.25">
      <c r="A178">
        <v>176</v>
      </c>
      <c r="B178">
        <v>6.4439393939393899</v>
      </c>
      <c r="C178">
        <v>10.8642857142857</v>
      </c>
      <c r="D178">
        <v>8.4992424242424196</v>
      </c>
      <c r="E178">
        <v>5.7891304347826003</v>
      </c>
      <c r="F178">
        <v>9.5090909090909097</v>
      </c>
      <c r="J178">
        <v>175</v>
      </c>
    </row>
    <row r="179" spans="1:10" x14ac:dyDescent="0.25">
      <c r="A179">
        <v>177</v>
      </c>
      <c r="B179">
        <v>6.6909090909090896</v>
      </c>
      <c r="C179">
        <v>10.492857142857099</v>
      </c>
      <c r="D179">
        <v>8.1190476190476097</v>
      </c>
      <c r="E179">
        <v>5.8195652173913004</v>
      </c>
      <c r="F179">
        <v>9.1272727272727199</v>
      </c>
      <c r="J179">
        <v>176</v>
      </c>
    </row>
    <row r="180" spans="1:10" x14ac:dyDescent="0.25">
      <c r="A180">
        <v>178</v>
      </c>
      <c r="B180">
        <v>6.1848484848484802</v>
      </c>
      <c r="C180">
        <v>10.592857142857101</v>
      </c>
      <c r="D180">
        <v>8.35</v>
      </c>
      <c r="E180">
        <v>5.0173913043478198</v>
      </c>
      <c r="F180">
        <v>8.7727272727272698</v>
      </c>
      <c r="J180">
        <v>177</v>
      </c>
    </row>
    <row r="181" spans="1:10" x14ac:dyDescent="0.25">
      <c r="A181">
        <v>179</v>
      </c>
      <c r="B181">
        <v>5.9242424242424203</v>
      </c>
      <c r="C181">
        <v>10.465517241379301</v>
      </c>
      <c r="D181">
        <v>8.0295454545454508</v>
      </c>
      <c r="E181">
        <v>4.7282608695652097</v>
      </c>
      <c r="F181">
        <v>8.8363636363636306</v>
      </c>
      <c r="J181">
        <v>178</v>
      </c>
    </row>
    <row r="182" spans="1:10" x14ac:dyDescent="0.25">
      <c r="A182">
        <v>180</v>
      </c>
      <c r="B182">
        <v>6.1499999999999897</v>
      </c>
      <c r="C182">
        <v>10.572413793103401</v>
      </c>
      <c r="D182">
        <v>8.7095238095238106</v>
      </c>
      <c r="E182">
        <v>4.8673913043478203</v>
      </c>
      <c r="F182">
        <v>8.7136363636363594</v>
      </c>
      <c r="J182">
        <v>179</v>
      </c>
    </row>
    <row r="183" spans="1:10" x14ac:dyDescent="0.25">
      <c r="A183">
        <v>181</v>
      </c>
      <c r="B183">
        <v>6.4909090909090903</v>
      </c>
      <c r="C183">
        <v>10.655357142857101</v>
      </c>
      <c r="D183">
        <v>8.2333333333333307</v>
      </c>
      <c r="E183">
        <v>5.5354166666666602</v>
      </c>
      <c r="F183">
        <v>8.5291666666666597</v>
      </c>
      <c r="J183">
        <v>180</v>
      </c>
    </row>
    <row r="184" spans="1:10" x14ac:dyDescent="0.25">
      <c r="A184">
        <v>182</v>
      </c>
      <c r="B184">
        <v>5.80151515151515</v>
      </c>
      <c r="C184">
        <v>10.0517857142857</v>
      </c>
      <c r="D184">
        <v>8.6285714285714192</v>
      </c>
      <c r="E184">
        <v>4.2979166666666604</v>
      </c>
      <c r="F184">
        <v>8.8208333333333293</v>
      </c>
      <c r="J184">
        <v>181</v>
      </c>
    </row>
    <row r="185" spans="1:10" x14ac:dyDescent="0.25">
      <c r="A185">
        <v>183</v>
      </c>
      <c r="B185">
        <v>5.4696969696969697</v>
      </c>
      <c r="C185">
        <v>9.5678571428571395</v>
      </c>
      <c r="D185">
        <v>8.3523809523809494</v>
      </c>
      <c r="E185">
        <v>3.7374999999999998</v>
      </c>
      <c r="F185">
        <v>8.2249999999999996</v>
      </c>
      <c r="J185">
        <v>182</v>
      </c>
    </row>
    <row r="186" spans="1:10" x14ac:dyDescent="0.25">
      <c r="A186">
        <v>184</v>
      </c>
      <c r="B186">
        <v>6.01212121212121</v>
      </c>
      <c r="C186">
        <v>9.7035714285714292</v>
      </c>
      <c r="D186">
        <v>8.2065476190476101</v>
      </c>
      <c r="E186">
        <v>4.34375</v>
      </c>
      <c r="F186">
        <v>8.8333333333333304</v>
      </c>
      <c r="J186">
        <v>183</v>
      </c>
    </row>
    <row r="187" spans="1:10" x14ac:dyDescent="0.25">
      <c r="A187">
        <v>185</v>
      </c>
      <c r="B187">
        <v>6.2727272727272698</v>
      </c>
      <c r="C187">
        <v>10.1785714285714</v>
      </c>
      <c r="D187">
        <v>8.4166666666666607</v>
      </c>
      <c r="E187">
        <v>4.6729166666666604</v>
      </c>
      <c r="F187">
        <v>8.6</v>
      </c>
      <c r="J187">
        <v>184</v>
      </c>
    </row>
    <row r="188" spans="1:10" x14ac:dyDescent="0.25">
      <c r="A188">
        <v>186</v>
      </c>
      <c r="B188">
        <v>6.5393939393939302</v>
      </c>
      <c r="C188">
        <v>10.675000000000001</v>
      </c>
      <c r="D188">
        <v>8.3928571428571406</v>
      </c>
      <c r="E188">
        <v>4.7</v>
      </c>
      <c r="F188">
        <v>9.4</v>
      </c>
      <c r="J188">
        <v>185</v>
      </c>
    </row>
    <row r="189" spans="1:10" x14ac:dyDescent="0.25">
      <c r="A189">
        <v>187</v>
      </c>
      <c r="B189">
        <v>6.3272727272727201</v>
      </c>
      <c r="C189">
        <v>10.6303571428571</v>
      </c>
      <c r="D189">
        <v>8.5049999999999901</v>
      </c>
      <c r="E189">
        <v>4.3108695652173896</v>
      </c>
      <c r="F189">
        <v>9.12083333333333</v>
      </c>
      <c r="J189">
        <v>186</v>
      </c>
    </row>
    <row r="190" spans="1:10" x14ac:dyDescent="0.25">
      <c r="A190">
        <v>188</v>
      </c>
      <c r="B190">
        <v>5.5742424242424198</v>
      </c>
      <c r="C190">
        <v>10.5714285714285</v>
      </c>
      <c r="D190">
        <v>9.11666666666666</v>
      </c>
      <c r="E190">
        <v>3.5999999999999899</v>
      </c>
      <c r="F190">
        <v>9.6583333333333297</v>
      </c>
      <c r="J190">
        <v>187</v>
      </c>
    </row>
    <row r="191" spans="1:10" x14ac:dyDescent="0.25">
      <c r="A191">
        <v>189</v>
      </c>
      <c r="B191">
        <v>5.2243939393939298</v>
      </c>
      <c r="C191">
        <v>10.2685185185185</v>
      </c>
      <c r="D191">
        <v>8.6547619047618998</v>
      </c>
      <c r="E191">
        <v>3.2913043478260802</v>
      </c>
      <c r="F191">
        <v>8.5291666666666597</v>
      </c>
      <c r="J191">
        <v>188</v>
      </c>
    </row>
    <row r="192" spans="1:10" x14ac:dyDescent="0.25">
      <c r="A192">
        <v>190</v>
      </c>
      <c r="B192">
        <v>5.4590909090909001</v>
      </c>
      <c r="C192">
        <v>10.4166666666666</v>
      </c>
      <c r="D192">
        <v>8.3523809523809494</v>
      </c>
      <c r="E192">
        <v>4.0478260869565199</v>
      </c>
      <c r="F192">
        <v>8.1583333333333297</v>
      </c>
      <c r="J192">
        <v>189</v>
      </c>
    </row>
    <row r="193" spans="1:10" x14ac:dyDescent="0.25">
      <c r="A193">
        <v>191</v>
      </c>
      <c r="B193">
        <v>5.67121212121212</v>
      </c>
      <c r="C193">
        <v>9.7703703703703706</v>
      </c>
      <c r="D193">
        <v>8.1119047619047606</v>
      </c>
      <c r="E193">
        <v>3.81739130434782</v>
      </c>
      <c r="F193">
        <v>8.24166666666666</v>
      </c>
      <c r="J193">
        <v>190</v>
      </c>
    </row>
    <row r="194" spans="1:10" x14ac:dyDescent="0.25">
      <c r="A194">
        <v>192</v>
      </c>
      <c r="B194">
        <v>5.5803030303030301</v>
      </c>
      <c r="C194">
        <v>9.4057692307692307</v>
      </c>
      <c r="D194">
        <v>8.3619047619047606</v>
      </c>
      <c r="E194">
        <v>3.9520833333333298</v>
      </c>
      <c r="F194">
        <v>8.0333333333333297</v>
      </c>
      <c r="J194">
        <v>191</v>
      </c>
    </row>
    <row r="195" spans="1:10" x14ac:dyDescent="0.25">
      <c r="A195">
        <v>193</v>
      </c>
      <c r="B195">
        <v>5.8181818181818103</v>
      </c>
      <c r="C195">
        <v>9.7037037037037006</v>
      </c>
      <c r="D195">
        <v>8.4476190476190407</v>
      </c>
      <c r="E195">
        <v>3.76249999999999</v>
      </c>
      <c r="F195">
        <v>8.37083333333333</v>
      </c>
      <c r="J195">
        <v>192</v>
      </c>
    </row>
    <row r="196" spans="1:10" x14ac:dyDescent="0.25">
      <c r="A196">
        <v>194</v>
      </c>
      <c r="B196">
        <v>5.8984848484848396</v>
      </c>
      <c r="C196">
        <v>9.875</v>
      </c>
      <c r="D196">
        <v>8.0047619047618994</v>
      </c>
      <c r="E196">
        <v>4.242</v>
      </c>
      <c r="F196">
        <v>8.0916666666666597</v>
      </c>
      <c r="J196">
        <v>193</v>
      </c>
    </row>
    <row r="197" spans="1:10" x14ac:dyDescent="0.25">
      <c r="A197">
        <v>195</v>
      </c>
      <c r="B197">
        <v>6.1590909090909003</v>
      </c>
      <c r="C197">
        <v>9.4732142857142794</v>
      </c>
      <c r="D197">
        <v>7.5666666666666602</v>
      </c>
      <c r="E197">
        <v>4.67</v>
      </c>
      <c r="F197">
        <v>7.9156250000000004</v>
      </c>
      <c r="J197">
        <v>194</v>
      </c>
    </row>
    <row r="198" spans="1:10" x14ac:dyDescent="0.25">
      <c r="A198">
        <v>196</v>
      </c>
      <c r="B198">
        <v>5.8606060606060604</v>
      </c>
      <c r="C198">
        <v>10.3732142857142</v>
      </c>
      <c r="D198">
        <v>8.4499999999999993</v>
      </c>
      <c r="E198">
        <v>5.2020833333333298</v>
      </c>
      <c r="F198">
        <v>8.8590909090909093</v>
      </c>
      <c r="J198">
        <v>195</v>
      </c>
    </row>
    <row r="199" spans="1:10" x14ac:dyDescent="0.25">
      <c r="A199">
        <v>197</v>
      </c>
      <c r="B199">
        <v>6.3318181818181802</v>
      </c>
      <c r="C199">
        <v>10.9428571428571</v>
      </c>
      <c r="D199">
        <v>8.6999999999999993</v>
      </c>
      <c r="E199">
        <v>4.3833333333333302</v>
      </c>
      <c r="F199">
        <v>8.8590909090909093</v>
      </c>
      <c r="J199">
        <v>196</v>
      </c>
    </row>
    <row r="200" spans="1:10" x14ac:dyDescent="0.25">
      <c r="A200">
        <v>198</v>
      </c>
      <c r="B200">
        <v>6.4424242424242397</v>
      </c>
      <c r="C200">
        <v>10.689655172413699</v>
      </c>
      <c r="D200">
        <v>9.1380952380952305</v>
      </c>
      <c r="E200">
        <v>5.2039999999999997</v>
      </c>
      <c r="F200">
        <v>9.5909090909090899</v>
      </c>
      <c r="J200">
        <v>197</v>
      </c>
    </row>
    <row r="201" spans="1:10" x14ac:dyDescent="0.25">
      <c r="A201">
        <v>199</v>
      </c>
      <c r="B201">
        <v>6.3242424242424198</v>
      </c>
      <c r="C201">
        <v>10.322413793103401</v>
      </c>
      <c r="D201">
        <v>8.3357142857142801</v>
      </c>
      <c r="E201">
        <v>5.1437499999999998</v>
      </c>
      <c r="F201">
        <v>8.8450000000000006</v>
      </c>
      <c r="J201">
        <v>198</v>
      </c>
    </row>
    <row r="202" spans="1:10" x14ac:dyDescent="0.25">
      <c r="A202">
        <v>200</v>
      </c>
      <c r="B202">
        <v>6.5333333333333297</v>
      </c>
      <c r="C202">
        <v>10.189655172413699</v>
      </c>
      <c r="D202">
        <v>7.9571428571428502</v>
      </c>
      <c r="E202">
        <v>5.2139999999999898</v>
      </c>
      <c r="F202">
        <v>8.99166666666666</v>
      </c>
      <c r="J202">
        <v>199</v>
      </c>
    </row>
    <row r="203" spans="1:10" x14ac:dyDescent="0.25">
      <c r="A203">
        <v>201</v>
      </c>
      <c r="B203">
        <v>6.70757575757575</v>
      </c>
      <c r="C203">
        <v>10.668333333333299</v>
      </c>
      <c r="D203">
        <v>8.3547619047619008</v>
      </c>
      <c r="E203">
        <v>5.7160000000000002</v>
      </c>
      <c r="F203">
        <v>9.5</v>
      </c>
      <c r="J203">
        <v>200</v>
      </c>
    </row>
    <row r="204" spans="1:10" x14ac:dyDescent="0.25">
      <c r="A204">
        <v>202</v>
      </c>
      <c r="B204">
        <v>6.2909090909090901</v>
      </c>
      <c r="C204">
        <v>10.181666666666599</v>
      </c>
      <c r="D204">
        <v>8.2880952380952309</v>
      </c>
      <c r="E204">
        <v>5.3780000000000001</v>
      </c>
      <c r="F204">
        <v>9.8333333333333304</v>
      </c>
      <c r="J204">
        <v>201</v>
      </c>
    </row>
    <row r="205" spans="1:10" x14ac:dyDescent="0.25">
      <c r="A205">
        <v>203</v>
      </c>
      <c r="B205">
        <v>6.5757575757575699</v>
      </c>
      <c r="C205">
        <v>10.761666666666599</v>
      </c>
      <c r="D205">
        <v>9.11666666666666</v>
      </c>
      <c r="E205">
        <v>5.0419999999999998</v>
      </c>
      <c r="F205">
        <v>10.029166666666599</v>
      </c>
      <c r="J205">
        <v>202</v>
      </c>
    </row>
    <row r="206" spans="1:10" x14ac:dyDescent="0.25">
      <c r="A206">
        <v>204</v>
      </c>
      <c r="B206">
        <v>6.8424242424242401</v>
      </c>
      <c r="C206">
        <v>10.623333333333299</v>
      </c>
      <c r="D206">
        <v>8.4619047619047603</v>
      </c>
      <c r="E206">
        <v>5.1739999999999897</v>
      </c>
      <c r="F206">
        <v>9.4250000000000007</v>
      </c>
      <c r="J206">
        <v>203</v>
      </c>
    </row>
    <row r="207" spans="1:10" x14ac:dyDescent="0.25">
      <c r="A207">
        <v>205</v>
      </c>
      <c r="B207">
        <v>6.7236363636363601</v>
      </c>
      <c r="C207">
        <v>10.654999999999999</v>
      </c>
      <c r="D207">
        <v>9.2261904761904692</v>
      </c>
      <c r="E207">
        <v>5.1770833333333304</v>
      </c>
      <c r="F207">
        <v>9.4</v>
      </c>
      <c r="J207">
        <v>204</v>
      </c>
    </row>
    <row r="208" spans="1:10" x14ac:dyDescent="0.25">
      <c r="A208">
        <v>206</v>
      </c>
      <c r="B208">
        <v>6.8075757575757496</v>
      </c>
      <c r="C208">
        <v>10.085000000000001</v>
      </c>
      <c r="D208">
        <v>8.6071428571428505</v>
      </c>
      <c r="E208">
        <v>5.18</v>
      </c>
      <c r="F208">
        <v>8.92916666666666</v>
      </c>
      <c r="J208">
        <v>205</v>
      </c>
    </row>
    <row r="209" spans="1:10" x14ac:dyDescent="0.25">
      <c r="A209">
        <v>207</v>
      </c>
      <c r="B209">
        <v>6.7636363636363601</v>
      </c>
      <c r="C209">
        <v>9.99</v>
      </c>
      <c r="D209">
        <v>8.2261904761904692</v>
      </c>
      <c r="E209">
        <v>5.83</v>
      </c>
      <c r="F209">
        <v>8.7624999999999993</v>
      </c>
      <c r="J209">
        <v>206</v>
      </c>
    </row>
    <row r="210" spans="1:10" x14ac:dyDescent="0.25">
      <c r="A210">
        <v>208</v>
      </c>
      <c r="B210">
        <v>7.0954545454545404</v>
      </c>
      <c r="C210">
        <v>10.4116666666666</v>
      </c>
      <c r="D210">
        <v>8.1785714285714199</v>
      </c>
      <c r="E210">
        <v>5.98</v>
      </c>
      <c r="F210">
        <v>9.3333333333333304</v>
      </c>
      <c r="J210">
        <v>207</v>
      </c>
    </row>
    <row r="211" spans="1:10" x14ac:dyDescent="0.25">
      <c r="A211">
        <v>209</v>
      </c>
      <c r="B211">
        <v>7.0287878787878704</v>
      </c>
      <c r="C211">
        <v>10.494999999999999</v>
      </c>
      <c r="D211">
        <v>8.9785714285714207</v>
      </c>
      <c r="E211">
        <v>6.125</v>
      </c>
      <c r="F211">
        <v>8.9875000000000007</v>
      </c>
      <c r="J211">
        <v>208</v>
      </c>
    </row>
    <row r="212" spans="1:10" x14ac:dyDescent="0.25">
      <c r="A212">
        <v>210</v>
      </c>
      <c r="B212">
        <v>7.4492424242424198</v>
      </c>
      <c r="C212">
        <v>10.685</v>
      </c>
      <c r="D212">
        <v>8.7595238095238095</v>
      </c>
      <c r="E212">
        <v>6.2229166666666602</v>
      </c>
      <c r="F212">
        <v>9.0374999999999996</v>
      </c>
      <c r="J212">
        <v>209</v>
      </c>
    </row>
    <row r="213" spans="1:10" x14ac:dyDescent="0.25">
      <c r="A213">
        <v>211</v>
      </c>
      <c r="B213">
        <v>6.8409090909090899</v>
      </c>
      <c r="C213">
        <v>10.678333333333301</v>
      </c>
      <c r="D213">
        <v>8.9523809523809508</v>
      </c>
      <c r="E213">
        <v>5.2895833333333302</v>
      </c>
      <c r="F213">
        <v>8.17916666666666</v>
      </c>
      <c r="J213">
        <v>210</v>
      </c>
    </row>
    <row r="214" spans="1:10" x14ac:dyDescent="0.25">
      <c r="A214">
        <v>212</v>
      </c>
      <c r="B214">
        <v>7.1918181818181797</v>
      </c>
      <c r="C214">
        <v>10.767241379310301</v>
      </c>
      <c r="D214">
        <v>8.6119047619047606</v>
      </c>
      <c r="E214">
        <v>5.8780000000000001</v>
      </c>
      <c r="F214">
        <v>8.75</v>
      </c>
      <c r="J214">
        <v>211</v>
      </c>
    </row>
    <row r="215" spans="1:10" x14ac:dyDescent="0.25">
      <c r="A215">
        <v>213</v>
      </c>
      <c r="B215">
        <v>7.4148484848484797</v>
      </c>
      <c r="C215">
        <v>10.815</v>
      </c>
      <c r="D215">
        <v>9.4261904761904702</v>
      </c>
      <c r="E215">
        <v>6.1219999999999999</v>
      </c>
      <c r="F215">
        <v>10.3375</v>
      </c>
      <c r="J215">
        <v>212</v>
      </c>
    </row>
    <row r="216" spans="1:10" x14ac:dyDescent="0.25">
      <c r="A216">
        <v>214</v>
      </c>
      <c r="B216">
        <v>7.1409090909090898</v>
      </c>
      <c r="C216">
        <v>11.156666666666601</v>
      </c>
      <c r="D216">
        <v>9.6904761904761898</v>
      </c>
      <c r="E216">
        <v>5.6145833333333304</v>
      </c>
      <c r="F216">
        <v>10.595454545454499</v>
      </c>
      <c r="J216">
        <v>213</v>
      </c>
    </row>
    <row r="217" spans="1:10" x14ac:dyDescent="0.25">
      <c r="A217">
        <v>215</v>
      </c>
      <c r="B217">
        <v>6.7681818181818096</v>
      </c>
      <c r="C217">
        <v>11.0879310344827</v>
      </c>
      <c r="D217">
        <v>9.2023809523809508</v>
      </c>
      <c r="E217">
        <v>5.9160000000000004</v>
      </c>
      <c r="F217">
        <v>10.1041666666666</v>
      </c>
      <c r="J217">
        <v>214</v>
      </c>
    </row>
    <row r="218" spans="1:10" x14ac:dyDescent="0.25">
      <c r="A218">
        <v>216</v>
      </c>
      <c r="B218">
        <v>7.2015151515151503</v>
      </c>
      <c r="C218">
        <v>10.9965517241379</v>
      </c>
      <c r="D218">
        <v>9.5428571428571392</v>
      </c>
      <c r="E218">
        <v>5.6680000000000001</v>
      </c>
      <c r="F218">
        <v>10.1833333333333</v>
      </c>
      <c r="J218">
        <v>215</v>
      </c>
    </row>
    <row r="219" spans="1:10" x14ac:dyDescent="0.25">
      <c r="A219">
        <v>217</v>
      </c>
      <c r="B219">
        <v>7.3742424242424196</v>
      </c>
      <c r="C219">
        <v>10.706395995550601</v>
      </c>
      <c r="D219">
        <v>8.5904761904761902</v>
      </c>
      <c r="E219">
        <v>6.5540000000000003</v>
      </c>
      <c r="F219">
        <v>9.7708333333333304</v>
      </c>
      <c r="J219">
        <v>216</v>
      </c>
    </row>
    <row r="220" spans="1:10" x14ac:dyDescent="0.25">
      <c r="A220">
        <v>218</v>
      </c>
      <c r="B220">
        <v>7.4590909090909001</v>
      </c>
      <c r="C220">
        <v>10.6327586206896</v>
      </c>
      <c r="D220">
        <v>8.6952380952380892</v>
      </c>
      <c r="E220">
        <v>6.3519999999999897</v>
      </c>
      <c r="F220">
        <v>9.8791666666666593</v>
      </c>
      <c r="J220">
        <v>217</v>
      </c>
    </row>
    <row r="221" spans="1:10" x14ac:dyDescent="0.25">
      <c r="A221">
        <v>219</v>
      </c>
      <c r="B221">
        <v>7.5939393939393902</v>
      </c>
      <c r="C221">
        <v>10.7362068965517</v>
      </c>
      <c r="D221">
        <v>9.5452380952380906</v>
      </c>
      <c r="E221">
        <v>5.8639999999999999</v>
      </c>
      <c r="F221">
        <v>9.9874999999999901</v>
      </c>
      <c r="J221">
        <v>218</v>
      </c>
    </row>
    <row r="222" spans="1:10" x14ac:dyDescent="0.25">
      <c r="A222">
        <v>220</v>
      </c>
      <c r="B222">
        <v>7.3257575757575699</v>
      </c>
      <c r="C222">
        <v>10.733333333333301</v>
      </c>
      <c r="D222">
        <v>9.0214285714285705</v>
      </c>
      <c r="E222">
        <v>5.5708333333333302</v>
      </c>
      <c r="F222">
        <v>9.4625000000000004</v>
      </c>
      <c r="J222">
        <v>219</v>
      </c>
    </row>
    <row r="223" spans="1:10" x14ac:dyDescent="0.25">
      <c r="A223">
        <v>221</v>
      </c>
      <c r="B223">
        <v>6.6333333333333302</v>
      </c>
      <c r="C223">
        <v>10.86</v>
      </c>
      <c r="D223">
        <v>8.4976190476190396</v>
      </c>
      <c r="E223">
        <v>5.2624999999999904</v>
      </c>
      <c r="F223">
        <v>8.42916666666666</v>
      </c>
      <c r="J223">
        <v>220</v>
      </c>
    </row>
    <row r="224" spans="1:10" x14ac:dyDescent="0.25">
      <c r="A224">
        <v>222</v>
      </c>
      <c r="B224">
        <v>7.0696969696969703</v>
      </c>
      <c r="C224">
        <v>10.6416666666666</v>
      </c>
      <c r="D224">
        <v>8.2119047619047603</v>
      </c>
      <c r="E224">
        <v>5.8879999999999999</v>
      </c>
      <c r="F224">
        <v>7.8416666666666597</v>
      </c>
      <c r="J224">
        <v>221</v>
      </c>
    </row>
    <row r="225" spans="1:10" x14ac:dyDescent="0.25">
      <c r="A225">
        <v>223</v>
      </c>
      <c r="B225">
        <v>7.5106060606060598</v>
      </c>
      <c r="C225">
        <v>10.8983333333333</v>
      </c>
      <c r="D225">
        <v>8.5904761904761902</v>
      </c>
      <c r="E225">
        <v>6.2720000000000002</v>
      </c>
      <c r="F225">
        <v>8.7916666666666607</v>
      </c>
      <c r="J225">
        <v>222</v>
      </c>
    </row>
    <row r="226" spans="1:10" x14ac:dyDescent="0.25">
      <c r="A226">
        <v>224</v>
      </c>
      <c r="B226">
        <v>7.7378787878787803</v>
      </c>
      <c r="C226">
        <v>10.62</v>
      </c>
      <c r="D226">
        <v>9.3119047619047599</v>
      </c>
      <c r="E226">
        <v>5.7480000000000002</v>
      </c>
      <c r="F226">
        <v>9.2041666666666604</v>
      </c>
      <c r="J226">
        <v>223</v>
      </c>
    </row>
    <row r="227" spans="1:10" x14ac:dyDescent="0.25">
      <c r="A227">
        <v>225</v>
      </c>
      <c r="B227">
        <v>7.4378787878787804</v>
      </c>
      <c r="C227">
        <v>10.851666666666601</v>
      </c>
      <c r="D227">
        <v>9.1738095238095205</v>
      </c>
      <c r="E227">
        <v>5.6059999999999999</v>
      </c>
      <c r="F227">
        <v>9.49583333333333</v>
      </c>
      <c r="J227">
        <v>224</v>
      </c>
    </row>
    <row r="228" spans="1:10" x14ac:dyDescent="0.25">
      <c r="A228">
        <v>226</v>
      </c>
      <c r="B228">
        <v>7.3203125</v>
      </c>
      <c r="C228">
        <v>10.715517241379301</v>
      </c>
      <c r="D228">
        <v>9.0904761904761902</v>
      </c>
      <c r="E228">
        <v>5.6139999999999999</v>
      </c>
      <c r="F228">
        <v>9.7791666666666597</v>
      </c>
      <c r="J228">
        <v>225</v>
      </c>
    </row>
    <row r="229" spans="1:10" x14ac:dyDescent="0.25">
      <c r="A229">
        <v>227</v>
      </c>
      <c r="B229">
        <v>6.9593749999999996</v>
      </c>
      <c r="C229">
        <v>10.171666666666599</v>
      </c>
      <c r="D229">
        <v>9.0095238095238095</v>
      </c>
      <c r="E229">
        <v>6.1740000000000004</v>
      </c>
      <c r="F229">
        <v>9.4375</v>
      </c>
      <c r="J229">
        <v>226</v>
      </c>
    </row>
    <row r="230" spans="1:10" x14ac:dyDescent="0.25">
      <c r="A230">
        <v>228</v>
      </c>
      <c r="B230">
        <v>7.1937499999999996</v>
      </c>
      <c r="C230">
        <v>10.203333333333299</v>
      </c>
      <c r="D230">
        <v>8.9619047619047603</v>
      </c>
      <c r="E230">
        <v>6.5880000000000001</v>
      </c>
      <c r="F230">
        <v>9.6999999999999993</v>
      </c>
      <c r="J230">
        <v>227</v>
      </c>
    </row>
    <row r="231" spans="1:10" x14ac:dyDescent="0.25">
      <c r="A231">
        <v>229</v>
      </c>
      <c r="B231">
        <v>7.7437500000000004</v>
      </c>
      <c r="C231">
        <v>10.0833333333333</v>
      </c>
      <c r="D231">
        <v>9.1857142857142797</v>
      </c>
      <c r="E231">
        <v>6.6179999999999897</v>
      </c>
      <c r="F231">
        <v>9.61666666666666</v>
      </c>
      <c r="J231">
        <v>228</v>
      </c>
    </row>
    <row r="232" spans="1:10" x14ac:dyDescent="0.25">
      <c r="A232">
        <v>230</v>
      </c>
      <c r="B232">
        <v>7.8</v>
      </c>
      <c r="C232">
        <v>10.0833333333333</v>
      </c>
      <c r="D232">
        <v>8.3095238095238102</v>
      </c>
      <c r="E232">
        <v>6.63</v>
      </c>
      <c r="F232">
        <v>8.8333333333333304</v>
      </c>
      <c r="J232">
        <v>229</v>
      </c>
    </row>
    <row r="233" spans="1:10" x14ac:dyDescent="0.25">
      <c r="A233">
        <v>231</v>
      </c>
      <c r="B233">
        <v>7.5171875000000004</v>
      </c>
      <c r="C233">
        <v>10.1383333333333</v>
      </c>
      <c r="D233">
        <v>8.7857142857142794</v>
      </c>
      <c r="E233">
        <v>6.16</v>
      </c>
      <c r="F233">
        <v>9.4833333333333307</v>
      </c>
      <c r="J233">
        <v>230</v>
      </c>
    </row>
    <row r="234" spans="1:10" x14ac:dyDescent="0.25">
      <c r="A234">
        <v>232</v>
      </c>
      <c r="B234">
        <v>7.5671875000000002</v>
      </c>
      <c r="C234">
        <v>10.421666666666599</v>
      </c>
      <c r="D234">
        <v>8.9404761904761898</v>
      </c>
      <c r="E234">
        <v>6.3380000000000001</v>
      </c>
      <c r="F234">
        <v>9.2583333333333293</v>
      </c>
      <c r="J234">
        <v>231</v>
      </c>
    </row>
    <row r="235" spans="1:10" x14ac:dyDescent="0.25">
      <c r="A235">
        <v>233</v>
      </c>
      <c r="B235">
        <v>7.2593750000000004</v>
      </c>
      <c r="C235">
        <v>10.703333333333299</v>
      </c>
      <c r="D235">
        <v>9.1261904761904695</v>
      </c>
      <c r="E235">
        <v>6.0579999999999998</v>
      </c>
      <c r="F235">
        <v>9.7708333333333304</v>
      </c>
      <c r="J235">
        <v>232</v>
      </c>
    </row>
    <row r="236" spans="1:10" x14ac:dyDescent="0.25">
      <c r="A236">
        <v>234</v>
      </c>
      <c r="B236">
        <v>7.5062499999999996</v>
      </c>
      <c r="C236">
        <v>10.8266666666666</v>
      </c>
      <c r="D236">
        <v>8.4119047619047596</v>
      </c>
      <c r="E236">
        <v>5.9799999999999898</v>
      </c>
      <c r="F236">
        <v>9.5208333333333304</v>
      </c>
      <c r="J236">
        <v>233</v>
      </c>
    </row>
    <row r="237" spans="1:10" x14ac:dyDescent="0.25">
      <c r="A237">
        <v>235</v>
      </c>
      <c r="B237">
        <v>7.6363636363636296</v>
      </c>
      <c r="C237">
        <v>11.0766666666666</v>
      </c>
      <c r="D237">
        <v>8.3904761904761909</v>
      </c>
      <c r="E237">
        <v>6.444</v>
      </c>
      <c r="F237">
        <v>9.5791666666666604</v>
      </c>
      <c r="J237">
        <v>234</v>
      </c>
    </row>
    <row r="238" spans="1:10" x14ac:dyDescent="0.25">
      <c r="A238">
        <v>236</v>
      </c>
      <c r="B238">
        <v>8.1045454545454501</v>
      </c>
      <c r="C238">
        <v>11.088333333333299</v>
      </c>
      <c r="D238">
        <v>9.2833333333333297</v>
      </c>
      <c r="E238">
        <v>6.8220000000000001</v>
      </c>
      <c r="F238">
        <v>9.8874999999999993</v>
      </c>
      <c r="J238">
        <v>235</v>
      </c>
    </row>
    <row r="239" spans="1:10" x14ac:dyDescent="0.25">
      <c r="A239">
        <v>237</v>
      </c>
      <c r="B239">
        <v>8.2954545454545396</v>
      </c>
      <c r="C239">
        <v>11.283333333333299</v>
      </c>
      <c r="D239">
        <v>9.4809523809523792</v>
      </c>
      <c r="E239">
        <v>7.242</v>
      </c>
      <c r="F239">
        <v>9.7208333333333297</v>
      </c>
      <c r="J239">
        <v>236</v>
      </c>
    </row>
    <row r="240" spans="1:10" x14ac:dyDescent="0.25">
      <c r="A240">
        <v>238</v>
      </c>
      <c r="B240">
        <v>8.2378787878787794</v>
      </c>
      <c r="C240">
        <v>11.1383333333333</v>
      </c>
      <c r="D240">
        <v>9.46904761904762</v>
      </c>
      <c r="E240">
        <v>7.6020000000000003</v>
      </c>
      <c r="F240">
        <v>10.716666666666599</v>
      </c>
      <c r="J240">
        <v>237</v>
      </c>
    </row>
    <row r="241" spans="1:10" x14ac:dyDescent="0.25">
      <c r="A241">
        <v>239</v>
      </c>
      <c r="B241">
        <v>8.2484848484848392</v>
      </c>
      <c r="C241">
        <v>11.1133333333333</v>
      </c>
      <c r="D241">
        <v>9.4833333333333307</v>
      </c>
      <c r="E241">
        <v>7</v>
      </c>
      <c r="F241">
        <v>10.754166666666601</v>
      </c>
      <c r="J241">
        <v>238</v>
      </c>
    </row>
    <row r="242" spans="1:10" x14ac:dyDescent="0.25">
      <c r="A242">
        <v>240</v>
      </c>
      <c r="B242">
        <v>8.5593939393939298</v>
      </c>
      <c r="C242">
        <v>10.7724137931034</v>
      </c>
      <c r="D242">
        <v>9.8380952380952298</v>
      </c>
      <c r="E242">
        <v>7.4740000000000002</v>
      </c>
      <c r="F242">
        <v>11.0833333333333</v>
      </c>
      <c r="J242">
        <v>239</v>
      </c>
    </row>
    <row r="243" spans="1:10" x14ac:dyDescent="0.25">
      <c r="A243">
        <v>241</v>
      </c>
      <c r="B243">
        <v>8.2121212121212093</v>
      </c>
      <c r="C243">
        <v>10.753448275862</v>
      </c>
      <c r="D243">
        <v>9.7714285714285705</v>
      </c>
      <c r="E243">
        <v>7.5380000000000003</v>
      </c>
      <c r="F243">
        <v>10.5791666666666</v>
      </c>
      <c r="J243">
        <v>240</v>
      </c>
    </row>
    <row r="244" spans="1:10" x14ac:dyDescent="0.25">
      <c r="A244">
        <v>242</v>
      </c>
      <c r="B244">
        <v>8.8015151515151508</v>
      </c>
      <c r="C244">
        <v>10.891379310344799</v>
      </c>
      <c r="D244">
        <v>9.6738095238095205</v>
      </c>
      <c r="E244">
        <v>7.79</v>
      </c>
      <c r="F244">
        <v>11.1208333333333</v>
      </c>
      <c r="J244">
        <v>241</v>
      </c>
    </row>
    <row r="245" spans="1:10" x14ac:dyDescent="0.25">
      <c r="A245">
        <v>243</v>
      </c>
      <c r="B245">
        <v>7.8968181818181797</v>
      </c>
      <c r="C245">
        <v>10.953448275862</v>
      </c>
      <c r="D245">
        <v>10.1238095238095</v>
      </c>
      <c r="E245">
        <v>6.9139999999999997</v>
      </c>
      <c r="F245">
        <v>10.6666666666666</v>
      </c>
      <c r="J245">
        <v>242</v>
      </c>
    </row>
    <row r="246" spans="1:10" x14ac:dyDescent="0.25">
      <c r="A246">
        <v>244</v>
      </c>
      <c r="B246">
        <v>8.5848484848484805</v>
      </c>
      <c r="C246">
        <v>10.803333333333301</v>
      </c>
      <c r="D246">
        <v>9.1642857142857093</v>
      </c>
      <c r="E246">
        <v>6.7519999999999998</v>
      </c>
      <c r="F246">
        <v>10.1208333333333</v>
      </c>
      <c r="J246">
        <v>243</v>
      </c>
    </row>
    <row r="247" spans="1:10" x14ac:dyDescent="0.25">
      <c r="A247">
        <v>245</v>
      </c>
      <c r="B247">
        <v>9.0333333333333297</v>
      </c>
      <c r="C247">
        <v>10.862068965517199</v>
      </c>
      <c r="D247">
        <v>9.4690476190476094</v>
      </c>
      <c r="E247">
        <v>7.5749999999999904</v>
      </c>
      <c r="F247">
        <v>9.6624999999999996</v>
      </c>
      <c r="J247">
        <v>244</v>
      </c>
    </row>
    <row r="248" spans="1:10" x14ac:dyDescent="0.25">
      <c r="A248">
        <v>246</v>
      </c>
      <c r="B248">
        <v>8.7469696969696908</v>
      </c>
      <c r="C248">
        <v>11.4379310344827</v>
      </c>
      <c r="D248">
        <v>10.2071428571428</v>
      </c>
      <c r="E248">
        <v>7.6020833333333302</v>
      </c>
      <c r="F248">
        <v>9.7541666666666593</v>
      </c>
      <c r="J248">
        <v>245</v>
      </c>
    </row>
    <row r="249" spans="1:10" x14ac:dyDescent="0.25">
      <c r="A249">
        <v>247</v>
      </c>
      <c r="B249">
        <v>8.7227272727272709</v>
      </c>
      <c r="C249">
        <v>11.5448275862068</v>
      </c>
      <c r="D249">
        <v>10.3119047619047</v>
      </c>
      <c r="E249">
        <v>7.8958333333333304</v>
      </c>
      <c r="F249">
        <v>10.0583333333333</v>
      </c>
      <c r="J249">
        <v>246</v>
      </c>
    </row>
    <row r="250" spans="1:10" x14ac:dyDescent="0.25">
      <c r="A250">
        <v>248</v>
      </c>
      <c r="B250">
        <v>8.4803030303030305</v>
      </c>
      <c r="C250">
        <v>11.734482758620601</v>
      </c>
      <c r="D250">
        <v>9.7476190476190396</v>
      </c>
      <c r="E250">
        <v>8.3479166666666593</v>
      </c>
      <c r="F250">
        <v>9.7750000000000004</v>
      </c>
      <c r="J250">
        <v>247</v>
      </c>
    </row>
    <row r="251" spans="1:10" x14ac:dyDescent="0.25">
      <c r="A251">
        <v>249</v>
      </c>
      <c r="B251">
        <v>8.9078125000000004</v>
      </c>
      <c r="C251">
        <v>11.682758620689601</v>
      </c>
      <c r="D251">
        <v>11.288095238095201</v>
      </c>
      <c r="E251">
        <v>8.0979166666666593</v>
      </c>
      <c r="F251">
        <v>10.3333333333333</v>
      </c>
      <c r="J251">
        <v>248</v>
      </c>
    </row>
    <row r="252" spans="1:10" x14ac:dyDescent="0.25">
      <c r="A252">
        <v>250</v>
      </c>
      <c r="B252">
        <v>8.9656249999999993</v>
      </c>
      <c r="C252">
        <v>11.389655172413701</v>
      </c>
      <c r="D252">
        <v>10.159523809523799</v>
      </c>
      <c r="E252">
        <v>8.1083333333333307</v>
      </c>
      <c r="F252">
        <v>10.7708333333333</v>
      </c>
      <c r="J252">
        <v>249</v>
      </c>
    </row>
    <row r="253" spans="1:10" x14ac:dyDescent="0.25">
      <c r="A253">
        <v>251</v>
      </c>
      <c r="B253">
        <v>8.6015625</v>
      </c>
      <c r="C253">
        <v>11.834482758620601</v>
      </c>
      <c r="D253">
        <v>10.3904761904761</v>
      </c>
      <c r="E253">
        <v>7.1020833333333302</v>
      </c>
      <c r="F253">
        <v>10.5791666666666</v>
      </c>
      <c r="J253">
        <v>250</v>
      </c>
    </row>
    <row r="254" spans="1:10" x14ac:dyDescent="0.25">
      <c r="A254">
        <v>252</v>
      </c>
      <c r="B254">
        <v>8.0227272727272698</v>
      </c>
      <c r="C254">
        <v>11.465</v>
      </c>
      <c r="D254">
        <v>10.269047619047599</v>
      </c>
      <c r="E254">
        <v>7.2645833333333298</v>
      </c>
      <c r="F254">
        <v>9.6125000000000007</v>
      </c>
      <c r="J254">
        <v>251</v>
      </c>
    </row>
    <row r="255" spans="1:10" x14ac:dyDescent="0.25">
      <c r="A255">
        <v>253</v>
      </c>
      <c r="B255">
        <v>9.0060606060606005</v>
      </c>
      <c r="C255">
        <v>11.62</v>
      </c>
      <c r="D255">
        <v>9.8571428571428505</v>
      </c>
      <c r="E255">
        <v>8.3520833333333293</v>
      </c>
      <c r="F255">
        <v>10.0875</v>
      </c>
      <c r="J255">
        <v>252</v>
      </c>
    </row>
    <row r="256" spans="1:10" x14ac:dyDescent="0.25">
      <c r="A256">
        <v>254</v>
      </c>
      <c r="B256">
        <v>9.7090909090909001</v>
      </c>
      <c r="C256">
        <v>11.7633333333333</v>
      </c>
      <c r="D256">
        <v>10.383333333333301</v>
      </c>
      <c r="E256">
        <v>8.6645833333333293</v>
      </c>
      <c r="F256">
        <v>10.6416666666666</v>
      </c>
      <c r="J256">
        <v>253</v>
      </c>
    </row>
    <row r="257" spans="1:10" x14ac:dyDescent="0.25">
      <c r="A257">
        <v>255</v>
      </c>
      <c r="B257">
        <v>9.6212121212121193</v>
      </c>
      <c r="C257">
        <v>12.158333333333299</v>
      </c>
      <c r="D257">
        <v>10.8886363636363</v>
      </c>
      <c r="E257">
        <v>8.2229166666666593</v>
      </c>
      <c r="F257">
        <v>10.4541666666666</v>
      </c>
      <c r="J257">
        <v>254</v>
      </c>
    </row>
    <row r="258" spans="1:10" x14ac:dyDescent="0.25">
      <c r="A258">
        <v>256</v>
      </c>
      <c r="B258">
        <v>9.3833333333333293</v>
      </c>
      <c r="C258">
        <v>11.908333333333299</v>
      </c>
      <c r="D258">
        <v>10.647727272727201</v>
      </c>
      <c r="E258">
        <v>8.5708333333333293</v>
      </c>
      <c r="F258">
        <v>11.216666666666599</v>
      </c>
      <c r="J258">
        <v>255</v>
      </c>
    </row>
    <row r="259" spans="1:10" x14ac:dyDescent="0.25">
      <c r="A259">
        <v>257</v>
      </c>
      <c r="B259">
        <v>9.8590909090909093</v>
      </c>
      <c r="C259">
        <v>12.074999999999999</v>
      </c>
      <c r="D259">
        <v>10.4023809523809</v>
      </c>
      <c r="E259">
        <v>8.5645833333333297</v>
      </c>
      <c r="F259">
        <v>11.1</v>
      </c>
      <c r="J259">
        <v>256</v>
      </c>
    </row>
    <row r="260" spans="1:10" x14ac:dyDescent="0.25">
      <c r="A260">
        <v>258</v>
      </c>
      <c r="B260">
        <v>10.654545454545399</v>
      </c>
      <c r="C260">
        <v>12.3883333333333</v>
      </c>
      <c r="D260">
        <v>11.1642857142857</v>
      </c>
      <c r="E260">
        <v>8.9979166666666597</v>
      </c>
      <c r="F260">
        <v>11.3708333333333</v>
      </c>
      <c r="J260">
        <v>257</v>
      </c>
    </row>
    <row r="261" spans="1:10" x14ac:dyDescent="0.25">
      <c r="A261">
        <v>259</v>
      </c>
      <c r="B261">
        <v>10.4757575757575</v>
      </c>
      <c r="C261">
        <v>12.5766666666666</v>
      </c>
      <c r="D261">
        <v>11.395238095238</v>
      </c>
      <c r="E261">
        <v>8.46041666666666</v>
      </c>
      <c r="F261">
        <v>11.2916666666666</v>
      </c>
      <c r="J261">
        <v>258</v>
      </c>
    </row>
    <row r="262" spans="1:10" x14ac:dyDescent="0.25">
      <c r="A262">
        <v>260</v>
      </c>
      <c r="B262">
        <v>9.8469696969696905</v>
      </c>
      <c r="C262">
        <v>12.482258064516101</v>
      </c>
      <c r="D262">
        <v>11.885714285714201</v>
      </c>
      <c r="E262">
        <v>8.3640000000000008</v>
      </c>
      <c r="F262">
        <v>12.2125</v>
      </c>
      <c r="J262">
        <v>259</v>
      </c>
    </row>
    <row r="263" spans="1:10" x14ac:dyDescent="0.25">
      <c r="A263">
        <v>261</v>
      </c>
      <c r="B263">
        <v>9.6045454545454501</v>
      </c>
      <c r="C263">
        <v>12.261290322580599</v>
      </c>
      <c r="D263">
        <v>11.6181818181818</v>
      </c>
      <c r="E263">
        <v>7.8980769230769203</v>
      </c>
      <c r="F263">
        <v>11.35</v>
      </c>
      <c r="J263">
        <v>260</v>
      </c>
    </row>
    <row r="264" spans="1:10" x14ac:dyDescent="0.25">
      <c r="A264">
        <v>262</v>
      </c>
      <c r="B264">
        <v>9.8772727272727199</v>
      </c>
      <c r="C264">
        <v>12.1677419354838</v>
      </c>
      <c r="D264">
        <v>10.754761904761899</v>
      </c>
      <c r="E264">
        <v>8.6442307692307701</v>
      </c>
      <c r="F264">
        <v>10.504166666666601</v>
      </c>
      <c r="J264">
        <v>261</v>
      </c>
    </row>
    <row r="265" spans="1:10" x14ac:dyDescent="0.25">
      <c r="A265">
        <v>263</v>
      </c>
      <c r="B265">
        <v>9.4984848484848392</v>
      </c>
      <c r="C265">
        <v>12.1064516129032</v>
      </c>
      <c r="D265">
        <v>11.2022727272727</v>
      </c>
      <c r="E265">
        <v>8.9499999999999993</v>
      </c>
      <c r="F265">
        <v>10.387499999999999</v>
      </c>
      <c r="J265">
        <v>262</v>
      </c>
    </row>
    <row r="266" spans="1:10" x14ac:dyDescent="0.25">
      <c r="A266">
        <v>264</v>
      </c>
      <c r="B266">
        <v>9.9712121212121207</v>
      </c>
      <c r="C266">
        <v>12.012903225806401</v>
      </c>
      <c r="D266">
        <v>10.9977272727272</v>
      </c>
      <c r="E266">
        <v>8.5057692307692303</v>
      </c>
      <c r="F266">
        <v>9.85</v>
      </c>
      <c r="J266">
        <v>263</v>
      </c>
    </row>
    <row r="267" spans="1:10" x14ac:dyDescent="0.25">
      <c r="A267">
        <v>265</v>
      </c>
      <c r="B267">
        <v>9.6348484848484794</v>
      </c>
      <c r="C267">
        <v>12.1612903225806</v>
      </c>
      <c r="D267">
        <v>10.736363636363601</v>
      </c>
      <c r="E267">
        <v>7.8634615384615296</v>
      </c>
      <c r="F267">
        <v>10.158333333333299</v>
      </c>
      <c r="J267">
        <v>264</v>
      </c>
    </row>
    <row r="268" spans="1:10" x14ac:dyDescent="0.25">
      <c r="A268">
        <v>266</v>
      </c>
      <c r="B268">
        <v>9.4318181818181799</v>
      </c>
      <c r="C268">
        <v>12.285483870967701</v>
      </c>
      <c r="D268">
        <v>10.981818181818101</v>
      </c>
      <c r="E268">
        <v>8.3846153846153797</v>
      </c>
      <c r="F268">
        <v>10.9625</v>
      </c>
      <c r="J268">
        <v>265</v>
      </c>
    </row>
    <row r="269" spans="1:10" x14ac:dyDescent="0.25">
      <c r="A269">
        <v>267</v>
      </c>
      <c r="B269">
        <v>9.9181818181818109</v>
      </c>
      <c r="C269">
        <v>12.7274193548387</v>
      </c>
      <c r="D269">
        <v>11.2477272727272</v>
      </c>
      <c r="E269">
        <v>8.5134615384615309</v>
      </c>
      <c r="F269">
        <v>11.6458333333333</v>
      </c>
      <c r="J269">
        <v>266</v>
      </c>
    </row>
    <row r="270" spans="1:10" x14ac:dyDescent="0.25">
      <c r="A270">
        <v>268</v>
      </c>
      <c r="B270">
        <v>9.4424242424242397</v>
      </c>
      <c r="C270">
        <v>12.4338709677419</v>
      </c>
      <c r="D270">
        <v>12.106818181818101</v>
      </c>
      <c r="E270">
        <v>8.2539999999999996</v>
      </c>
      <c r="F270">
        <v>12.112500000000001</v>
      </c>
      <c r="J270">
        <v>267</v>
      </c>
    </row>
    <row r="271" spans="1:10" x14ac:dyDescent="0.25">
      <c r="A271">
        <v>269</v>
      </c>
      <c r="B271">
        <v>10.2424242424242</v>
      </c>
      <c r="C271">
        <v>12.341666666666599</v>
      </c>
      <c r="D271">
        <v>11.213636363636301</v>
      </c>
      <c r="E271">
        <v>9.2057692307692296</v>
      </c>
      <c r="F271">
        <v>11.6875</v>
      </c>
      <c r="J271">
        <v>268</v>
      </c>
    </row>
    <row r="272" spans="1:10" x14ac:dyDescent="0.25">
      <c r="A272">
        <v>270</v>
      </c>
      <c r="B272">
        <v>10.445454545454499</v>
      </c>
      <c r="C272">
        <v>12.7183333333333</v>
      </c>
      <c r="D272">
        <v>12.027272727272701</v>
      </c>
      <c r="E272">
        <v>9.0634615384615298</v>
      </c>
      <c r="F272">
        <v>12.0541666666666</v>
      </c>
      <c r="J272">
        <v>269</v>
      </c>
    </row>
    <row r="273" spans="1:10" x14ac:dyDescent="0.25">
      <c r="A273">
        <v>271</v>
      </c>
      <c r="B273">
        <v>10.198484848484799</v>
      </c>
      <c r="C273">
        <v>13.04</v>
      </c>
      <c r="D273">
        <v>11.4977272727272</v>
      </c>
      <c r="E273">
        <v>8.8788461538461494</v>
      </c>
      <c r="F273">
        <v>12.3291666666666</v>
      </c>
      <c r="J273">
        <v>270</v>
      </c>
    </row>
    <row r="274" spans="1:10" x14ac:dyDescent="0.25">
      <c r="A274">
        <v>272</v>
      </c>
      <c r="B274">
        <v>10.072727272727199</v>
      </c>
      <c r="C274">
        <v>13.381034482758601</v>
      </c>
      <c r="D274">
        <v>11.3095238095238</v>
      </c>
      <c r="E274">
        <v>8.9442307692307601</v>
      </c>
      <c r="F274">
        <v>12.65</v>
      </c>
      <c r="J274">
        <v>271</v>
      </c>
    </row>
    <row r="275" spans="1:10" x14ac:dyDescent="0.25">
      <c r="A275">
        <v>273</v>
      </c>
      <c r="B275">
        <v>11.2515151515151</v>
      </c>
      <c r="C275">
        <v>13.274137931034399</v>
      </c>
      <c r="D275">
        <v>11.7666666666666</v>
      </c>
      <c r="E275">
        <v>9.8192307692307601</v>
      </c>
      <c r="F275">
        <v>12.5208333333333</v>
      </c>
      <c r="J275">
        <v>272</v>
      </c>
    </row>
    <row r="276" spans="1:10" x14ac:dyDescent="0.25">
      <c r="A276">
        <v>274</v>
      </c>
      <c r="B276">
        <v>11.2893939393939</v>
      </c>
      <c r="C276">
        <v>13.0233333333333</v>
      </c>
      <c r="D276">
        <v>12.302380952380901</v>
      </c>
      <c r="E276">
        <v>10.109615384615299</v>
      </c>
      <c r="F276">
        <v>11.65</v>
      </c>
      <c r="J276">
        <v>273</v>
      </c>
    </row>
    <row r="277" spans="1:10" x14ac:dyDescent="0.25">
      <c r="A277">
        <v>275</v>
      </c>
      <c r="B277">
        <v>11.590909090908999</v>
      </c>
      <c r="C277">
        <v>12.938333333333301</v>
      </c>
      <c r="D277">
        <v>12.966666666666599</v>
      </c>
      <c r="E277">
        <v>10.5307692307692</v>
      </c>
      <c r="F277">
        <v>12.0166666666666</v>
      </c>
      <c r="J277">
        <v>274</v>
      </c>
    </row>
    <row r="278" spans="1:10" x14ac:dyDescent="0.25">
      <c r="A278">
        <v>276</v>
      </c>
      <c r="B278">
        <v>10.8530303030303</v>
      </c>
      <c r="C278">
        <v>13.2433333333333</v>
      </c>
      <c r="D278">
        <v>12.504761904761899</v>
      </c>
      <c r="E278">
        <v>9</v>
      </c>
      <c r="F278">
        <v>12.941666666666601</v>
      </c>
      <c r="J278">
        <v>275</v>
      </c>
    </row>
    <row r="279" spans="1:10" x14ac:dyDescent="0.25">
      <c r="A279">
        <v>277</v>
      </c>
      <c r="B279">
        <v>10.580303030303</v>
      </c>
      <c r="C279">
        <v>12.85</v>
      </c>
      <c r="D279">
        <v>11.6119047619047</v>
      </c>
      <c r="E279">
        <v>8.6730769230769198</v>
      </c>
      <c r="F279">
        <v>11.95</v>
      </c>
      <c r="J279">
        <v>276</v>
      </c>
    </row>
    <row r="280" spans="1:10" x14ac:dyDescent="0.25">
      <c r="A280">
        <v>278</v>
      </c>
      <c r="B280">
        <v>10.5</v>
      </c>
      <c r="C280">
        <v>12.875806451612901</v>
      </c>
      <c r="D280">
        <v>11.8357142857142</v>
      </c>
      <c r="E280">
        <v>9.1269230769230703</v>
      </c>
      <c r="F280">
        <v>11.8958333333333</v>
      </c>
      <c r="J280">
        <v>277</v>
      </c>
    </row>
    <row r="281" spans="1:10" x14ac:dyDescent="0.25">
      <c r="A281">
        <v>279</v>
      </c>
      <c r="B281">
        <v>11.0757575757575</v>
      </c>
      <c r="C281">
        <v>12.9966666666666</v>
      </c>
      <c r="D281">
        <v>12.7357142857142</v>
      </c>
      <c r="E281">
        <v>9.5423076923076895</v>
      </c>
      <c r="F281">
        <v>11.8333333333333</v>
      </c>
      <c r="J281">
        <v>278</v>
      </c>
    </row>
    <row r="282" spans="1:10" x14ac:dyDescent="0.25">
      <c r="A282">
        <v>280</v>
      </c>
      <c r="B282">
        <v>11.1621212121212</v>
      </c>
      <c r="C282">
        <v>12.7633333333333</v>
      </c>
      <c r="D282">
        <v>12.5857142857142</v>
      </c>
      <c r="E282">
        <v>9.71875</v>
      </c>
      <c r="F282">
        <v>12.133333333333301</v>
      </c>
      <c r="J282">
        <v>279</v>
      </c>
    </row>
    <row r="283" spans="1:10" x14ac:dyDescent="0.25">
      <c r="A283">
        <v>281</v>
      </c>
      <c r="B283">
        <v>10.442424242424201</v>
      </c>
      <c r="C283">
        <v>13.4816666666666</v>
      </c>
      <c r="D283">
        <v>12.3595238095238</v>
      </c>
      <c r="E283">
        <v>9.4939999999999998</v>
      </c>
      <c r="F283">
        <v>11.8708333333333</v>
      </c>
      <c r="J283">
        <v>280</v>
      </c>
    </row>
    <row r="284" spans="1:10" x14ac:dyDescent="0.25">
      <c r="A284">
        <v>282</v>
      </c>
      <c r="B284">
        <v>10.1257575757575</v>
      </c>
      <c r="C284">
        <v>13.6933333333333</v>
      </c>
      <c r="D284">
        <v>12.4857142857142</v>
      </c>
      <c r="E284">
        <v>9.1020000000000003</v>
      </c>
      <c r="F284">
        <v>11.529166666666599</v>
      </c>
      <c r="J284">
        <v>281</v>
      </c>
    </row>
    <row r="285" spans="1:10" x14ac:dyDescent="0.25">
      <c r="A285">
        <v>283</v>
      </c>
      <c r="B285">
        <v>10.0590909090909</v>
      </c>
      <c r="C285">
        <v>12.9568965517241</v>
      </c>
      <c r="D285">
        <v>12.105</v>
      </c>
      <c r="E285">
        <v>8.8699999999999992</v>
      </c>
      <c r="F285">
        <v>11.316666666666601</v>
      </c>
      <c r="J285">
        <v>282</v>
      </c>
    </row>
    <row r="286" spans="1:10" x14ac:dyDescent="0.25">
      <c r="A286">
        <v>284</v>
      </c>
      <c r="B286">
        <v>10.7469696969696</v>
      </c>
      <c r="C286">
        <v>13.2293103448275</v>
      </c>
      <c r="D286">
        <v>11.6636363636363</v>
      </c>
      <c r="E286">
        <v>9.7229166666666593</v>
      </c>
      <c r="F286">
        <v>12.466666666666599</v>
      </c>
      <c r="J286">
        <v>283</v>
      </c>
    </row>
    <row r="287" spans="1:10" x14ac:dyDescent="0.25">
      <c r="A287">
        <v>285</v>
      </c>
      <c r="B287">
        <v>12.012121212121199</v>
      </c>
      <c r="C287">
        <v>13.7431034482758</v>
      </c>
      <c r="D287">
        <v>12.7340909090909</v>
      </c>
      <c r="E287">
        <v>9.83541666666666</v>
      </c>
      <c r="F287">
        <v>12.566666666666601</v>
      </c>
      <c r="J287">
        <v>284</v>
      </c>
    </row>
    <row r="288" spans="1:10" x14ac:dyDescent="0.25">
      <c r="A288">
        <v>286</v>
      </c>
      <c r="B288">
        <v>11.445454545454499</v>
      </c>
      <c r="C288">
        <v>13.6551724137931</v>
      </c>
      <c r="D288">
        <v>12.865909090909</v>
      </c>
      <c r="E288">
        <v>9.03125</v>
      </c>
      <c r="F288">
        <v>12.133333333333301</v>
      </c>
      <c r="J288">
        <v>285</v>
      </c>
    </row>
    <row r="289" spans="1:10" x14ac:dyDescent="0.25">
      <c r="A289">
        <v>287</v>
      </c>
      <c r="B289">
        <v>11.0863636363636</v>
      </c>
      <c r="C289">
        <v>13.334482758620601</v>
      </c>
      <c r="D289">
        <v>13</v>
      </c>
      <c r="E289">
        <v>8.6666666666666607</v>
      </c>
      <c r="F289">
        <v>12.762499999999999</v>
      </c>
      <c r="J289">
        <v>286</v>
      </c>
    </row>
    <row r="290" spans="1:10" x14ac:dyDescent="0.25">
      <c r="A290">
        <v>288</v>
      </c>
      <c r="B290">
        <v>10.820454545454499</v>
      </c>
      <c r="C290">
        <v>13.0379310344827</v>
      </c>
      <c r="D290">
        <v>12.475</v>
      </c>
      <c r="E290">
        <v>8.96875</v>
      </c>
      <c r="F290">
        <v>12.675000000000001</v>
      </c>
      <c r="J290">
        <v>287</v>
      </c>
    </row>
    <row r="291" spans="1:10" x14ac:dyDescent="0.25">
      <c r="A291">
        <v>289</v>
      </c>
      <c r="B291">
        <v>11.382575757575699</v>
      </c>
      <c r="C291">
        <v>13.094827586206801</v>
      </c>
      <c r="D291">
        <v>12.947727272727199</v>
      </c>
      <c r="E291">
        <v>10.0104166666666</v>
      </c>
      <c r="F291">
        <v>12.3041666666666</v>
      </c>
      <c r="J291">
        <v>288</v>
      </c>
    </row>
    <row r="292" spans="1:10" x14ac:dyDescent="0.25">
      <c r="A292">
        <v>290</v>
      </c>
      <c r="B292">
        <v>12.1743939393939</v>
      </c>
      <c r="C292">
        <v>13.6775862068965</v>
      </c>
      <c r="D292">
        <v>12.968181818181799</v>
      </c>
      <c r="E292">
        <v>10.4583333333333</v>
      </c>
      <c r="F292">
        <v>12.987499999999899</v>
      </c>
      <c r="J292">
        <v>289</v>
      </c>
    </row>
    <row r="293" spans="1:10" x14ac:dyDescent="0.25">
      <c r="A293">
        <v>291</v>
      </c>
      <c r="B293">
        <v>11.5590909090909</v>
      </c>
      <c r="C293">
        <v>13.189655172413699</v>
      </c>
      <c r="D293">
        <v>13.1045454545454</v>
      </c>
      <c r="E293">
        <v>10.347916666666601</v>
      </c>
      <c r="F293">
        <v>12.7416666666666</v>
      </c>
      <c r="J293">
        <v>290</v>
      </c>
    </row>
    <row r="294" spans="1:10" x14ac:dyDescent="0.25">
      <c r="A294">
        <v>292</v>
      </c>
      <c r="B294">
        <v>11.530303030302999</v>
      </c>
      <c r="C294">
        <v>12.9428571428571</v>
      </c>
      <c r="D294">
        <v>11.5318181818181</v>
      </c>
      <c r="E294">
        <v>9.7847826086956502</v>
      </c>
      <c r="F294">
        <v>12.154166666666599</v>
      </c>
      <c r="J294">
        <v>291</v>
      </c>
    </row>
    <row r="295" spans="1:10" x14ac:dyDescent="0.25">
      <c r="A295">
        <v>293</v>
      </c>
      <c r="B295">
        <v>11.592424242424199</v>
      </c>
      <c r="C295">
        <v>12.819642857142799</v>
      </c>
      <c r="D295">
        <v>12.4068181818181</v>
      </c>
      <c r="E295">
        <v>10.524999999999901</v>
      </c>
      <c r="F295">
        <v>12.6666666666666</v>
      </c>
      <c r="J295">
        <v>292</v>
      </c>
    </row>
    <row r="296" spans="1:10" x14ac:dyDescent="0.25">
      <c r="A296">
        <v>294</v>
      </c>
      <c r="B296">
        <v>12.6712121212121</v>
      </c>
      <c r="C296">
        <v>13.2785714285714</v>
      </c>
      <c r="D296">
        <v>12.468181818181799</v>
      </c>
      <c r="E296">
        <v>10.529166666666599</v>
      </c>
      <c r="F296">
        <v>12.4916666666666</v>
      </c>
      <c r="J296">
        <v>293</v>
      </c>
    </row>
    <row r="297" spans="1:10" x14ac:dyDescent="0.25">
      <c r="A297">
        <v>295</v>
      </c>
      <c r="B297">
        <v>11.5966666666666</v>
      </c>
      <c r="C297">
        <v>13.5625</v>
      </c>
      <c r="D297">
        <v>12.75</v>
      </c>
      <c r="E297">
        <v>9.5458333333333307</v>
      </c>
      <c r="F297">
        <v>12.925000000000001</v>
      </c>
      <c r="J297">
        <v>294</v>
      </c>
    </row>
    <row r="298" spans="1:10" x14ac:dyDescent="0.25">
      <c r="A298">
        <v>296</v>
      </c>
      <c r="B298">
        <v>11.5331818181818</v>
      </c>
      <c r="C298">
        <v>13.9310344827586</v>
      </c>
      <c r="D298">
        <v>12.131818181818099</v>
      </c>
      <c r="E298">
        <v>9.6604166666666593</v>
      </c>
      <c r="F298">
        <v>12.2291666666666</v>
      </c>
      <c r="J298">
        <v>295</v>
      </c>
    </row>
    <row r="299" spans="1:10" x14ac:dyDescent="0.25">
      <c r="A299">
        <v>297</v>
      </c>
      <c r="B299">
        <v>11.6060606060606</v>
      </c>
      <c r="C299">
        <v>13.336206896551699</v>
      </c>
      <c r="D299">
        <v>11.7931818181818</v>
      </c>
      <c r="E299">
        <v>10.560416666666599</v>
      </c>
      <c r="F299">
        <v>12.2708333333333</v>
      </c>
      <c r="J299">
        <v>296</v>
      </c>
    </row>
    <row r="300" spans="1:10" x14ac:dyDescent="0.25">
      <c r="A300">
        <v>298</v>
      </c>
      <c r="B300">
        <v>11.821212121212101</v>
      </c>
      <c r="C300">
        <v>13.789655172413701</v>
      </c>
      <c r="D300">
        <v>12.5318181818181</v>
      </c>
      <c r="E300">
        <v>10.43125</v>
      </c>
      <c r="F300">
        <v>12.858333333333301</v>
      </c>
      <c r="J300">
        <v>297</v>
      </c>
    </row>
    <row r="301" spans="1:10" x14ac:dyDescent="0.25">
      <c r="A301">
        <v>299</v>
      </c>
      <c r="B301">
        <v>12.8742424242424</v>
      </c>
      <c r="C301">
        <v>14.0810344827586</v>
      </c>
      <c r="D301">
        <v>12.9363636363636</v>
      </c>
      <c r="E301">
        <v>11.081250000000001</v>
      </c>
      <c r="F301">
        <v>13.7708333333333</v>
      </c>
      <c r="J301">
        <v>298</v>
      </c>
    </row>
    <row r="302" spans="1:10" x14ac:dyDescent="0.25">
      <c r="A302">
        <v>300</v>
      </c>
      <c r="B302">
        <v>12.3921212121212</v>
      </c>
      <c r="C302">
        <v>14.8396551724137</v>
      </c>
      <c r="D302">
        <v>13.006818181818099</v>
      </c>
      <c r="E302">
        <v>10.299999999999899</v>
      </c>
      <c r="F302">
        <v>13.899999999999901</v>
      </c>
      <c r="J302">
        <v>299</v>
      </c>
    </row>
    <row r="303" spans="1:10" x14ac:dyDescent="0.25">
      <c r="A303">
        <v>301</v>
      </c>
      <c r="B303">
        <v>13.0242424242424</v>
      </c>
      <c r="C303">
        <v>14.274137931034399</v>
      </c>
      <c r="D303">
        <v>14.0818181818181</v>
      </c>
      <c r="E303">
        <v>10.827083333333301</v>
      </c>
      <c r="F303">
        <v>13.425000000000001</v>
      </c>
      <c r="J303">
        <v>300</v>
      </c>
    </row>
    <row r="304" spans="1:10" x14ac:dyDescent="0.25">
      <c r="A304">
        <v>302</v>
      </c>
      <c r="B304">
        <v>13.2075757575757</v>
      </c>
      <c r="C304">
        <v>14.29</v>
      </c>
      <c r="D304">
        <v>14.1404761904761</v>
      </c>
      <c r="E304">
        <v>10.914</v>
      </c>
      <c r="F304">
        <v>13.9625</v>
      </c>
      <c r="J304">
        <v>301</v>
      </c>
    </row>
    <row r="305" spans="1:10" x14ac:dyDescent="0.25">
      <c r="A305">
        <v>303</v>
      </c>
      <c r="B305">
        <v>12.865151515151499</v>
      </c>
      <c r="C305">
        <v>14.715</v>
      </c>
      <c r="D305">
        <v>13.883333333333301</v>
      </c>
      <c r="E305">
        <v>11.141999999999999</v>
      </c>
      <c r="F305">
        <v>13.045833333333301</v>
      </c>
      <c r="J305">
        <v>302</v>
      </c>
    </row>
    <row r="306" spans="1:10" x14ac:dyDescent="0.25">
      <c r="A306">
        <v>304</v>
      </c>
      <c r="B306">
        <v>12.8045454545454</v>
      </c>
      <c r="C306">
        <v>14.5266666666666</v>
      </c>
      <c r="D306">
        <v>13.3190476190476</v>
      </c>
      <c r="E306">
        <v>11.32</v>
      </c>
      <c r="F306">
        <v>12.6166666666666</v>
      </c>
      <c r="J306">
        <v>303</v>
      </c>
    </row>
    <row r="307" spans="1:10" x14ac:dyDescent="0.25">
      <c r="A307">
        <v>305</v>
      </c>
      <c r="B307">
        <v>13.4363636363636</v>
      </c>
      <c r="C307">
        <v>14.0416666666666</v>
      </c>
      <c r="D307">
        <v>12.816666666666601</v>
      </c>
      <c r="E307">
        <v>11.294</v>
      </c>
      <c r="F307">
        <v>12.4791666666666</v>
      </c>
      <c r="J307">
        <v>304</v>
      </c>
    </row>
    <row r="308" spans="1:10" x14ac:dyDescent="0.25">
      <c r="A308">
        <v>306</v>
      </c>
      <c r="B308">
        <v>12.756060606060601</v>
      </c>
      <c r="C308">
        <v>14.098333333333301</v>
      </c>
      <c r="D308">
        <v>13.1523809523809</v>
      </c>
      <c r="E308">
        <v>10.39</v>
      </c>
      <c r="F308">
        <v>13.3125</v>
      </c>
      <c r="J308">
        <v>305</v>
      </c>
    </row>
    <row r="309" spans="1:10" x14ac:dyDescent="0.25">
      <c r="A309">
        <v>307</v>
      </c>
      <c r="B309">
        <v>12.960606060606001</v>
      </c>
      <c r="C309">
        <v>13.9933333333333</v>
      </c>
      <c r="D309">
        <v>13.702380952380899</v>
      </c>
      <c r="E309">
        <v>10.387499999999999</v>
      </c>
      <c r="F309">
        <v>14.35</v>
      </c>
      <c r="J309">
        <v>306</v>
      </c>
    </row>
    <row r="310" spans="1:10" x14ac:dyDescent="0.25">
      <c r="A310">
        <v>308</v>
      </c>
      <c r="B310">
        <v>13.0166666666666</v>
      </c>
      <c r="C310">
        <v>14.2016666666666</v>
      </c>
      <c r="D310">
        <v>13.8590909090909</v>
      </c>
      <c r="E310">
        <v>10.3958333333333</v>
      </c>
      <c r="F310">
        <v>13.875</v>
      </c>
      <c r="J310">
        <v>307</v>
      </c>
    </row>
    <row r="311" spans="1:10" x14ac:dyDescent="0.25">
      <c r="A311">
        <v>309</v>
      </c>
      <c r="B311">
        <v>12.8439393939393</v>
      </c>
      <c r="C311">
        <v>14.5483333333333</v>
      </c>
      <c r="D311">
        <v>13.588636363636301</v>
      </c>
      <c r="E311">
        <v>10.452083333333301</v>
      </c>
      <c r="F311">
        <v>13.316666666666601</v>
      </c>
      <c r="J311">
        <v>308</v>
      </c>
    </row>
    <row r="312" spans="1:10" x14ac:dyDescent="0.25">
      <c r="A312">
        <v>310</v>
      </c>
      <c r="B312">
        <v>12.319696969696899</v>
      </c>
      <c r="C312">
        <v>14.156666666666601</v>
      </c>
      <c r="D312">
        <v>12.7272727272727</v>
      </c>
      <c r="E312">
        <v>11.3395833333333</v>
      </c>
      <c r="F312">
        <v>13.1454545454545</v>
      </c>
      <c r="J312">
        <v>309</v>
      </c>
    </row>
    <row r="313" spans="1:10" x14ac:dyDescent="0.25">
      <c r="A313">
        <v>311</v>
      </c>
      <c r="B313">
        <v>12.6025757575757</v>
      </c>
      <c r="C313">
        <v>14.466666666666599</v>
      </c>
      <c r="D313">
        <v>13.565909090909001</v>
      </c>
      <c r="E313">
        <v>11.317391304347799</v>
      </c>
      <c r="F313">
        <v>13.4166666666666</v>
      </c>
      <c r="J313">
        <v>310</v>
      </c>
    </row>
    <row r="314" spans="1:10" x14ac:dyDescent="0.25">
      <c r="A314">
        <v>312</v>
      </c>
      <c r="B314">
        <v>12.547121212121199</v>
      </c>
      <c r="C314">
        <v>14.7283333333333</v>
      </c>
      <c r="D314">
        <v>14.324999999999999</v>
      </c>
      <c r="E314">
        <v>11.025</v>
      </c>
      <c r="F314">
        <v>13.8708333333333</v>
      </c>
      <c r="J314">
        <v>311</v>
      </c>
    </row>
    <row r="315" spans="1:10" x14ac:dyDescent="0.25">
      <c r="A315">
        <v>313</v>
      </c>
      <c r="B315">
        <v>12.8168181818181</v>
      </c>
      <c r="C315">
        <v>14.37</v>
      </c>
      <c r="D315">
        <v>12.740909090909</v>
      </c>
      <c r="E315">
        <v>11.252083333333299</v>
      </c>
      <c r="F315">
        <v>14.158333333333299</v>
      </c>
      <c r="J315">
        <v>312</v>
      </c>
    </row>
    <row r="316" spans="1:10" x14ac:dyDescent="0.25">
      <c r="A316">
        <v>314</v>
      </c>
      <c r="B316">
        <v>14.334848484848401</v>
      </c>
      <c r="C316">
        <v>14.7216666666666</v>
      </c>
      <c r="D316">
        <v>13.1886363636363</v>
      </c>
      <c r="E316">
        <v>11.7916666666666</v>
      </c>
      <c r="F316">
        <v>13.6666666666666</v>
      </c>
      <c r="J316">
        <v>313</v>
      </c>
    </row>
    <row r="317" spans="1:10" x14ac:dyDescent="0.25">
      <c r="A317">
        <v>315</v>
      </c>
      <c r="B317">
        <v>13.660606060606</v>
      </c>
      <c r="C317">
        <v>14.816666666666601</v>
      </c>
      <c r="D317">
        <v>13.9727272727272</v>
      </c>
      <c r="E317">
        <v>11.3604166666666</v>
      </c>
      <c r="F317">
        <v>13.8958333333333</v>
      </c>
      <c r="J317">
        <v>314</v>
      </c>
    </row>
    <row r="318" spans="1:10" x14ac:dyDescent="0.25">
      <c r="A318">
        <v>316</v>
      </c>
      <c r="B318">
        <v>13.3045454545454</v>
      </c>
      <c r="C318">
        <v>14.7883333333333</v>
      </c>
      <c r="D318">
        <v>13.988636363636299</v>
      </c>
      <c r="E318">
        <v>10.4282608695652</v>
      </c>
      <c r="F318">
        <v>13.0625</v>
      </c>
      <c r="J318">
        <v>315</v>
      </c>
    </row>
    <row r="319" spans="1:10" x14ac:dyDescent="0.25">
      <c r="A319">
        <v>317</v>
      </c>
      <c r="B319">
        <v>12.422727272727199</v>
      </c>
      <c r="C319">
        <v>14.5583333333333</v>
      </c>
      <c r="D319">
        <v>13.665909090909</v>
      </c>
      <c r="E319">
        <v>10.5833333333333</v>
      </c>
      <c r="F319">
        <v>12.55</v>
      </c>
      <c r="J319">
        <v>316</v>
      </c>
    </row>
    <row r="320" spans="1:10" x14ac:dyDescent="0.25">
      <c r="A320">
        <v>318</v>
      </c>
      <c r="B320">
        <v>12.9954545454545</v>
      </c>
      <c r="C320">
        <v>14.5066666666666</v>
      </c>
      <c r="D320">
        <v>13.1863636363636</v>
      </c>
      <c r="E320">
        <v>11.191666666666601</v>
      </c>
      <c r="F320">
        <v>12.591666666666599</v>
      </c>
      <c r="J320">
        <v>317</v>
      </c>
    </row>
    <row r="321" spans="1:10" x14ac:dyDescent="0.25">
      <c r="A321">
        <v>319</v>
      </c>
      <c r="B321">
        <v>13.430303030303</v>
      </c>
      <c r="C321">
        <v>14.8633333333333</v>
      </c>
      <c r="D321">
        <v>13.3545454545454</v>
      </c>
      <c r="E321">
        <v>11.34375</v>
      </c>
      <c r="F321">
        <v>13.462499999999901</v>
      </c>
      <c r="J321">
        <v>318</v>
      </c>
    </row>
    <row r="322" spans="1:10" x14ac:dyDescent="0.25">
      <c r="A322">
        <v>320</v>
      </c>
      <c r="B322">
        <v>13.7712121212121</v>
      </c>
      <c r="C322">
        <v>15.191666666666601</v>
      </c>
      <c r="D322">
        <v>14.5545454545454</v>
      </c>
      <c r="E322">
        <v>11.1479166666666</v>
      </c>
      <c r="F322">
        <v>14.7458333333333</v>
      </c>
      <c r="J322">
        <v>319</v>
      </c>
    </row>
    <row r="323" spans="1:10" x14ac:dyDescent="0.25">
      <c r="A323">
        <v>321</v>
      </c>
      <c r="B323">
        <v>12.8924242424242</v>
      </c>
      <c r="C323">
        <v>14.805</v>
      </c>
      <c r="D323">
        <v>15.3886363636363</v>
      </c>
      <c r="E323">
        <v>9.74583333333333</v>
      </c>
      <c r="F323">
        <v>14.945833333333301</v>
      </c>
      <c r="J323">
        <v>320</v>
      </c>
    </row>
    <row r="324" spans="1:10" x14ac:dyDescent="0.25">
      <c r="A324">
        <v>322</v>
      </c>
      <c r="B324">
        <v>12.363636363636299</v>
      </c>
      <c r="C324">
        <v>14.4366666666666</v>
      </c>
      <c r="D324">
        <v>14.525</v>
      </c>
      <c r="E324">
        <v>9.6187500000000004</v>
      </c>
      <c r="F324">
        <v>14.45</v>
      </c>
      <c r="J324">
        <v>321</v>
      </c>
    </row>
    <row r="325" spans="1:10" x14ac:dyDescent="0.25">
      <c r="A325">
        <v>323</v>
      </c>
      <c r="B325">
        <v>12.159090909090899</v>
      </c>
      <c r="C325">
        <v>14.4133333333333</v>
      </c>
      <c r="D325">
        <v>13.818181818181801</v>
      </c>
      <c r="E325">
        <v>10.0895833333333</v>
      </c>
      <c r="F325">
        <v>13.941666666666601</v>
      </c>
      <c r="J325">
        <v>322</v>
      </c>
    </row>
    <row r="326" spans="1:10" x14ac:dyDescent="0.25">
      <c r="A326">
        <v>324</v>
      </c>
      <c r="B326">
        <v>13.048484848484801</v>
      </c>
      <c r="C326">
        <v>14.8266666666666</v>
      </c>
      <c r="D326">
        <v>13.754545454545401</v>
      </c>
      <c r="E326">
        <v>10.408333333333299</v>
      </c>
      <c r="F326">
        <v>14.1208333333333</v>
      </c>
      <c r="J326">
        <v>323</v>
      </c>
    </row>
    <row r="327" spans="1:10" x14ac:dyDescent="0.25">
      <c r="A327">
        <v>325</v>
      </c>
      <c r="B327">
        <v>12.9621212121212</v>
      </c>
      <c r="C327">
        <v>14.899999999999901</v>
      </c>
      <c r="D327">
        <v>14.773809523809501</v>
      </c>
      <c r="E327">
        <v>9.8339999999999996</v>
      </c>
      <c r="F327">
        <v>14.2</v>
      </c>
      <c r="J327">
        <v>324</v>
      </c>
    </row>
    <row r="328" spans="1:10" x14ac:dyDescent="0.25">
      <c r="A328">
        <v>326</v>
      </c>
      <c r="B328">
        <v>12.268749999999899</v>
      </c>
      <c r="C328">
        <v>15.125</v>
      </c>
      <c r="D328">
        <v>14.6227272727272</v>
      </c>
      <c r="E328">
        <v>10.018000000000001</v>
      </c>
      <c r="F328">
        <v>14.2916666666666</v>
      </c>
      <c r="J328">
        <v>325</v>
      </c>
    </row>
    <row r="329" spans="1:10" x14ac:dyDescent="0.25">
      <c r="A329">
        <v>327</v>
      </c>
      <c r="B329">
        <v>13.610937499999901</v>
      </c>
      <c r="C329">
        <v>15.358333333333301</v>
      </c>
      <c r="D329">
        <v>14.290909090909</v>
      </c>
      <c r="E329">
        <v>11.696</v>
      </c>
      <c r="F329">
        <v>14.8666666666666</v>
      </c>
      <c r="J329">
        <v>326</v>
      </c>
    </row>
    <row r="330" spans="1:10" x14ac:dyDescent="0.25">
      <c r="A330">
        <v>328</v>
      </c>
      <c r="B330">
        <v>13.9</v>
      </c>
      <c r="C330">
        <v>15.2051724137931</v>
      </c>
      <c r="D330">
        <v>15.8523809523809</v>
      </c>
      <c r="E330">
        <v>11.942</v>
      </c>
      <c r="F330">
        <v>14.875</v>
      </c>
      <c r="J330">
        <v>327</v>
      </c>
    </row>
    <row r="331" spans="1:10" x14ac:dyDescent="0.25">
      <c r="A331">
        <v>329</v>
      </c>
      <c r="B331">
        <v>14.229687499999899</v>
      </c>
      <c r="C331">
        <v>15.834482758620601</v>
      </c>
      <c r="D331">
        <v>15.107142857142801</v>
      </c>
      <c r="E331">
        <v>12.016</v>
      </c>
      <c r="F331">
        <v>15.8125</v>
      </c>
      <c r="J331">
        <v>328</v>
      </c>
    </row>
    <row r="332" spans="1:10" x14ac:dyDescent="0.25">
      <c r="A332">
        <v>330</v>
      </c>
      <c r="B332">
        <v>13.9375</v>
      </c>
      <c r="C332">
        <v>15.876666666666599</v>
      </c>
      <c r="D332">
        <v>15.9023809523809</v>
      </c>
      <c r="E332">
        <v>12.776</v>
      </c>
      <c r="F332">
        <v>15.945833333333301</v>
      </c>
      <c r="J332">
        <v>329</v>
      </c>
    </row>
    <row r="333" spans="1:10" x14ac:dyDescent="0.25">
      <c r="A333">
        <v>331</v>
      </c>
      <c r="B333">
        <v>13.6234375</v>
      </c>
      <c r="C333">
        <v>15.52</v>
      </c>
      <c r="D333">
        <v>15.070454545454499</v>
      </c>
      <c r="E333">
        <v>12.0559999999999</v>
      </c>
      <c r="F333">
        <v>16.279166666666601</v>
      </c>
      <c r="J333">
        <v>330</v>
      </c>
    </row>
    <row r="334" spans="1:10" x14ac:dyDescent="0.25">
      <c r="A334">
        <v>332</v>
      </c>
      <c r="B334">
        <v>13.4125</v>
      </c>
      <c r="C334">
        <v>15.438333333333301</v>
      </c>
      <c r="D334">
        <v>15.6090909090909</v>
      </c>
      <c r="E334">
        <v>11.602083333333301</v>
      </c>
      <c r="F334">
        <v>16.070833333333301</v>
      </c>
      <c r="J334">
        <v>331</v>
      </c>
    </row>
    <row r="335" spans="1:10" x14ac:dyDescent="0.25">
      <c r="A335">
        <v>333</v>
      </c>
      <c r="B335">
        <v>13.120312499999899</v>
      </c>
      <c r="C335">
        <v>15.551724137931</v>
      </c>
      <c r="D335">
        <v>14.945454545454499</v>
      </c>
      <c r="E335">
        <v>11.375</v>
      </c>
      <c r="F335">
        <v>15.033333333333299</v>
      </c>
      <c r="J335">
        <v>332</v>
      </c>
    </row>
    <row r="336" spans="1:10" x14ac:dyDescent="0.25">
      <c r="A336">
        <v>334</v>
      </c>
      <c r="B336">
        <v>13.534375000000001</v>
      </c>
      <c r="C336">
        <v>15.832758620689599</v>
      </c>
      <c r="D336">
        <v>15.547727272727199</v>
      </c>
      <c r="E336">
        <v>12.0229166666666</v>
      </c>
      <c r="F336">
        <v>16.1166666666666</v>
      </c>
      <c r="J336">
        <v>333</v>
      </c>
    </row>
    <row r="337" spans="1:10" x14ac:dyDescent="0.25">
      <c r="A337">
        <v>335</v>
      </c>
      <c r="B337">
        <v>14.5196969696969</v>
      </c>
      <c r="C337">
        <v>16.082758620689599</v>
      </c>
      <c r="D337">
        <v>15.5772727272727</v>
      </c>
      <c r="E337">
        <v>12.7416666666666</v>
      </c>
      <c r="F337">
        <v>15.887499999999999</v>
      </c>
      <c r="J337">
        <v>334</v>
      </c>
    </row>
    <row r="338" spans="1:10" x14ac:dyDescent="0.25">
      <c r="A338">
        <v>336</v>
      </c>
      <c r="B338">
        <v>14.7863636363636</v>
      </c>
      <c r="C338">
        <v>16.4931034482758</v>
      </c>
      <c r="D338">
        <v>15.7636363636363</v>
      </c>
      <c r="E338">
        <v>12.9895833333333</v>
      </c>
      <c r="F338">
        <v>16.1458333333333</v>
      </c>
      <c r="J338">
        <v>335</v>
      </c>
    </row>
    <row r="339" spans="1:10" x14ac:dyDescent="0.25">
      <c r="A339">
        <v>337</v>
      </c>
      <c r="B339">
        <v>15.427272727272699</v>
      </c>
      <c r="C339">
        <v>16.78</v>
      </c>
      <c r="D339">
        <v>16.8340909090909</v>
      </c>
      <c r="E339">
        <v>12.702083333333301</v>
      </c>
      <c r="F339">
        <v>16.0625</v>
      </c>
      <c r="J339">
        <v>336</v>
      </c>
    </row>
    <row r="340" spans="1:10" x14ac:dyDescent="0.25">
      <c r="A340">
        <v>338</v>
      </c>
      <c r="B340">
        <v>15.004545454545401</v>
      </c>
      <c r="C340">
        <v>16.8266666666666</v>
      </c>
      <c r="D340">
        <v>16.904545454545399</v>
      </c>
      <c r="E340">
        <v>12.8708333333333</v>
      </c>
      <c r="F340">
        <v>16.591666666666601</v>
      </c>
      <c r="J340">
        <v>337</v>
      </c>
    </row>
    <row r="341" spans="1:10" x14ac:dyDescent="0.25">
      <c r="A341">
        <v>339</v>
      </c>
      <c r="B341">
        <v>14.903030303030301</v>
      </c>
      <c r="C341">
        <v>16.6516666666666</v>
      </c>
      <c r="D341">
        <v>16.677272727272701</v>
      </c>
      <c r="E341">
        <v>12.8916666666666</v>
      </c>
      <c r="F341">
        <v>16.441666666666599</v>
      </c>
      <c r="J341">
        <v>338</v>
      </c>
    </row>
    <row r="342" spans="1:10" x14ac:dyDescent="0.25">
      <c r="A342">
        <v>340</v>
      </c>
      <c r="B342">
        <v>14.301515151515099</v>
      </c>
      <c r="C342">
        <v>16.68</v>
      </c>
      <c r="D342">
        <v>16.865909090909</v>
      </c>
      <c r="E342">
        <v>12.7477272727272</v>
      </c>
      <c r="F342">
        <v>16.454166666666602</v>
      </c>
      <c r="J342">
        <v>339</v>
      </c>
    </row>
    <row r="343" spans="1:10" x14ac:dyDescent="0.25">
      <c r="A343">
        <v>341</v>
      </c>
      <c r="B343">
        <v>14.8272727272727</v>
      </c>
      <c r="C343">
        <v>16.158333333333299</v>
      </c>
      <c r="D343">
        <v>16.686363636363598</v>
      </c>
      <c r="E343">
        <v>12.7043478260869</v>
      </c>
      <c r="F343">
        <v>15.879166666666601</v>
      </c>
      <c r="J343">
        <v>340</v>
      </c>
    </row>
    <row r="344" spans="1:10" x14ac:dyDescent="0.25">
      <c r="A344">
        <v>342</v>
      </c>
      <c r="B344">
        <v>14.8772727272727</v>
      </c>
      <c r="C344">
        <v>16.105</v>
      </c>
      <c r="D344">
        <v>15.5840909090909</v>
      </c>
      <c r="E344">
        <v>11.6608695652173</v>
      </c>
      <c r="F344">
        <v>15.259090909090901</v>
      </c>
      <c r="J344">
        <v>341</v>
      </c>
    </row>
    <row r="345" spans="1:10" x14ac:dyDescent="0.25">
      <c r="A345">
        <v>343</v>
      </c>
      <c r="B345">
        <v>14.215151515151501</v>
      </c>
      <c r="C345">
        <v>16.565000000000001</v>
      </c>
      <c r="D345">
        <v>15.6204545454545</v>
      </c>
      <c r="E345">
        <v>12.290909090909</v>
      </c>
      <c r="F345">
        <v>15.9125</v>
      </c>
      <c r="J345">
        <v>342</v>
      </c>
    </row>
    <row r="346" spans="1:10" x14ac:dyDescent="0.25">
      <c r="A346">
        <v>344</v>
      </c>
      <c r="B346">
        <v>14.9121212121212</v>
      </c>
      <c r="C346">
        <v>16.483333333333299</v>
      </c>
      <c r="D346">
        <v>15.802272727272699</v>
      </c>
      <c r="E346">
        <v>12.754347826086899</v>
      </c>
      <c r="F346">
        <v>16.720833333333299</v>
      </c>
      <c r="J346">
        <v>343</v>
      </c>
    </row>
    <row r="347" spans="1:10" x14ac:dyDescent="0.25">
      <c r="A347">
        <v>345</v>
      </c>
      <c r="B347">
        <v>15.940909090909001</v>
      </c>
      <c r="C347">
        <v>17.015000000000001</v>
      </c>
      <c r="D347">
        <v>16.568181818181799</v>
      </c>
      <c r="E347">
        <v>13.6875</v>
      </c>
      <c r="F347">
        <v>17.529166666666601</v>
      </c>
      <c r="J347">
        <v>344</v>
      </c>
    </row>
    <row r="348" spans="1:10" x14ac:dyDescent="0.25">
      <c r="A348">
        <v>346</v>
      </c>
      <c r="B348">
        <v>16.6272727272727</v>
      </c>
      <c r="C348">
        <v>17.483333333333299</v>
      </c>
      <c r="D348">
        <v>17.193181818181799</v>
      </c>
      <c r="E348">
        <v>14.1479166666666</v>
      </c>
      <c r="F348">
        <v>17.004166666666599</v>
      </c>
      <c r="J348">
        <v>345</v>
      </c>
    </row>
    <row r="349" spans="1:10" x14ac:dyDescent="0.25">
      <c r="A349">
        <v>347</v>
      </c>
      <c r="B349">
        <v>15.6196969696969</v>
      </c>
      <c r="C349">
        <v>17.251666666666601</v>
      </c>
      <c r="D349">
        <v>17.2068181818181</v>
      </c>
      <c r="E349">
        <v>13.5208333333333</v>
      </c>
      <c r="F349">
        <v>16.883333333333301</v>
      </c>
      <c r="J349">
        <v>346</v>
      </c>
    </row>
    <row r="350" spans="1:10" x14ac:dyDescent="0.25">
      <c r="A350">
        <v>348</v>
      </c>
      <c r="B350">
        <v>14.8939393939393</v>
      </c>
      <c r="C350">
        <v>17.1733333333333</v>
      </c>
      <c r="D350">
        <v>16.399999999999999</v>
      </c>
      <c r="E350">
        <v>12.858333333333301</v>
      </c>
      <c r="F350">
        <v>16.191666666666599</v>
      </c>
      <c r="J350">
        <v>347</v>
      </c>
    </row>
    <row r="351" spans="1:10" x14ac:dyDescent="0.25">
      <c r="A351">
        <v>349</v>
      </c>
      <c r="B351">
        <v>16</v>
      </c>
      <c r="C351">
        <v>17.0068965517241</v>
      </c>
      <c r="D351">
        <v>16.524999999999999</v>
      </c>
      <c r="E351">
        <v>12.5833333333333</v>
      </c>
      <c r="F351">
        <v>15.754166666666601</v>
      </c>
      <c r="J351">
        <v>348</v>
      </c>
    </row>
    <row r="352" spans="1:10" x14ac:dyDescent="0.25">
      <c r="A352">
        <v>350</v>
      </c>
      <c r="B352">
        <v>15.5590909090909</v>
      </c>
      <c r="C352">
        <v>17.105172413793099</v>
      </c>
      <c r="D352">
        <v>16.475000000000001</v>
      </c>
      <c r="E352">
        <v>12.649999999999901</v>
      </c>
      <c r="F352">
        <v>16.766666666666602</v>
      </c>
      <c r="J352">
        <v>349</v>
      </c>
    </row>
    <row r="353" spans="1:10" x14ac:dyDescent="0.25">
      <c r="A353">
        <v>351</v>
      </c>
      <c r="B353">
        <v>15.2454545454545</v>
      </c>
      <c r="C353">
        <v>17.153448275862001</v>
      </c>
      <c r="D353">
        <v>16.9568181818181</v>
      </c>
      <c r="E353">
        <v>12.94375</v>
      </c>
      <c r="F353">
        <v>16.766666666666602</v>
      </c>
      <c r="J353">
        <v>350</v>
      </c>
    </row>
    <row r="354" spans="1:10" x14ac:dyDescent="0.25">
      <c r="A354">
        <v>352</v>
      </c>
      <c r="B354">
        <v>15.4969696969696</v>
      </c>
      <c r="C354">
        <v>16.853448275862</v>
      </c>
      <c r="D354">
        <v>17.061363636363598</v>
      </c>
      <c r="E354">
        <v>13.137499999999999</v>
      </c>
      <c r="F354">
        <v>17.191666666666599</v>
      </c>
      <c r="J354">
        <v>351</v>
      </c>
    </row>
    <row r="355" spans="1:10" x14ac:dyDescent="0.25">
      <c r="A355">
        <v>353</v>
      </c>
      <c r="B355">
        <v>15.5242424242424</v>
      </c>
      <c r="C355">
        <v>17.030357142857099</v>
      </c>
      <c r="D355">
        <v>17.0363636363636</v>
      </c>
      <c r="E355">
        <v>12.387499999999999</v>
      </c>
      <c r="F355">
        <v>16.725000000000001</v>
      </c>
      <c r="J355">
        <v>352</v>
      </c>
    </row>
    <row r="356" spans="1:10" x14ac:dyDescent="0.25">
      <c r="A356">
        <v>354</v>
      </c>
      <c r="B356">
        <v>15.1863636363636</v>
      </c>
      <c r="C356">
        <v>17.3086206896551</v>
      </c>
      <c r="D356">
        <v>17.152272727272699</v>
      </c>
      <c r="E356">
        <v>13.231818181818101</v>
      </c>
      <c r="F356">
        <v>15.9625</v>
      </c>
      <c r="J356">
        <v>353</v>
      </c>
    </row>
    <row r="357" spans="1:10" x14ac:dyDescent="0.25">
      <c r="A357">
        <v>355</v>
      </c>
      <c r="B357">
        <v>14.9893480257116</v>
      </c>
      <c r="C357">
        <v>17.3086206896551</v>
      </c>
      <c r="D357">
        <v>16.568181818181799</v>
      </c>
      <c r="E357">
        <v>13.782608695652099</v>
      </c>
      <c r="F357">
        <v>16.074999999999999</v>
      </c>
      <c r="J357">
        <v>354</v>
      </c>
    </row>
    <row r="358" spans="1:10" x14ac:dyDescent="0.25">
      <c r="A358">
        <v>356</v>
      </c>
      <c r="B358">
        <v>15.318181818181801</v>
      </c>
      <c r="C358">
        <v>17.474137931034399</v>
      </c>
      <c r="D358">
        <v>16.468181818181801</v>
      </c>
      <c r="E358">
        <v>12.802173913043401</v>
      </c>
      <c r="F358">
        <v>16.1458333333333</v>
      </c>
      <c r="J358">
        <v>355</v>
      </c>
    </row>
    <row r="359" spans="1:10" x14ac:dyDescent="0.25">
      <c r="A359">
        <v>357</v>
      </c>
      <c r="B359">
        <v>15.1030303030303</v>
      </c>
      <c r="C359">
        <v>17.091379310344799</v>
      </c>
      <c r="D359">
        <v>16.729545454545399</v>
      </c>
      <c r="E359">
        <v>13.058695652173901</v>
      </c>
      <c r="F359">
        <v>16.820833333333301</v>
      </c>
      <c r="J359">
        <v>356</v>
      </c>
    </row>
    <row r="360" spans="1:10" x14ac:dyDescent="0.25">
      <c r="A360">
        <v>358</v>
      </c>
      <c r="B360">
        <v>15.75</v>
      </c>
      <c r="C360">
        <v>17.2275862068965</v>
      </c>
      <c r="D360">
        <v>16.7477272727272</v>
      </c>
      <c r="E360">
        <v>13.6173913043478</v>
      </c>
      <c r="F360">
        <v>16.883333333333301</v>
      </c>
      <c r="J360">
        <v>357</v>
      </c>
    </row>
    <row r="361" spans="1:10" x14ac:dyDescent="0.25">
      <c r="A361">
        <v>359</v>
      </c>
      <c r="B361">
        <v>15.801515151515099</v>
      </c>
      <c r="C361">
        <v>17.475862068965501</v>
      </c>
      <c r="D361">
        <v>17.143181818181802</v>
      </c>
      <c r="E361">
        <v>13.361363636363601</v>
      </c>
      <c r="F361">
        <v>17.399999999999999</v>
      </c>
      <c r="J361">
        <v>358</v>
      </c>
    </row>
    <row r="362" spans="1:10" x14ac:dyDescent="0.25">
      <c r="A362">
        <v>360</v>
      </c>
      <c r="B362">
        <v>15.1378787878787</v>
      </c>
      <c r="C362">
        <v>17.193103448275799</v>
      </c>
      <c r="D362">
        <v>17.1204545454545</v>
      </c>
      <c r="E362">
        <v>14.068181818181801</v>
      </c>
      <c r="F362">
        <v>17.920833333333299</v>
      </c>
      <c r="J362">
        <v>359</v>
      </c>
    </row>
    <row r="363" spans="1:10" x14ac:dyDescent="0.25">
      <c r="A363">
        <v>361</v>
      </c>
      <c r="B363">
        <v>16.901515151515099</v>
      </c>
      <c r="C363">
        <v>17.263793103448201</v>
      </c>
      <c r="D363">
        <v>16.693181818181799</v>
      </c>
      <c r="E363">
        <v>14.7431818181818</v>
      </c>
      <c r="F363">
        <v>17.537500000000001</v>
      </c>
      <c r="J363">
        <v>360</v>
      </c>
    </row>
    <row r="364" spans="1:10" x14ac:dyDescent="0.25">
      <c r="A364">
        <v>362</v>
      </c>
      <c r="B364">
        <v>17.143939393939299</v>
      </c>
      <c r="C364">
        <v>18.060344827586199</v>
      </c>
      <c r="D364">
        <v>16.863636363636299</v>
      </c>
      <c r="E364">
        <v>13.970454545454499</v>
      </c>
      <c r="F364">
        <v>17.012499999999999</v>
      </c>
      <c r="J364">
        <v>361</v>
      </c>
    </row>
    <row r="365" spans="1:10" x14ac:dyDescent="0.25">
      <c r="A365">
        <v>363</v>
      </c>
      <c r="B365">
        <v>15.795454545454501</v>
      </c>
      <c r="C365">
        <v>18.386206896551698</v>
      </c>
      <c r="D365">
        <v>16.690909090908999</v>
      </c>
      <c r="E365">
        <v>14.119047619047601</v>
      </c>
      <c r="F365">
        <v>17.1041666666666</v>
      </c>
      <c r="J365">
        <v>362</v>
      </c>
    </row>
    <row r="366" spans="1:10" x14ac:dyDescent="0.25">
      <c r="A366">
        <v>364</v>
      </c>
      <c r="B366">
        <v>16.3359375</v>
      </c>
      <c r="C366">
        <v>18.156896551724099</v>
      </c>
      <c r="D366">
        <v>16.518181818181802</v>
      </c>
      <c r="E366">
        <v>13.9047619047619</v>
      </c>
      <c r="F366">
        <v>17.0541666666666</v>
      </c>
      <c r="J366">
        <v>363</v>
      </c>
    </row>
    <row r="367" spans="1:10" x14ac:dyDescent="0.25">
      <c r="A367">
        <v>365</v>
      </c>
      <c r="B367">
        <v>15.832812499999999</v>
      </c>
      <c r="C367">
        <v>17.8086206896551</v>
      </c>
      <c r="D367">
        <v>16.738636363636299</v>
      </c>
      <c r="E367">
        <v>13.492857142857099</v>
      </c>
      <c r="F367">
        <v>16.6875</v>
      </c>
      <c r="J367">
        <v>364</v>
      </c>
    </row>
    <row r="368" spans="1:10" x14ac:dyDescent="0.25">
      <c r="A368">
        <v>366</v>
      </c>
      <c r="B368">
        <v>16.3</v>
      </c>
      <c r="C368">
        <v>17.691666666666599</v>
      </c>
      <c r="D368">
        <v>16.71</v>
      </c>
      <c r="E368">
        <v>11.34</v>
      </c>
      <c r="F368">
        <v>15.483333333333301</v>
      </c>
      <c r="J368">
        <v>365</v>
      </c>
    </row>
    <row r="369" spans="10:10" x14ac:dyDescent="0.25">
      <c r="J369">
        <v>366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115</vt:i4>
      </vt:variant>
    </vt:vector>
  </HeadingPairs>
  <TitlesOfParts>
    <vt:vector size="121" baseType="lpstr">
      <vt:lpstr>ConceptDemo</vt:lpstr>
      <vt:lpstr>Backend</vt:lpstr>
      <vt:lpstr>Model Interface</vt:lpstr>
      <vt:lpstr>ListMembers</vt:lpstr>
      <vt:lpstr>CropCoefficients</vt:lpstr>
      <vt:lpstr>meanT</vt:lpstr>
      <vt:lpstr>Annual_ryegrass</vt:lpstr>
      <vt:lpstr>Barley</vt:lpstr>
      <vt:lpstr>Bean</vt:lpstr>
      <vt:lpstr>Broad_bean</vt:lpstr>
      <vt:lpstr>Broccoli</vt:lpstr>
      <vt:lpstr>Brussel_sprout</vt:lpstr>
      <vt:lpstr>Bulb</vt:lpstr>
      <vt:lpstr>Cabbage</vt:lpstr>
      <vt:lpstr>Canola</vt:lpstr>
      <vt:lpstr>Carrot</vt:lpstr>
      <vt:lpstr>Cauliflower</vt:lpstr>
      <vt:lpstr>Celery</vt:lpstr>
      <vt:lpstr>Chickpea</vt:lpstr>
      <vt:lpstr>Choy_sum</vt:lpstr>
      <vt:lpstr>Cocksfoot</vt:lpstr>
      <vt:lpstr>Coriander</vt:lpstr>
      <vt:lpstr>CropCoefficients</vt:lpstr>
      <vt:lpstr>CurrentCropName</vt:lpstr>
      <vt:lpstr>CurrentCropNameFull</vt:lpstr>
      <vt:lpstr>CurrentCropType</vt:lpstr>
      <vt:lpstr>CurrentCropVariety</vt:lpstr>
      <vt:lpstr>CurrentDressingLoss</vt:lpstr>
      <vt:lpstr>CurrentEstablishDate</vt:lpstr>
      <vt:lpstr>CurrentEstablishStage</vt:lpstr>
      <vt:lpstr>CurrentFieldLoss</vt:lpstr>
      <vt:lpstr>CurrentHarvestDate</vt:lpstr>
      <vt:lpstr>CurrentHarvestStage</vt:lpstr>
      <vt:lpstr>CurrentMoistureContent</vt:lpstr>
      <vt:lpstr>CurrentPopulation</vt:lpstr>
      <vt:lpstr>CurrentUnits</vt:lpstr>
      <vt:lpstr>CurrentYield</vt:lpstr>
      <vt:lpstr>CurrentYieldperArea</vt:lpstr>
      <vt:lpstr>Efficiency</vt:lpstr>
      <vt:lpstr>Fibre</vt:lpstr>
      <vt:lpstr>Fodder</vt:lpstr>
      <vt:lpstr>Fodder_beet</vt:lpstr>
      <vt:lpstr>FollowingCropFullName</vt:lpstr>
      <vt:lpstr>FollowingCropName</vt:lpstr>
      <vt:lpstr>FollowingCropType</vt:lpstr>
      <vt:lpstr>FollowingCropVariety</vt:lpstr>
      <vt:lpstr>FollowingDressingLoss</vt:lpstr>
      <vt:lpstr>FollowingEstablishDate</vt:lpstr>
      <vt:lpstr>FollowingEstablishmentDate</vt:lpstr>
      <vt:lpstr>FollowingEstablishStage</vt:lpstr>
      <vt:lpstr>FollowingFieldLoss</vt:lpstr>
      <vt:lpstr>FollowingHarvestDate</vt:lpstr>
      <vt:lpstr>FollowingHarvestStage</vt:lpstr>
      <vt:lpstr>FollowingMoistureLoss</vt:lpstr>
      <vt:lpstr>FollowingPopulation</vt:lpstr>
      <vt:lpstr>FollowingUnits</vt:lpstr>
      <vt:lpstr>FollowingYIeld</vt:lpstr>
      <vt:lpstr>FollowingYieldPerArea</vt:lpstr>
      <vt:lpstr>Garlic</vt:lpstr>
      <vt:lpstr>Grain</vt:lpstr>
      <vt:lpstr>Green_manure</vt:lpstr>
      <vt:lpstr>Hemp</vt:lpstr>
      <vt:lpstr>HWEON</vt:lpstr>
      <vt:lpstr>InitialN</vt:lpstr>
      <vt:lpstr>Kale</vt:lpstr>
      <vt:lpstr>Kumara</vt:lpstr>
      <vt:lpstr>Leek</vt:lpstr>
      <vt:lpstr>Lentil</vt:lpstr>
      <vt:lpstr>Lettuce</vt:lpstr>
      <vt:lpstr>Linseed</vt:lpstr>
      <vt:lpstr>Location</vt:lpstr>
      <vt:lpstr>Lupin</vt:lpstr>
      <vt:lpstr>Maize</vt:lpstr>
      <vt:lpstr>ModelOutputs</vt:lpstr>
      <vt:lpstr>Mustard</vt:lpstr>
      <vt:lpstr>Oat</vt:lpstr>
      <vt:lpstr>Onion</vt:lpstr>
      <vt:lpstr>Pak_choi</vt:lpstr>
      <vt:lpstr>Parsnip</vt:lpstr>
      <vt:lpstr>Pea</vt:lpstr>
      <vt:lpstr>Phacelia</vt:lpstr>
      <vt:lpstr>Potato</vt:lpstr>
      <vt:lpstr>PriorCropName</vt:lpstr>
      <vt:lpstr>PriorCropNameFull</vt:lpstr>
      <vt:lpstr>PriorCropType</vt:lpstr>
      <vt:lpstr>PriorCropVariety</vt:lpstr>
      <vt:lpstr>PriorDressingLoss</vt:lpstr>
      <vt:lpstr>PriorEstablishDate</vt:lpstr>
      <vt:lpstr>PriorEstablishStage</vt:lpstr>
      <vt:lpstr>PriorFieldLoss</vt:lpstr>
      <vt:lpstr>PriorHarvestDate</vt:lpstr>
      <vt:lpstr>PriorHarvestStage</vt:lpstr>
      <vt:lpstr>PriorMoistureContent</vt:lpstr>
      <vt:lpstr>PriorPopulation</vt:lpstr>
      <vt:lpstr>PriorSaleableYield</vt:lpstr>
      <vt:lpstr>PriorUnits</vt:lpstr>
      <vt:lpstr>PriorYield</vt:lpstr>
      <vt:lpstr>PriorYieldPerArea</vt:lpstr>
      <vt:lpstr>Pumpkin</vt:lpstr>
      <vt:lpstr>Radish</vt:lpstr>
      <vt:lpstr>Rape</vt:lpstr>
      <vt:lpstr>Red_beet</vt:lpstr>
      <vt:lpstr>Rock_melon</vt:lpstr>
      <vt:lpstr>Rye_corn</vt:lpstr>
      <vt:lpstr>Ryegrass</vt:lpstr>
      <vt:lpstr>Seed</vt:lpstr>
      <vt:lpstr>Silver_beet</vt:lpstr>
      <vt:lpstr>Spinach</vt:lpstr>
      <vt:lpstr>Splits</vt:lpstr>
      <vt:lpstr>Spring_onion</vt:lpstr>
      <vt:lpstr>Squash</vt:lpstr>
      <vt:lpstr>Sunflower</vt:lpstr>
      <vt:lpstr>Swede</vt:lpstr>
      <vt:lpstr>Sweetcorn</vt:lpstr>
      <vt:lpstr>Teir</vt:lpstr>
      <vt:lpstr>Tomato</vt:lpstr>
      <vt:lpstr>Trigger</vt:lpstr>
      <vt:lpstr>Triticale</vt:lpstr>
      <vt:lpstr>Tulip</vt:lpstr>
      <vt:lpstr>Turnip</vt:lpstr>
      <vt:lpstr>Vegetable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dc:creator>
  <cp:lastModifiedBy>Hamish Brown</cp:lastModifiedBy>
  <cp:lastPrinted>2022-11-21T07:06:21Z</cp:lastPrinted>
  <dcterms:created xsi:type="dcterms:W3CDTF">2022-11-13T19:21:57Z</dcterms:created>
  <dcterms:modified xsi:type="dcterms:W3CDTF">2023-02-06T04:56:40Z</dcterms:modified>
</cp:coreProperties>
</file>
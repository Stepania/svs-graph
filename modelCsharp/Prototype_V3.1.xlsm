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13_ncr:1_{B138542C-FD56-42B8-8A49-81280D5FFF8D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B7" i="3" s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M1" i="4"/>
  <c r="L2" i="4"/>
  <c r="K3" i="4"/>
  <c r="J4" i="4"/>
  <c r="I5" i="4"/>
  <c r="H6" i="4"/>
  <c r="G7" i="4"/>
  <c r="F8" i="4"/>
  <c r="E9" i="4"/>
  <c r="D10" i="4"/>
  <c r="V10" i="4"/>
  <c r="F11" i="4"/>
  <c r="V11" i="4"/>
  <c r="E12" i="4"/>
  <c r="U12" i="4"/>
  <c r="D13" i="4"/>
  <c r="T13" i="4"/>
  <c r="C14" i="4"/>
  <c r="S14" i="4"/>
  <c r="B15" i="4"/>
  <c r="R15" i="4"/>
  <c r="A16" i="4"/>
  <c r="Q16" i="4"/>
  <c r="AG16" i="4"/>
  <c r="P17" i="4"/>
  <c r="AF17" i="4"/>
  <c r="O18" i="4"/>
  <c r="AC18" i="4"/>
  <c r="J19" i="4"/>
  <c r="U19" i="4"/>
  <c r="B20" i="4"/>
  <c r="M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O25" i="4"/>
  <c r="W25" i="4"/>
  <c r="AE25" i="4"/>
  <c r="F26" i="4"/>
  <c r="N26" i="4"/>
  <c r="V26" i="4"/>
  <c r="AD26" i="4"/>
  <c r="E27" i="4"/>
  <c r="M27" i="4"/>
  <c r="U27" i="4"/>
  <c r="AC27" i="4"/>
  <c r="D28" i="4"/>
  <c r="L28" i="4"/>
  <c r="T28" i="4"/>
  <c r="AB28" i="4"/>
  <c r="C29" i="4"/>
  <c r="K29" i="4"/>
  <c r="S29" i="4"/>
  <c r="AA29" i="4"/>
  <c r="B30" i="4"/>
  <c r="J30" i="4"/>
  <c r="R30" i="4"/>
  <c r="Z30" i="4"/>
  <c r="A31" i="4"/>
  <c r="I31" i="4"/>
  <c r="Q31" i="4"/>
  <c r="Y31" i="4"/>
  <c r="AG31" i="4"/>
  <c r="H32" i="4"/>
  <c r="P32" i="4"/>
  <c r="X32" i="4"/>
  <c r="AF32" i="4"/>
  <c r="G33" i="4"/>
  <c r="O33" i="4"/>
  <c r="W33" i="4"/>
  <c r="AE33" i="4"/>
  <c r="N1" i="4"/>
  <c r="M2" i="4"/>
  <c r="L3" i="4"/>
  <c r="K4" i="4"/>
  <c r="J5" i="4"/>
  <c r="I6" i="4"/>
  <c r="H7" i="4"/>
  <c r="G8" i="4"/>
  <c r="F9" i="4"/>
  <c r="E10" i="4"/>
  <c r="AB10" i="4"/>
  <c r="K11" i="4"/>
  <c r="AA11" i="4"/>
  <c r="J12" i="4"/>
  <c r="Z12" i="4"/>
  <c r="I13" i="4"/>
  <c r="Y13" i="4"/>
  <c r="H14" i="4"/>
  <c r="X14" i="4"/>
  <c r="G15" i="4"/>
  <c r="W15" i="4"/>
  <c r="F16" i="4"/>
  <c r="V16" i="4"/>
  <c r="E17" i="4"/>
  <c r="U17" i="4"/>
  <c r="D18" i="4"/>
  <c r="S18" i="4"/>
  <c r="AD18" i="4"/>
  <c r="K19" i="4"/>
  <c r="V19" i="4"/>
  <c r="C20" i="4"/>
  <c r="Q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X33" i="4"/>
  <c r="U1" i="4"/>
  <c r="T2" i="4"/>
  <c r="S3" i="4"/>
  <c r="R4" i="4"/>
  <c r="Q5" i="4"/>
  <c r="P6" i="4"/>
  <c r="O7" i="4"/>
  <c r="N8" i="4"/>
  <c r="M9" i="4"/>
  <c r="F10" i="4"/>
  <c r="AC10" i="4"/>
  <c r="L11" i="4"/>
  <c r="AB11" i="4"/>
  <c r="K12" i="4"/>
  <c r="AA12" i="4"/>
  <c r="J13" i="4"/>
  <c r="Z13" i="4"/>
  <c r="I14" i="4"/>
  <c r="Y14" i="4"/>
  <c r="H15" i="4"/>
  <c r="X15" i="4"/>
  <c r="G16" i="4"/>
  <c r="W16" i="4"/>
  <c r="F17" i="4"/>
  <c r="V17" i="4"/>
  <c r="E18" i="4"/>
  <c r="T18" i="4"/>
  <c r="AE18" i="4"/>
  <c r="L19" i="4"/>
  <c r="Z19" i="4"/>
  <c r="D20" i="4"/>
  <c r="R20" i="4"/>
  <c r="AC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V1" i="4"/>
  <c r="U2" i="4"/>
  <c r="T3" i="4"/>
  <c r="S4" i="4"/>
  <c r="R5" i="4"/>
  <c r="Q6" i="4"/>
  <c r="P7" i="4"/>
  <c r="O8" i="4"/>
  <c r="N9" i="4"/>
  <c r="L10" i="4"/>
  <c r="AD10" i="4"/>
  <c r="M11" i="4"/>
  <c r="AC11" i="4"/>
  <c r="L12" i="4"/>
  <c r="AB12" i="4"/>
  <c r="K13" i="4"/>
  <c r="AA13" i="4"/>
  <c r="J14" i="4"/>
  <c r="Z14" i="4"/>
  <c r="I15" i="4"/>
  <c r="Y15" i="4"/>
  <c r="H16" i="4"/>
  <c r="X16" i="4"/>
  <c r="G17" i="4"/>
  <c r="W17" i="4"/>
  <c r="F18" i="4"/>
  <c r="U18" i="4"/>
  <c r="B19" i="4"/>
  <c r="M19" i="4"/>
  <c r="AA19" i="4"/>
  <c r="E20" i="4"/>
  <c r="S20" i="4"/>
  <c r="AG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AC1" i="4"/>
  <c r="AB2" i="4"/>
  <c r="AA3" i="4"/>
  <c r="Z4" i="4"/>
  <c r="Y5" i="4"/>
  <c r="X6" i="4"/>
  <c r="W7" i="4"/>
  <c r="V8" i="4"/>
  <c r="U9" i="4"/>
  <c r="M10" i="4"/>
  <c r="AE10" i="4"/>
  <c r="N11" i="4"/>
  <c r="AD11" i="4"/>
  <c r="M12" i="4"/>
  <c r="AC12" i="4"/>
  <c r="L13" i="4"/>
  <c r="AB13" i="4"/>
  <c r="K14" i="4"/>
  <c r="AA14" i="4"/>
  <c r="J15" i="4"/>
  <c r="Z15" i="4"/>
  <c r="I16" i="4"/>
  <c r="Y16" i="4"/>
  <c r="H17" i="4"/>
  <c r="X17" i="4"/>
  <c r="G18" i="4"/>
  <c r="V18" i="4"/>
  <c r="C19" i="4"/>
  <c r="N19" i="4"/>
  <c r="AB19" i="4"/>
  <c r="I20" i="4"/>
  <c r="T20" i="4"/>
  <c r="A21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AD1" i="4"/>
  <c r="AC2" i="4"/>
  <c r="AB3" i="4"/>
  <c r="AA4" i="4"/>
  <c r="Z5" i="4"/>
  <c r="Y6" i="4"/>
  <c r="X7" i="4"/>
  <c r="W8" i="4"/>
  <c r="V9" i="4"/>
  <c r="N10" i="4"/>
  <c r="C11" i="4"/>
  <c r="S11" i="4"/>
  <c r="B12" i="4"/>
  <c r="R12" i="4"/>
  <c r="A13" i="4"/>
  <c r="Q13" i="4"/>
  <c r="AG13" i="4"/>
  <c r="P14" i="4"/>
  <c r="AF14" i="4"/>
  <c r="O15" i="4"/>
  <c r="AE15" i="4"/>
  <c r="N16" i="4"/>
  <c r="AD16" i="4"/>
  <c r="M17" i="4"/>
  <c r="AC17" i="4"/>
  <c r="L18" i="4"/>
  <c r="W18" i="4"/>
  <c r="D19" i="4"/>
  <c r="R19" i="4"/>
  <c r="AC19" i="4"/>
  <c r="J20" i="4"/>
  <c r="U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E1" i="4"/>
  <c r="A5" i="4"/>
  <c r="AD8" i="4"/>
  <c r="T11" i="4"/>
  <c r="R13" i="4"/>
  <c r="P15" i="4"/>
  <c r="N17" i="4"/>
  <c r="E19" i="4"/>
  <c r="Y20" i="4"/>
  <c r="AG21" i="4"/>
  <c r="AF22" i="4"/>
  <c r="AE23" i="4"/>
  <c r="AD24" i="4"/>
  <c r="AC25" i="4"/>
  <c r="U26" i="4"/>
  <c r="K27" i="4"/>
  <c r="A28" i="4"/>
  <c r="S28" i="4"/>
  <c r="B29" i="4"/>
  <c r="R29" i="4"/>
  <c r="A30" i="4"/>
  <c r="Q30" i="4"/>
  <c r="AG30" i="4"/>
  <c r="P31" i="4"/>
  <c r="AF31" i="4"/>
  <c r="N32" i="4"/>
  <c r="AB32" i="4"/>
  <c r="F33" i="4"/>
  <c r="R33" i="4"/>
  <c r="AB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X38" i="4"/>
  <c r="AF38" i="4"/>
  <c r="G39" i="4"/>
  <c r="O39" i="4"/>
  <c r="W39" i="4"/>
  <c r="AE39" i="4"/>
  <c r="F40" i="4"/>
  <c r="N40" i="4"/>
  <c r="V40" i="4"/>
  <c r="AD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D2" i="4"/>
  <c r="AG5" i="4"/>
  <c r="AC9" i="4"/>
  <c r="C12" i="4"/>
  <c r="A14" i="4"/>
  <c r="AF15" i="4"/>
  <c r="AD17" i="4"/>
  <c r="S19" i="4"/>
  <c r="C21" i="4"/>
  <c r="H22" i="4"/>
  <c r="G23" i="4"/>
  <c r="F24" i="4"/>
  <c r="E25" i="4"/>
  <c r="D26" i="4"/>
  <c r="AB26" i="4"/>
  <c r="R27" i="4"/>
  <c r="C28" i="4"/>
  <c r="Y28" i="4"/>
  <c r="H29" i="4"/>
  <c r="X29" i="4"/>
  <c r="G30" i="4"/>
  <c r="W30" i="4"/>
  <c r="F31" i="4"/>
  <c r="V31" i="4"/>
  <c r="E32" i="4"/>
  <c r="S32" i="4"/>
  <c r="AD32" i="4"/>
  <c r="J33" i="4"/>
  <c r="T33" i="4"/>
  <c r="AD33" i="4"/>
  <c r="F34" i="4"/>
  <c r="N34" i="4"/>
  <c r="V34" i="4"/>
  <c r="AD34" i="4"/>
  <c r="E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E2" i="4"/>
  <c r="A6" i="4"/>
  <c r="AD9" i="4"/>
  <c r="D12" i="4"/>
  <c r="B14" i="4"/>
  <c r="AG15" i="4"/>
  <c r="AE17" i="4"/>
  <c r="T19" i="4"/>
  <c r="D21" i="4"/>
  <c r="I22" i="4"/>
  <c r="H23" i="4"/>
  <c r="G24" i="4"/>
  <c r="F25" i="4"/>
  <c r="E26" i="4"/>
  <c r="AC26" i="4"/>
  <c r="S27" i="4"/>
  <c r="I28" i="4"/>
  <c r="Z28" i="4"/>
  <c r="I29" i="4"/>
  <c r="Y29" i="4"/>
  <c r="H30" i="4"/>
  <c r="X30" i="4"/>
  <c r="G31" i="4"/>
  <c r="W31" i="4"/>
  <c r="F32" i="4"/>
  <c r="T32" i="4"/>
  <c r="AE32" i="4"/>
  <c r="K33" i="4"/>
  <c r="U33" i="4"/>
  <c r="AF33" i="4"/>
  <c r="G34" i="4"/>
  <c r="O34" i="4"/>
  <c r="W34" i="4"/>
  <c r="AE34" i="4"/>
  <c r="F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D3" i="4"/>
  <c r="AG6" i="4"/>
  <c r="U10" i="4"/>
  <c r="T12" i="4"/>
  <c r="R14" i="4"/>
  <c r="P16" i="4"/>
  <c r="N18" i="4"/>
  <c r="A20" i="4"/>
  <c r="R21" i="4"/>
  <c r="Q22" i="4"/>
  <c r="P23" i="4"/>
  <c r="O24" i="4"/>
  <c r="N25" i="4"/>
  <c r="M26" i="4"/>
  <c r="C27" i="4"/>
  <c r="Z27" i="4"/>
  <c r="K28" i="4"/>
  <c r="AF28" i="4"/>
  <c r="O29" i="4"/>
  <c r="AE29" i="4"/>
  <c r="N30" i="4"/>
  <c r="AD30" i="4"/>
  <c r="M31" i="4"/>
  <c r="AC31" i="4"/>
  <c r="K32" i="4"/>
  <c r="V32" i="4"/>
  <c r="C33" i="4"/>
  <c r="M33" i="4"/>
  <c r="Y33" i="4"/>
  <c r="A34" i="4"/>
  <c r="I34" i="4"/>
  <c r="Q34" i="4"/>
  <c r="Y34" i="4"/>
  <c r="AG34" i="4"/>
  <c r="H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R41" i="4"/>
  <c r="Z41" i="4"/>
  <c r="A42" i="4"/>
  <c r="I42" i="4"/>
  <c r="Q42" i="4"/>
  <c r="Y42" i="4"/>
  <c r="AG42" i="4"/>
  <c r="B4" i="4"/>
  <c r="AE7" i="4"/>
  <c r="D11" i="4"/>
  <c r="B13" i="4"/>
  <c r="AG14" i="4"/>
  <c r="AE16" i="4"/>
  <c r="AA18" i="4"/>
  <c r="K20" i="4"/>
  <c r="Y21" i="4"/>
  <c r="X22" i="4"/>
  <c r="W23" i="4"/>
  <c r="V24" i="4"/>
  <c r="U25" i="4"/>
  <c r="S26" i="4"/>
  <c r="D27" i="4"/>
  <c r="AA27" i="4"/>
  <c r="Q28" i="4"/>
  <c r="AG28" i="4"/>
  <c r="P29" i="4"/>
  <c r="AF29" i="4"/>
  <c r="O30" i="4"/>
  <c r="AE30" i="4"/>
  <c r="N31" i="4"/>
  <c r="AD31" i="4"/>
  <c r="L32" i="4"/>
  <c r="W32" i="4"/>
  <c r="D33" i="4"/>
  <c r="N33" i="4"/>
  <c r="Z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C41" i="4"/>
  <c r="K41" i="4"/>
  <c r="S41" i="4"/>
  <c r="AA41" i="4"/>
  <c r="B42" i="4"/>
  <c r="J42" i="4"/>
  <c r="R42" i="4"/>
  <c r="Z42" i="4"/>
  <c r="A43" i="4"/>
  <c r="I43" i="4"/>
  <c r="Q43" i="4"/>
  <c r="Y43" i="4"/>
  <c r="AG43" i="4"/>
  <c r="C4" i="4"/>
  <c r="AF7" i="4"/>
  <c r="E11" i="4"/>
  <c r="C13" i="4"/>
  <c r="A15" i="4"/>
  <c r="AF16" i="4"/>
  <c r="AB18" i="4"/>
  <c r="L20" i="4"/>
  <c r="Z21" i="4"/>
  <c r="Y22" i="4"/>
  <c r="X23" i="4"/>
  <c r="W24" i="4"/>
  <c r="V25" i="4"/>
  <c r="T26" i="4"/>
  <c r="J27" i="4"/>
  <c r="AB27" i="4"/>
  <c r="R28" i="4"/>
  <c r="A29" i="4"/>
  <c r="Q29" i="4"/>
  <c r="AG29" i="4"/>
  <c r="P30" i="4"/>
  <c r="AF30" i="4"/>
  <c r="O31" i="4"/>
  <c r="AE31" i="4"/>
  <c r="M32" i="4"/>
  <c r="AA32" i="4"/>
  <c r="E33" i="4"/>
  <c r="Q33" i="4"/>
  <c r="AA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L41" i="4"/>
  <c r="T41" i="4"/>
  <c r="AB41" i="4"/>
  <c r="C42" i="4"/>
  <c r="K42" i="4"/>
  <c r="S42" i="4"/>
  <c r="AA42" i="4"/>
  <c r="B43" i="4"/>
  <c r="J43" i="4"/>
  <c r="F1" i="4"/>
  <c r="S13" i="4"/>
  <c r="Z20" i="4"/>
  <c r="AE24" i="4"/>
  <c r="B28" i="4"/>
  <c r="F30" i="4"/>
  <c r="D32" i="4"/>
  <c r="S33" i="4"/>
  <c r="U34" i="4"/>
  <c r="T35" i="4"/>
  <c r="S36" i="4"/>
  <c r="R37" i="4"/>
  <c r="Q38" i="4"/>
  <c r="P39" i="4"/>
  <c r="O40" i="4"/>
  <c r="N41" i="4"/>
  <c r="M42" i="4"/>
  <c r="H43" i="4"/>
  <c r="Z43" i="4"/>
  <c r="H44" i="4"/>
  <c r="V44" i="4"/>
  <c r="AG44" i="4"/>
  <c r="N45" i="4"/>
  <c r="Z45" i="4"/>
  <c r="F46" i="4"/>
  <c r="T46" i="4"/>
  <c r="AE46" i="4"/>
  <c r="L47" i="4"/>
  <c r="U47" i="4"/>
  <c r="AC47" i="4"/>
  <c r="D48" i="4"/>
  <c r="L48" i="4"/>
  <c r="T48" i="4"/>
  <c r="AB48" i="4"/>
  <c r="C49" i="4"/>
  <c r="K49" i="4"/>
  <c r="S49" i="4"/>
  <c r="AA49" i="4"/>
  <c r="B50" i="4"/>
  <c r="J50" i="4"/>
  <c r="R50" i="4"/>
  <c r="Z50" i="4"/>
  <c r="A51" i="4"/>
  <c r="I51" i="4"/>
  <c r="Q51" i="4"/>
  <c r="Y51" i="4"/>
  <c r="AG51" i="4"/>
  <c r="H52" i="4"/>
  <c r="P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B5" i="4"/>
  <c r="Q15" i="4"/>
  <c r="A22" i="4"/>
  <c r="AD25" i="4"/>
  <c r="X28" i="4"/>
  <c r="V30" i="4"/>
  <c r="O32" i="4"/>
  <c r="AC33" i="4"/>
  <c r="AC34" i="4"/>
  <c r="AB35" i="4"/>
  <c r="AA36" i="4"/>
  <c r="Z37" i="4"/>
  <c r="Y38" i="4"/>
  <c r="X39" i="4"/>
  <c r="W40" i="4"/>
  <c r="V41" i="4"/>
  <c r="U42" i="4"/>
  <c r="O43" i="4"/>
  <c r="AE43" i="4"/>
  <c r="K44" i="4"/>
  <c r="X44" i="4"/>
  <c r="E45" i="4"/>
  <c r="P45" i="4"/>
  <c r="AD45" i="4"/>
  <c r="I46" i="4"/>
  <c r="V46" i="4"/>
  <c r="C47" i="4"/>
  <c r="N47" i="4"/>
  <c r="W47" i="4"/>
  <c r="AE47" i="4"/>
  <c r="F48" i="4"/>
  <c r="N48" i="4"/>
  <c r="V48" i="4"/>
  <c r="AD48" i="4"/>
  <c r="E49" i="4"/>
  <c r="M49" i="4"/>
  <c r="U49" i="4"/>
  <c r="AC49" i="4"/>
  <c r="D50" i="4"/>
  <c r="L50" i="4"/>
  <c r="T50" i="4"/>
  <c r="AB50" i="4"/>
  <c r="C51" i="4"/>
  <c r="K51" i="4"/>
  <c r="S51" i="4"/>
  <c r="AA51" i="4"/>
  <c r="B52" i="4"/>
  <c r="J52" i="4"/>
  <c r="R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AF6" i="4"/>
  <c r="O16" i="4"/>
  <c r="P22" i="4"/>
  <c r="L26" i="4"/>
  <c r="AA28" i="4"/>
  <c r="Y30" i="4"/>
  <c r="U32" i="4"/>
  <c r="AG33" i="4"/>
  <c r="AF34" i="4"/>
  <c r="AE35" i="4"/>
  <c r="AD36" i="4"/>
  <c r="AC37" i="4"/>
  <c r="AB38" i="4"/>
  <c r="AA39" i="4"/>
  <c r="Z40" i="4"/>
  <c r="Y41" i="4"/>
  <c r="X42" i="4"/>
  <c r="P43" i="4"/>
  <c r="AF43" i="4"/>
  <c r="N44" i="4"/>
  <c r="Y44" i="4"/>
  <c r="F45" i="4"/>
  <c r="R45" i="4"/>
  <c r="AE45" i="4"/>
  <c r="L46" i="4"/>
  <c r="W46" i="4"/>
  <c r="D47" i="4"/>
  <c r="O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U58" i="4"/>
  <c r="AC58" i="4"/>
  <c r="D59" i="4"/>
  <c r="L59" i="4"/>
  <c r="T59" i="4"/>
  <c r="AB59" i="4"/>
  <c r="C60" i="4"/>
  <c r="K60" i="4"/>
  <c r="S60" i="4"/>
  <c r="AA60" i="4"/>
  <c r="B61" i="4"/>
  <c r="J61" i="4"/>
  <c r="R61" i="4"/>
  <c r="AE8" i="4"/>
  <c r="O17" i="4"/>
  <c r="AG22" i="4"/>
  <c r="AA26" i="4"/>
  <c r="G29" i="4"/>
  <c r="E31" i="4"/>
  <c r="AC32" i="4"/>
  <c r="E34" i="4"/>
  <c r="D35" i="4"/>
  <c r="C36" i="4"/>
  <c r="B37" i="4"/>
  <c r="A38" i="4"/>
  <c r="AG38" i="4"/>
  <c r="AF39" i="4"/>
  <c r="AE40" i="4"/>
  <c r="AD41" i="4"/>
  <c r="AC42" i="4"/>
  <c r="R43" i="4"/>
  <c r="A44" i="4"/>
  <c r="O44" i="4"/>
  <c r="AA44" i="4"/>
  <c r="G45" i="4"/>
  <c r="U45" i="4"/>
  <c r="AF45" i="4"/>
  <c r="M46" i="4"/>
  <c r="Y46" i="4"/>
  <c r="E47" i="4"/>
  <c r="P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U11" i="4"/>
  <c r="F19" i="4"/>
  <c r="AF23" i="4"/>
  <c r="L27" i="4"/>
  <c r="W29" i="4"/>
  <c r="U31" i="4"/>
  <c r="I33" i="4"/>
  <c r="M34" i="4"/>
  <c r="L35" i="4"/>
  <c r="K36" i="4"/>
  <c r="J37" i="4"/>
  <c r="I38" i="4"/>
  <c r="H39" i="4"/>
  <c r="G40" i="4"/>
  <c r="F41" i="4"/>
  <c r="E42" i="4"/>
  <c r="D43" i="4"/>
  <c r="W43" i="4"/>
  <c r="F44" i="4"/>
  <c r="Q44" i="4"/>
  <c r="AE44" i="4"/>
  <c r="J45" i="4"/>
  <c r="W45" i="4"/>
  <c r="D46" i="4"/>
  <c r="O46" i="4"/>
  <c r="AC46" i="4"/>
  <c r="H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12" i="4"/>
  <c r="AD19" i="4"/>
  <c r="N24" i="4"/>
  <c r="T27" i="4"/>
  <c r="Z29" i="4"/>
  <c r="X31" i="4"/>
  <c r="L33" i="4"/>
  <c r="P34" i="4"/>
  <c r="O35" i="4"/>
  <c r="N36" i="4"/>
  <c r="M37" i="4"/>
  <c r="L38" i="4"/>
  <c r="K39" i="4"/>
  <c r="J40" i="4"/>
  <c r="I41" i="4"/>
  <c r="H42" i="4"/>
  <c r="G43" i="4"/>
  <c r="X43" i="4"/>
  <c r="G44" i="4"/>
  <c r="S44" i="4"/>
  <c r="AF44" i="4"/>
  <c r="M45" i="4"/>
  <c r="X45" i="4"/>
  <c r="E46" i="4"/>
  <c r="Q46" i="4"/>
  <c r="AD46" i="4"/>
  <c r="K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C3" i="4"/>
  <c r="J28" i="4"/>
  <c r="X34" i="4"/>
  <c r="T38" i="4"/>
  <c r="P42" i="4"/>
  <c r="W44" i="4"/>
  <c r="G46" i="4"/>
  <c r="V47" i="4"/>
  <c r="U48" i="4"/>
  <c r="T49" i="4"/>
  <c r="S50" i="4"/>
  <c r="R51" i="4"/>
  <c r="Q52" i="4"/>
  <c r="P53" i="4"/>
  <c r="O54" i="4"/>
  <c r="N55" i="4"/>
  <c r="AD55" i="4"/>
  <c r="M56" i="4"/>
  <c r="AC56" i="4"/>
  <c r="L57" i="4"/>
  <c r="AB57" i="4"/>
  <c r="K58" i="4"/>
  <c r="AA58" i="4"/>
  <c r="J59" i="4"/>
  <c r="Z59" i="4"/>
  <c r="I60" i="4"/>
  <c r="Y60" i="4"/>
  <c r="H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I74" i="4"/>
  <c r="Q74" i="4"/>
  <c r="Y74" i="4"/>
  <c r="AG74" i="4"/>
  <c r="H75" i="4"/>
  <c r="P75" i="4"/>
  <c r="X75" i="4"/>
  <c r="AF75" i="4"/>
  <c r="G76" i="4"/>
  <c r="O76" i="4"/>
  <c r="W76" i="4"/>
  <c r="AE76" i="4"/>
  <c r="F77" i="4"/>
  <c r="N77" i="4"/>
  <c r="V77" i="4"/>
  <c r="AD77" i="4"/>
  <c r="Q14" i="4"/>
  <c r="I30" i="4"/>
  <c r="W35" i="4"/>
  <c r="S39" i="4"/>
  <c r="L43" i="4"/>
  <c r="B45" i="4"/>
  <c r="U46" i="4"/>
  <c r="AD47" i="4"/>
  <c r="AC48" i="4"/>
  <c r="AB49" i="4"/>
  <c r="AA50" i="4"/>
  <c r="Z51" i="4"/>
  <c r="Y52" i="4"/>
  <c r="X53" i="4"/>
  <c r="W54" i="4"/>
  <c r="S55" i="4"/>
  <c r="B56" i="4"/>
  <c r="R56" i="4"/>
  <c r="A57" i="4"/>
  <c r="Q57" i="4"/>
  <c r="AG57" i="4"/>
  <c r="P58" i="4"/>
  <c r="AF58" i="4"/>
  <c r="O59" i="4"/>
  <c r="AE59" i="4"/>
  <c r="N60" i="4"/>
  <c r="AD60" i="4"/>
  <c r="M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M18" i="4"/>
  <c r="H31" i="4"/>
  <c r="F36" i="4"/>
  <c r="B40" i="4"/>
  <c r="T43" i="4"/>
  <c r="H45" i="4"/>
  <c r="AB46" i="4"/>
  <c r="A48" i="4"/>
  <c r="AG48" i="4"/>
  <c r="AF49" i="4"/>
  <c r="AE50" i="4"/>
  <c r="AD51" i="4"/>
  <c r="AC52" i="4"/>
  <c r="AB53" i="4"/>
  <c r="AA54" i="4"/>
  <c r="T55" i="4"/>
  <c r="C56" i="4"/>
  <c r="S56" i="4"/>
  <c r="B57" i="4"/>
  <c r="R57" i="4"/>
  <c r="A58" i="4"/>
  <c r="Q58" i="4"/>
  <c r="AG58" i="4"/>
  <c r="P59" i="4"/>
  <c r="AF59" i="4"/>
  <c r="O60" i="4"/>
  <c r="AE60" i="4"/>
  <c r="N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J76" i="4"/>
  <c r="R76" i="4"/>
  <c r="Z76" i="4"/>
  <c r="A77" i="4"/>
  <c r="I77" i="4"/>
  <c r="Q77" i="4"/>
  <c r="Y77" i="4"/>
  <c r="AG77" i="4"/>
  <c r="Q21" i="4"/>
  <c r="G32" i="4"/>
  <c r="V36" i="4"/>
  <c r="R40" i="4"/>
  <c r="AB43" i="4"/>
  <c r="O45" i="4"/>
  <c r="AG46" i="4"/>
  <c r="E48" i="4"/>
  <c r="D49" i="4"/>
  <c r="C50" i="4"/>
  <c r="B51" i="4"/>
  <c r="A52" i="4"/>
  <c r="AG52" i="4"/>
  <c r="AF53" i="4"/>
  <c r="AE54" i="4"/>
  <c r="V55" i="4"/>
  <c r="E56" i="4"/>
  <c r="U56" i="4"/>
  <c r="D57" i="4"/>
  <c r="T57" i="4"/>
  <c r="C58" i="4"/>
  <c r="S58" i="4"/>
  <c r="B59" i="4"/>
  <c r="R59" i="4"/>
  <c r="A60" i="4"/>
  <c r="Q60" i="4"/>
  <c r="AG60" i="4"/>
  <c r="P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A76" i="4"/>
  <c r="M25" i="4"/>
  <c r="V33" i="4"/>
  <c r="U37" i="4"/>
  <c r="Q41" i="4"/>
  <c r="I44" i="4"/>
  <c r="AC45" i="4"/>
  <c r="M47" i="4"/>
  <c r="M48" i="4"/>
  <c r="L49" i="4"/>
  <c r="K50" i="4"/>
  <c r="J51" i="4"/>
  <c r="I52" i="4"/>
  <c r="H53" i="4"/>
  <c r="G54" i="4"/>
  <c r="F55" i="4"/>
  <c r="AA55" i="4"/>
  <c r="J56" i="4"/>
  <c r="Z56" i="4"/>
  <c r="I57" i="4"/>
  <c r="Y57" i="4"/>
  <c r="H58" i="4"/>
  <c r="X58" i="4"/>
  <c r="G59" i="4"/>
  <c r="W59" i="4"/>
  <c r="F60" i="4"/>
  <c r="V60" i="4"/>
  <c r="E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B27" i="4"/>
  <c r="H34" i="4"/>
  <c r="D38" i="4"/>
  <c r="AG41" i="4"/>
  <c r="P44" i="4"/>
  <c r="A46" i="4"/>
  <c r="R47" i="4"/>
  <c r="Q48" i="4"/>
  <c r="P49" i="4"/>
  <c r="O50" i="4"/>
  <c r="N51" i="4"/>
  <c r="M52" i="4"/>
  <c r="L53" i="4"/>
  <c r="K54" i="4"/>
  <c r="J55" i="4"/>
  <c r="AB55" i="4"/>
  <c r="K56" i="4"/>
  <c r="AA56" i="4"/>
  <c r="J57" i="4"/>
  <c r="Z57" i="4"/>
  <c r="I58" i="4"/>
  <c r="Y58" i="4"/>
  <c r="H59" i="4"/>
  <c r="X59" i="4"/>
  <c r="G60" i="4"/>
  <c r="W60" i="4"/>
  <c r="F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X74" i="4"/>
  <c r="AF74" i="4"/>
  <c r="G75" i="4"/>
  <c r="O75" i="4"/>
  <c r="T10" i="4"/>
  <c r="AF42" i="4"/>
  <c r="Y48" i="4"/>
  <c r="U52" i="4"/>
  <c r="A56" i="4"/>
  <c r="AF57" i="4"/>
  <c r="AD59" i="4"/>
  <c r="W61" i="4"/>
  <c r="V62" i="4"/>
  <c r="U63" i="4"/>
  <c r="T64" i="4"/>
  <c r="S65" i="4"/>
  <c r="R66" i="4"/>
  <c r="Q67" i="4"/>
  <c r="P68" i="4"/>
  <c r="O69" i="4"/>
  <c r="N70" i="4"/>
  <c r="M71" i="4"/>
  <c r="L72" i="4"/>
  <c r="K73" i="4"/>
  <c r="J74" i="4"/>
  <c r="E75" i="4"/>
  <c r="W75" i="4"/>
  <c r="F76" i="4"/>
  <c r="V76" i="4"/>
  <c r="D77" i="4"/>
  <c r="R77" i="4"/>
  <c r="AC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O23" i="4"/>
  <c r="C44" i="4"/>
  <c r="H49" i="4"/>
  <c r="D53" i="4"/>
  <c r="I56" i="4"/>
  <c r="G58" i="4"/>
  <c r="E60" i="4"/>
  <c r="AA61" i="4"/>
  <c r="Z62" i="4"/>
  <c r="Y63" i="4"/>
  <c r="X64" i="4"/>
  <c r="W65" i="4"/>
  <c r="V66" i="4"/>
  <c r="U67" i="4"/>
  <c r="T68" i="4"/>
  <c r="S69" i="4"/>
  <c r="R70" i="4"/>
  <c r="Q71" i="4"/>
  <c r="P72" i="4"/>
  <c r="O73" i="4"/>
  <c r="N74" i="4"/>
  <c r="F75" i="4"/>
  <c r="Y75" i="4"/>
  <c r="H76" i="4"/>
  <c r="X76" i="4"/>
  <c r="E77" i="4"/>
  <c r="S77" i="4"/>
  <c r="AE77" i="4"/>
  <c r="H78" i="4"/>
  <c r="P78" i="4"/>
  <c r="X78" i="4"/>
  <c r="AF78" i="4"/>
  <c r="G79" i="4"/>
  <c r="O79" i="4"/>
  <c r="W79" i="4"/>
  <c r="AE79" i="4"/>
  <c r="F80" i="4"/>
  <c r="N80" i="4"/>
  <c r="V80" i="4"/>
  <c r="AD80" i="4"/>
  <c r="E81" i="4"/>
  <c r="M81" i="4"/>
  <c r="U81" i="4"/>
  <c r="AC81" i="4"/>
  <c r="D82" i="4"/>
  <c r="L82" i="4"/>
  <c r="T82" i="4"/>
  <c r="AB82" i="4"/>
  <c r="C83" i="4"/>
  <c r="K83" i="4"/>
  <c r="S83" i="4"/>
  <c r="AA83" i="4"/>
  <c r="B84" i="4"/>
  <c r="J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J29" i="4"/>
  <c r="AD44" i="4"/>
  <c r="X49" i="4"/>
  <c r="T53" i="4"/>
  <c r="Q56" i="4"/>
  <c r="O58" i="4"/>
  <c r="M60" i="4"/>
  <c r="AE61" i="4"/>
  <c r="AD62" i="4"/>
  <c r="AC63" i="4"/>
  <c r="AB64" i="4"/>
  <c r="AA65" i="4"/>
  <c r="Z66" i="4"/>
  <c r="Y67" i="4"/>
  <c r="X68" i="4"/>
  <c r="W69" i="4"/>
  <c r="V70" i="4"/>
  <c r="U71" i="4"/>
  <c r="T72" i="4"/>
  <c r="S73" i="4"/>
  <c r="R74" i="4"/>
  <c r="I75" i="4"/>
  <c r="AC75" i="4"/>
  <c r="L76" i="4"/>
  <c r="AB76" i="4"/>
  <c r="G77" i="4"/>
  <c r="T77" i="4"/>
  <c r="A78" i="4"/>
  <c r="I78" i="4"/>
  <c r="Q78" i="4"/>
  <c r="Y78" i="4"/>
  <c r="AG78" i="4"/>
  <c r="H79" i="4"/>
  <c r="P79" i="4"/>
  <c r="X79" i="4"/>
  <c r="AF79" i="4"/>
  <c r="G80" i="4"/>
  <c r="O80" i="4"/>
  <c r="W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B33" i="4"/>
  <c r="V45" i="4"/>
  <c r="G50" i="4"/>
  <c r="C54" i="4"/>
  <c r="Y56" i="4"/>
  <c r="W58" i="4"/>
  <c r="U60" i="4"/>
  <c r="B62" i="4"/>
  <c r="A63" i="4"/>
  <c r="AG63" i="4"/>
  <c r="AF64" i="4"/>
  <c r="AE65" i="4"/>
  <c r="AD66" i="4"/>
  <c r="AC67" i="4"/>
  <c r="AB68" i="4"/>
  <c r="AA69" i="4"/>
  <c r="Z70" i="4"/>
  <c r="Y71" i="4"/>
  <c r="X72" i="4"/>
  <c r="W73" i="4"/>
  <c r="V74" i="4"/>
  <c r="M75" i="4"/>
  <c r="AD75" i="4"/>
  <c r="M76" i="4"/>
  <c r="AC76" i="4"/>
  <c r="J77" i="4"/>
  <c r="U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G35" i="4"/>
  <c r="N46" i="4"/>
  <c r="W50" i="4"/>
  <c r="S54" i="4"/>
  <c r="AG56" i="4"/>
  <c r="AE58" i="4"/>
  <c r="AC60" i="4"/>
  <c r="F62" i="4"/>
  <c r="E63" i="4"/>
  <c r="D64" i="4"/>
  <c r="C65" i="4"/>
  <c r="B66" i="4"/>
  <c r="A67" i="4"/>
  <c r="AG67" i="4"/>
  <c r="AF68" i="4"/>
  <c r="AE69" i="4"/>
  <c r="AD70" i="4"/>
  <c r="AC71" i="4"/>
  <c r="AB72" i="4"/>
  <c r="AA73" i="4"/>
  <c r="Z74" i="4"/>
  <c r="N75" i="4"/>
  <c r="AE75" i="4"/>
  <c r="N76" i="4"/>
  <c r="AD76" i="4"/>
  <c r="K77" i="4"/>
  <c r="W77" i="4"/>
  <c r="C78" i="4"/>
  <c r="K78" i="4"/>
  <c r="S78" i="4"/>
  <c r="AA78" i="4"/>
  <c r="B79" i="4"/>
  <c r="J79" i="4"/>
  <c r="R79" i="4"/>
  <c r="Z79" i="4"/>
  <c r="A80" i="4"/>
  <c r="I80" i="4"/>
  <c r="Q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E37" i="4"/>
  <c r="F47" i="4"/>
  <c r="F51" i="4"/>
  <c r="B55" i="4"/>
  <c r="H57" i="4"/>
  <c r="F59" i="4"/>
  <c r="D61" i="4"/>
  <c r="J62" i="4"/>
  <c r="I63" i="4"/>
  <c r="H64" i="4"/>
  <c r="G65" i="4"/>
  <c r="F66" i="4"/>
  <c r="E67" i="4"/>
  <c r="D68" i="4"/>
  <c r="C69" i="4"/>
  <c r="B70" i="4"/>
  <c r="A71" i="4"/>
  <c r="AG71" i="4"/>
  <c r="AF72" i="4"/>
  <c r="AE73" i="4"/>
  <c r="AD74" i="4"/>
  <c r="Q75" i="4"/>
  <c r="AG75" i="4"/>
  <c r="P76" i="4"/>
  <c r="AF76" i="4"/>
  <c r="L77" i="4"/>
  <c r="Z77" i="4"/>
  <c r="D78" i="4"/>
  <c r="L78" i="4"/>
  <c r="T78" i="4"/>
  <c r="AB78" i="4"/>
  <c r="C79" i="4"/>
  <c r="K79" i="4"/>
  <c r="S79" i="4"/>
  <c r="AA79" i="4"/>
  <c r="B80" i="4"/>
  <c r="J80" i="4"/>
  <c r="R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C39" i="4"/>
  <c r="Z47" i="4"/>
  <c r="V51" i="4"/>
  <c r="R55" i="4"/>
  <c r="P57" i="4"/>
  <c r="N59" i="4"/>
  <c r="L61" i="4"/>
  <c r="N62" i="4"/>
  <c r="M63" i="4"/>
  <c r="L64" i="4"/>
  <c r="K65" i="4"/>
  <c r="J66" i="4"/>
  <c r="I67" i="4"/>
  <c r="H68" i="4"/>
  <c r="G69" i="4"/>
  <c r="F70" i="4"/>
  <c r="E71" i="4"/>
  <c r="D72" i="4"/>
  <c r="C73" i="4"/>
  <c r="B74" i="4"/>
  <c r="AE74" i="4"/>
  <c r="U75" i="4"/>
  <c r="D76" i="4"/>
  <c r="T76" i="4"/>
  <c r="B77" i="4"/>
  <c r="M77" i="4"/>
  <c r="AA77" i="4"/>
  <c r="E78" i="4"/>
  <c r="M78" i="4"/>
  <c r="U78" i="4"/>
  <c r="AC78" i="4"/>
  <c r="D79" i="4"/>
  <c r="L79" i="4"/>
  <c r="T79" i="4"/>
  <c r="AB79" i="4"/>
  <c r="C80" i="4"/>
  <c r="K80" i="4"/>
  <c r="S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A41" i="4"/>
  <c r="I48" i="4"/>
  <c r="E52" i="4"/>
  <c r="Z55" i="4"/>
  <c r="X57" i="4"/>
  <c r="V59" i="4"/>
  <c r="S61" i="4"/>
  <c r="R62" i="4"/>
  <c r="Q63" i="4"/>
  <c r="P64" i="4"/>
  <c r="O65" i="4"/>
  <c r="N66" i="4"/>
  <c r="M67" i="4"/>
  <c r="L68" i="4"/>
  <c r="K69" i="4"/>
  <c r="J70" i="4"/>
  <c r="I71" i="4"/>
  <c r="H72" i="4"/>
  <c r="G73" i="4"/>
  <c r="F74" i="4"/>
  <c r="A75" i="4"/>
  <c r="V75" i="4"/>
  <c r="E76" i="4"/>
  <c r="U76" i="4"/>
  <c r="C77" i="4"/>
  <c r="O77" i="4"/>
  <c r="AB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L87" i="4"/>
  <c r="K88" i="4"/>
  <c r="A89" i="4"/>
  <c r="S89" i="4"/>
  <c r="H90" i="4"/>
  <c r="X90" i="4"/>
  <c r="G91" i="4"/>
  <c r="U91" i="4"/>
  <c r="AF91" i="4"/>
  <c r="G92" i="4"/>
  <c r="O92" i="4"/>
  <c r="W92" i="4"/>
  <c r="AE92" i="4"/>
  <c r="F93" i="4"/>
  <c r="N93" i="4"/>
  <c r="V93" i="4"/>
  <c r="AD93" i="4"/>
  <c r="E94" i="4"/>
  <c r="M94" i="4"/>
  <c r="U94" i="4"/>
  <c r="AC94" i="4"/>
  <c r="D95" i="4"/>
  <c r="L95" i="4"/>
  <c r="T95" i="4"/>
  <c r="AB95" i="4"/>
  <c r="C96" i="4"/>
  <c r="K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T87" i="4"/>
  <c r="L88" i="4"/>
  <c r="B89" i="4"/>
  <c r="Y89" i="4"/>
  <c r="I90" i="4"/>
  <c r="Y90" i="4"/>
  <c r="H91" i="4"/>
  <c r="V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AB87" i="4"/>
  <c r="R88" i="4"/>
  <c r="C89" i="4"/>
  <c r="Z89" i="4"/>
  <c r="J90" i="4"/>
  <c r="Z90" i="4"/>
  <c r="I91" i="4"/>
  <c r="W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AC87" i="4"/>
  <c r="S88" i="4"/>
  <c r="I89" i="4"/>
  <c r="AA89" i="4"/>
  <c r="O90" i="4"/>
  <c r="AE90" i="4"/>
  <c r="M91" i="4"/>
  <c r="X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B88" i="4"/>
  <c r="T88" i="4"/>
  <c r="J89" i="4"/>
  <c r="AG89" i="4"/>
  <c r="P90" i="4"/>
  <c r="AF90" i="4"/>
  <c r="N91" i="4"/>
  <c r="Y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C88" i="4"/>
  <c r="Z88" i="4"/>
  <c r="K89" i="4"/>
  <c r="A90" i="4"/>
  <c r="Q90" i="4"/>
  <c r="AG90" i="4"/>
  <c r="O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G9" i="1" s="1"/>
  <c r="I95" i="4"/>
  <c r="Q95" i="4"/>
  <c r="Y95" i="4"/>
  <c r="AG95" i="4"/>
  <c r="H96" i="4"/>
  <c r="P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D88" i="4"/>
  <c r="AA88" i="4"/>
  <c r="Q89" i="4"/>
  <c r="B90" i="4"/>
  <c r="R90" i="4"/>
  <c r="A91" i="4"/>
  <c r="P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J88" i="4"/>
  <c r="AB88" i="4"/>
  <c r="R89" i="4"/>
  <c r="G90" i="4"/>
  <c r="W90" i="4"/>
  <c r="F91" i="4"/>
  <c r="Q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S110" i="4"/>
  <c r="R111" i="4"/>
  <c r="I112" i="4"/>
  <c r="AF112" i="4"/>
  <c r="Q113" i="4"/>
  <c r="F114" i="4"/>
  <c r="V114" i="4"/>
  <c r="E115" i="4"/>
  <c r="U115" i="4"/>
  <c r="B116" i="4"/>
  <c r="L116" i="4"/>
  <c r="V116" i="4"/>
  <c r="A117" i="4"/>
  <c r="K117" i="4"/>
  <c r="T117" i="4"/>
  <c r="AC117" i="4"/>
  <c r="F118" i="4"/>
  <c r="O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Z110" i="4"/>
  <c r="Y111" i="4"/>
  <c r="J112" i="4"/>
  <c r="AG112" i="4"/>
  <c r="W113" i="4"/>
  <c r="G114" i="4"/>
  <c r="W114" i="4"/>
  <c r="F115" i="4"/>
  <c r="V115" i="4"/>
  <c r="C116" i="4"/>
  <c r="M116" i="4"/>
  <c r="Y116" i="4"/>
  <c r="B117" i="4"/>
  <c r="L117" i="4"/>
  <c r="U117" i="4"/>
  <c r="AE117" i="4"/>
  <c r="G118" i="4"/>
  <c r="P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AA110" i="4"/>
  <c r="Z111" i="4"/>
  <c r="P112" i="4"/>
  <c r="A113" i="4"/>
  <c r="X113" i="4"/>
  <c r="H114" i="4"/>
  <c r="X114" i="4"/>
  <c r="G115" i="4"/>
  <c r="W115" i="4"/>
  <c r="D116" i="4"/>
  <c r="N116" i="4"/>
  <c r="Z116" i="4"/>
  <c r="C117" i="4"/>
  <c r="M117" i="4"/>
  <c r="W117" i="4"/>
  <c r="AF117" i="4"/>
  <c r="H118" i="4"/>
  <c r="Q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A111" i="4"/>
  <c r="AA111" i="4"/>
  <c r="Q112" i="4"/>
  <c r="G113" i="4"/>
  <c r="Y113" i="4"/>
  <c r="M114" i="4"/>
  <c r="AC114" i="4"/>
  <c r="L115" i="4"/>
  <c r="AA115" i="4"/>
  <c r="E116" i="4"/>
  <c r="Q116" i="4"/>
  <c r="AA116" i="4"/>
  <c r="D117" i="4"/>
  <c r="O117" i="4"/>
  <c r="X117" i="4"/>
  <c r="AG117" i="4"/>
  <c r="I118" i="4"/>
  <c r="R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B111" i="4"/>
  <c r="AG111" i="4"/>
  <c r="R112" i="4"/>
  <c r="H113" i="4"/>
  <c r="AE113" i="4"/>
  <c r="N114" i="4"/>
  <c r="AD114" i="4"/>
  <c r="M115" i="4"/>
  <c r="AB115" i="4"/>
  <c r="F116" i="4"/>
  <c r="R116" i="4"/>
  <c r="AB116" i="4"/>
  <c r="E117" i="4"/>
  <c r="P117" i="4"/>
  <c r="Y117" i="4"/>
  <c r="A118" i="4"/>
  <c r="J118" i="4"/>
  <c r="S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11" i="4"/>
  <c r="A112" i="4"/>
  <c r="X112" i="4"/>
  <c r="I113" i="4"/>
  <c r="AF113" i="4"/>
  <c r="O114" i="4"/>
  <c r="AE114" i="4"/>
  <c r="N115" i="4"/>
  <c r="AC115" i="4"/>
  <c r="I116" i="4"/>
  <c r="S116" i="4"/>
  <c r="AC116" i="4"/>
  <c r="H117" i="4"/>
  <c r="Q117" i="4"/>
  <c r="Z117" i="4"/>
  <c r="B118" i="4"/>
  <c r="K118" i="4"/>
  <c r="T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J111" i="4"/>
  <c r="B112" i="4"/>
  <c r="Y112" i="4"/>
  <c r="O113" i="4"/>
  <c r="AG113" i="4"/>
  <c r="P114" i="4"/>
  <c r="AF114" i="4"/>
  <c r="O115" i="4"/>
  <c r="AD115" i="4"/>
  <c r="J116" i="4"/>
  <c r="T116" i="4"/>
  <c r="AD116" i="4"/>
  <c r="I117" i="4"/>
  <c r="R117" i="4"/>
  <c r="AA117" i="4"/>
  <c r="C118" i="4"/>
  <c r="L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G133" i="4"/>
  <c r="O133" i="4"/>
  <c r="W133" i="4"/>
  <c r="AE133" i="4"/>
  <c r="F134" i="4"/>
  <c r="N134" i="4"/>
  <c r="V134" i="4"/>
  <c r="AD134" i="4"/>
  <c r="Q111" i="4"/>
  <c r="H112" i="4"/>
  <c r="Z112" i="4"/>
  <c r="P113" i="4"/>
  <c r="E114" i="4"/>
  <c r="U114" i="4"/>
  <c r="D115" i="4"/>
  <c r="T115" i="4"/>
  <c r="AE115" i="4"/>
  <c r="K116" i="4"/>
  <c r="U116" i="4"/>
  <c r="AG116" i="4"/>
  <c r="J117" i="4"/>
  <c r="S117" i="4"/>
  <c r="AB117" i="4"/>
  <c r="D118" i="4"/>
  <c r="N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AC134" i="4"/>
  <c r="AC135" i="4"/>
  <c r="AA136" i="4"/>
  <c r="K137" i="4"/>
  <c r="AA137" i="4"/>
  <c r="J138" i="4"/>
  <c r="Z138" i="4"/>
  <c r="I139" i="4"/>
  <c r="Y139" i="4"/>
  <c r="G140" i="4"/>
  <c r="U140" i="4"/>
  <c r="AF140" i="4"/>
  <c r="K141" i="4"/>
  <c r="T141" i="4"/>
  <c r="AC141" i="4"/>
  <c r="D135" i="4"/>
  <c r="C136" i="4"/>
  <c r="AB136" i="4"/>
  <c r="L137" i="4"/>
  <c r="AB137" i="4"/>
  <c r="K138" i="4"/>
  <c r="AA138" i="4"/>
  <c r="J139" i="4"/>
  <c r="Z139" i="4"/>
  <c r="H140" i="4"/>
  <c r="V140" i="4"/>
  <c r="AG140" i="4"/>
  <c r="L141" i="4"/>
  <c r="U141" i="4"/>
  <c r="AD141" i="4"/>
  <c r="E135" i="4"/>
  <c r="D136" i="4"/>
  <c r="AC136" i="4"/>
  <c r="Q137" i="4"/>
  <c r="AG137" i="4"/>
  <c r="P138" i="4"/>
  <c r="AF138" i="4"/>
  <c r="O139" i="4"/>
  <c r="AE139" i="4"/>
  <c r="I140" i="4"/>
  <c r="W140" i="4"/>
  <c r="C141" i="4"/>
  <c r="M141" i="4"/>
  <c r="V141" i="4"/>
  <c r="AE141" i="4"/>
  <c r="L135" i="4"/>
  <c r="K136" i="4"/>
  <c r="B137" i="4"/>
  <c r="R137" i="4"/>
  <c r="A138" i="4"/>
  <c r="Q138" i="4"/>
  <c r="AG138" i="4"/>
  <c r="P139" i="4"/>
  <c r="AF139" i="4"/>
  <c r="M140" i="4"/>
  <c r="X140" i="4"/>
  <c r="D141" i="4"/>
  <c r="N141" i="4"/>
  <c r="W141" i="4"/>
  <c r="AF141" i="4"/>
  <c r="M135" i="4"/>
  <c r="L136" i="4"/>
  <c r="C137" i="4"/>
  <c r="S137" i="4"/>
  <c r="B138" i="4"/>
  <c r="R138" i="4"/>
  <c r="A139" i="4"/>
  <c r="Q139" i="4"/>
  <c r="AG139" i="4"/>
  <c r="N140" i="4"/>
  <c r="Y140" i="4"/>
  <c r="E141" i="4"/>
  <c r="O141" i="4"/>
  <c r="X141" i="4"/>
  <c r="T135" i="4"/>
  <c r="S136" i="4"/>
  <c r="D137" i="4"/>
  <c r="T137" i="4"/>
  <c r="C138" i="4"/>
  <c r="S138" i="4"/>
  <c r="B139" i="4"/>
  <c r="R139" i="4"/>
  <c r="A140" i="4"/>
  <c r="O140" i="4"/>
  <c r="AC140" i="4"/>
  <c r="F141" i="4"/>
  <c r="P141" i="4"/>
  <c r="Z141" i="4"/>
  <c r="U135" i="4"/>
  <c r="T136" i="4"/>
  <c r="I137" i="4"/>
  <c r="Y137" i="4"/>
  <c r="H138" i="4"/>
  <c r="X138" i="4"/>
  <c r="G139" i="4"/>
  <c r="W139" i="4"/>
  <c r="E140" i="4"/>
  <c r="P140" i="4"/>
  <c r="AD140" i="4"/>
  <c r="G141" i="4"/>
  <c r="R141" i="4"/>
  <c r="AA141" i="4"/>
  <c r="AB135" i="4"/>
  <c r="U136" i="4"/>
  <c r="J137" i="4"/>
  <c r="Z137" i="4"/>
  <c r="I138" i="4"/>
  <c r="Y138" i="4"/>
  <c r="H139" i="4"/>
  <c r="X139" i="4"/>
  <c r="F140" i="4"/>
  <c r="Q140" i="4"/>
  <c r="AE140" i="4"/>
  <c r="H141" i="4"/>
  <c r="S141" i="4"/>
  <c r="AB141" i="4"/>
  <c r="B21" i="1"/>
  <c r="D23" i="1" s="1"/>
  <c r="B5" i="3" s="1"/>
  <c r="J4" i="3"/>
  <c r="J3" i="3"/>
  <c r="B44" i="1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P2" i="3"/>
  <c r="D63" i="1"/>
  <c r="D13" i="1"/>
  <c r="G11" i="1"/>
  <c r="G10" i="1"/>
  <c r="D12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B44" i="3" l="1"/>
  <c r="D11" i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B27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P5" i="3" l="1"/>
  <c r="X5" i="3"/>
  <c r="S6" i="3"/>
  <c r="AA6" i="3"/>
  <c r="V7" i="3"/>
  <c r="Q8" i="3"/>
  <c r="Y8" i="3"/>
  <c r="T9" i="3"/>
  <c r="AB9" i="3"/>
  <c r="W10" i="3"/>
  <c r="R11" i="3"/>
  <c r="Z11" i="3"/>
  <c r="U12" i="3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AE46" i="3" s="1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P55" i="3"/>
  <c r="X55" i="3"/>
  <c r="S56" i="3"/>
  <c r="AA56" i="3"/>
  <c r="S5" i="3"/>
  <c r="AA5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AE43" i="3" s="1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V54" i="3"/>
  <c r="Q55" i="3"/>
  <c r="Y55" i="3"/>
  <c r="T56" i="3"/>
  <c r="AB56" i="3"/>
  <c r="U5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AE21" i="3" s="1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P30" i="3"/>
  <c r="X30" i="3"/>
  <c r="S31" i="3"/>
  <c r="AA31" i="3"/>
  <c r="V32" i="3"/>
  <c r="Q33" i="3"/>
  <c r="Y33" i="3"/>
  <c r="T34" i="3"/>
  <c r="AB34" i="3"/>
  <c r="W35" i="3"/>
  <c r="R36" i="3"/>
  <c r="Z36" i="3"/>
  <c r="U37" i="3"/>
  <c r="V5" i="3"/>
  <c r="Q6" i="3"/>
  <c r="Y6" i="3"/>
  <c r="T7" i="3"/>
  <c r="AB7" i="3"/>
  <c r="W8" i="3"/>
  <c r="R9" i="3"/>
  <c r="Z9" i="3"/>
  <c r="U10" i="3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P35" i="3"/>
  <c r="X35" i="3"/>
  <c r="S36" i="3"/>
  <c r="AA36" i="3"/>
  <c r="V37" i="3"/>
  <c r="Q38" i="3"/>
  <c r="Y38" i="3"/>
  <c r="T39" i="3"/>
  <c r="AB39" i="3"/>
  <c r="U7" i="3"/>
  <c r="AA9" i="3"/>
  <c r="T12" i="3"/>
  <c r="Z14" i="3"/>
  <c r="S17" i="3"/>
  <c r="Y19" i="3"/>
  <c r="R22" i="3"/>
  <c r="X24" i="3"/>
  <c r="Q27" i="3"/>
  <c r="W29" i="3"/>
  <c r="P32" i="3"/>
  <c r="V34" i="3"/>
  <c r="AB36" i="3"/>
  <c r="Z38" i="3"/>
  <c r="V40" i="3"/>
  <c r="Y41" i="3"/>
  <c r="AB42" i="3"/>
  <c r="R44" i="3"/>
  <c r="U45" i="3"/>
  <c r="X46" i="3"/>
  <c r="AA47" i="3"/>
  <c r="Q49" i="3"/>
  <c r="T50" i="3"/>
  <c r="W51" i="3"/>
  <c r="Z52" i="3"/>
  <c r="P54" i="3"/>
  <c r="S55" i="3"/>
  <c r="V56" i="3"/>
  <c r="U57" i="3"/>
  <c r="AE57" i="3" s="1"/>
  <c r="P58" i="3"/>
  <c r="X58" i="3"/>
  <c r="S59" i="3"/>
  <c r="AA59" i="3"/>
  <c r="V60" i="3"/>
  <c r="Q61" i="3"/>
  <c r="Y61" i="3"/>
  <c r="W5" i="3"/>
  <c r="P8" i="3"/>
  <c r="V10" i="3"/>
  <c r="AB12" i="3"/>
  <c r="U15" i="3"/>
  <c r="AA17" i="3"/>
  <c r="T20" i="3"/>
  <c r="Z22" i="3"/>
  <c r="S25" i="3"/>
  <c r="Y27" i="3"/>
  <c r="R30" i="3"/>
  <c r="X32" i="3"/>
  <c r="Q35" i="3"/>
  <c r="W37" i="3"/>
  <c r="S39" i="3"/>
  <c r="X40" i="3"/>
  <c r="AA41" i="3"/>
  <c r="Q43" i="3"/>
  <c r="T44" i="3"/>
  <c r="W45" i="3"/>
  <c r="Z46" i="3"/>
  <c r="P48" i="3"/>
  <c r="S49" i="3"/>
  <c r="V50" i="3"/>
  <c r="Y51" i="3"/>
  <c r="AB52" i="3"/>
  <c r="R54" i="3"/>
  <c r="U55" i="3"/>
  <c r="X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P76" i="3"/>
  <c r="X76" i="3"/>
  <c r="S77" i="3"/>
  <c r="AA77" i="3"/>
  <c r="V78" i="3"/>
  <c r="Q79" i="3"/>
  <c r="Y79" i="3"/>
  <c r="T80" i="3"/>
  <c r="AB80" i="3"/>
  <c r="W81" i="3"/>
  <c r="R82" i="3"/>
  <c r="Z82" i="3"/>
  <c r="U83" i="3"/>
  <c r="AE83" i="3" s="1"/>
  <c r="P84" i="3"/>
  <c r="X84" i="3"/>
  <c r="S85" i="3"/>
  <c r="AA85" i="3"/>
  <c r="V86" i="3"/>
  <c r="Q87" i="3"/>
  <c r="Y87" i="3"/>
  <c r="T88" i="3"/>
  <c r="AB88" i="3"/>
  <c r="W89" i="3"/>
  <c r="R90" i="3"/>
  <c r="Z90" i="3"/>
  <c r="U91" i="3"/>
  <c r="AB5" i="3"/>
  <c r="U8" i="3"/>
  <c r="AA10" i="3"/>
  <c r="T13" i="3"/>
  <c r="Z15" i="3"/>
  <c r="S18" i="3"/>
  <c r="Y20" i="3"/>
  <c r="R23" i="3"/>
  <c r="X25" i="3"/>
  <c r="Q28" i="3"/>
  <c r="W30" i="3"/>
  <c r="P33" i="3"/>
  <c r="V35" i="3"/>
  <c r="AB37" i="3"/>
  <c r="U39" i="3"/>
  <c r="P41" i="3"/>
  <c r="S42" i="3"/>
  <c r="V43" i="3"/>
  <c r="Y44" i="3"/>
  <c r="AB45" i="3"/>
  <c r="R47" i="3"/>
  <c r="U48" i="3"/>
  <c r="X49" i="3"/>
  <c r="AA50" i="3"/>
  <c r="Q52" i="3"/>
  <c r="T53" i="3"/>
  <c r="W54" i="3"/>
  <c r="Z55" i="3"/>
  <c r="P57" i="3"/>
  <c r="X57" i="3"/>
  <c r="S58" i="3"/>
  <c r="AA58" i="3"/>
  <c r="V59" i="3"/>
  <c r="Q60" i="3"/>
  <c r="Y60" i="3"/>
  <c r="T61" i="3"/>
  <c r="AB61" i="3"/>
  <c r="W62" i="3"/>
  <c r="R63" i="3"/>
  <c r="Z63" i="3"/>
  <c r="U64" i="3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R6" i="3"/>
  <c r="X8" i="3"/>
  <c r="Q11" i="3"/>
  <c r="W13" i="3"/>
  <c r="P16" i="3"/>
  <c r="V18" i="3"/>
  <c r="AB20" i="3"/>
  <c r="U23" i="3"/>
  <c r="AE23" i="3" s="1"/>
  <c r="AA25" i="3"/>
  <c r="T28" i="3"/>
  <c r="Z30" i="3"/>
  <c r="S33" i="3"/>
  <c r="Y35" i="3"/>
  <c r="P38" i="3"/>
  <c r="Z39" i="3"/>
  <c r="Q41" i="3"/>
  <c r="T42" i="3"/>
  <c r="W43" i="3"/>
  <c r="Z44" i="3"/>
  <c r="P46" i="3"/>
  <c r="S47" i="3"/>
  <c r="V48" i="3"/>
  <c r="Y49" i="3"/>
  <c r="AB50" i="3"/>
  <c r="R52" i="3"/>
  <c r="U53" i="3"/>
  <c r="X54" i="3"/>
  <c r="AA55" i="3"/>
  <c r="Q57" i="3"/>
  <c r="Y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AE77" i="3" s="1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Z6" i="3"/>
  <c r="S9" i="3"/>
  <c r="Y11" i="3"/>
  <c r="R14" i="3"/>
  <c r="X16" i="3"/>
  <c r="Q19" i="3"/>
  <c r="W21" i="3"/>
  <c r="P24" i="3"/>
  <c r="V26" i="3"/>
  <c r="AB28" i="3"/>
  <c r="U31" i="3"/>
  <c r="AE31" i="3" s="1"/>
  <c r="AA33" i="3"/>
  <c r="T36" i="3"/>
  <c r="W38" i="3"/>
  <c r="P40" i="3"/>
  <c r="S41" i="3"/>
  <c r="V42" i="3"/>
  <c r="Y43" i="3"/>
  <c r="AB44" i="3"/>
  <c r="R46" i="3"/>
  <c r="U47" i="3"/>
  <c r="X48" i="3"/>
  <c r="AA49" i="3"/>
  <c r="Q51" i="3"/>
  <c r="T52" i="3"/>
  <c r="W53" i="3"/>
  <c r="Z54" i="3"/>
  <c r="P56" i="3"/>
  <c r="S57" i="3"/>
  <c r="AA57" i="3"/>
  <c r="V58" i="3"/>
  <c r="Q59" i="3"/>
  <c r="Y59" i="3"/>
  <c r="T60" i="3"/>
  <c r="AB60" i="3"/>
  <c r="W61" i="3"/>
  <c r="R62" i="3"/>
  <c r="Z62" i="3"/>
  <c r="U63" i="3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AE79" i="3" s="1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Q91" i="3"/>
  <c r="Y91" i="3"/>
  <c r="R7" i="3"/>
  <c r="X9" i="3"/>
  <c r="Q12" i="3"/>
  <c r="W14" i="3"/>
  <c r="P17" i="3"/>
  <c r="V19" i="3"/>
  <c r="AB21" i="3"/>
  <c r="U24" i="3"/>
  <c r="AA26" i="3"/>
  <c r="T29" i="3"/>
  <c r="Z31" i="3"/>
  <c r="S34" i="3"/>
  <c r="Y36" i="3"/>
  <c r="X38" i="3"/>
  <c r="U40" i="3"/>
  <c r="X41" i="3"/>
  <c r="AA42" i="3"/>
  <c r="Q44" i="3"/>
  <c r="T45" i="3"/>
  <c r="W46" i="3"/>
  <c r="Z47" i="3"/>
  <c r="P49" i="3"/>
  <c r="S50" i="3"/>
  <c r="V51" i="3"/>
  <c r="Y52" i="3"/>
  <c r="AB53" i="3"/>
  <c r="R55" i="3"/>
  <c r="U56" i="3"/>
  <c r="AE56" i="3" s="1"/>
  <c r="T57" i="3"/>
  <c r="AB57" i="3"/>
  <c r="W58" i="3"/>
  <c r="R59" i="3"/>
  <c r="Z59" i="3"/>
  <c r="U60" i="3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AE76" i="3" s="1"/>
  <c r="P77" i="3"/>
  <c r="X77" i="3"/>
  <c r="S78" i="3"/>
  <c r="AA78" i="3"/>
  <c r="V79" i="3"/>
  <c r="Q80" i="3"/>
  <c r="Y80" i="3"/>
  <c r="T81" i="3"/>
  <c r="AB81" i="3"/>
  <c r="W82" i="3"/>
  <c r="R83" i="3"/>
  <c r="Z83" i="3"/>
  <c r="U84" i="3"/>
  <c r="P85" i="3"/>
  <c r="X85" i="3"/>
  <c r="S86" i="3"/>
  <c r="AA86" i="3"/>
  <c r="V87" i="3"/>
  <c r="Q88" i="3"/>
  <c r="Y88" i="3"/>
  <c r="T89" i="3"/>
  <c r="AB89" i="3"/>
  <c r="W90" i="3"/>
  <c r="R91" i="3"/>
  <c r="Z91" i="3"/>
  <c r="T5" i="3"/>
  <c r="R15" i="3"/>
  <c r="P25" i="3"/>
  <c r="AA34" i="3"/>
  <c r="Z41" i="3"/>
  <c r="Y46" i="3"/>
  <c r="X51" i="3"/>
  <c r="W56" i="3"/>
  <c r="T59" i="3"/>
  <c r="Z61" i="3"/>
  <c r="W63" i="3"/>
  <c r="R65" i="3"/>
  <c r="Y66" i="3"/>
  <c r="V68" i="3"/>
  <c r="Q70" i="3"/>
  <c r="X71" i="3"/>
  <c r="U73" i="3"/>
  <c r="AE73" i="3" s="1"/>
  <c r="P75" i="3"/>
  <c r="W76" i="3"/>
  <c r="T78" i="3"/>
  <c r="AB79" i="3"/>
  <c r="V81" i="3"/>
  <c r="S83" i="3"/>
  <c r="AA84" i="3"/>
  <c r="U86" i="3"/>
  <c r="AE86" i="3" s="1"/>
  <c r="R88" i="3"/>
  <c r="Z89" i="3"/>
  <c r="T91" i="3"/>
  <c r="T92" i="3"/>
  <c r="AB92" i="3"/>
  <c r="W93" i="3"/>
  <c r="R94" i="3"/>
  <c r="Z94" i="3"/>
  <c r="U95" i="3"/>
  <c r="P96" i="3"/>
  <c r="X96" i="3"/>
  <c r="S97" i="3"/>
  <c r="AA97" i="3"/>
  <c r="V98" i="3"/>
  <c r="Q99" i="3"/>
  <c r="Y99" i="3"/>
  <c r="T100" i="3"/>
  <c r="AB100" i="3"/>
  <c r="W101" i="3"/>
  <c r="R102" i="3"/>
  <c r="Z102" i="3"/>
  <c r="U103" i="3"/>
  <c r="AE103" i="3" s="1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AE119" i="3" s="1"/>
  <c r="P120" i="3"/>
  <c r="X120" i="3"/>
  <c r="S121" i="3"/>
  <c r="AA121" i="3"/>
  <c r="V122" i="3"/>
  <c r="Q123" i="3"/>
  <c r="Y123" i="3"/>
  <c r="T124" i="3"/>
  <c r="AB124" i="3"/>
  <c r="W125" i="3"/>
  <c r="R126" i="3"/>
  <c r="Z126" i="3"/>
  <c r="Z7" i="3"/>
  <c r="X17" i="3"/>
  <c r="V27" i="3"/>
  <c r="T37" i="3"/>
  <c r="P43" i="3"/>
  <c r="AB47" i="3"/>
  <c r="AA52" i="3"/>
  <c r="V57" i="3"/>
  <c r="AB59" i="3"/>
  <c r="T62" i="3"/>
  <c r="AB63" i="3"/>
  <c r="V65" i="3"/>
  <c r="S67" i="3"/>
  <c r="AA68" i="3"/>
  <c r="U70" i="3"/>
  <c r="R72" i="3"/>
  <c r="Z73" i="3"/>
  <c r="T75" i="3"/>
  <c r="Q77" i="3"/>
  <c r="Y78" i="3"/>
  <c r="S80" i="3"/>
  <c r="P82" i="3"/>
  <c r="X83" i="3"/>
  <c r="R85" i="3"/>
  <c r="AB86" i="3"/>
  <c r="W88" i="3"/>
  <c r="Q90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Z104" i="3"/>
  <c r="U105" i="3"/>
  <c r="AE105" i="3" s="1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P9" i="3"/>
  <c r="AA18" i="3"/>
  <c r="Y28" i="3"/>
  <c r="R38" i="3"/>
  <c r="X43" i="3"/>
  <c r="W48" i="3"/>
  <c r="V53" i="3"/>
  <c r="Z57" i="3"/>
  <c r="S60" i="3"/>
  <c r="U62" i="3"/>
  <c r="R64" i="3"/>
  <c r="Z65" i="3"/>
  <c r="T67" i="3"/>
  <c r="Q69" i="3"/>
  <c r="Y70" i="3"/>
  <c r="S72" i="3"/>
  <c r="P74" i="3"/>
  <c r="X75" i="3"/>
  <c r="R77" i="3"/>
  <c r="AB78" i="3"/>
  <c r="W80" i="3"/>
  <c r="Q82" i="3"/>
  <c r="AA83" i="3"/>
  <c r="V85" i="3"/>
  <c r="P87" i="3"/>
  <c r="Z88" i="3"/>
  <c r="U90" i="3"/>
  <c r="AB91" i="3"/>
  <c r="W92" i="3"/>
  <c r="R93" i="3"/>
  <c r="Z93" i="3"/>
  <c r="U94" i="3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X119" i="3"/>
  <c r="S120" i="3"/>
  <c r="AA120" i="3"/>
  <c r="V121" i="3"/>
  <c r="Q122" i="3"/>
  <c r="Y122" i="3"/>
  <c r="T123" i="3"/>
  <c r="AB123" i="3"/>
  <c r="W124" i="3"/>
  <c r="R125" i="3"/>
  <c r="Z125" i="3"/>
  <c r="U126" i="3"/>
  <c r="P127" i="3"/>
  <c r="S10" i="3"/>
  <c r="Q20" i="3"/>
  <c r="AB29" i="3"/>
  <c r="R39" i="3"/>
  <c r="S44" i="3"/>
  <c r="R49" i="3"/>
  <c r="Q54" i="3"/>
  <c r="Q58" i="3"/>
  <c r="W60" i="3"/>
  <c r="Y62" i="3"/>
  <c r="S64" i="3"/>
  <c r="P66" i="3"/>
  <c r="X67" i="3"/>
  <c r="R69" i="3"/>
  <c r="AB70" i="3"/>
  <c r="W72" i="3"/>
  <c r="Q74" i="3"/>
  <c r="AA75" i="3"/>
  <c r="V77" i="3"/>
  <c r="P79" i="3"/>
  <c r="Z80" i="3"/>
  <c r="U82" i="3"/>
  <c r="AB83" i="3"/>
  <c r="Y85" i="3"/>
  <c r="T87" i="3"/>
  <c r="AA88" i="3"/>
  <c r="X90" i="3"/>
  <c r="P92" i="3"/>
  <c r="X92" i="3"/>
  <c r="S93" i="3"/>
  <c r="AA93" i="3"/>
  <c r="V94" i="3"/>
  <c r="Q95" i="3"/>
  <c r="Y95" i="3"/>
  <c r="T96" i="3"/>
  <c r="AB96" i="3"/>
  <c r="W97" i="3"/>
  <c r="R98" i="3"/>
  <c r="Z98" i="3"/>
  <c r="U99" i="3"/>
  <c r="AE99" i="3" s="1"/>
  <c r="P100" i="3"/>
  <c r="X100" i="3"/>
  <c r="S101" i="3"/>
  <c r="AA101" i="3"/>
  <c r="V102" i="3"/>
  <c r="Q103" i="3"/>
  <c r="Y103" i="3"/>
  <c r="T104" i="3"/>
  <c r="AB104" i="3"/>
  <c r="W105" i="3"/>
  <c r="R106" i="3"/>
  <c r="Z106" i="3"/>
  <c r="U107" i="3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P116" i="3"/>
  <c r="X116" i="3"/>
  <c r="S117" i="3"/>
  <c r="AA117" i="3"/>
  <c r="V118" i="3"/>
  <c r="Q119" i="3"/>
  <c r="Y119" i="3"/>
  <c r="T120" i="3"/>
  <c r="AB120" i="3"/>
  <c r="W121" i="3"/>
  <c r="R122" i="3"/>
  <c r="Z122" i="3"/>
  <c r="U123" i="3"/>
  <c r="P124" i="3"/>
  <c r="X124" i="3"/>
  <c r="S125" i="3"/>
  <c r="AA125" i="3"/>
  <c r="V126" i="3"/>
  <c r="Q127" i="3"/>
  <c r="Y12" i="3"/>
  <c r="W22" i="3"/>
  <c r="U32" i="3"/>
  <c r="AE32" i="3" s="1"/>
  <c r="W40" i="3"/>
  <c r="V45" i="3"/>
  <c r="U50" i="3"/>
  <c r="T55" i="3"/>
  <c r="Y58" i="3"/>
  <c r="R61" i="3"/>
  <c r="P63" i="3"/>
  <c r="Z64" i="3"/>
  <c r="U66" i="3"/>
  <c r="AE66" i="3" s="1"/>
  <c r="AB67" i="3"/>
  <c r="Y69" i="3"/>
  <c r="T71" i="3"/>
  <c r="AA72" i="3"/>
  <c r="X74" i="3"/>
  <c r="S76" i="3"/>
  <c r="Z77" i="3"/>
  <c r="W79" i="3"/>
  <c r="R81" i="3"/>
  <c r="Y82" i="3"/>
  <c r="V84" i="3"/>
  <c r="Q86" i="3"/>
  <c r="X87" i="3"/>
  <c r="U89" i="3"/>
  <c r="P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AB13" i="3"/>
  <c r="Z23" i="3"/>
  <c r="X33" i="3"/>
  <c r="R41" i="3"/>
  <c r="Q46" i="3"/>
  <c r="P51" i="3"/>
  <c r="AB55" i="3"/>
  <c r="P59" i="3"/>
  <c r="V61" i="3"/>
  <c r="T63" i="3"/>
  <c r="AA64" i="3"/>
  <c r="X66" i="3"/>
  <c r="S68" i="3"/>
  <c r="Z69" i="3"/>
  <c r="W71" i="3"/>
  <c r="R73" i="3"/>
  <c r="Y74" i="3"/>
  <c r="V76" i="3"/>
  <c r="Q78" i="3"/>
  <c r="X79" i="3"/>
  <c r="U81" i="3"/>
  <c r="P83" i="3"/>
  <c r="W84" i="3"/>
  <c r="T86" i="3"/>
  <c r="AB87" i="3"/>
  <c r="V89" i="3"/>
  <c r="S91" i="3"/>
  <c r="S92" i="3"/>
  <c r="AA92" i="3"/>
  <c r="V93" i="3"/>
  <c r="Q94" i="3"/>
  <c r="Y94" i="3"/>
  <c r="T95" i="3"/>
  <c r="AB95" i="3"/>
  <c r="W96" i="3"/>
  <c r="R97" i="3"/>
  <c r="Z97" i="3"/>
  <c r="U98" i="3"/>
  <c r="P99" i="3"/>
  <c r="X99" i="3"/>
  <c r="S100" i="3"/>
  <c r="AA100" i="3"/>
  <c r="V101" i="3"/>
  <c r="Q102" i="3"/>
  <c r="Y102" i="3"/>
  <c r="T103" i="3"/>
  <c r="AB103" i="3"/>
  <c r="W104" i="3"/>
  <c r="R105" i="3"/>
  <c r="Z105" i="3"/>
  <c r="U106" i="3"/>
  <c r="AE106" i="3" s="1"/>
  <c r="P107" i="3"/>
  <c r="X107" i="3"/>
  <c r="S108" i="3"/>
  <c r="AA108" i="3"/>
  <c r="V109" i="3"/>
  <c r="Q110" i="3"/>
  <c r="Y110" i="3"/>
  <c r="T111" i="3"/>
  <c r="AB111" i="3"/>
  <c r="W112" i="3"/>
  <c r="R113" i="3"/>
  <c r="Z113" i="3"/>
  <c r="U114" i="3"/>
  <c r="P115" i="3"/>
  <c r="X115" i="3"/>
  <c r="S116" i="3"/>
  <c r="AA116" i="3"/>
  <c r="V117" i="3"/>
  <c r="Q118" i="3"/>
  <c r="Y118" i="3"/>
  <c r="T119" i="3"/>
  <c r="AB119" i="3"/>
  <c r="W120" i="3"/>
  <c r="R121" i="3"/>
  <c r="Z121" i="3"/>
  <c r="U122" i="3"/>
  <c r="P123" i="3"/>
  <c r="X123" i="3"/>
  <c r="S124" i="3"/>
  <c r="AA124" i="3"/>
  <c r="W6" i="3"/>
  <c r="U42" i="3"/>
  <c r="AE42" i="3" s="1"/>
  <c r="X59" i="3"/>
  <c r="P67" i="3"/>
  <c r="V73" i="3"/>
  <c r="R80" i="3"/>
  <c r="Y86" i="3"/>
  <c r="U92" i="3"/>
  <c r="AA94" i="3"/>
  <c r="T97" i="3"/>
  <c r="Z99" i="3"/>
  <c r="S102" i="3"/>
  <c r="Y104" i="3"/>
  <c r="R107" i="3"/>
  <c r="X109" i="3"/>
  <c r="Q112" i="3"/>
  <c r="W114" i="3"/>
  <c r="P117" i="3"/>
  <c r="V119" i="3"/>
  <c r="AB121" i="3"/>
  <c r="U124" i="3"/>
  <c r="P126" i="3"/>
  <c r="S127" i="3"/>
  <c r="AA127" i="3"/>
  <c r="V128" i="3"/>
  <c r="Q129" i="3"/>
  <c r="Y129" i="3"/>
  <c r="T130" i="3"/>
  <c r="AB130" i="3"/>
  <c r="W131" i="3"/>
  <c r="R132" i="3"/>
  <c r="Z132" i="3"/>
  <c r="U133" i="3"/>
  <c r="AE133" i="3" s="1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U16" i="3"/>
  <c r="AE16" i="3" s="1"/>
  <c r="T47" i="3"/>
  <c r="Q62" i="3"/>
  <c r="W68" i="3"/>
  <c r="S75" i="3"/>
  <c r="Z81" i="3"/>
  <c r="S88" i="3"/>
  <c r="P93" i="3"/>
  <c r="V95" i="3"/>
  <c r="AB97" i="3"/>
  <c r="U100" i="3"/>
  <c r="AE100" i="3" s="1"/>
  <c r="AA102" i="3"/>
  <c r="T105" i="3"/>
  <c r="Z107" i="3"/>
  <c r="S110" i="3"/>
  <c r="Y112" i="3"/>
  <c r="R115" i="3"/>
  <c r="X117" i="3"/>
  <c r="Q120" i="3"/>
  <c r="W122" i="3"/>
  <c r="P125" i="3"/>
  <c r="S126" i="3"/>
  <c r="U127" i="3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P152" i="3"/>
  <c r="X152" i="3"/>
  <c r="S153" i="3"/>
  <c r="AA153" i="3"/>
  <c r="V154" i="3"/>
  <c r="Q155" i="3"/>
  <c r="Y155" i="3"/>
  <c r="T156" i="3"/>
  <c r="AB156" i="3"/>
  <c r="W157" i="3"/>
  <c r="R158" i="3"/>
  <c r="Z158" i="3"/>
  <c r="U159" i="3"/>
  <c r="AE159" i="3" s="1"/>
  <c r="P160" i="3"/>
  <c r="X160" i="3"/>
  <c r="S161" i="3"/>
  <c r="AA161" i="3"/>
  <c r="V162" i="3"/>
  <c r="Q163" i="3"/>
  <c r="Y163" i="3"/>
  <c r="T164" i="3"/>
  <c r="AB164" i="3"/>
  <c r="W165" i="3"/>
  <c r="R166" i="3"/>
  <c r="T21" i="3"/>
  <c r="Z49" i="3"/>
  <c r="AB62" i="3"/>
  <c r="V69" i="3"/>
  <c r="AB75" i="3"/>
  <c r="X82" i="3"/>
  <c r="R89" i="3"/>
  <c r="T93" i="3"/>
  <c r="Z95" i="3"/>
  <c r="S98" i="3"/>
  <c r="Y100" i="3"/>
  <c r="R103" i="3"/>
  <c r="X105" i="3"/>
  <c r="Q108" i="3"/>
  <c r="W110" i="3"/>
  <c r="P113" i="3"/>
  <c r="V115" i="3"/>
  <c r="AB117" i="3"/>
  <c r="U120" i="3"/>
  <c r="AE120" i="3" s="1"/>
  <c r="AA122" i="3"/>
  <c r="T125" i="3"/>
  <c r="W126" i="3"/>
  <c r="V127" i="3"/>
  <c r="Q128" i="3"/>
  <c r="Y128" i="3"/>
  <c r="T129" i="3"/>
  <c r="AB129" i="3"/>
  <c r="W130" i="3"/>
  <c r="R131" i="3"/>
  <c r="Z131" i="3"/>
  <c r="U132" i="3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X141" i="3"/>
  <c r="S142" i="3"/>
  <c r="AA142" i="3"/>
  <c r="V143" i="3"/>
  <c r="Q144" i="3"/>
  <c r="Y144" i="3"/>
  <c r="T145" i="3"/>
  <c r="AB145" i="3"/>
  <c r="W146" i="3"/>
  <c r="R147" i="3"/>
  <c r="Z147" i="3"/>
  <c r="U148" i="3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AE164" i="3" s="1"/>
  <c r="P165" i="3"/>
  <c r="X165" i="3"/>
  <c r="S26" i="3"/>
  <c r="S52" i="3"/>
  <c r="X63" i="3"/>
  <c r="T70" i="3"/>
  <c r="AA76" i="3"/>
  <c r="T83" i="3"/>
  <c r="P90" i="3"/>
  <c r="X93" i="3"/>
  <c r="Q96" i="3"/>
  <c r="W98" i="3"/>
  <c r="P101" i="3"/>
  <c r="V103" i="3"/>
  <c r="AB105" i="3"/>
  <c r="U108" i="3"/>
  <c r="AE108" i="3" s="1"/>
  <c r="AA110" i="3"/>
  <c r="T113" i="3"/>
  <c r="Z115" i="3"/>
  <c r="S118" i="3"/>
  <c r="Y120" i="3"/>
  <c r="R123" i="3"/>
  <c r="U125" i="3"/>
  <c r="X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P146" i="3"/>
  <c r="X146" i="3"/>
  <c r="S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36" i="3"/>
  <c r="R57" i="3"/>
  <c r="U65" i="3"/>
  <c r="AE65" i="3" s="1"/>
  <c r="AB71" i="3"/>
  <c r="U78" i="3"/>
  <c r="AE78" i="3" s="1"/>
  <c r="Q85" i="3"/>
  <c r="X91" i="3"/>
  <c r="S94" i="3"/>
  <c r="Y96" i="3"/>
  <c r="R99" i="3"/>
  <c r="X101" i="3"/>
  <c r="Q104" i="3"/>
  <c r="W106" i="3"/>
  <c r="P109" i="3"/>
  <c r="V111" i="3"/>
  <c r="AB113" i="3"/>
  <c r="U116" i="3"/>
  <c r="AA118" i="3"/>
  <c r="T121" i="3"/>
  <c r="Z123" i="3"/>
  <c r="X125" i="3"/>
  <c r="AA126" i="3"/>
  <c r="Y127" i="3"/>
  <c r="T128" i="3"/>
  <c r="AB128" i="3"/>
  <c r="W129" i="3"/>
  <c r="R130" i="3"/>
  <c r="Z130" i="3"/>
  <c r="U131" i="3"/>
  <c r="AE131" i="3" s="1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T144" i="3"/>
  <c r="AB144" i="3"/>
  <c r="W145" i="3"/>
  <c r="R146" i="3"/>
  <c r="Z146" i="3"/>
  <c r="U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AE155" i="3" s="1"/>
  <c r="P156" i="3"/>
  <c r="X156" i="3"/>
  <c r="S157" i="3"/>
  <c r="AA157" i="3"/>
  <c r="V158" i="3"/>
  <c r="Q159" i="3"/>
  <c r="Y159" i="3"/>
  <c r="T160" i="3"/>
  <c r="AA39" i="3"/>
  <c r="U58" i="3"/>
  <c r="Q66" i="3"/>
  <c r="Z72" i="3"/>
  <c r="T79" i="3"/>
  <c r="Z85" i="3"/>
  <c r="Q92" i="3"/>
  <c r="W94" i="3"/>
  <c r="P97" i="3"/>
  <c r="V99" i="3"/>
  <c r="AB101" i="3"/>
  <c r="U104" i="3"/>
  <c r="AA106" i="3"/>
  <c r="T109" i="3"/>
  <c r="Z111" i="3"/>
  <c r="S114" i="3"/>
  <c r="Y116" i="3"/>
  <c r="R119" i="3"/>
  <c r="X121" i="3"/>
  <c r="Q124" i="3"/>
  <c r="AB125" i="3"/>
  <c r="R127" i="3"/>
  <c r="Z127" i="3"/>
  <c r="U128" i="3"/>
  <c r="AE128" i="3" s="1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V11" i="3"/>
  <c r="U74" i="3"/>
  <c r="R95" i="3"/>
  <c r="P105" i="3"/>
  <c r="AA114" i="3"/>
  <c r="Y124" i="3"/>
  <c r="W128" i="3"/>
  <c r="P131" i="3"/>
  <c r="V133" i="3"/>
  <c r="AB135" i="3"/>
  <c r="U138" i="3"/>
  <c r="AA140" i="3"/>
  <c r="T143" i="3"/>
  <c r="Z145" i="3"/>
  <c r="S148" i="3"/>
  <c r="Y150" i="3"/>
  <c r="R153" i="3"/>
  <c r="X155" i="3"/>
  <c r="Q158" i="3"/>
  <c r="U160" i="3"/>
  <c r="AE160" i="3" s="1"/>
  <c r="X161" i="3"/>
  <c r="AA162" i="3"/>
  <c r="Q164" i="3"/>
  <c r="S165" i="3"/>
  <c r="S166" i="3"/>
  <c r="AB166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AE174" i="3" s="1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P199" i="3"/>
  <c r="X199" i="3"/>
  <c r="S200" i="3"/>
  <c r="AA200" i="3"/>
  <c r="V201" i="3"/>
  <c r="Q202" i="3"/>
  <c r="Y202" i="3"/>
  <c r="T203" i="3"/>
  <c r="AB203" i="3"/>
  <c r="W204" i="3"/>
  <c r="R205" i="3"/>
  <c r="Z205" i="3"/>
  <c r="AA44" i="3"/>
  <c r="AA80" i="3"/>
  <c r="X97" i="3"/>
  <c r="V107" i="3"/>
  <c r="T117" i="3"/>
  <c r="Q126" i="3"/>
  <c r="R129" i="3"/>
  <c r="X131" i="3"/>
  <c r="Q134" i="3"/>
  <c r="W136" i="3"/>
  <c r="P139" i="3"/>
  <c r="V141" i="3"/>
  <c r="AB143" i="3"/>
  <c r="U146" i="3"/>
  <c r="AA148" i="3"/>
  <c r="T151" i="3"/>
  <c r="Z153" i="3"/>
  <c r="S156" i="3"/>
  <c r="Y158" i="3"/>
  <c r="AA160" i="3"/>
  <c r="Q162" i="3"/>
  <c r="T163" i="3"/>
  <c r="W164" i="3"/>
  <c r="V165" i="3"/>
  <c r="U166" i="3"/>
  <c r="Q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Y54" i="3"/>
  <c r="S84" i="3"/>
  <c r="AA98" i="3"/>
  <c r="Y108" i="3"/>
  <c r="W118" i="3"/>
  <c r="Y126" i="3"/>
  <c r="V129" i="3"/>
  <c r="AB131" i="3"/>
  <c r="U134" i="3"/>
  <c r="AA136" i="3"/>
  <c r="T139" i="3"/>
  <c r="Z141" i="3"/>
  <c r="S144" i="3"/>
  <c r="Y146" i="3"/>
  <c r="R149" i="3"/>
  <c r="X151" i="3"/>
  <c r="Q154" i="3"/>
  <c r="W156" i="3"/>
  <c r="P159" i="3"/>
  <c r="AB160" i="3"/>
  <c r="R162" i="3"/>
  <c r="U163" i="3"/>
  <c r="X164" i="3"/>
  <c r="Y165" i="3"/>
  <c r="V166" i="3"/>
  <c r="R167" i="3"/>
  <c r="AA167" i="3"/>
  <c r="V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AE197" i="3" s="1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P206" i="3"/>
  <c r="X206" i="3"/>
  <c r="AA60" i="3"/>
  <c r="W87" i="3"/>
  <c r="Q100" i="3"/>
  <c r="AB109" i="3"/>
  <c r="Z119" i="3"/>
  <c r="T127" i="3"/>
  <c r="Z129" i="3"/>
  <c r="S132" i="3"/>
  <c r="Y134" i="3"/>
  <c r="R137" i="3"/>
  <c r="X139" i="3"/>
  <c r="Q142" i="3"/>
  <c r="W144" i="3"/>
  <c r="P147" i="3"/>
  <c r="V149" i="3"/>
  <c r="AB151" i="3"/>
  <c r="U154" i="3"/>
  <c r="AE154" i="3" s="1"/>
  <c r="AA156" i="3"/>
  <c r="T159" i="3"/>
  <c r="P161" i="3"/>
  <c r="S162" i="3"/>
  <c r="V163" i="3"/>
  <c r="Y164" i="3"/>
  <c r="Z165" i="3"/>
  <c r="W166" i="3"/>
  <c r="T167" i="3"/>
  <c r="AB167" i="3"/>
  <c r="W168" i="3"/>
  <c r="R169" i="3"/>
  <c r="Z169" i="3"/>
  <c r="U170" i="3"/>
  <c r="P171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P195" i="3"/>
  <c r="X195" i="3"/>
  <c r="S196" i="3"/>
  <c r="AA196" i="3"/>
  <c r="V197" i="3"/>
  <c r="Q198" i="3"/>
  <c r="Y198" i="3"/>
  <c r="T199" i="3"/>
  <c r="AB199" i="3"/>
  <c r="W200" i="3"/>
  <c r="R201" i="3"/>
  <c r="Z201" i="3"/>
  <c r="U202" i="3"/>
  <c r="P203" i="3"/>
  <c r="X203" i="3"/>
  <c r="AA67" i="3"/>
  <c r="Y92" i="3"/>
  <c r="W102" i="3"/>
  <c r="U112" i="3"/>
  <c r="AE112" i="3" s="1"/>
  <c r="S122" i="3"/>
  <c r="AB127" i="3"/>
  <c r="U130" i="3"/>
  <c r="AA132" i="3"/>
  <c r="T135" i="3"/>
  <c r="Z137" i="3"/>
  <c r="S140" i="3"/>
  <c r="Y142" i="3"/>
  <c r="R145" i="3"/>
  <c r="X147" i="3"/>
  <c r="Q150" i="3"/>
  <c r="W152" i="3"/>
  <c r="P155" i="3"/>
  <c r="V157" i="3"/>
  <c r="AB159" i="3"/>
  <c r="V161" i="3"/>
  <c r="Y162" i="3"/>
  <c r="AB163" i="3"/>
  <c r="Q165" i="3"/>
  <c r="AB165" i="3"/>
  <c r="Z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P197" i="3"/>
  <c r="X197" i="3"/>
  <c r="S198" i="3"/>
  <c r="AA198" i="3"/>
  <c r="V199" i="3"/>
  <c r="Q200" i="3"/>
  <c r="P71" i="3"/>
  <c r="AB93" i="3"/>
  <c r="Z103" i="3"/>
  <c r="X113" i="3"/>
  <c r="V123" i="3"/>
  <c r="S128" i="3"/>
  <c r="Y130" i="3"/>
  <c r="R133" i="3"/>
  <c r="X135" i="3"/>
  <c r="Q138" i="3"/>
  <c r="W140" i="3"/>
  <c r="P143" i="3"/>
  <c r="V145" i="3"/>
  <c r="AB147" i="3"/>
  <c r="U150" i="3"/>
  <c r="AA152" i="3"/>
  <c r="T155" i="3"/>
  <c r="Z157" i="3"/>
  <c r="S160" i="3"/>
  <c r="W161" i="3"/>
  <c r="Z162" i="3"/>
  <c r="P164" i="3"/>
  <c r="R165" i="3"/>
  <c r="Q166" i="3"/>
  <c r="AA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R31" i="3"/>
  <c r="Q116" i="3"/>
  <c r="Z133" i="3"/>
  <c r="X143" i="3"/>
  <c r="V153" i="3"/>
  <c r="Z161" i="3"/>
  <c r="T166" i="3"/>
  <c r="AB168" i="3"/>
  <c r="U171" i="3"/>
  <c r="AA173" i="3"/>
  <c r="T176" i="3"/>
  <c r="Z178" i="3"/>
  <c r="S181" i="3"/>
  <c r="Y183" i="3"/>
  <c r="R186" i="3"/>
  <c r="X188" i="3"/>
  <c r="Q191" i="3"/>
  <c r="W193" i="3"/>
  <c r="P196" i="3"/>
  <c r="V198" i="3"/>
  <c r="Y200" i="3"/>
  <c r="AB201" i="3"/>
  <c r="R203" i="3"/>
  <c r="T204" i="3"/>
  <c r="S205" i="3"/>
  <c r="S206" i="3"/>
  <c r="AB206" i="3"/>
  <c r="W207" i="3"/>
  <c r="R208" i="3"/>
  <c r="Z208" i="3"/>
  <c r="U209" i="3"/>
  <c r="AE209" i="3" s="1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Y77" i="3"/>
  <c r="V125" i="3"/>
  <c r="S136" i="3"/>
  <c r="Q146" i="3"/>
  <c r="AB155" i="3"/>
  <c r="P163" i="3"/>
  <c r="P167" i="3"/>
  <c r="W169" i="3"/>
  <c r="P172" i="3"/>
  <c r="V174" i="3"/>
  <c r="AB176" i="3"/>
  <c r="U179" i="3"/>
  <c r="AE179" i="3" s="1"/>
  <c r="AA181" i="3"/>
  <c r="T184" i="3"/>
  <c r="Z186" i="3"/>
  <c r="S189" i="3"/>
  <c r="Y191" i="3"/>
  <c r="R194" i="3"/>
  <c r="X196" i="3"/>
  <c r="Q199" i="3"/>
  <c r="AB200" i="3"/>
  <c r="R202" i="3"/>
  <c r="U203" i="3"/>
  <c r="V204" i="3"/>
  <c r="W205" i="3"/>
  <c r="U206" i="3"/>
  <c r="Q207" i="3"/>
  <c r="Y207" i="3"/>
  <c r="T208" i="3"/>
  <c r="AB208" i="3"/>
  <c r="W209" i="3"/>
  <c r="R210" i="3"/>
  <c r="Z210" i="3"/>
  <c r="U211" i="3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AE227" i="3" s="1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P236" i="3"/>
  <c r="X236" i="3"/>
  <c r="S237" i="3"/>
  <c r="AA237" i="3"/>
  <c r="V238" i="3"/>
  <c r="Q239" i="3"/>
  <c r="Y239" i="3"/>
  <c r="T240" i="3"/>
  <c r="AB240" i="3"/>
  <c r="W241" i="3"/>
  <c r="R242" i="3"/>
  <c r="Z242" i="3"/>
  <c r="U243" i="3"/>
  <c r="AE243" i="3" s="1"/>
  <c r="P244" i="3"/>
  <c r="X244" i="3"/>
  <c r="S245" i="3"/>
  <c r="AA245" i="3"/>
  <c r="V246" i="3"/>
  <c r="Q247" i="3"/>
  <c r="Y247" i="3"/>
  <c r="T248" i="3"/>
  <c r="AB248" i="3"/>
  <c r="W249" i="3"/>
  <c r="R250" i="3"/>
  <c r="Z250" i="3"/>
  <c r="U251" i="3"/>
  <c r="Y90" i="3"/>
  <c r="X127" i="3"/>
  <c r="V137" i="3"/>
  <c r="T147" i="3"/>
  <c r="R157" i="3"/>
  <c r="X163" i="3"/>
  <c r="U167" i="3"/>
  <c r="AA169" i="3"/>
  <c r="T172" i="3"/>
  <c r="Z174" i="3"/>
  <c r="S177" i="3"/>
  <c r="Y179" i="3"/>
  <c r="R182" i="3"/>
  <c r="X184" i="3"/>
  <c r="Q187" i="3"/>
  <c r="W189" i="3"/>
  <c r="P192" i="3"/>
  <c r="V194" i="3"/>
  <c r="AB196" i="3"/>
  <c r="U199" i="3"/>
  <c r="S201" i="3"/>
  <c r="V202" i="3"/>
  <c r="Y203" i="3"/>
  <c r="X204" i="3"/>
  <c r="X205" i="3"/>
  <c r="V206" i="3"/>
  <c r="R207" i="3"/>
  <c r="Z207" i="3"/>
  <c r="U208" i="3"/>
  <c r="P209" i="3"/>
  <c r="X209" i="3"/>
  <c r="S210" i="3"/>
  <c r="AA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P249" i="3"/>
  <c r="X249" i="3"/>
  <c r="S250" i="3"/>
  <c r="AA250" i="3"/>
  <c r="U96" i="3"/>
  <c r="AE96" i="3" s="1"/>
  <c r="AA128" i="3"/>
  <c r="Y138" i="3"/>
  <c r="W148" i="3"/>
  <c r="U158" i="3"/>
  <c r="S164" i="3"/>
  <c r="Y167" i="3"/>
  <c r="R170" i="3"/>
  <c r="X172" i="3"/>
  <c r="Q175" i="3"/>
  <c r="W177" i="3"/>
  <c r="P180" i="3"/>
  <c r="V182" i="3"/>
  <c r="AB184" i="3"/>
  <c r="U187" i="3"/>
  <c r="AE187" i="3" s="1"/>
  <c r="AA189" i="3"/>
  <c r="T192" i="3"/>
  <c r="Z194" i="3"/>
  <c r="S197" i="3"/>
  <c r="Y199" i="3"/>
  <c r="T201" i="3"/>
  <c r="W202" i="3"/>
  <c r="Z203" i="3"/>
  <c r="AA204" i="3"/>
  <c r="Y205" i="3"/>
  <c r="W206" i="3"/>
  <c r="S207" i="3"/>
  <c r="AA207" i="3"/>
  <c r="V208" i="3"/>
  <c r="Q209" i="3"/>
  <c r="Y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S106" i="3"/>
  <c r="T131" i="3"/>
  <c r="R141" i="3"/>
  <c r="P151" i="3"/>
  <c r="W160" i="3"/>
  <c r="T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A197" i="3"/>
  <c r="T200" i="3"/>
  <c r="W201" i="3"/>
  <c r="Z202" i="3"/>
  <c r="P204" i="3"/>
  <c r="P205" i="3"/>
  <c r="Q206" i="3"/>
  <c r="Z206" i="3"/>
  <c r="U207" i="3"/>
  <c r="P208" i="3"/>
  <c r="X208" i="3"/>
  <c r="S209" i="3"/>
  <c r="AA209" i="3"/>
  <c r="V210" i="3"/>
  <c r="Q211" i="3"/>
  <c r="Y211" i="3"/>
  <c r="T212" i="3"/>
  <c r="AB212" i="3"/>
  <c r="W213" i="3"/>
  <c r="R214" i="3"/>
  <c r="Z214" i="3"/>
  <c r="U215" i="3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AE223" i="3" s="1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R111" i="3"/>
  <c r="W132" i="3"/>
  <c r="U142" i="3"/>
  <c r="S152" i="3"/>
  <c r="R161" i="3"/>
  <c r="AA165" i="3"/>
  <c r="X168" i="3"/>
  <c r="Q171" i="3"/>
  <c r="W173" i="3"/>
  <c r="P176" i="3"/>
  <c r="V178" i="3"/>
  <c r="AB180" i="3"/>
  <c r="U183" i="3"/>
  <c r="AA185" i="3"/>
  <c r="T188" i="3"/>
  <c r="Z190" i="3"/>
  <c r="S193" i="3"/>
  <c r="Y195" i="3"/>
  <c r="R198" i="3"/>
  <c r="X200" i="3"/>
  <c r="AA201" i="3"/>
  <c r="Q203" i="3"/>
  <c r="S204" i="3"/>
  <c r="Q205" i="3"/>
  <c r="R206" i="3"/>
  <c r="AA206" i="3"/>
  <c r="V207" i="3"/>
  <c r="Q208" i="3"/>
  <c r="Y208" i="3"/>
  <c r="T209" i="3"/>
  <c r="AB209" i="3"/>
  <c r="W210" i="3"/>
  <c r="R211" i="3"/>
  <c r="Z211" i="3"/>
  <c r="U212" i="3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W64" i="3"/>
  <c r="Y154" i="3"/>
  <c r="Y171" i="3"/>
  <c r="W181" i="3"/>
  <c r="U191" i="3"/>
  <c r="Z200" i="3"/>
  <c r="V205" i="3"/>
  <c r="S208" i="3"/>
  <c r="Y210" i="3"/>
  <c r="R213" i="3"/>
  <c r="X215" i="3"/>
  <c r="Q218" i="3"/>
  <c r="W220" i="3"/>
  <c r="P223" i="3"/>
  <c r="V225" i="3"/>
  <c r="AB227" i="3"/>
  <c r="U230" i="3"/>
  <c r="AA232" i="3"/>
  <c r="T235" i="3"/>
  <c r="Z237" i="3"/>
  <c r="S240" i="3"/>
  <c r="Y242" i="3"/>
  <c r="U244" i="3"/>
  <c r="X245" i="3"/>
  <c r="Z246" i="3"/>
  <c r="AA247" i="3"/>
  <c r="Y248" i="3"/>
  <c r="Z249" i="3"/>
  <c r="X250" i="3"/>
  <c r="V251" i="3"/>
  <c r="Q252" i="3"/>
  <c r="Y252" i="3"/>
  <c r="T253" i="3"/>
  <c r="AB253" i="3"/>
  <c r="W254" i="3"/>
  <c r="R255" i="3"/>
  <c r="Z255" i="3"/>
  <c r="U256" i="3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P121" i="3"/>
  <c r="U162" i="3"/>
  <c r="AE162" i="3" s="1"/>
  <c r="R174" i="3"/>
  <c r="P184" i="3"/>
  <c r="AA193" i="3"/>
  <c r="P202" i="3"/>
  <c r="T206" i="3"/>
  <c r="AA208" i="3"/>
  <c r="T211" i="3"/>
  <c r="Z213" i="3"/>
  <c r="S216" i="3"/>
  <c r="Y218" i="3"/>
  <c r="R221" i="3"/>
  <c r="X223" i="3"/>
  <c r="Q226" i="3"/>
  <c r="W228" i="3"/>
  <c r="P231" i="3"/>
  <c r="V233" i="3"/>
  <c r="AB235" i="3"/>
  <c r="U238" i="3"/>
  <c r="AA240" i="3"/>
  <c r="T243" i="3"/>
  <c r="AA244" i="3"/>
  <c r="Q246" i="3"/>
  <c r="P247" i="3"/>
  <c r="P248" i="3"/>
  <c r="Q249" i="3"/>
  <c r="AB249" i="3"/>
  <c r="AB250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AE282" i="3" s="1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P331" i="3"/>
  <c r="X331" i="3"/>
  <c r="S332" i="3"/>
  <c r="AA332" i="3"/>
  <c r="V333" i="3"/>
  <c r="Q334" i="3"/>
  <c r="Y334" i="3"/>
  <c r="T335" i="3"/>
  <c r="AB335" i="3"/>
  <c r="W336" i="3"/>
  <c r="R337" i="3"/>
  <c r="Z337" i="3"/>
  <c r="Q130" i="3"/>
  <c r="AA164" i="3"/>
  <c r="U175" i="3"/>
  <c r="S185" i="3"/>
  <c r="Q195" i="3"/>
  <c r="X202" i="3"/>
  <c r="Y206" i="3"/>
  <c r="R209" i="3"/>
  <c r="X211" i="3"/>
  <c r="Q214" i="3"/>
  <c r="W216" i="3"/>
  <c r="P219" i="3"/>
  <c r="V221" i="3"/>
  <c r="AB223" i="3"/>
  <c r="U226" i="3"/>
  <c r="AE226" i="3" s="1"/>
  <c r="AA228" i="3"/>
  <c r="T231" i="3"/>
  <c r="Z233" i="3"/>
  <c r="S236" i="3"/>
  <c r="Y238" i="3"/>
  <c r="R241" i="3"/>
  <c r="X243" i="3"/>
  <c r="AB244" i="3"/>
  <c r="R246" i="3"/>
  <c r="S247" i="3"/>
  <c r="Q248" i="3"/>
  <c r="R249" i="3"/>
  <c r="Q250" i="3"/>
  <c r="P251" i="3"/>
  <c r="Y251" i="3"/>
  <c r="T252" i="3"/>
  <c r="AB252" i="3"/>
  <c r="W253" i="3"/>
  <c r="R254" i="3"/>
  <c r="Z254" i="3"/>
  <c r="U255" i="3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AE271" i="3" s="1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AE287" i="3" s="1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X312" i="3"/>
  <c r="S313" i="3"/>
  <c r="AA313" i="3"/>
  <c r="V314" i="3"/>
  <c r="Q315" i="3"/>
  <c r="Y315" i="3"/>
  <c r="T316" i="3"/>
  <c r="AB316" i="3"/>
  <c r="W317" i="3"/>
  <c r="R318" i="3"/>
  <c r="Z318" i="3"/>
  <c r="U319" i="3"/>
  <c r="P320" i="3"/>
  <c r="X320" i="3"/>
  <c r="S321" i="3"/>
  <c r="AA321" i="3"/>
  <c r="V322" i="3"/>
  <c r="Q323" i="3"/>
  <c r="Y323" i="3"/>
  <c r="T324" i="3"/>
  <c r="AB324" i="3"/>
  <c r="W325" i="3"/>
  <c r="R326" i="3"/>
  <c r="Z326" i="3"/>
  <c r="U327" i="3"/>
  <c r="P328" i="3"/>
  <c r="X328" i="3"/>
  <c r="S329" i="3"/>
  <c r="AA329" i="3"/>
  <c r="V330" i="3"/>
  <c r="Q331" i="3"/>
  <c r="Y331" i="3"/>
  <c r="T332" i="3"/>
  <c r="AB332" i="3"/>
  <c r="W333" i="3"/>
  <c r="R334" i="3"/>
  <c r="Z334" i="3"/>
  <c r="U335" i="3"/>
  <c r="AE335" i="3" s="1"/>
  <c r="P336" i="3"/>
  <c r="X336" i="3"/>
  <c r="S337" i="3"/>
  <c r="AA337" i="3"/>
  <c r="P135" i="3"/>
  <c r="Y166" i="3"/>
  <c r="X176" i="3"/>
  <c r="V186" i="3"/>
  <c r="T196" i="3"/>
  <c r="S203" i="3"/>
  <c r="P207" i="3"/>
  <c r="V209" i="3"/>
  <c r="AB211" i="3"/>
  <c r="U214" i="3"/>
  <c r="AA216" i="3"/>
  <c r="T219" i="3"/>
  <c r="Z221" i="3"/>
  <c r="S224" i="3"/>
  <c r="Y226" i="3"/>
  <c r="R229" i="3"/>
  <c r="X231" i="3"/>
  <c r="Q234" i="3"/>
  <c r="W236" i="3"/>
  <c r="P239" i="3"/>
  <c r="V241" i="3"/>
  <c r="Z243" i="3"/>
  <c r="P245" i="3"/>
  <c r="S246" i="3"/>
  <c r="T247" i="3"/>
  <c r="S248" i="3"/>
  <c r="S249" i="3"/>
  <c r="T250" i="3"/>
  <c r="Q251" i="3"/>
  <c r="Z251" i="3"/>
  <c r="U252" i="3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AE276" i="3" s="1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X333" i="3"/>
  <c r="AA144" i="3"/>
  <c r="S169" i="3"/>
  <c r="Q179" i="3"/>
  <c r="AB188" i="3"/>
  <c r="Z198" i="3"/>
  <c r="U204" i="3"/>
  <c r="X207" i="3"/>
  <c r="Q210" i="3"/>
  <c r="W212" i="3"/>
  <c r="P215" i="3"/>
  <c r="V217" i="3"/>
  <c r="AB219" i="3"/>
  <c r="U222" i="3"/>
  <c r="AA224" i="3"/>
  <c r="T227" i="3"/>
  <c r="Z229" i="3"/>
  <c r="S232" i="3"/>
  <c r="Y234" i="3"/>
  <c r="R237" i="3"/>
  <c r="X239" i="3"/>
  <c r="Q242" i="3"/>
  <c r="S244" i="3"/>
  <c r="V245" i="3"/>
  <c r="X246" i="3"/>
  <c r="V247" i="3"/>
  <c r="W248" i="3"/>
  <c r="V249" i="3"/>
  <c r="V250" i="3"/>
  <c r="S251" i="3"/>
  <c r="AB251" i="3"/>
  <c r="W252" i="3"/>
  <c r="R253" i="3"/>
  <c r="Z253" i="3"/>
  <c r="U254" i="3"/>
  <c r="AE254" i="3" s="1"/>
  <c r="P255" i="3"/>
  <c r="X255" i="3"/>
  <c r="S256" i="3"/>
  <c r="AA256" i="3"/>
  <c r="V257" i="3"/>
  <c r="Q258" i="3"/>
  <c r="Y258" i="3"/>
  <c r="T259" i="3"/>
  <c r="AB259" i="3"/>
  <c r="W260" i="3"/>
  <c r="R261" i="3"/>
  <c r="Z261" i="3"/>
  <c r="U262" i="3"/>
  <c r="P263" i="3"/>
  <c r="X263" i="3"/>
  <c r="S264" i="3"/>
  <c r="AA264" i="3"/>
  <c r="V265" i="3"/>
  <c r="Q266" i="3"/>
  <c r="Y266" i="3"/>
  <c r="T267" i="3"/>
  <c r="AB267" i="3"/>
  <c r="W268" i="3"/>
  <c r="R269" i="3"/>
  <c r="Z269" i="3"/>
  <c r="U270" i="3"/>
  <c r="P271" i="3"/>
  <c r="X271" i="3"/>
  <c r="S272" i="3"/>
  <c r="AA272" i="3"/>
  <c r="V273" i="3"/>
  <c r="Q274" i="3"/>
  <c r="Y274" i="3"/>
  <c r="T275" i="3"/>
  <c r="AB275" i="3"/>
  <c r="W276" i="3"/>
  <c r="R277" i="3"/>
  <c r="Z277" i="3"/>
  <c r="U278" i="3"/>
  <c r="AE278" i="3" s="1"/>
  <c r="P279" i="3"/>
  <c r="X279" i="3"/>
  <c r="S280" i="3"/>
  <c r="AA280" i="3"/>
  <c r="V281" i="3"/>
  <c r="Q282" i="3"/>
  <c r="Y282" i="3"/>
  <c r="T283" i="3"/>
  <c r="AB283" i="3"/>
  <c r="W284" i="3"/>
  <c r="R285" i="3"/>
  <c r="Z285" i="3"/>
  <c r="U286" i="3"/>
  <c r="P287" i="3"/>
  <c r="X287" i="3"/>
  <c r="S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P303" i="3"/>
  <c r="X303" i="3"/>
  <c r="S304" i="3"/>
  <c r="AA304" i="3"/>
  <c r="V305" i="3"/>
  <c r="Q306" i="3"/>
  <c r="Y306" i="3"/>
  <c r="T307" i="3"/>
  <c r="AB307" i="3"/>
  <c r="W308" i="3"/>
  <c r="R309" i="3"/>
  <c r="Z309" i="3"/>
  <c r="U310" i="3"/>
  <c r="P311" i="3"/>
  <c r="X311" i="3"/>
  <c r="S312" i="3"/>
  <c r="AA312" i="3"/>
  <c r="V313" i="3"/>
  <c r="Q314" i="3"/>
  <c r="Y314" i="3"/>
  <c r="T315" i="3"/>
  <c r="AB315" i="3"/>
  <c r="W316" i="3"/>
  <c r="R317" i="3"/>
  <c r="Z317" i="3"/>
  <c r="U318" i="3"/>
  <c r="AE318" i="3" s="1"/>
  <c r="P319" i="3"/>
  <c r="X319" i="3"/>
  <c r="S320" i="3"/>
  <c r="AA320" i="3"/>
  <c r="V321" i="3"/>
  <c r="Q322" i="3"/>
  <c r="Y322" i="3"/>
  <c r="T323" i="3"/>
  <c r="AB323" i="3"/>
  <c r="W324" i="3"/>
  <c r="R325" i="3"/>
  <c r="Z325" i="3"/>
  <c r="U326" i="3"/>
  <c r="P327" i="3"/>
  <c r="X327" i="3"/>
  <c r="S328" i="3"/>
  <c r="AA328" i="3"/>
  <c r="V329" i="3"/>
  <c r="Q330" i="3"/>
  <c r="Z149" i="3"/>
  <c r="V170" i="3"/>
  <c r="T180" i="3"/>
  <c r="R190" i="3"/>
  <c r="P200" i="3"/>
  <c r="AB204" i="3"/>
  <c r="AB207" i="3"/>
  <c r="U210" i="3"/>
  <c r="AA212" i="3"/>
  <c r="T215" i="3"/>
  <c r="Z217" i="3"/>
  <c r="S220" i="3"/>
  <c r="Y222" i="3"/>
  <c r="R225" i="3"/>
  <c r="X227" i="3"/>
  <c r="Q230" i="3"/>
  <c r="W232" i="3"/>
  <c r="P235" i="3"/>
  <c r="V237" i="3"/>
  <c r="AB239" i="3"/>
  <c r="U242" i="3"/>
  <c r="AE242" i="3" s="1"/>
  <c r="T244" i="3"/>
  <c r="W245" i="3"/>
  <c r="Y246" i="3"/>
  <c r="X247" i="3"/>
  <c r="X248" i="3"/>
  <c r="Y249" i="3"/>
  <c r="W250" i="3"/>
  <c r="T251" i="3"/>
  <c r="P252" i="3"/>
  <c r="X252" i="3"/>
  <c r="S253" i="3"/>
  <c r="AA253" i="3"/>
  <c r="V254" i="3"/>
  <c r="Q255" i="3"/>
  <c r="Y255" i="3"/>
  <c r="T256" i="3"/>
  <c r="AB256" i="3"/>
  <c r="W257" i="3"/>
  <c r="R258" i="3"/>
  <c r="Z258" i="3"/>
  <c r="U259" i="3"/>
  <c r="P260" i="3"/>
  <c r="X260" i="3"/>
  <c r="S261" i="3"/>
  <c r="AA261" i="3"/>
  <c r="V262" i="3"/>
  <c r="Q263" i="3"/>
  <c r="Y263" i="3"/>
  <c r="T264" i="3"/>
  <c r="AB264" i="3"/>
  <c r="W265" i="3"/>
  <c r="R266" i="3"/>
  <c r="Z266" i="3"/>
  <c r="U267" i="3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AE275" i="3" s="1"/>
  <c r="P276" i="3"/>
  <c r="X276" i="3"/>
  <c r="S277" i="3"/>
  <c r="AA277" i="3"/>
  <c r="V278" i="3"/>
  <c r="Q279" i="3"/>
  <c r="Y279" i="3"/>
  <c r="T280" i="3"/>
  <c r="AB280" i="3"/>
  <c r="W281" i="3"/>
  <c r="R282" i="3"/>
  <c r="Z282" i="3"/>
  <c r="U283" i="3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AE291" i="3" s="1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AE315" i="3" s="1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T101" i="3"/>
  <c r="X192" i="3"/>
  <c r="P211" i="3"/>
  <c r="AA220" i="3"/>
  <c r="Y230" i="3"/>
  <c r="W240" i="3"/>
  <c r="AA246" i="3"/>
  <c r="Y250" i="3"/>
  <c r="U253" i="3"/>
  <c r="AA255" i="3"/>
  <c r="T258" i="3"/>
  <c r="Z260" i="3"/>
  <c r="S263" i="3"/>
  <c r="Y265" i="3"/>
  <c r="R268" i="3"/>
  <c r="X270" i="3"/>
  <c r="Q273" i="3"/>
  <c r="W275" i="3"/>
  <c r="P278" i="3"/>
  <c r="V280" i="3"/>
  <c r="AB282" i="3"/>
  <c r="U285" i="3"/>
  <c r="AE285" i="3" s="1"/>
  <c r="AA287" i="3"/>
  <c r="T290" i="3"/>
  <c r="Z292" i="3"/>
  <c r="S295" i="3"/>
  <c r="Y297" i="3"/>
  <c r="R300" i="3"/>
  <c r="X302" i="3"/>
  <c r="Q305" i="3"/>
  <c r="W307" i="3"/>
  <c r="P310" i="3"/>
  <c r="V312" i="3"/>
  <c r="AB314" i="3"/>
  <c r="U317" i="3"/>
  <c r="AA319" i="3"/>
  <c r="T322" i="3"/>
  <c r="Z324" i="3"/>
  <c r="S327" i="3"/>
  <c r="Y329" i="3"/>
  <c r="W331" i="3"/>
  <c r="Q333" i="3"/>
  <c r="S334" i="3"/>
  <c r="Q335" i="3"/>
  <c r="R336" i="3"/>
  <c r="Q337" i="3"/>
  <c r="Q338" i="3"/>
  <c r="Y338" i="3"/>
  <c r="T339" i="3"/>
  <c r="AB339" i="3"/>
  <c r="W340" i="3"/>
  <c r="R341" i="3"/>
  <c r="Z341" i="3"/>
  <c r="U342" i="3"/>
  <c r="AE342" i="3" s="1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AE366" i="3" s="1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P375" i="3"/>
  <c r="X375" i="3"/>
  <c r="S376" i="3"/>
  <c r="AA376" i="3"/>
  <c r="V377" i="3"/>
  <c r="Q378" i="3"/>
  <c r="Y378" i="3"/>
  <c r="T379" i="3"/>
  <c r="AB379" i="3"/>
  <c r="W380" i="3"/>
  <c r="R381" i="3"/>
  <c r="Z381" i="3"/>
  <c r="U382" i="3"/>
  <c r="P383" i="3"/>
  <c r="X383" i="3"/>
  <c r="S384" i="3"/>
  <c r="AA384" i="3"/>
  <c r="V385" i="3"/>
  <c r="Q386" i="3"/>
  <c r="Y386" i="3"/>
  <c r="T387" i="3"/>
  <c r="AB387" i="3"/>
  <c r="W388" i="3"/>
  <c r="R389" i="3"/>
  <c r="Z389" i="3"/>
  <c r="U390" i="3"/>
  <c r="AE390" i="3" s="1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P399" i="3"/>
  <c r="X399" i="3"/>
  <c r="S400" i="3"/>
  <c r="AA400" i="3"/>
  <c r="V401" i="3"/>
  <c r="Q402" i="3"/>
  <c r="Y402" i="3"/>
  <c r="T403" i="3"/>
  <c r="AB403" i="3"/>
  <c r="W404" i="3"/>
  <c r="R405" i="3"/>
  <c r="Z405" i="3"/>
  <c r="U406" i="3"/>
  <c r="AE406" i="3" s="1"/>
  <c r="P407" i="3"/>
  <c r="X407" i="3"/>
  <c r="S408" i="3"/>
  <c r="AA408" i="3"/>
  <c r="V409" i="3"/>
  <c r="Q410" i="3"/>
  <c r="Y410" i="3"/>
  <c r="T411" i="3"/>
  <c r="AB411" i="3"/>
  <c r="W412" i="3"/>
  <c r="R413" i="3"/>
  <c r="Z413" i="3"/>
  <c r="X159" i="3"/>
  <c r="U201" i="3"/>
  <c r="AE201" i="3" s="1"/>
  <c r="V213" i="3"/>
  <c r="T223" i="3"/>
  <c r="R233" i="3"/>
  <c r="P243" i="3"/>
  <c r="AB247" i="3"/>
  <c r="W251" i="3"/>
  <c r="P254" i="3"/>
  <c r="V256" i="3"/>
  <c r="AB258" i="3"/>
  <c r="U261" i="3"/>
  <c r="AE261" i="3" s="1"/>
  <c r="AA263" i="3"/>
  <c r="T266" i="3"/>
  <c r="Z268" i="3"/>
  <c r="S271" i="3"/>
  <c r="Y273" i="3"/>
  <c r="R276" i="3"/>
  <c r="X278" i="3"/>
  <c r="Q281" i="3"/>
  <c r="W283" i="3"/>
  <c r="P286" i="3"/>
  <c r="V288" i="3"/>
  <c r="AB290" i="3"/>
  <c r="U293" i="3"/>
  <c r="AA295" i="3"/>
  <c r="T298" i="3"/>
  <c r="Z300" i="3"/>
  <c r="S303" i="3"/>
  <c r="Y305" i="3"/>
  <c r="R308" i="3"/>
  <c r="X310" i="3"/>
  <c r="Q313" i="3"/>
  <c r="W315" i="3"/>
  <c r="P318" i="3"/>
  <c r="V320" i="3"/>
  <c r="AB322" i="3"/>
  <c r="U325" i="3"/>
  <c r="AA327" i="3"/>
  <c r="T330" i="3"/>
  <c r="AB331" i="3"/>
  <c r="S333" i="3"/>
  <c r="U334" i="3"/>
  <c r="AE334" i="3" s="1"/>
  <c r="V335" i="3"/>
  <c r="T336" i="3"/>
  <c r="U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P409" i="3"/>
  <c r="X409" i="3"/>
  <c r="S410" i="3"/>
  <c r="AA410" i="3"/>
  <c r="V411" i="3"/>
  <c r="Q412" i="3"/>
  <c r="Y412" i="3"/>
  <c r="T413" i="3"/>
  <c r="AB413" i="3"/>
  <c r="W414" i="3"/>
  <c r="P168" i="3"/>
  <c r="AA203" i="3"/>
  <c r="Y214" i="3"/>
  <c r="W224" i="3"/>
  <c r="U234" i="3"/>
  <c r="AB243" i="3"/>
  <c r="V248" i="3"/>
  <c r="AA251" i="3"/>
  <c r="T254" i="3"/>
  <c r="Z256" i="3"/>
  <c r="S259" i="3"/>
  <c r="Y261" i="3"/>
  <c r="R264" i="3"/>
  <c r="X266" i="3"/>
  <c r="Q269" i="3"/>
  <c r="W271" i="3"/>
  <c r="P274" i="3"/>
  <c r="V276" i="3"/>
  <c r="AB278" i="3"/>
  <c r="U281" i="3"/>
  <c r="AA283" i="3"/>
  <c r="T286" i="3"/>
  <c r="Z288" i="3"/>
  <c r="S291" i="3"/>
  <c r="Y293" i="3"/>
  <c r="R296" i="3"/>
  <c r="X298" i="3"/>
  <c r="Q301" i="3"/>
  <c r="W303" i="3"/>
  <c r="P306" i="3"/>
  <c r="V308" i="3"/>
  <c r="AB310" i="3"/>
  <c r="U313" i="3"/>
  <c r="AE313" i="3" s="1"/>
  <c r="AA315" i="3"/>
  <c r="T318" i="3"/>
  <c r="Z320" i="3"/>
  <c r="S323" i="3"/>
  <c r="Y325" i="3"/>
  <c r="R328" i="3"/>
  <c r="X330" i="3"/>
  <c r="R332" i="3"/>
  <c r="U333" i="3"/>
  <c r="V334" i="3"/>
  <c r="W335" i="3"/>
  <c r="V336" i="3"/>
  <c r="V337" i="3"/>
  <c r="T338" i="3"/>
  <c r="AB338" i="3"/>
  <c r="W339" i="3"/>
  <c r="R340" i="3"/>
  <c r="Z340" i="3"/>
  <c r="U341" i="3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AE413" i="3" s="1"/>
  <c r="P414" i="3"/>
  <c r="AB172" i="3"/>
  <c r="AA205" i="3"/>
  <c r="AB215" i="3"/>
  <c r="Z225" i="3"/>
  <c r="X235" i="3"/>
  <c r="W244" i="3"/>
  <c r="AA248" i="3"/>
  <c r="R252" i="3"/>
  <c r="X254" i="3"/>
  <c r="Q257" i="3"/>
  <c r="W259" i="3"/>
  <c r="P262" i="3"/>
  <c r="V264" i="3"/>
  <c r="AB266" i="3"/>
  <c r="U269" i="3"/>
  <c r="AE269" i="3" s="1"/>
  <c r="AA271" i="3"/>
  <c r="T274" i="3"/>
  <c r="Z276" i="3"/>
  <c r="S279" i="3"/>
  <c r="Y281" i="3"/>
  <c r="R284" i="3"/>
  <c r="X286" i="3"/>
  <c r="Q289" i="3"/>
  <c r="W291" i="3"/>
  <c r="P294" i="3"/>
  <c r="V296" i="3"/>
  <c r="AB298" i="3"/>
  <c r="U301" i="3"/>
  <c r="AA303" i="3"/>
  <c r="T306" i="3"/>
  <c r="Z308" i="3"/>
  <c r="S311" i="3"/>
  <c r="Y313" i="3"/>
  <c r="R316" i="3"/>
  <c r="X318" i="3"/>
  <c r="Q321" i="3"/>
  <c r="W323" i="3"/>
  <c r="P326" i="3"/>
  <c r="V328" i="3"/>
  <c r="Y330" i="3"/>
  <c r="V332" i="3"/>
  <c r="Y333" i="3"/>
  <c r="X334" i="3"/>
  <c r="X335" i="3"/>
  <c r="Y336" i="3"/>
  <c r="W337" i="3"/>
  <c r="U338" i="3"/>
  <c r="AE338" i="3" s="1"/>
  <c r="P339" i="3"/>
  <c r="X339" i="3"/>
  <c r="S340" i="3"/>
  <c r="AA340" i="3"/>
  <c r="V341" i="3"/>
  <c r="Q342" i="3"/>
  <c r="Y342" i="3"/>
  <c r="T343" i="3"/>
  <c r="AB343" i="3"/>
  <c r="W344" i="3"/>
  <c r="R345" i="3"/>
  <c r="Z345" i="3"/>
  <c r="U346" i="3"/>
  <c r="P347" i="3"/>
  <c r="X347" i="3"/>
  <c r="S348" i="3"/>
  <c r="AA348" i="3"/>
  <c r="V349" i="3"/>
  <c r="Q350" i="3"/>
  <c r="Y350" i="3"/>
  <c r="T351" i="3"/>
  <c r="AB351" i="3"/>
  <c r="W352" i="3"/>
  <c r="R353" i="3"/>
  <c r="Z353" i="3"/>
  <c r="U354" i="3"/>
  <c r="P355" i="3"/>
  <c r="X355" i="3"/>
  <c r="S356" i="3"/>
  <c r="AA356" i="3"/>
  <c r="V357" i="3"/>
  <c r="Q358" i="3"/>
  <c r="Y358" i="3"/>
  <c r="T359" i="3"/>
  <c r="AB359" i="3"/>
  <c r="W360" i="3"/>
  <c r="R361" i="3"/>
  <c r="Z361" i="3"/>
  <c r="U362" i="3"/>
  <c r="AE362" i="3" s="1"/>
  <c r="P363" i="3"/>
  <c r="X363" i="3"/>
  <c r="S364" i="3"/>
  <c r="AA364" i="3"/>
  <c r="V365" i="3"/>
  <c r="Q366" i="3"/>
  <c r="Y366" i="3"/>
  <c r="T367" i="3"/>
  <c r="AB367" i="3"/>
  <c r="W368" i="3"/>
  <c r="R369" i="3"/>
  <c r="Z369" i="3"/>
  <c r="U370" i="3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P379" i="3"/>
  <c r="X379" i="3"/>
  <c r="S380" i="3"/>
  <c r="AA380" i="3"/>
  <c r="V381" i="3"/>
  <c r="Q382" i="3"/>
  <c r="Y382" i="3"/>
  <c r="T383" i="3"/>
  <c r="AB383" i="3"/>
  <c r="W384" i="3"/>
  <c r="R385" i="3"/>
  <c r="Z385" i="3"/>
  <c r="U386" i="3"/>
  <c r="AE386" i="3" s="1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AE402" i="3" s="1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P411" i="3"/>
  <c r="X411" i="3"/>
  <c r="S412" i="3"/>
  <c r="AA412" i="3"/>
  <c r="V413" i="3"/>
  <c r="Q414" i="3"/>
  <c r="Z182" i="3"/>
  <c r="W208" i="3"/>
  <c r="U218" i="3"/>
  <c r="AE218" i="3" s="1"/>
  <c r="S228" i="3"/>
  <c r="Q238" i="3"/>
  <c r="Z245" i="3"/>
  <c r="AA249" i="3"/>
  <c r="Z252" i="3"/>
  <c r="S255" i="3"/>
  <c r="Y257" i="3"/>
  <c r="R260" i="3"/>
  <c r="X262" i="3"/>
  <c r="Q265" i="3"/>
  <c r="W267" i="3"/>
  <c r="P270" i="3"/>
  <c r="V272" i="3"/>
  <c r="AB274" i="3"/>
  <c r="U277" i="3"/>
  <c r="AA279" i="3"/>
  <c r="T282" i="3"/>
  <c r="Z284" i="3"/>
  <c r="S287" i="3"/>
  <c r="Y289" i="3"/>
  <c r="R292" i="3"/>
  <c r="X294" i="3"/>
  <c r="Q297" i="3"/>
  <c r="W299" i="3"/>
  <c r="P302" i="3"/>
  <c r="V304" i="3"/>
  <c r="AB306" i="3"/>
  <c r="U309" i="3"/>
  <c r="AA311" i="3"/>
  <c r="T314" i="3"/>
  <c r="Z316" i="3"/>
  <c r="S319" i="3"/>
  <c r="Y321" i="3"/>
  <c r="R324" i="3"/>
  <c r="X326" i="3"/>
  <c r="Q329" i="3"/>
  <c r="S331" i="3"/>
  <c r="X332" i="3"/>
  <c r="AA333" i="3"/>
  <c r="AB334" i="3"/>
  <c r="AA335" i="3"/>
  <c r="AA336" i="3"/>
  <c r="AB337" i="3"/>
  <c r="W338" i="3"/>
  <c r="R339" i="3"/>
  <c r="Z339" i="3"/>
  <c r="U340" i="3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P413" i="3"/>
  <c r="X413" i="3"/>
  <c r="S414" i="3"/>
  <c r="Y187" i="3"/>
  <c r="Z209" i="3"/>
  <c r="X219" i="3"/>
  <c r="V229" i="3"/>
  <c r="T239" i="3"/>
  <c r="U246" i="3"/>
  <c r="U250" i="3"/>
  <c r="Q253" i="3"/>
  <c r="W255" i="3"/>
  <c r="P258" i="3"/>
  <c r="V260" i="3"/>
  <c r="AB262" i="3"/>
  <c r="U265" i="3"/>
  <c r="AA267" i="3"/>
  <c r="T270" i="3"/>
  <c r="Z272" i="3"/>
  <c r="S275" i="3"/>
  <c r="Y277" i="3"/>
  <c r="R280" i="3"/>
  <c r="X282" i="3"/>
  <c r="Q285" i="3"/>
  <c r="W287" i="3"/>
  <c r="P290" i="3"/>
  <c r="V292" i="3"/>
  <c r="AB294" i="3"/>
  <c r="U297" i="3"/>
  <c r="AE297" i="3" s="1"/>
  <c r="AA299" i="3"/>
  <c r="T302" i="3"/>
  <c r="Z304" i="3"/>
  <c r="S307" i="3"/>
  <c r="Y309" i="3"/>
  <c r="R312" i="3"/>
  <c r="X314" i="3"/>
  <c r="Q317" i="3"/>
  <c r="W319" i="3"/>
  <c r="P322" i="3"/>
  <c r="V324" i="3"/>
  <c r="AB326" i="3"/>
  <c r="U329" i="3"/>
  <c r="T331" i="3"/>
  <c r="Z332" i="3"/>
  <c r="P334" i="3"/>
  <c r="P335" i="3"/>
  <c r="Q336" i="3"/>
  <c r="AB336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139" i="3"/>
  <c r="AB231" i="3"/>
  <c r="Y253" i="3"/>
  <c r="W263" i="3"/>
  <c r="U273" i="3"/>
  <c r="S283" i="3"/>
  <c r="Q293" i="3"/>
  <c r="AB302" i="3"/>
  <c r="Z312" i="3"/>
  <c r="X322" i="3"/>
  <c r="AA331" i="3"/>
  <c r="S336" i="3"/>
  <c r="U339" i="3"/>
  <c r="AA341" i="3"/>
  <c r="T344" i="3"/>
  <c r="Z346" i="3"/>
  <c r="S349" i="3"/>
  <c r="Y351" i="3"/>
  <c r="R354" i="3"/>
  <c r="X356" i="3"/>
  <c r="Q359" i="3"/>
  <c r="W361" i="3"/>
  <c r="P364" i="3"/>
  <c r="V366" i="3"/>
  <c r="AB368" i="3"/>
  <c r="U371" i="3"/>
  <c r="AA373" i="3"/>
  <c r="T376" i="3"/>
  <c r="Z378" i="3"/>
  <c r="S381" i="3"/>
  <c r="Y383" i="3"/>
  <c r="R386" i="3"/>
  <c r="X388" i="3"/>
  <c r="Q391" i="3"/>
  <c r="W393" i="3"/>
  <c r="P396" i="3"/>
  <c r="V398" i="3"/>
  <c r="AB400" i="3"/>
  <c r="U403" i="3"/>
  <c r="AE403" i="3" s="1"/>
  <c r="AA405" i="3"/>
  <c r="T408" i="3"/>
  <c r="Z410" i="3"/>
  <c r="S413" i="3"/>
  <c r="Z414" i="3"/>
  <c r="U415" i="3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P488" i="3"/>
  <c r="X488" i="3"/>
  <c r="S489" i="3"/>
  <c r="AA489" i="3"/>
  <c r="V490" i="3"/>
  <c r="Q491" i="3"/>
  <c r="Y491" i="3"/>
  <c r="T492" i="3"/>
  <c r="AB492" i="3"/>
  <c r="W197" i="3"/>
  <c r="Z241" i="3"/>
  <c r="R256" i="3"/>
  <c r="P266" i="3"/>
  <c r="AA275" i="3"/>
  <c r="Y285" i="3"/>
  <c r="W295" i="3"/>
  <c r="U305" i="3"/>
  <c r="S315" i="3"/>
  <c r="Q325" i="3"/>
  <c r="R333" i="3"/>
  <c r="T337" i="3"/>
  <c r="P340" i="3"/>
  <c r="V342" i="3"/>
  <c r="AB344" i="3"/>
  <c r="U347" i="3"/>
  <c r="AA349" i="3"/>
  <c r="T352" i="3"/>
  <c r="Z354" i="3"/>
  <c r="S357" i="3"/>
  <c r="Y359" i="3"/>
  <c r="R362" i="3"/>
  <c r="X364" i="3"/>
  <c r="Q367" i="3"/>
  <c r="W369" i="3"/>
  <c r="P372" i="3"/>
  <c r="V374" i="3"/>
  <c r="AB376" i="3"/>
  <c r="U379" i="3"/>
  <c r="AE379" i="3" s="1"/>
  <c r="AA381" i="3"/>
  <c r="T384" i="3"/>
  <c r="Z386" i="3"/>
  <c r="S389" i="3"/>
  <c r="Y391" i="3"/>
  <c r="R394" i="3"/>
  <c r="X396" i="3"/>
  <c r="Q399" i="3"/>
  <c r="W401" i="3"/>
  <c r="P404" i="3"/>
  <c r="V406" i="3"/>
  <c r="AB408" i="3"/>
  <c r="U411" i="3"/>
  <c r="AA413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AE465" i="3" s="1"/>
  <c r="P466" i="3"/>
  <c r="X466" i="3"/>
  <c r="S467" i="3"/>
  <c r="AA467" i="3"/>
  <c r="V468" i="3"/>
  <c r="Q469" i="3"/>
  <c r="Y469" i="3"/>
  <c r="T470" i="3"/>
  <c r="AB470" i="3"/>
  <c r="W471" i="3"/>
  <c r="R472" i="3"/>
  <c r="Z472" i="3"/>
  <c r="U473" i="3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T207" i="3"/>
  <c r="R245" i="3"/>
  <c r="U257" i="3"/>
  <c r="AE257" i="3" s="1"/>
  <c r="S267" i="3"/>
  <c r="Q277" i="3"/>
  <c r="AB286" i="3"/>
  <c r="Z296" i="3"/>
  <c r="X306" i="3"/>
  <c r="V316" i="3"/>
  <c r="T326" i="3"/>
  <c r="Z333" i="3"/>
  <c r="Y337" i="3"/>
  <c r="T340" i="3"/>
  <c r="Z342" i="3"/>
  <c r="S345" i="3"/>
  <c r="Y347" i="3"/>
  <c r="R350" i="3"/>
  <c r="X352" i="3"/>
  <c r="Q355" i="3"/>
  <c r="W357" i="3"/>
  <c r="P360" i="3"/>
  <c r="V362" i="3"/>
  <c r="AB364" i="3"/>
  <c r="U367" i="3"/>
  <c r="AA369" i="3"/>
  <c r="T372" i="3"/>
  <c r="Z374" i="3"/>
  <c r="S377" i="3"/>
  <c r="Y379" i="3"/>
  <c r="R382" i="3"/>
  <c r="X384" i="3"/>
  <c r="Q387" i="3"/>
  <c r="W389" i="3"/>
  <c r="P392" i="3"/>
  <c r="V394" i="3"/>
  <c r="AB396" i="3"/>
  <c r="U399" i="3"/>
  <c r="AA401" i="3"/>
  <c r="T404" i="3"/>
  <c r="Z406" i="3"/>
  <c r="S409" i="3"/>
  <c r="Y411" i="3"/>
  <c r="R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AE438" i="3" s="1"/>
  <c r="P439" i="3"/>
  <c r="X439" i="3"/>
  <c r="S440" i="3"/>
  <c r="AA440" i="3"/>
  <c r="V441" i="3"/>
  <c r="Q442" i="3"/>
  <c r="Y442" i="3"/>
  <c r="T443" i="3"/>
  <c r="AB443" i="3"/>
  <c r="W444" i="3"/>
  <c r="R445" i="3"/>
  <c r="Z445" i="3"/>
  <c r="U446" i="3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AE462" i="3" s="1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P471" i="3"/>
  <c r="X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P487" i="3"/>
  <c r="X487" i="3"/>
  <c r="S488" i="3"/>
  <c r="AA488" i="3"/>
  <c r="V489" i="3"/>
  <c r="Q490" i="3"/>
  <c r="Y490" i="3"/>
  <c r="T491" i="3"/>
  <c r="AB491" i="3"/>
  <c r="W492" i="3"/>
  <c r="S212" i="3"/>
  <c r="U247" i="3"/>
  <c r="X258" i="3"/>
  <c r="V268" i="3"/>
  <c r="T278" i="3"/>
  <c r="R288" i="3"/>
  <c r="P298" i="3"/>
  <c r="AA307" i="3"/>
  <c r="Y317" i="3"/>
  <c r="W327" i="3"/>
  <c r="T334" i="3"/>
  <c r="R338" i="3"/>
  <c r="X340" i="3"/>
  <c r="Q343" i="3"/>
  <c r="W345" i="3"/>
  <c r="P348" i="3"/>
  <c r="V350" i="3"/>
  <c r="AB352" i="3"/>
  <c r="U355" i="3"/>
  <c r="AA357" i="3"/>
  <c r="T360" i="3"/>
  <c r="Z362" i="3"/>
  <c r="S365" i="3"/>
  <c r="Y367" i="3"/>
  <c r="R370" i="3"/>
  <c r="X372" i="3"/>
  <c r="Q375" i="3"/>
  <c r="W377" i="3"/>
  <c r="P380" i="3"/>
  <c r="V382" i="3"/>
  <c r="AB384" i="3"/>
  <c r="U387" i="3"/>
  <c r="AA389" i="3"/>
  <c r="T392" i="3"/>
  <c r="Z394" i="3"/>
  <c r="S397" i="3"/>
  <c r="Y399" i="3"/>
  <c r="R402" i="3"/>
  <c r="X404" i="3"/>
  <c r="Q407" i="3"/>
  <c r="W409" i="3"/>
  <c r="P412" i="3"/>
  <c r="U414" i="3"/>
  <c r="Q415" i="3"/>
  <c r="Y415" i="3"/>
  <c r="T416" i="3"/>
  <c r="AB416" i="3"/>
  <c r="W417" i="3"/>
  <c r="R418" i="3"/>
  <c r="Z418" i="3"/>
  <c r="U419" i="3"/>
  <c r="P420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AE427" i="3" s="1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P436" i="3"/>
  <c r="X436" i="3"/>
  <c r="S437" i="3"/>
  <c r="AA437" i="3"/>
  <c r="V438" i="3"/>
  <c r="Q439" i="3"/>
  <c r="Y439" i="3"/>
  <c r="T440" i="3"/>
  <c r="AB440" i="3"/>
  <c r="W441" i="3"/>
  <c r="R442" i="3"/>
  <c r="Z442" i="3"/>
  <c r="U443" i="3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AE451" i="3" s="1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P460" i="3"/>
  <c r="X460" i="3"/>
  <c r="S461" i="3"/>
  <c r="AA461" i="3"/>
  <c r="V462" i="3"/>
  <c r="Q463" i="3"/>
  <c r="Y463" i="3"/>
  <c r="T464" i="3"/>
  <c r="AB464" i="3"/>
  <c r="W465" i="3"/>
  <c r="R466" i="3"/>
  <c r="Z466" i="3"/>
  <c r="U467" i="3"/>
  <c r="AE467" i="3" s="1"/>
  <c r="P468" i="3"/>
  <c r="X468" i="3"/>
  <c r="S469" i="3"/>
  <c r="AA469" i="3"/>
  <c r="V470" i="3"/>
  <c r="Q471" i="3"/>
  <c r="Y471" i="3"/>
  <c r="T472" i="3"/>
  <c r="AB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Q222" i="3"/>
  <c r="R251" i="3"/>
  <c r="Q261" i="3"/>
  <c r="AB270" i="3"/>
  <c r="Z280" i="3"/>
  <c r="X290" i="3"/>
  <c r="V300" i="3"/>
  <c r="T310" i="3"/>
  <c r="R320" i="3"/>
  <c r="P330" i="3"/>
  <c r="S335" i="3"/>
  <c r="Z338" i="3"/>
  <c r="S341" i="3"/>
  <c r="Y343" i="3"/>
  <c r="R346" i="3"/>
  <c r="X348" i="3"/>
  <c r="Q351" i="3"/>
  <c r="W353" i="3"/>
  <c r="P356" i="3"/>
  <c r="V358" i="3"/>
  <c r="AB360" i="3"/>
  <c r="U363" i="3"/>
  <c r="AE363" i="3" s="1"/>
  <c r="AA365" i="3"/>
  <c r="T368" i="3"/>
  <c r="Z370" i="3"/>
  <c r="S373" i="3"/>
  <c r="Y375" i="3"/>
  <c r="R378" i="3"/>
  <c r="X380" i="3"/>
  <c r="Q383" i="3"/>
  <c r="W385" i="3"/>
  <c r="P388" i="3"/>
  <c r="V390" i="3"/>
  <c r="AB392" i="3"/>
  <c r="U395" i="3"/>
  <c r="AA397" i="3"/>
  <c r="T400" i="3"/>
  <c r="Z402" i="3"/>
  <c r="S405" i="3"/>
  <c r="Y407" i="3"/>
  <c r="R410" i="3"/>
  <c r="X412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P454" i="3"/>
  <c r="X454" i="3"/>
  <c r="S455" i="3"/>
  <c r="AA455" i="3"/>
  <c r="V456" i="3"/>
  <c r="Q457" i="3"/>
  <c r="Y457" i="3"/>
  <c r="T458" i="3"/>
  <c r="AB458" i="3"/>
  <c r="W459" i="3"/>
  <c r="R460" i="3"/>
  <c r="Z460" i="3"/>
  <c r="U461" i="3"/>
  <c r="P462" i="3"/>
  <c r="X462" i="3"/>
  <c r="S463" i="3"/>
  <c r="AA463" i="3"/>
  <c r="V464" i="3"/>
  <c r="Q465" i="3"/>
  <c r="Y465" i="3"/>
  <c r="T466" i="3"/>
  <c r="AB466" i="3"/>
  <c r="W467" i="3"/>
  <c r="R468" i="3"/>
  <c r="Z468" i="3"/>
  <c r="U469" i="3"/>
  <c r="AE469" i="3" s="1"/>
  <c r="P470" i="3"/>
  <c r="X470" i="3"/>
  <c r="S471" i="3"/>
  <c r="AA471" i="3"/>
  <c r="V472" i="3"/>
  <c r="Q473" i="3"/>
  <c r="Y473" i="3"/>
  <c r="T474" i="3"/>
  <c r="AB474" i="3"/>
  <c r="W475" i="3"/>
  <c r="R476" i="3"/>
  <c r="Z476" i="3"/>
  <c r="U477" i="3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P227" i="3"/>
  <c r="V252" i="3"/>
  <c r="T262" i="3"/>
  <c r="R272" i="3"/>
  <c r="P282" i="3"/>
  <c r="AA291" i="3"/>
  <c r="Y301" i="3"/>
  <c r="W311" i="3"/>
  <c r="U321" i="3"/>
  <c r="AB330" i="3"/>
  <c r="Y335" i="3"/>
  <c r="Q339" i="3"/>
  <c r="W341" i="3"/>
  <c r="P344" i="3"/>
  <c r="V346" i="3"/>
  <c r="AB348" i="3"/>
  <c r="U351" i="3"/>
  <c r="AA353" i="3"/>
  <c r="T356" i="3"/>
  <c r="Z358" i="3"/>
  <c r="S361" i="3"/>
  <c r="Y363" i="3"/>
  <c r="R366" i="3"/>
  <c r="X368" i="3"/>
  <c r="Q371" i="3"/>
  <c r="W373" i="3"/>
  <c r="P376" i="3"/>
  <c r="V378" i="3"/>
  <c r="AB380" i="3"/>
  <c r="U383" i="3"/>
  <c r="AA385" i="3"/>
  <c r="T388" i="3"/>
  <c r="Z390" i="3"/>
  <c r="S393" i="3"/>
  <c r="Y395" i="3"/>
  <c r="R398" i="3"/>
  <c r="X400" i="3"/>
  <c r="Q403" i="3"/>
  <c r="W405" i="3"/>
  <c r="P408" i="3"/>
  <c r="V410" i="3"/>
  <c r="AB412" i="3"/>
  <c r="Y414" i="3"/>
  <c r="T415" i="3"/>
  <c r="AB415" i="3"/>
  <c r="W416" i="3"/>
  <c r="R417" i="3"/>
  <c r="Z417" i="3"/>
  <c r="U418" i="3"/>
  <c r="P419" i="3"/>
  <c r="X419" i="3"/>
  <c r="S420" i="3"/>
  <c r="AA420" i="3"/>
  <c r="V421" i="3"/>
  <c r="Q422" i="3"/>
  <c r="Y422" i="3"/>
  <c r="T423" i="3"/>
  <c r="AB423" i="3"/>
  <c r="W424" i="3"/>
  <c r="R425" i="3"/>
  <c r="Z425" i="3"/>
  <c r="U426" i="3"/>
  <c r="P427" i="3"/>
  <c r="X427" i="3"/>
  <c r="S428" i="3"/>
  <c r="AA428" i="3"/>
  <c r="V429" i="3"/>
  <c r="Q430" i="3"/>
  <c r="Y430" i="3"/>
  <c r="T431" i="3"/>
  <c r="AB431" i="3"/>
  <c r="W432" i="3"/>
  <c r="R433" i="3"/>
  <c r="Z433" i="3"/>
  <c r="U434" i="3"/>
  <c r="AE434" i="3" s="1"/>
  <c r="P435" i="3"/>
  <c r="X435" i="3"/>
  <c r="S436" i="3"/>
  <c r="AA436" i="3"/>
  <c r="V437" i="3"/>
  <c r="Q438" i="3"/>
  <c r="Y438" i="3"/>
  <c r="T439" i="3"/>
  <c r="AB439" i="3"/>
  <c r="W440" i="3"/>
  <c r="R441" i="3"/>
  <c r="Z441" i="3"/>
  <c r="U442" i="3"/>
  <c r="P443" i="3"/>
  <c r="X443" i="3"/>
  <c r="S444" i="3"/>
  <c r="AA444" i="3"/>
  <c r="V445" i="3"/>
  <c r="Q446" i="3"/>
  <c r="Y446" i="3"/>
  <c r="T447" i="3"/>
  <c r="AB447" i="3"/>
  <c r="W448" i="3"/>
  <c r="R449" i="3"/>
  <c r="Z449" i="3"/>
  <c r="U450" i="3"/>
  <c r="P451" i="3"/>
  <c r="X451" i="3"/>
  <c r="S452" i="3"/>
  <c r="AA452" i="3"/>
  <c r="V453" i="3"/>
  <c r="Q454" i="3"/>
  <c r="Y454" i="3"/>
  <c r="T455" i="3"/>
  <c r="AB455" i="3"/>
  <c r="W456" i="3"/>
  <c r="R457" i="3"/>
  <c r="Z457" i="3"/>
  <c r="U458" i="3"/>
  <c r="AE458" i="3" s="1"/>
  <c r="P459" i="3"/>
  <c r="X459" i="3"/>
  <c r="S460" i="3"/>
  <c r="AA460" i="3"/>
  <c r="V461" i="3"/>
  <c r="Q462" i="3"/>
  <c r="Y462" i="3"/>
  <c r="T463" i="3"/>
  <c r="AB463" i="3"/>
  <c r="W464" i="3"/>
  <c r="R465" i="3"/>
  <c r="Z465" i="3"/>
  <c r="U466" i="3"/>
  <c r="P467" i="3"/>
  <c r="X467" i="3"/>
  <c r="S468" i="3"/>
  <c r="AA468" i="3"/>
  <c r="V469" i="3"/>
  <c r="Q470" i="3"/>
  <c r="Y470" i="3"/>
  <c r="T471" i="3"/>
  <c r="AB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P491" i="3"/>
  <c r="X491" i="3"/>
  <c r="S492" i="3"/>
  <c r="AA492" i="3"/>
  <c r="AA177" i="3"/>
  <c r="X274" i="3"/>
  <c r="P314" i="3"/>
  <c r="Y339" i="3"/>
  <c r="W349" i="3"/>
  <c r="U359" i="3"/>
  <c r="S369" i="3"/>
  <c r="Q379" i="3"/>
  <c r="AB388" i="3"/>
  <c r="Z398" i="3"/>
  <c r="X408" i="3"/>
  <c r="V415" i="3"/>
  <c r="AB417" i="3"/>
  <c r="U420" i="3"/>
  <c r="AA422" i="3"/>
  <c r="T425" i="3"/>
  <c r="Z427" i="3"/>
  <c r="S430" i="3"/>
  <c r="Y432" i="3"/>
  <c r="R435" i="3"/>
  <c r="X437" i="3"/>
  <c r="Q440" i="3"/>
  <c r="W442" i="3"/>
  <c r="P445" i="3"/>
  <c r="V447" i="3"/>
  <c r="AB449" i="3"/>
  <c r="U452" i="3"/>
  <c r="AA454" i="3"/>
  <c r="T457" i="3"/>
  <c r="Z459" i="3"/>
  <c r="S462" i="3"/>
  <c r="Y464" i="3"/>
  <c r="R467" i="3"/>
  <c r="X469" i="3"/>
  <c r="Q472" i="3"/>
  <c r="W474" i="3"/>
  <c r="P477" i="3"/>
  <c r="V479" i="3"/>
  <c r="AB481" i="3"/>
  <c r="U484" i="3"/>
  <c r="AE484" i="3" s="1"/>
  <c r="AA486" i="3"/>
  <c r="T489" i="3"/>
  <c r="Z491" i="3"/>
  <c r="V493" i="3"/>
  <c r="Q494" i="3"/>
  <c r="Y494" i="3"/>
  <c r="T495" i="3"/>
  <c r="AB495" i="3"/>
  <c r="W496" i="3"/>
  <c r="R497" i="3"/>
  <c r="Z497" i="3"/>
  <c r="U498" i="3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AA236" i="3"/>
  <c r="V284" i="3"/>
  <c r="AA323" i="3"/>
  <c r="R342" i="3"/>
  <c r="P352" i="3"/>
  <c r="AA361" i="3"/>
  <c r="Y371" i="3"/>
  <c r="W381" i="3"/>
  <c r="U391" i="3"/>
  <c r="S401" i="3"/>
  <c r="Q411" i="3"/>
  <c r="Q416" i="3"/>
  <c r="W418" i="3"/>
  <c r="P421" i="3"/>
  <c r="V423" i="3"/>
  <c r="AB425" i="3"/>
  <c r="U428" i="3"/>
  <c r="AE428" i="3" s="1"/>
  <c r="AA430" i="3"/>
  <c r="T433" i="3"/>
  <c r="Z435" i="3"/>
  <c r="S438" i="3"/>
  <c r="Y440" i="3"/>
  <c r="R443" i="3"/>
  <c r="X445" i="3"/>
  <c r="Q448" i="3"/>
  <c r="W450" i="3"/>
  <c r="P453" i="3"/>
  <c r="V455" i="3"/>
  <c r="AB457" i="3"/>
  <c r="U460" i="3"/>
  <c r="AA462" i="3"/>
  <c r="T465" i="3"/>
  <c r="Z467" i="3"/>
  <c r="S470" i="3"/>
  <c r="Y472" i="3"/>
  <c r="R475" i="3"/>
  <c r="X477" i="3"/>
  <c r="Q480" i="3"/>
  <c r="W482" i="3"/>
  <c r="P485" i="3"/>
  <c r="V487" i="3"/>
  <c r="AB489" i="3"/>
  <c r="U492" i="3"/>
  <c r="AE492" i="3" s="1"/>
  <c r="X493" i="3"/>
  <c r="S494" i="3"/>
  <c r="AA494" i="3"/>
  <c r="V495" i="3"/>
  <c r="Q496" i="3"/>
  <c r="Y496" i="3"/>
  <c r="T497" i="3"/>
  <c r="AB497" i="3"/>
  <c r="W498" i="3"/>
  <c r="R499" i="3"/>
  <c r="Z499" i="3"/>
  <c r="U500" i="3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AE508" i="3" s="1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P517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AE556" i="3" s="1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P565" i="3"/>
  <c r="X565" i="3"/>
  <c r="S566" i="3"/>
  <c r="AA566" i="3"/>
  <c r="V567" i="3"/>
  <c r="Q568" i="3"/>
  <c r="Y568" i="3"/>
  <c r="T569" i="3"/>
  <c r="AB569" i="3"/>
  <c r="W570" i="3"/>
  <c r="R571" i="3"/>
  <c r="Z571" i="3"/>
  <c r="T249" i="3"/>
  <c r="U289" i="3"/>
  <c r="Z328" i="3"/>
  <c r="U343" i="3"/>
  <c r="S353" i="3"/>
  <c r="Q363" i="3"/>
  <c r="AB372" i="3"/>
  <c r="Z382" i="3"/>
  <c r="X392" i="3"/>
  <c r="V402" i="3"/>
  <c r="T412" i="3"/>
  <c r="U416" i="3"/>
  <c r="AA418" i="3"/>
  <c r="T421" i="3"/>
  <c r="Z423" i="3"/>
  <c r="S426" i="3"/>
  <c r="Y428" i="3"/>
  <c r="R431" i="3"/>
  <c r="X433" i="3"/>
  <c r="Q436" i="3"/>
  <c r="W438" i="3"/>
  <c r="P441" i="3"/>
  <c r="V443" i="3"/>
  <c r="AB445" i="3"/>
  <c r="U448" i="3"/>
  <c r="AE448" i="3" s="1"/>
  <c r="AA450" i="3"/>
  <c r="T453" i="3"/>
  <c r="Z455" i="3"/>
  <c r="S458" i="3"/>
  <c r="Y460" i="3"/>
  <c r="R463" i="3"/>
  <c r="X465" i="3"/>
  <c r="Q468" i="3"/>
  <c r="W470" i="3"/>
  <c r="P473" i="3"/>
  <c r="V475" i="3"/>
  <c r="AB477" i="3"/>
  <c r="U480" i="3"/>
  <c r="AA482" i="3"/>
  <c r="T485" i="3"/>
  <c r="Z487" i="3"/>
  <c r="S490" i="3"/>
  <c r="Y492" i="3"/>
  <c r="Y493" i="3"/>
  <c r="T494" i="3"/>
  <c r="AB494" i="3"/>
  <c r="W495" i="3"/>
  <c r="R496" i="3"/>
  <c r="Z496" i="3"/>
  <c r="U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AB254" i="3"/>
  <c r="T294" i="3"/>
  <c r="W332" i="3"/>
  <c r="X344" i="3"/>
  <c r="V354" i="3"/>
  <c r="T364" i="3"/>
  <c r="R374" i="3"/>
  <c r="P384" i="3"/>
  <c r="AA393" i="3"/>
  <c r="Y403" i="3"/>
  <c r="W413" i="3"/>
  <c r="Y416" i="3"/>
  <c r="R419" i="3"/>
  <c r="X421" i="3"/>
  <c r="Q424" i="3"/>
  <c r="W426" i="3"/>
  <c r="P429" i="3"/>
  <c r="V431" i="3"/>
  <c r="AB433" i="3"/>
  <c r="U436" i="3"/>
  <c r="AE436" i="3" s="1"/>
  <c r="AA438" i="3"/>
  <c r="T441" i="3"/>
  <c r="Z443" i="3"/>
  <c r="S446" i="3"/>
  <c r="Y448" i="3"/>
  <c r="R451" i="3"/>
  <c r="X453" i="3"/>
  <c r="Q456" i="3"/>
  <c r="W458" i="3"/>
  <c r="P461" i="3"/>
  <c r="V463" i="3"/>
  <c r="AB465" i="3"/>
  <c r="U468" i="3"/>
  <c r="AA470" i="3"/>
  <c r="T473" i="3"/>
  <c r="Z475" i="3"/>
  <c r="S478" i="3"/>
  <c r="Y480" i="3"/>
  <c r="R483" i="3"/>
  <c r="X485" i="3"/>
  <c r="Q488" i="3"/>
  <c r="W490" i="3"/>
  <c r="P493" i="3"/>
  <c r="Z493" i="3"/>
  <c r="U494" i="3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Z264" i="3"/>
  <c r="R304" i="3"/>
  <c r="Z336" i="3"/>
  <c r="Q347" i="3"/>
  <c r="AB356" i="3"/>
  <c r="Z366" i="3"/>
  <c r="X376" i="3"/>
  <c r="V386" i="3"/>
  <c r="T396" i="3"/>
  <c r="R406" i="3"/>
  <c r="AA414" i="3"/>
  <c r="T417" i="3"/>
  <c r="Z419" i="3"/>
  <c r="S422" i="3"/>
  <c r="Y424" i="3"/>
  <c r="R427" i="3"/>
  <c r="X429" i="3"/>
  <c r="Q432" i="3"/>
  <c r="W434" i="3"/>
  <c r="P437" i="3"/>
  <c r="V439" i="3"/>
  <c r="AB441" i="3"/>
  <c r="U444" i="3"/>
  <c r="AA446" i="3"/>
  <c r="T449" i="3"/>
  <c r="Z451" i="3"/>
  <c r="S454" i="3"/>
  <c r="Y456" i="3"/>
  <c r="R459" i="3"/>
  <c r="X461" i="3"/>
  <c r="Q464" i="3"/>
  <c r="W466" i="3"/>
  <c r="P469" i="3"/>
  <c r="V471" i="3"/>
  <c r="AB473" i="3"/>
  <c r="U476" i="3"/>
  <c r="AE476" i="3" s="1"/>
  <c r="AA478" i="3"/>
  <c r="T481" i="3"/>
  <c r="Z483" i="3"/>
  <c r="S486" i="3"/>
  <c r="Y488" i="3"/>
  <c r="R491" i="3"/>
  <c r="T493" i="3"/>
  <c r="AB493" i="3"/>
  <c r="W494" i="3"/>
  <c r="R495" i="3"/>
  <c r="Z495" i="3"/>
  <c r="U496" i="3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AE504" i="3" s="1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AE528" i="3" s="1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AE544" i="3" s="1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P561" i="3"/>
  <c r="X561" i="3"/>
  <c r="S562" i="3"/>
  <c r="AA562" i="3"/>
  <c r="V563" i="3"/>
  <c r="Q564" i="3"/>
  <c r="Y564" i="3"/>
  <c r="T565" i="3"/>
  <c r="AB565" i="3"/>
  <c r="W566" i="3"/>
  <c r="R567" i="3"/>
  <c r="Z567" i="3"/>
  <c r="U568" i="3"/>
  <c r="AE568" i="3" s="1"/>
  <c r="P569" i="3"/>
  <c r="X569" i="3"/>
  <c r="S570" i="3"/>
  <c r="AA570" i="3"/>
  <c r="V571" i="3"/>
  <c r="Y269" i="3"/>
  <c r="Q309" i="3"/>
  <c r="V338" i="3"/>
  <c r="T348" i="3"/>
  <c r="R358" i="3"/>
  <c r="P368" i="3"/>
  <c r="AA377" i="3"/>
  <c r="Y387" i="3"/>
  <c r="W397" i="3"/>
  <c r="U407" i="3"/>
  <c r="AE407" i="3" s="1"/>
  <c r="R415" i="3"/>
  <c r="X417" i="3"/>
  <c r="Q420" i="3"/>
  <c r="W422" i="3"/>
  <c r="P425" i="3"/>
  <c r="V427" i="3"/>
  <c r="AB429" i="3"/>
  <c r="U432" i="3"/>
  <c r="AE432" i="3" s="1"/>
  <c r="AA434" i="3"/>
  <c r="T437" i="3"/>
  <c r="Z439" i="3"/>
  <c r="S442" i="3"/>
  <c r="Y444" i="3"/>
  <c r="R447" i="3"/>
  <c r="X449" i="3"/>
  <c r="Q452" i="3"/>
  <c r="W454" i="3"/>
  <c r="P457" i="3"/>
  <c r="V459" i="3"/>
  <c r="AB461" i="3"/>
  <c r="U464" i="3"/>
  <c r="AA466" i="3"/>
  <c r="T469" i="3"/>
  <c r="Z471" i="3"/>
  <c r="S474" i="3"/>
  <c r="Y476" i="3"/>
  <c r="R479" i="3"/>
  <c r="X481" i="3"/>
  <c r="Q484" i="3"/>
  <c r="W486" i="3"/>
  <c r="P489" i="3"/>
  <c r="V491" i="3"/>
  <c r="U493" i="3"/>
  <c r="AE493" i="3" s="1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AE557" i="3" s="1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P566" i="3"/>
  <c r="X566" i="3"/>
  <c r="S567" i="3"/>
  <c r="AA567" i="3"/>
  <c r="V568" i="3"/>
  <c r="Q569" i="3"/>
  <c r="Y569" i="3"/>
  <c r="T570" i="3"/>
  <c r="AB570" i="3"/>
  <c r="W571" i="3"/>
  <c r="R217" i="3"/>
  <c r="Z350" i="3"/>
  <c r="R390" i="3"/>
  <c r="S418" i="3"/>
  <c r="Q428" i="3"/>
  <c r="AB437" i="3"/>
  <c r="Z447" i="3"/>
  <c r="X457" i="3"/>
  <c r="V467" i="3"/>
  <c r="T477" i="3"/>
  <c r="R487" i="3"/>
  <c r="R494" i="3"/>
  <c r="X496" i="3"/>
  <c r="Q499" i="3"/>
  <c r="W501" i="3"/>
  <c r="P504" i="3"/>
  <c r="V506" i="3"/>
  <c r="AB508" i="3"/>
  <c r="U511" i="3"/>
  <c r="AA513" i="3"/>
  <c r="T516" i="3"/>
  <c r="Z518" i="3"/>
  <c r="S521" i="3"/>
  <c r="Y523" i="3"/>
  <c r="R526" i="3"/>
  <c r="X528" i="3"/>
  <c r="Q531" i="3"/>
  <c r="W533" i="3"/>
  <c r="P536" i="3"/>
  <c r="V538" i="3"/>
  <c r="AB540" i="3"/>
  <c r="U543" i="3"/>
  <c r="AE543" i="3" s="1"/>
  <c r="AA545" i="3"/>
  <c r="T548" i="3"/>
  <c r="Z550" i="3"/>
  <c r="S553" i="3"/>
  <c r="Y555" i="3"/>
  <c r="R558" i="3"/>
  <c r="X560" i="3"/>
  <c r="Q563" i="3"/>
  <c r="W565" i="3"/>
  <c r="P568" i="3"/>
  <c r="V570" i="3"/>
  <c r="T572" i="3"/>
  <c r="T573" i="3"/>
  <c r="Q574" i="3"/>
  <c r="Y574" i="3"/>
  <c r="T575" i="3"/>
  <c r="AB575" i="3"/>
  <c r="W576" i="3"/>
  <c r="R577" i="3"/>
  <c r="Z577" i="3"/>
  <c r="U578" i="3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W279" i="3"/>
  <c r="X360" i="3"/>
  <c r="P400" i="3"/>
  <c r="Y420" i="3"/>
  <c r="W430" i="3"/>
  <c r="U440" i="3"/>
  <c r="AE440" i="3" s="1"/>
  <c r="S450" i="3"/>
  <c r="Q460" i="3"/>
  <c r="AB469" i="3"/>
  <c r="Z479" i="3"/>
  <c r="X489" i="3"/>
  <c r="Z494" i="3"/>
  <c r="S497" i="3"/>
  <c r="Y499" i="3"/>
  <c r="R502" i="3"/>
  <c r="X504" i="3"/>
  <c r="Q507" i="3"/>
  <c r="W509" i="3"/>
  <c r="P512" i="3"/>
  <c r="V514" i="3"/>
  <c r="AB516" i="3"/>
  <c r="U519" i="3"/>
  <c r="AE519" i="3" s="1"/>
  <c r="AA521" i="3"/>
  <c r="T524" i="3"/>
  <c r="Z526" i="3"/>
  <c r="S529" i="3"/>
  <c r="Y531" i="3"/>
  <c r="R534" i="3"/>
  <c r="X536" i="3"/>
  <c r="Q539" i="3"/>
  <c r="W541" i="3"/>
  <c r="P544" i="3"/>
  <c r="V546" i="3"/>
  <c r="AB548" i="3"/>
  <c r="U551" i="3"/>
  <c r="AA553" i="3"/>
  <c r="T556" i="3"/>
  <c r="Z558" i="3"/>
  <c r="S561" i="3"/>
  <c r="Y563" i="3"/>
  <c r="R566" i="3"/>
  <c r="X568" i="3"/>
  <c r="Q571" i="3"/>
  <c r="X572" i="3"/>
  <c r="W573" i="3"/>
  <c r="S574" i="3"/>
  <c r="AA574" i="3"/>
  <c r="V575" i="3"/>
  <c r="Q576" i="3"/>
  <c r="Y576" i="3"/>
  <c r="T577" i="3"/>
  <c r="AB577" i="3"/>
  <c r="W578" i="3"/>
  <c r="R579" i="3"/>
  <c r="Z579" i="3"/>
  <c r="U580" i="3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AE612" i="3" s="1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AE628" i="3" s="1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P645" i="3"/>
  <c r="X645" i="3"/>
  <c r="S646" i="3"/>
  <c r="AA646" i="3"/>
  <c r="V647" i="3"/>
  <c r="Q648" i="3"/>
  <c r="Y648" i="3"/>
  <c r="T649" i="3"/>
  <c r="AB649" i="3"/>
  <c r="W650" i="3"/>
  <c r="S299" i="3"/>
  <c r="W365" i="3"/>
  <c r="AB404" i="3"/>
  <c r="AB421" i="3"/>
  <c r="Z431" i="3"/>
  <c r="X441" i="3"/>
  <c r="V451" i="3"/>
  <c r="T461" i="3"/>
  <c r="R471" i="3"/>
  <c r="P481" i="3"/>
  <c r="AA490" i="3"/>
  <c r="Q495" i="3"/>
  <c r="W497" i="3"/>
  <c r="P500" i="3"/>
  <c r="V502" i="3"/>
  <c r="AB504" i="3"/>
  <c r="U507" i="3"/>
  <c r="AE507" i="3" s="1"/>
  <c r="AA509" i="3"/>
  <c r="T512" i="3"/>
  <c r="Z514" i="3"/>
  <c r="S517" i="3"/>
  <c r="Y519" i="3"/>
  <c r="R522" i="3"/>
  <c r="X524" i="3"/>
  <c r="Q527" i="3"/>
  <c r="W529" i="3"/>
  <c r="P532" i="3"/>
  <c r="V534" i="3"/>
  <c r="AB536" i="3"/>
  <c r="U539" i="3"/>
  <c r="AA541" i="3"/>
  <c r="T544" i="3"/>
  <c r="Z546" i="3"/>
  <c r="S549" i="3"/>
  <c r="Y551" i="3"/>
  <c r="R554" i="3"/>
  <c r="X556" i="3"/>
  <c r="Q559" i="3"/>
  <c r="W561" i="3"/>
  <c r="P564" i="3"/>
  <c r="V566" i="3"/>
  <c r="AB568" i="3"/>
  <c r="U571" i="3"/>
  <c r="AE571" i="3" s="1"/>
  <c r="Y572" i="3"/>
  <c r="X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P650" i="3"/>
  <c r="X650" i="3"/>
  <c r="AB318" i="3"/>
  <c r="V370" i="3"/>
  <c r="AA409" i="3"/>
  <c r="R423" i="3"/>
  <c r="P433" i="3"/>
  <c r="AA442" i="3"/>
  <c r="Y452" i="3"/>
  <c r="W462" i="3"/>
  <c r="U472" i="3"/>
  <c r="AE472" i="3" s="1"/>
  <c r="S482" i="3"/>
  <c r="Q492" i="3"/>
  <c r="U495" i="3"/>
  <c r="AE495" i="3" s="1"/>
  <c r="AA497" i="3"/>
  <c r="T500" i="3"/>
  <c r="Z502" i="3"/>
  <c r="S505" i="3"/>
  <c r="Y507" i="3"/>
  <c r="R510" i="3"/>
  <c r="X512" i="3"/>
  <c r="Q515" i="3"/>
  <c r="W517" i="3"/>
  <c r="P520" i="3"/>
  <c r="V522" i="3"/>
  <c r="AB524" i="3"/>
  <c r="U527" i="3"/>
  <c r="AE527" i="3" s="1"/>
  <c r="AA529" i="3"/>
  <c r="T532" i="3"/>
  <c r="Z534" i="3"/>
  <c r="S537" i="3"/>
  <c r="Y539" i="3"/>
  <c r="R542" i="3"/>
  <c r="X544" i="3"/>
  <c r="Q547" i="3"/>
  <c r="W549" i="3"/>
  <c r="P552" i="3"/>
  <c r="V554" i="3"/>
  <c r="AB556" i="3"/>
  <c r="U559" i="3"/>
  <c r="AA561" i="3"/>
  <c r="T564" i="3"/>
  <c r="Z566" i="3"/>
  <c r="S569" i="3"/>
  <c r="Y571" i="3"/>
  <c r="Z572" i="3"/>
  <c r="Y573" i="3"/>
  <c r="U574" i="3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P647" i="3"/>
  <c r="X647" i="3"/>
  <c r="S648" i="3"/>
  <c r="AA648" i="3"/>
  <c r="V649" i="3"/>
  <c r="Q650" i="3"/>
  <c r="Y650" i="3"/>
  <c r="T651" i="3"/>
  <c r="AB651" i="3"/>
  <c r="AB340" i="3"/>
  <c r="T380" i="3"/>
  <c r="Z415" i="3"/>
  <c r="X425" i="3"/>
  <c r="V435" i="3"/>
  <c r="T445" i="3"/>
  <c r="R455" i="3"/>
  <c r="P465" i="3"/>
  <c r="AA474" i="3"/>
  <c r="Y484" i="3"/>
  <c r="W493" i="3"/>
  <c r="P496" i="3"/>
  <c r="V498" i="3"/>
  <c r="AB500" i="3"/>
  <c r="U503" i="3"/>
  <c r="AA505" i="3"/>
  <c r="T508" i="3"/>
  <c r="Z510" i="3"/>
  <c r="S513" i="3"/>
  <c r="Y515" i="3"/>
  <c r="R518" i="3"/>
  <c r="X520" i="3"/>
  <c r="Q523" i="3"/>
  <c r="W525" i="3"/>
  <c r="P528" i="3"/>
  <c r="V530" i="3"/>
  <c r="AB532" i="3"/>
  <c r="U535" i="3"/>
  <c r="AE535" i="3" s="1"/>
  <c r="AA537" i="3"/>
  <c r="T540" i="3"/>
  <c r="Z542" i="3"/>
  <c r="S545" i="3"/>
  <c r="Y547" i="3"/>
  <c r="R550" i="3"/>
  <c r="X552" i="3"/>
  <c r="Q555" i="3"/>
  <c r="W557" i="3"/>
  <c r="P560" i="3"/>
  <c r="V562" i="3"/>
  <c r="AB564" i="3"/>
  <c r="U567" i="3"/>
  <c r="AA569" i="3"/>
  <c r="Q572" i="3"/>
  <c r="P573" i="3"/>
  <c r="AB573" i="3"/>
  <c r="W574" i="3"/>
  <c r="R575" i="3"/>
  <c r="Z575" i="3"/>
  <c r="U576" i="3"/>
  <c r="P577" i="3"/>
  <c r="X577" i="3"/>
  <c r="S578" i="3"/>
  <c r="AA578" i="3"/>
  <c r="V579" i="3"/>
  <c r="Q580" i="3"/>
  <c r="Y580" i="3"/>
  <c r="T581" i="3"/>
  <c r="AB581" i="3"/>
  <c r="W582" i="3"/>
  <c r="R583" i="3"/>
  <c r="Z583" i="3"/>
  <c r="U584" i="3"/>
  <c r="AE584" i="3" s="1"/>
  <c r="P585" i="3"/>
  <c r="X585" i="3"/>
  <c r="S586" i="3"/>
  <c r="AA586" i="3"/>
  <c r="V587" i="3"/>
  <c r="Q588" i="3"/>
  <c r="Y588" i="3"/>
  <c r="T589" i="3"/>
  <c r="AB589" i="3"/>
  <c r="W590" i="3"/>
  <c r="R591" i="3"/>
  <c r="Z591" i="3"/>
  <c r="U592" i="3"/>
  <c r="P593" i="3"/>
  <c r="X593" i="3"/>
  <c r="S594" i="3"/>
  <c r="AA594" i="3"/>
  <c r="V595" i="3"/>
  <c r="Q596" i="3"/>
  <c r="Y596" i="3"/>
  <c r="T597" i="3"/>
  <c r="AB597" i="3"/>
  <c r="W598" i="3"/>
  <c r="R599" i="3"/>
  <c r="Z599" i="3"/>
  <c r="U600" i="3"/>
  <c r="P601" i="3"/>
  <c r="X601" i="3"/>
  <c r="S602" i="3"/>
  <c r="AA602" i="3"/>
  <c r="V603" i="3"/>
  <c r="Q604" i="3"/>
  <c r="Y604" i="3"/>
  <c r="T605" i="3"/>
  <c r="AB605" i="3"/>
  <c r="W606" i="3"/>
  <c r="R607" i="3"/>
  <c r="Z607" i="3"/>
  <c r="U608" i="3"/>
  <c r="AE608" i="3" s="1"/>
  <c r="P609" i="3"/>
  <c r="X609" i="3"/>
  <c r="S610" i="3"/>
  <c r="AA610" i="3"/>
  <c r="V611" i="3"/>
  <c r="Q612" i="3"/>
  <c r="Y612" i="3"/>
  <c r="T613" i="3"/>
  <c r="AB613" i="3"/>
  <c r="W614" i="3"/>
  <c r="R615" i="3"/>
  <c r="Z615" i="3"/>
  <c r="U616" i="3"/>
  <c r="P617" i="3"/>
  <c r="X617" i="3"/>
  <c r="S618" i="3"/>
  <c r="AA618" i="3"/>
  <c r="V619" i="3"/>
  <c r="Q620" i="3"/>
  <c r="Y620" i="3"/>
  <c r="T621" i="3"/>
  <c r="AB621" i="3"/>
  <c r="W622" i="3"/>
  <c r="R623" i="3"/>
  <c r="Z623" i="3"/>
  <c r="U624" i="3"/>
  <c r="P625" i="3"/>
  <c r="X625" i="3"/>
  <c r="S626" i="3"/>
  <c r="AA626" i="3"/>
  <c r="V627" i="3"/>
  <c r="Q628" i="3"/>
  <c r="Y628" i="3"/>
  <c r="T629" i="3"/>
  <c r="AB629" i="3"/>
  <c r="W630" i="3"/>
  <c r="R631" i="3"/>
  <c r="Z631" i="3"/>
  <c r="U632" i="3"/>
  <c r="AE632" i="3" s="1"/>
  <c r="P633" i="3"/>
  <c r="X633" i="3"/>
  <c r="S634" i="3"/>
  <c r="AA634" i="3"/>
  <c r="V635" i="3"/>
  <c r="Q636" i="3"/>
  <c r="Y636" i="3"/>
  <c r="T637" i="3"/>
  <c r="AB637" i="3"/>
  <c r="W638" i="3"/>
  <c r="R639" i="3"/>
  <c r="Z639" i="3"/>
  <c r="U640" i="3"/>
  <c r="P641" i="3"/>
  <c r="X641" i="3"/>
  <c r="S642" i="3"/>
  <c r="AA642" i="3"/>
  <c r="V643" i="3"/>
  <c r="Q644" i="3"/>
  <c r="Y644" i="3"/>
  <c r="T645" i="3"/>
  <c r="AB645" i="3"/>
  <c r="W646" i="3"/>
  <c r="R647" i="3"/>
  <c r="Z647" i="3"/>
  <c r="U648" i="3"/>
  <c r="AE648" i="3" s="1"/>
  <c r="P649" i="3"/>
  <c r="X649" i="3"/>
  <c r="S650" i="3"/>
  <c r="AA650" i="3"/>
  <c r="AA345" i="3"/>
  <c r="S385" i="3"/>
  <c r="P417" i="3"/>
  <c r="AA426" i="3"/>
  <c r="Y436" i="3"/>
  <c r="W446" i="3"/>
  <c r="U456" i="3"/>
  <c r="S466" i="3"/>
  <c r="Q476" i="3"/>
  <c r="AB485" i="3"/>
  <c r="AA493" i="3"/>
  <c r="T496" i="3"/>
  <c r="Z498" i="3"/>
  <c r="S501" i="3"/>
  <c r="Y503" i="3"/>
  <c r="R506" i="3"/>
  <c r="X508" i="3"/>
  <c r="Q511" i="3"/>
  <c r="W513" i="3"/>
  <c r="P516" i="3"/>
  <c r="V518" i="3"/>
  <c r="AB520" i="3"/>
  <c r="U523" i="3"/>
  <c r="AA525" i="3"/>
  <c r="T528" i="3"/>
  <c r="Z530" i="3"/>
  <c r="S533" i="3"/>
  <c r="Y535" i="3"/>
  <c r="R538" i="3"/>
  <c r="X540" i="3"/>
  <c r="Q543" i="3"/>
  <c r="W545" i="3"/>
  <c r="P548" i="3"/>
  <c r="V550" i="3"/>
  <c r="AB552" i="3"/>
  <c r="U555" i="3"/>
  <c r="AE555" i="3" s="1"/>
  <c r="AA557" i="3"/>
  <c r="T560" i="3"/>
  <c r="Z562" i="3"/>
  <c r="S565" i="3"/>
  <c r="Y567" i="3"/>
  <c r="R570" i="3"/>
  <c r="R572" i="3"/>
  <c r="S573" i="3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P646" i="3"/>
  <c r="X646" i="3"/>
  <c r="S647" i="3"/>
  <c r="AA647" i="3"/>
  <c r="V648" i="3"/>
  <c r="Q649" i="3"/>
  <c r="Y649" i="3"/>
  <c r="T650" i="3"/>
  <c r="AB650" i="3"/>
  <c r="W651" i="3"/>
  <c r="AA259" i="3"/>
  <c r="T429" i="3"/>
  <c r="Y468" i="3"/>
  <c r="AB496" i="3"/>
  <c r="Z506" i="3"/>
  <c r="X516" i="3"/>
  <c r="V526" i="3"/>
  <c r="T536" i="3"/>
  <c r="R546" i="3"/>
  <c r="P556" i="3"/>
  <c r="AA565" i="3"/>
  <c r="U573" i="3"/>
  <c r="P576" i="3"/>
  <c r="V578" i="3"/>
  <c r="AB580" i="3"/>
  <c r="U583" i="3"/>
  <c r="AE583" i="3" s="1"/>
  <c r="AA585" i="3"/>
  <c r="T588" i="3"/>
  <c r="Z590" i="3"/>
  <c r="S593" i="3"/>
  <c r="Y595" i="3"/>
  <c r="R598" i="3"/>
  <c r="X600" i="3"/>
  <c r="Q603" i="3"/>
  <c r="W605" i="3"/>
  <c r="P608" i="3"/>
  <c r="V610" i="3"/>
  <c r="AB612" i="3"/>
  <c r="U615" i="3"/>
  <c r="AA617" i="3"/>
  <c r="T620" i="3"/>
  <c r="Z622" i="3"/>
  <c r="S625" i="3"/>
  <c r="Y627" i="3"/>
  <c r="R630" i="3"/>
  <c r="X632" i="3"/>
  <c r="Q635" i="3"/>
  <c r="W637" i="3"/>
  <c r="P640" i="3"/>
  <c r="V642" i="3"/>
  <c r="AB644" i="3"/>
  <c r="U647" i="3"/>
  <c r="AA649" i="3"/>
  <c r="V651" i="3"/>
  <c r="T652" i="3"/>
  <c r="AB652" i="3"/>
  <c r="W653" i="3"/>
  <c r="R654" i="3"/>
  <c r="Z654" i="3"/>
  <c r="U655" i="3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AE671" i="3" s="1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AE679" i="3" s="1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AE703" i="3" s="1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AE727" i="3" s="1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AE751" i="3" s="1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P760" i="3"/>
  <c r="X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P784" i="3"/>
  <c r="X784" i="3"/>
  <c r="S785" i="3"/>
  <c r="AA785" i="3"/>
  <c r="V786" i="3"/>
  <c r="Q787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AE807" i="3" s="1"/>
  <c r="P808" i="3"/>
  <c r="X808" i="3"/>
  <c r="S809" i="3"/>
  <c r="AA809" i="3"/>
  <c r="V810" i="3"/>
  <c r="Q811" i="3"/>
  <c r="Y811" i="3"/>
  <c r="T812" i="3"/>
  <c r="AB812" i="3"/>
  <c r="W813" i="3"/>
  <c r="AA334" i="3"/>
  <c r="S434" i="3"/>
  <c r="X473" i="3"/>
  <c r="R498" i="3"/>
  <c r="P508" i="3"/>
  <c r="AA517" i="3"/>
  <c r="Y527" i="3"/>
  <c r="W537" i="3"/>
  <c r="U547" i="3"/>
  <c r="S557" i="3"/>
  <c r="Q567" i="3"/>
  <c r="AA573" i="3"/>
  <c r="T576" i="3"/>
  <c r="Z578" i="3"/>
  <c r="S581" i="3"/>
  <c r="Y583" i="3"/>
  <c r="R586" i="3"/>
  <c r="X588" i="3"/>
  <c r="Q591" i="3"/>
  <c r="W593" i="3"/>
  <c r="P596" i="3"/>
  <c r="V598" i="3"/>
  <c r="AB600" i="3"/>
  <c r="U603" i="3"/>
  <c r="AA605" i="3"/>
  <c r="T608" i="3"/>
  <c r="Z610" i="3"/>
  <c r="S613" i="3"/>
  <c r="Y615" i="3"/>
  <c r="R618" i="3"/>
  <c r="X620" i="3"/>
  <c r="Q623" i="3"/>
  <c r="W625" i="3"/>
  <c r="P628" i="3"/>
  <c r="V630" i="3"/>
  <c r="AB632" i="3"/>
  <c r="U635" i="3"/>
  <c r="AE635" i="3" s="1"/>
  <c r="AA637" i="3"/>
  <c r="T640" i="3"/>
  <c r="Z642" i="3"/>
  <c r="S645" i="3"/>
  <c r="Y647" i="3"/>
  <c r="R650" i="3"/>
  <c r="Y651" i="3"/>
  <c r="U652" i="3"/>
  <c r="AE652" i="3" s="1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Y355" i="3"/>
  <c r="R439" i="3"/>
  <c r="W478" i="3"/>
  <c r="U499" i="3"/>
  <c r="S509" i="3"/>
  <c r="Q519" i="3"/>
  <c r="AB528" i="3"/>
  <c r="Z538" i="3"/>
  <c r="X548" i="3"/>
  <c r="V558" i="3"/>
  <c r="T568" i="3"/>
  <c r="R574" i="3"/>
  <c r="X576" i="3"/>
  <c r="Q579" i="3"/>
  <c r="W581" i="3"/>
  <c r="P584" i="3"/>
  <c r="V586" i="3"/>
  <c r="AB588" i="3"/>
  <c r="U591" i="3"/>
  <c r="AA593" i="3"/>
  <c r="T596" i="3"/>
  <c r="Z598" i="3"/>
  <c r="S601" i="3"/>
  <c r="Y603" i="3"/>
  <c r="R606" i="3"/>
  <c r="X608" i="3"/>
  <c r="Q611" i="3"/>
  <c r="W613" i="3"/>
  <c r="P616" i="3"/>
  <c r="V618" i="3"/>
  <c r="AB620" i="3"/>
  <c r="U623" i="3"/>
  <c r="AE623" i="3" s="1"/>
  <c r="AA625" i="3"/>
  <c r="T628" i="3"/>
  <c r="Z630" i="3"/>
  <c r="S633" i="3"/>
  <c r="Y635" i="3"/>
  <c r="R638" i="3"/>
  <c r="X640" i="3"/>
  <c r="Q643" i="3"/>
  <c r="W645" i="3"/>
  <c r="P648" i="3"/>
  <c r="V650" i="3"/>
  <c r="Z651" i="3"/>
  <c r="V652" i="3"/>
  <c r="Q653" i="3"/>
  <c r="Y653" i="3"/>
  <c r="T654" i="3"/>
  <c r="AB654" i="3"/>
  <c r="W655" i="3"/>
  <c r="R656" i="3"/>
  <c r="Z656" i="3"/>
  <c r="U657" i="3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U375" i="3"/>
  <c r="Q444" i="3"/>
  <c r="V483" i="3"/>
  <c r="X500" i="3"/>
  <c r="V510" i="3"/>
  <c r="T520" i="3"/>
  <c r="R530" i="3"/>
  <c r="P540" i="3"/>
  <c r="AA549" i="3"/>
  <c r="Y559" i="3"/>
  <c r="W569" i="3"/>
  <c r="V574" i="3"/>
  <c r="AB576" i="3"/>
  <c r="U579" i="3"/>
  <c r="AA581" i="3"/>
  <c r="T584" i="3"/>
  <c r="Z586" i="3"/>
  <c r="S589" i="3"/>
  <c r="Y591" i="3"/>
  <c r="R594" i="3"/>
  <c r="X596" i="3"/>
  <c r="Q599" i="3"/>
  <c r="W601" i="3"/>
  <c r="P604" i="3"/>
  <c r="V606" i="3"/>
  <c r="AB608" i="3"/>
  <c r="U611" i="3"/>
  <c r="AE611" i="3" s="1"/>
  <c r="AA613" i="3"/>
  <c r="T616" i="3"/>
  <c r="Z618" i="3"/>
  <c r="S621" i="3"/>
  <c r="Y623" i="3"/>
  <c r="R626" i="3"/>
  <c r="X628" i="3"/>
  <c r="Q631" i="3"/>
  <c r="W633" i="3"/>
  <c r="P636" i="3"/>
  <c r="V638" i="3"/>
  <c r="AB640" i="3"/>
  <c r="U643" i="3"/>
  <c r="AA645" i="3"/>
  <c r="T648" i="3"/>
  <c r="Z650" i="3"/>
  <c r="AA651" i="3"/>
  <c r="W652" i="3"/>
  <c r="R653" i="3"/>
  <c r="Z653" i="3"/>
  <c r="U654" i="3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AE694" i="3" s="1"/>
  <c r="P695" i="3"/>
  <c r="X695" i="3"/>
  <c r="S696" i="3"/>
  <c r="AA696" i="3"/>
  <c r="V697" i="3"/>
  <c r="Q698" i="3"/>
  <c r="Y698" i="3"/>
  <c r="T699" i="3"/>
  <c r="AB699" i="3"/>
  <c r="W700" i="3"/>
  <c r="R701" i="3"/>
  <c r="Z701" i="3"/>
  <c r="U702" i="3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Q395" i="3"/>
  <c r="P449" i="3"/>
  <c r="U488" i="3"/>
  <c r="AA501" i="3"/>
  <c r="Y511" i="3"/>
  <c r="W521" i="3"/>
  <c r="U531" i="3"/>
  <c r="AE531" i="3" s="1"/>
  <c r="S541" i="3"/>
  <c r="Q551" i="3"/>
  <c r="AB560" i="3"/>
  <c r="Z570" i="3"/>
  <c r="Z574" i="3"/>
  <c r="S577" i="3"/>
  <c r="Y579" i="3"/>
  <c r="R582" i="3"/>
  <c r="X584" i="3"/>
  <c r="Q587" i="3"/>
  <c r="W589" i="3"/>
  <c r="P592" i="3"/>
  <c r="V594" i="3"/>
  <c r="AB596" i="3"/>
  <c r="U599" i="3"/>
  <c r="AA601" i="3"/>
  <c r="T604" i="3"/>
  <c r="Z606" i="3"/>
  <c r="S609" i="3"/>
  <c r="Y611" i="3"/>
  <c r="R614" i="3"/>
  <c r="X616" i="3"/>
  <c r="Q619" i="3"/>
  <c r="W621" i="3"/>
  <c r="P624" i="3"/>
  <c r="V626" i="3"/>
  <c r="AB628" i="3"/>
  <c r="U631" i="3"/>
  <c r="AA633" i="3"/>
  <c r="T636" i="3"/>
  <c r="Z638" i="3"/>
  <c r="S641" i="3"/>
  <c r="Y643" i="3"/>
  <c r="R646" i="3"/>
  <c r="X648" i="3"/>
  <c r="Q651" i="3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AE667" i="3" s="1"/>
  <c r="P668" i="3"/>
  <c r="X668" i="3"/>
  <c r="S669" i="3"/>
  <c r="AA669" i="3"/>
  <c r="V670" i="3"/>
  <c r="Q671" i="3"/>
  <c r="Y671" i="3"/>
  <c r="T672" i="3"/>
  <c r="AB672" i="3"/>
  <c r="W673" i="3"/>
  <c r="R674" i="3"/>
  <c r="Z674" i="3"/>
  <c r="U675" i="3"/>
  <c r="AE675" i="3" s="1"/>
  <c r="P676" i="3"/>
  <c r="X676" i="3"/>
  <c r="S677" i="3"/>
  <c r="AA677" i="3"/>
  <c r="V678" i="3"/>
  <c r="Q679" i="3"/>
  <c r="Y679" i="3"/>
  <c r="T680" i="3"/>
  <c r="AB680" i="3"/>
  <c r="W681" i="3"/>
  <c r="R682" i="3"/>
  <c r="Z682" i="3"/>
  <c r="U683" i="3"/>
  <c r="AE683" i="3" s="1"/>
  <c r="P684" i="3"/>
  <c r="X684" i="3"/>
  <c r="S685" i="3"/>
  <c r="AA685" i="3"/>
  <c r="V686" i="3"/>
  <c r="Q687" i="3"/>
  <c r="Y687" i="3"/>
  <c r="T688" i="3"/>
  <c r="AB688" i="3"/>
  <c r="W689" i="3"/>
  <c r="R690" i="3"/>
  <c r="Z690" i="3"/>
  <c r="U691" i="3"/>
  <c r="P692" i="3"/>
  <c r="X692" i="3"/>
  <c r="S693" i="3"/>
  <c r="AA693" i="3"/>
  <c r="V694" i="3"/>
  <c r="Q695" i="3"/>
  <c r="Y695" i="3"/>
  <c r="T696" i="3"/>
  <c r="AB696" i="3"/>
  <c r="W697" i="3"/>
  <c r="R698" i="3"/>
  <c r="Z698" i="3"/>
  <c r="U699" i="3"/>
  <c r="AE699" i="3" s="1"/>
  <c r="P700" i="3"/>
  <c r="X700" i="3"/>
  <c r="S701" i="3"/>
  <c r="AA701" i="3"/>
  <c r="V702" i="3"/>
  <c r="Q703" i="3"/>
  <c r="Y703" i="3"/>
  <c r="T704" i="3"/>
  <c r="AB704" i="3"/>
  <c r="W705" i="3"/>
  <c r="R706" i="3"/>
  <c r="Z706" i="3"/>
  <c r="U707" i="3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AE747" i="3" s="1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W793" i="3"/>
  <c r="R794" i="3"/>
  <c r="Z794" i="3"/>
  <c r="U795" i="3"/>
  <c r="P796" i="3"/>
  <c r="X796" i="3"/>
  <c r="S797" i="3"/>
  <c r="AA797" i="3"/>
  <c r="V798" i="3"/>
  <c r="Q799" i="3"/>
  <c r="Y799" i="3"/>
  <c r="T800" i="3"/>
  <c r="AB800" i="3"/>
  <c r="W801" i="3"/>
  <c r="R802" i="3"/>
  <c r="Z802" i="3"/>
  <c r="U803" i="3"/>
  <c r="P804" i="3"/>
  <c r="X804" i="3"/>
  <c r="S805" i="3"/>
  <c r="AA805" i="3"/>
  <c r="V806" i="3"/>
  <c r="Q807" i="3"/>
  <c r="Y807" i="3"/>
  <c r="T808" i="3"/>
  <c r="AB808" i="3"/>
  <c r="W809" i="3"/>
  <c r="R810" i="3"/>
  <c r="Z810" i="3"/>
  <c r="U811" i="3"/>
  <c r="AE811" i="3" s="1"/>
  <c r="P812" i="3"/>
  <c r="X812" i="3"/>
  <c r="S813" i="3"/>
  <c r="AA813" i="3"/>
  <c r="V414" i="3"/>
  <c r="AB453" i="3"/>
  <c r="R493" i="3"/>
  <c r="Q503" i="3"/>
  <c r="AB512" i="3"/>
  <c r="Z522" i="3"/>
  <c r="X532" i="3"/>
  <c r="V542" i="3"/>
  <c r="T552" i="3"/>
  <c r="R562" i="3"/>
  <c r="P572" i="3"/>
  <c r="Q575" i="3"/>
  <c r="W577" i="3"/>
  <c r="P580" i="3"/>
  <c r="V582" i="3"/>
  <c r="AB584" i="3"/>
  <c r="U587" i="3"/>
  <c r="AA589" i="3"/>
  <c r="T592" i="3"/>
  <c r="Z594" i="3"/>
  <c r="S597" i="3"/>
  <c r="Y599" i="3"/>
  <c r="R602" i="3"/>
  <c r="X604" i="3"/>
  <c r="Q607" i="3"/>
  <c r="W609" i="3"/>
  <c r="P612" i="3"/>
  <c r="V614" i="3"/>
  <c r="AB616" i="3"/>
  <c r="U619" i="3"/>
  <c r="AE619" i="3" s="1"/>
  <c r="AA621" i="3"/>
  <c r="T624" i="3"/>
  <c r="Z626" i="3"/>
  <c r="S629" i="3"/>
  <c r="Y631" i="3"/>
  <c r="R634" i="3"/>
  <c r="X636" i="3"/>
  <c r="Q639" i="3"/>
  <c r="W641" i="3"/>
  <c r="P644" i="3"/>
  <c r="V646" i="3"/>
  <c r="AB648" i="3"/>
  <c r="R651" i="3"/>
  <c r="Q652" i="3"/>
  <c r="Y652" i="3"/>
  <c r="T653" i="3"/>
  <c r="AB653" i="3"/>
  <c r="W654" i="3"/>
  <c r="R655" i="3"/>
  <c r="Z655" i="3"/>
  <c r="U656" i="3"/>
  <c r="AE656" i="3" s="1"/>
  <c r="P657" i="3"/>
  <c r="X657" i="3"/>
  <c r="S658" i="3"/>
  <c r="AA658" i="3"/>
  <c r="V659" i="3"/>
  <c r="Q660" i="3"/>
  <c r="Y660" i="3"/>
  <c r="T661" i="3"/>
  <c r="AB661" i="3"/>
  <c r="W662" i="3"/>
  <c r="R663" i="3"/>
  <c r="Z663" i="3"/>
  <c r="U664" i="3"/>
  <c r="P665" i="3"/>
  <c r="X665" i="3"/>
  <c r="S666" i="3"/>
  <c r="AA666" i="3"/>
  <c r="V667" i="3"/>
  <c r="Q668" i="3"/>
  <c r="Y668" i="3"/>
  <c r="T669" i="3"/>
  <c r="AB669" i="3"/>
  <c r="W670" i="3"/>
  <c r="R671" i="3"/>
  <c r="Z671" i="3"/>
  <c r="U672" i="3"/>
  <c r="AE672" i="3" s="1"/>
  <c r="P673" i="3"/>
  <c r="X673" i="3"/>
  <c r="S674" i="3"/>
  <c r="AA674" i="3"/>
  <c r="V675" i="3"/>
  <c r="Q676" i="3"/>
  <c r="Y676" i="3"/>
  <c r="T677" i="3"/>
  <c r="V419" i="3"/>
  <c r="AA458" i="3"/>
  <c r="V494" i="3"/>
  <c r="T504" i="3"/>
  <c r="R514" i="3"/>
  <c r="P524" i="3"/>
  <c r="AA533" i="3"/>
  <c r="Y543" i="3"/>
  <c r="W553" i="3"/>
  <c r="U563" i="3"/>
  <c r="U572" i="3"/>
  <c r="U575" i="3"/>
  <c r="AA577" i="3"/>
  <c r="T580" i="3"/>
  <c r="Z582" i="3"/>
  <c r="S585" i="3"/>
  <c r="Y587" i="3"/>
  <c r="R590" i="3"/>
  <c r="X592" i="3"/>
  <c r="Q595" i="3"/>
  <c r="W597" i="3"/>
  <c r="P600" i="3"/>
  <c r="V602" i="3"/>
  <c r="AB604" i="3"/>
  <c r="U607" i="3"/>
  <c r="AE607" i="3" s="1"/>
  <c r="AA609" i="3"/>
  <c r="T612" i="3"/>
  <c r="Z614" i="3"/>
  <c r="S617" i="3"/>
  <c r="Y619" i="3"/>
  <c r="R622" i="3"/>
  <c r="X624" i="3"/>
  <c r="Q627" i="3"/>
  <c r="W629" i="3"/>
  <c r="P632" i="3"/>
  <c r="V634" i="3"/>
  <c r="AB636" i="3"/>
  <c r="U639" i="3"/>
  <c r="AA641" i="3"/>
  <c r="T644" i="3"/>
  <c r="Z646" i="3"/>
  <c r="S649" i="3"/>
  <c r="S651" i="3"/>
  <c r="R652" i="3"/>
  <c r="Z652" i="3"/>
  <c r="U653" i="3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AE669" i="3" s="1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AE797" i="3" s="1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P814" i="3"/>
  <c r="X814" i="3"/>
  <c r="U424" i="3"/>
  <c r="Z463" i="3"/>
  <c r="Y495" i="3"/>
  <c r="W505" i="3"/>
  <c r="U515" i="3"/>
  <c r="AE515" i="3" s="1"/>
  <c r="S525" i="3"/>
  <c r="Q535" i="3"/>
  <c r="AB544" i="3"/>
  <c r="Z554" i="3"/>
  <c r="X564" i="3"/>
  <c r="AB572" i="3"/>
  <c r="Y575" i="3"/>
  <c r="R578" i="3"/>
  <c r="X580" i="3"/>
  <c r="Q583" i="3"/>
  <c r="W585" i="3"/>
  <c r="P588" i="3"/>
  <c r="V590" i="3"/>
  <c r="AB592" i="3"/>
  <c r="U595" i="3"/>
  <c r="AE595" i="3" s="1"/>
  <c r="AA597" i="3"/>
  <c r="T600" i="3"/>
  <c r="Z602" i="3"/>
  <c r="S605" i="3"/>
  <c r="Y607" i="3"/>
  <c r="R610" i="3"/>
  <c r="X612" i="3"/>
  <c r="Q615" i="3"/>
  <c r="W617" i="3"/>
  <c r="P620" i="3"/>
  <c r="V622" i="3"/>
  <c r="AB624" i="3"/>
  <c r="U627" i="3"/>
  <c r="AA629" i="3"/>
  <c r="T632" i="3"/>
  <c r="Z634" i="3"/>
  <c r="S637" i="3"/>
  <c r="Y639" i="3"/>
  <c r="R642" i="3"/>
  <c r="X644" i="3"/>
  <c r="Q647" i="3"/>
  <c r="W649" i="3"/>
  <c r="U651" i="3"/>
  <c r="AE651" i="3" s="1"/>
  <c r="S652" i="3"/>
  <c r="AA652" i="3"/>
  <c r="V653" i="3"/>
  <c r="Q654" i="3"/>
  <c r="Y654" i="3"/>
  <c r="T655" i="3"/>
  <c r="AB655" i="3"/>
  <c r="W656" i="3"/>
  <c r="R657" i="3"/>
  <c r="Z657" i="3"/>
  <c r="U658" i="3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AE690" i="3" s="1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P699" i="3"/>
  <c r="X699" i="3"/>
  <c r="S700" i="3"/>
  <c r="AA700" i="3"/>
  <c r="V701" i="3"/>
  <c r="Q702" i="3"/>
  <c r="Y702" i="3"/>
  <c r="T703" i="3"/>
  <c r="AB703" i="3"/>
  <c r="W704" i="3"/>
  <c r="R705" i="3"/>
  <c r="Z705" i="3"/>
  <c r="U706" i="3"/>
  <c r="AE706" i="3" s="1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AE730" i="3" s="1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AE746" i="3" s="1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AE770" i="3" s="1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P787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AE794" i="3" s="1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X677" i="3"/>
  <c r="Q680" i="3"/>
  <c r="W682" i="3"/>
  <c r="P685" i="3"/>
  <c r="V687" i="3"/>
  <c r="AB689" i="3"/>
  <c r="U692" i="3"/>
  <c r="AE692" i="3" s="1"/>
  <c r="AA694" i="3"/>
  <c r="T697" i="3"/>
  <c r="Z699" i="3"/>
  <c r="S702" i="3"/>
  <c r="Y704" i="3"/>
  <c r="R707" i="3"/>
  <c r="X709" i="3"/>
  <c r="Q712" i="3"/>
  <c r="W714" i="3"/>
  <c r="P717" i="3"/>
  <c r="V719" i="3"/>
  <c r="AB721" i="3"/>
  <c r="U724" i="3"/>
  <c r="AA726" i="3"/>
  <c r="T729" i="3"/>
  <c r="Z731" i="3"/>
  <c r="S734" i="3"/>
  <c r="Y736" i="3"/>
  <c r="R739" i="3"/>
  <c r="X741" i="3"/>
  <c r="Q744" i="3"/>
  <c r="W746" i="3"/>
  <c r="P749" i="3"/>
  <c r="V751" i="3"/>
  <c r="AB753" i="3"/>
  <c r="U756" i="3"/>
  <c r="AE756" i="3" s="1"/>
  <c r="AA758" i="3"/>
  <c r="T761" i="3"/>
  <c r="Z763" i="3"/>
  <c r="S766" i="3"/>
  <c r="Y768" i="3"/>
  <c r="R771" i="3"/>
  <c r="X773" i="3"/>
  <c r="Q776" i="3"/>
  <c r="W778" i="3"/>
  <c r="P781" i="3"/>
  <c r="V783" i="3"/>
  <c r="AB785" i="3"/>
  <c r="U788" i="3"/>
  <c r="AA790" i="3"/>
  <c r="T793" i="3"/>
  <c r="Z795" i="3"/>
  <c r="S798" i="3"/>
  <c r="Y800" i="3"/>
  <c r="R803" i="3"/>
  <c r="X805" i="3"/>
  <c r="Q808" i="3"/>
  <c r="W810" i="3"/>
  <c r="P813" i="3"/>
  <c r="Z814" i="3"/>
  <c r="U815" i="3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AE823" i="3" s="1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P832" i="3"/>
  <c r="X832" i="3"/>
  <c r="AB677" i="3"/>
  <c r="U680" i="3"/>
  <c r="AA682" i="3"/>
  <c r="T685" i="3"/>
  <c r="Z687" i="3"/>
  <c r="S690" i="3"/>
  <c r="Y692" i="3"/>
  <c r="R695" i="3"/>
  <c r="X697" i="3"/>
  <c r="Q700" i="3"/>
  <c r="W702" i="3"/>
  <c r="P705" i="3"/>
  <c r="V707" i="3"/>
  <c r="AB709" i="3"/>
  <c r="U712" i="3"/>
  <c r="AA714" i="3"/>
  <c r="T717" i="3"/>
  <c r="Z719" i="3"/>
  <c r="S722" i="3"/>
  <c r="Y724" i="3"/>
  <c r="R727" i="3"/>
  <c r="X729" i="3"/>
  <c r="Q732" i="3"/>
  <c r="W734" i="3"/>
  <c r="P737" i="3"/>
  <c r="V739" i="3"/>
  <c r="AB741" i="3"/>
  <c r="U744" i="3"/>
  <c r="AE744" i="3" s="1"/>
  <c r="AA746" i="3"/>
  <c r="T749" i="3"/>
  <c r="Z751" i="3"/>
  <c r="S754" i="3"/>
  <c r="Y756" i="3"/>
  <c r="R759" i="3"/>
  <c r="X761" i="3"/>
  <c r="Q764" i="3"/>
  <c r="W766" i="3"/>
  <c r="P769" i="3"/>
  <c r="V771" i="3"/>
  <c r="AB773" i="3"/>
  <c r="U776" i="3"/>
  <c r="AE776" i="3" s="1"/>
  <c r="AA778" i="3"/>
  <c r="T781" i="3"/>
  <c r="Z783" i="3"/>
  <c r="S786" i="3"/>
  <c r="Y788" i="3"/>
  <c r="R791" i="3"/>
  <c r="X793" i="3"/>
  <c r="Q796" i="3"/>
  <c r="W798" i="3"/>
  <c r="P801" i="3"/>
  <c r="V803" i="3"/>
  <c r="AB805" i="3"/>
  <c r="U808" i="3"/>
  <c r="AA810" i="3"/>
  <c r="T813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P829" i="3"/>
  <c r="X829" i="3"/>
  <c r="S830" i="3"/>
  <c r="AA830" i="3"/>
  <c r="V831" i="3"/>
  <c r="Q832" i="3"/>
  <c r="S678" i="3"/>
  <c r="Y680" i="3"/>
  <c r="R683" i="3"/>
  <c r="X685" i="3"/>
  <c r="Q688" i="3"/>
  <c r="W690" i="3"/>
  <c r="P693" i="3"/>
  <c r="V695" i="3"/>
  <c r="AB697" i="3"/>
  <c r="U700" i="3"/>
  <c r="AA702" i="3"/>
  <c r="T705" i="3"/>
  <c r="Z707" i="3"/>
  <c r="S710" i="3"/>
  <c r="Y712" i="3"/>
  <c r="R715" i="3"/>
  <c r="X717" i="3"/>
  <c r="Q720" i="3"/>
  <c r="W722" i="3"/>
  <c r="P725" i="3"/>
  <c r="V727" i="3"/>
  <c r="AB729" i="3"/>
  <c r="U732" i="3"/>
  <c r="AA734" i="3"/>
  <c r="T737" i="3"/>
  <c r="Z739" i="3"/>
  <c r="S742" i="3"/>
  <c r="Y744" i="3"/>
  <c r="R747" i="3"/>
  <c r="X749" i="3"/>
  <c r="Q752" i="3"/>
  <c r="W754" i="3"/>
  <c r="P757" i="3"/>
  <c r="V759" i="3"/>
  <c r="AB761" i="3"/>
  <c r="U764" i="3"/>
  <c r="AE764" i="3" s="1"/>
  <c r="AA766" i="3"/>
  <c r="T769" i="3"/>
  <c r="Z771" i="3"/>
  <c r="S774" i="3"/>
  <c r="Y776" i="3"/>
  <c r="R779" i="3"/>
  <c r="X781" i="3"/>
  <c r="Q784" i="3"/>
  <c r="W786" i="3"/>
  <c r="P789" i="3"/>
  <c r="V791" i="3"/>
  <c r="AB793" i="3"/>
  <c r="U796" i="3"/>
  <c r="AA798" i="3"/>
  <c r="T801" i="3"/>
  <c r="Z803" i="3"/>
  <c r="S806" i="3"/>
  <c r="Y808" i="3"/>
  <c r="R811" i="3"/>
  <c r="X813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P826" i="3"/>
  <c r="X826" i="3"/>
  <c r="S827" i="3"/>
  <c r="AA827" i="3"/>
  <c r="V828" i="3"/>
  <c r="Q829" i="3"/>
  <c r="Y829" i="3"/>
  <c r="T830" i="3"/>
  <c r="W678" i="3"/>
  <c r="P681" i="3"/>
  <c r="V683" i="3"/>
  <c r="AB685" i="3"/>
  <c r="U688" i="3"/>
  <c r="AA690" i="3"/>
  <c r="T693" i="3"/>
  <c r="Z695" i="3"/>
  <c r="S698" i="3"/>
  <c r="Y700" i="3"/>
  <c r="R703" i="3"/>
  <c r="X705" i="3"/>
  <c r="Q708" i="3"/>
  <c r="W710" i="3"/>
  <c r="P713" i="3"/>
  <c r="V715" i="3"/>
  <c r="AB717" i="3"/>
  <c r="U720" i="3"/>
  <c r="AE720" i="3" s="1"/>
  <c r="AA722" i="3"/>
  <c r="T725" i="3"/>
  <c r="Z727" i="3"/>
  <c r="S730" i="3"/>
  <c r="Y732" i="3"/>
  <c r="R735" i="3"/>
  <c r="X737" i="3"/>
  <c r="Q740" i="3"/>
  <c r="W742" i="3"/>
  <c r="P745" i="3"/>
  <c r="V747" i="3"/>
  <c r="AB749" i="3"/>
  <c r="U752" i="3"/>
  <c r="AA754" i="3"/>
  <c r="T757" i="3"/>
  <c r="Z759" i="3"/>
  <c r="S762" i="3"/>
  <c r="Y764" i="3"/>
  <c r="R767" i="3"/>
  <c r="X769" i="3"/>
  <c r="Q772" i="3"/>
  <c r="W774" i="3"/>
  <c r="P777" i="3"/>
  <c r="V779" i="3"/>
  <c r="AB781" i="3"/>
  <c r="U784" i="3"/>
  <c r="AE784" i="3" s="1"/>
  <c r="AA786" i="3"/>
  <c r="T789" i="3"/>
  <c r="Z791" i="3"/>
  <c r="S794" i="3"/>
  <c r="Y796" i="3"/>
  <c r="R799" i="3"/>
  <c r="X801" i="3"/>
  <c r="Q804" i="3"/>
  <c r="W806" i="3"/>
  <c r="P809" i="3"/>
  <c r="V811" i="3"/>
  <c r="AB813" i="3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AA678" i="3"/>
  <c r="T681" i="3"/>
  <c r="Z683" i="3"/>
  <c r="S686" i="3"/>
  <c r="Y688" i="3"/>
  <c r="R691" i="3"/>
  <c r="X693" i="3"/>
  <c r="Q696" i="3"/>
  <c r="W698" i="3"/>
  <c r="P701" i="3"/>
  <c r="V703" i="3"/>
  <c r="AB705" i="3"/>
  <c r="U708" i="3"/>
  <c r="AA710" i="3"/>
  <c r="T713" i="3"/>
  <c r="Z715" i="3"/>
  <c r="S718" i="3"/>
  <c r="Y720" i="3"/>
  <c r="R723" i="3"/>
  <c r="X725" i="3"/>
  <c r="Q728" i="3"/>
  <c r="W730" i="3"/>
  <c r="P733" i="3"/>
  <c r="V735" i="3"/>
  <c r="AB737" i="3"/>
  <c r="U740" i="3"/>
  <c r="AE740" i="3" s="1"/>
  <c r="AA742" i="3"/>
  <c r="T745" i="3"/>
  <c r="Z747" i="3"/>
  <c r="S750" i="3"/>
  <c r="Y752" i="3"/>
  <c r="R755" i="3"/>
  <c r="X757" i="3"/>
  <c r="Q760" i="3"/>
  <c r="W762" i="3"/>
  <c r="P765" i="3"/>
  <c r="V767" i="3"/>
  <c r="AB769" i="3"/>
  <c r="U772" i="3"/>
  <c r="AA774" i="3"/>
  <c r="T777" i="3"/>
  <c r="Z779" i="3"/>
  <c r="S782" i="3"/>
  <c r="Y784" i="3"/>
  <c r="R787" i="3"/>
  <c r="X789" i="3"/>
  <c r="Q792" i="3"/>
  <c r="W794" i="3"/>
  <c r="P797" i="3"/>
  <c r="V799" i="3"/>
  <c r="AB801" i="3"/>
  <c r="U804" i="3"/>
  <c r="AA806" i="3"/>
  <c r="T809" i="3"/>
  <c r="Z811" i="3"/>
  <c r="R814" i="3"/>
  <c r="Q815" i="3"/>
  <c r="Y815" i="3"/>
  <c r="T816" i="3"/>
  <c r="AB816" i="3"/>
  <c r="W817" i="3"/>
  <c r="R818" i="3"/>
  <c r="Z818" i="3"/>
  <c r="U819" i="3"/>
  <c r="AE819" i="3" s="1"/>
  <c r="P820" i="3"/>
  <c r="X820" i="3"/>
  <c r="S821" i="3"/>
  <c r="AA821" i="3"/>
  <c r="V822" i="3"/>
  <c r="Q823" i="3"/>
  <c r="Y823" i="3"/>
  <c r="T824" i="3"/>
  <c r="AB824" i="3"/>
  <c r="W825" i="3"/>
  <c r="R826" i="3"/>
  <c r="Z826" i="3"/>
  <c r="U827" i="3"/>
  <c r="P828" i="3"/>
  <c r="X828" i="3"/>
  <c r="S829" i="3"/>
  <c r="R679" i="3"/>
  <c r="X681" i="3"/>
  <c r="Q684" i="3"/>
  <c r="W686" i="3"/>
  <c r="P689" i="3"/>
  <c r="V691" i="3"/>
  <c r="AB693" i="3"/>
  <c r="U696" i="3"/>
  <c r="AE696" i="3" s="1"/>
  <c r="AA698" i="3"/>
  <c r="T701" i="3"/>
  <c r="Z703" i="3"/>
  <c r="S706" i="3"/>
  <c r="Y708" i="3"/>
  <c r="R711" i="3"/>
  <c r="X713" i="3"/>
  <c r="Q716" i="3"/>
  <c r="W718" i="3"/>
  <c r="P721" i="3"/>
  <c r="V723" i="3"/>
  <c r="AB725" i="3"/>
  <c r="U728" i="3"/>
  <c r="AE728" i="3" s="1"/>
  <c r="AA730" i="3"/>
  <c r="T733" i="3"/>
  <c r="Z735" i="3"/>
  <c r="S738" i="3"/>
  <c r="Y740" i="3"/>
  <c r="R743" i="3"/>
  <c r="X745" i="3"/>
  <c r="Q748" i="3"/>
  <c r="W750" i="3"/>
  <c r="P753" i="3"/>
  <c r="V755" i="3"/>
  <c r="AB757" i="3"/>
  <c r="U760" i="3"/>
  <c r="AE760" i="3" s="1"/>
  <c r="AA762" i="3"/>
  <c r="T765" i="3"/>
  <c r="Z767" i="3"/>
  <c r="S770" i="3"/>
  <c r="Y772" i="3"/>
  <c r="R775" i="3"/>
  <c r="X777" i="3"/>
  <c r="Q780" i="3"/>
  <c r="W782" i="3"/>
  <c r="P785" i="3"/>
  <c r="V787" i="3"/>
  <c r="AB789" i="3"/>
  <c r="U792" i="3"/>
  <c r="AA794" i="3"/>
  <c r="T797" i="3"/>
  <c r="Z799" i="3"/>
  <c r="S802" i="3"/>
  <c r="Y804" i="3"/>
  <c r="R807" i="3"/>
  <c r="X809" i="3"/>
  <c r="Q812" i="3"/>
  <c r="S814" i="3"/>
  <c r="R815" i="3"/>
  <c r="Z815" i="3"/>
  <c r="U816" i="3"/>
  <c r="P817" i="3"/>
  <c r="X817" i="3"/>
  <c r="S818" i="3"/>
  <c r="AA818" i="3"/>
  <c r="V819" i="3"/>
  <c r="Q820" i="3"/>
  <c r="Y820" i="3"/>
  <c r="T821" i="3"/>
  <c r="AB821" i="3"/>
  <c r="W822" i="3"/>
  <c r="V679" i="3"/>
  <c r="AB681" i="3"/>
  <c r="U684" i="3"/>
  <c r="AE684" i="3" s="1"/>
  <c r="AA686" i="3"/>
  <c r="T689" i="3"/>
  <c r="Z691" i="3"/>
  <c r="S694" i="3"/>
  <c r="Y696" i="3"/>
  <c r="R699" i="3"/>
  <c r="X701" i="3"/>
  <c r="Q704" i="3"/>
  <c r="W706" i="3"/>
  <c r="P709" i="3"/>
  <c r="V711" i="3"/>
  <c r="AB713" i="3"/>
  <c r="U716" i="3"/>
  <c r="AA718" i="3"/>
  <c r="T721" i="3"/>
  <c r="Z723" i="3"/>
  <c r="S726" i="3"/>
  <c r="Y728" i="3"/>
  <c r="R731" i="3"/>
  <c r="X733" i="3"/>
  <c r="Q736" i="3"/>
  <c r="W738" i="3"/>
  <c r="P741" i="3"/>
  <c r="V743" i="3"/>
  <c r="AB745" i="3"/>
  <c r="U748" i="3"/>
  <c r="AE748" i="3" s="1"/>
  <c r="AA750" i="3"/>
  <c r="T753" i="3"/>
  <c r="Z755" i="3"/>
  <c r="S758" i="3"/>
  <c r="Y760" i="3"/>
  <c r="R763" i="3"/>
  <c r="X765" i="3"/>
  <c r="Q768" i="3"/>
  <c r="W770" i="3"/>
  <c r="P773" i="3"/>
  <c r="V775" i="3"/>
  <c r="AB777" i="3"/>
  <c r="U780" i="3"/>
  <c r="AA782" i="3"/>
  <c r="T785" i="3"/>
  <c r="Z787" i="3"/>
  <c r="S790" i="3"/>
  <c r="Y792" i="3"/>
  <c r="R795" i="3"/>
  <c r="X797" i="3"/>
  <c r="Q800" i="3"/>
  <c r="W802" i="3"/>
  <c r="P805" i="3"/>
  <c r="V807" i="3"/>
  <c r="AB809" i="3"/>
  <c r="U812" i="3"/>
  <c r="V814" i="3"/>
  <c r="S815" i="3"/>
  <c r="AA815" i="3"/>
  <c r="V816" i="3"/>
  <c r="Q817" i="3"/>
  <c r="Y817" i="3"/>
  <c r="T818" i="3"/>
  <c r="AB818" i="3"/>
  <c r="W819" i="3"/>
  <c r="R820" i="3"/>
  <c r="Z820" i="3"/>
  <c r="U821" i="3"/>
  <c r="AE821" i="3" s="1"/>
  <c r="P822" i="3"/>
  <c r="X822" i="3"/>
  <c r="Z679" i="3"/>
  <c r="S682" i="3"/>
  <c r="Y684" i="3"/>
  <c r="R687" i="3"/>
  <c r="X689" i="3"/>
  <c r="Q692" i="3"/>
  <c r="W694" i="3"/>
  <c r="P697" i="3"/>
  <c r="V699" i="3"/>
  <c r="AB701" i="3"/>
  <c r="U704" i="3"/>
  <c r="AE704" i="3" s="1"/>
  <c r="AA706" i="3"/>
  <c r="T709" i="3"/>
  <c r="Z711" i="3"/>
  <c r="S714" i="3"/>
  <c r="Y716" i="3"/>
  <c r="R719" i="3"/>
  <c r="X721" i="3"/>
  <c r="Q724" i="3"/>
  <c r="W726" i="3"/>
  <c r="P729" i="3"/>
  <c r="V731" i="3"/>
  <c r="AB733" i="3"/>
  <c r="U736" i="3"/>
  <c r="AE736" i="3" s="1"/>
  <c r="AA738" i="3"/>
  <c r="T741" i="3"/>
  <c r="Z743" i="3"/>
  <c r="S746" i="3"/>
  <c r="Y748" i="3"/>
  <c r="R751" i="3"/>
  <c r="X753" i="3"/>
  <c r="Q756" i="3"/>
  <c r="W758" i="3"/>
  <c r="P761" i="3"/>
  <c r="V763" i="3"/>
  <c r="AB765" i="3"/>
  <c r="U768" i="3"/>
  <c r="AA770" i="3"/>
  <c r="T773" i="3"/>
  <c r="Z775" i="3"/>
  <c r="S778" i="3"/>
  <c r="Y780" i="3"/>
  <c r="R783" i="3"/>
  <c r="X785" i="3"/>
  <c r="Q788" i="3"/>
  <c r="W790" i="3"/>
  <c r="P793" i="3"/>
  <c r="V795" i="3"/>
  <c r="AB797" i="3"/>
  <c r="U800" i="3"/>
  <c r="AA802" i="3"/>
  <c r="T805" i="3"/>
  <c r="Z807" i="3"/>
  <c r="S810" i="3"/>
  <c r="Y812" i="3"/>
  <c r="W814" i="3"/>
  <c r="T815" i="3"/>
  <c r="AB815" i="3"/>
  <c r="W816" i="3"/>
  <c r="R817" i="3"/>
  <c r="Z817" i="3"/>
  <c r="U818" i="3"/>
  <c r="AE818" i="3" s="1"/>
  <c r="P819" i="3"/>
  <c r="X819" i="3"/>
  <c r="S820" i="3"/>
  <c r="AA820" i="3"/>
  <c r="V821" i="3"/>
  <c r="Q822" i="3"/>
  <c r="Y822" i="3"/>
  <c r="R823" i="3"/>
  <c r="W824" i="3"/>
  <c r="T826" i="3"/>
  <c r="Q828" i="3"/>
  <c r="V829" i="3"/>
  <c r="Y830" i="3"/>
  <c r="X831" i="3"/>
  <c r="U832" i="3"/>
  <c r="Q833" i="3"/>
  <c r="Y833" i="3"/>
  <c r="T834" i="3"/>
  <c r="AB834" i="3"/>
  <c r="W835" i="3"/>
  <c r="R836" i="3"/>
  <c r="Z836" i="3"/>
  <c r="U837" i="3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AE925" i="3" s="1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P934" i="3"/>
  <c r="X934" i="3"/>
  <c r="S823" i="3"/>
  <c r="P825" i="3"/>
  <c r="U826" i="3"/>
  <c r="AE826" i="3" s="1"/>
  <c r="R828" i="3"/>
  <c r="AA829" i="3"/>
  <c r="AB830" i="3"/>
  <c r="Y831" i="3"/>
  <c r="V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AE898" i="3" s="1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P931" i="3"/>
  <c r="X931" i="3"/>
  <c r="S932" i="3"/>
  <c r="T823" i="3"/>
  <c r="Q825" i="3"/>
  <c r="AA826" i="3"/>
  <c r="S828" i="3"/>
  <c r="AB829" i="3"/>
  <c r="P831" i="3"/>
  <c r="Z831" i="3"/>
  <c r="W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Q907" i="3"/>
  <c r="Y907" i="3"/>
  <c r="T908" i="3"/>
  <c r="AB908" i="3"/>
  <c r="W909" i="3"/>
  <c r="R910" i="3"/>
  <c r="Z910" i="3"/>
  <c r="U911" i="3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AE919" i="3" s="1"/>
  <c r="P920" i="3"/>
  <c r="X920" i="3"/>
  <c r="S921" i="3"/>
  <c r="AA921" i="3"/>
  <c r="V922" i="3"/>
  <c r="Q923" i="3"/>
  <c r="Y923" i="3"/>
  <c r="T924" i="3"/>
  <c r="AB924" i="3"/>
  <c r="W925" i="3"/>
  <c r="R926" i="3"/>
  <c r="Z926" i="3"/>
  <c r="U927" i="3"/>
  <c r="AE927" i="3" s="1"/>
  <c r="P928" i="3"/>
  <c r="X928" i="3"/>
  <c r="S929" i="3"/>
  <c r="AA929" i="3"/>
  <c r="V930" i="3"/>
  <c r="Z823" i="3"/>
  <c r="R825" i="3"/>
  <c r="AB826" i="3"/>
  <c r="Y828" i="3"/>
  <c r="P830" i="3"/>
  <c r="Q831" i="3"/>
  <c r="AA831" i="3"/>
  <c r="Y832" i="3"/>
  <c r="T833" i="3"/>
  <c r="AB833" i="3"/>
  <c r="W834" i="3"/>
  <c r="R835" i="3"/>
  <c r="Z835" i="3"/>
  <c r="U836" i="3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P901" i="3"/>
  <c r="X901" i="3"/>
  <c r="S902" i="3"/>
  <c r="AA902" i="3"/>
  <c r="V903" i="3"/>
  <c r="Q904" i="3"/>
  <c r="Y904" i="3"/>
  <c r="T905" i="3"/>
  <c r="AB905" i="3"/>
  <c r="W906" i="3"/>
  <c r="R907" i="3"/>
  <c r="Z907" i="3"/>
  <c r="U908" i="3"/>
  <c r="AE908" i="3" s="1"/>
  <c r="P909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P917" i="3"/>
  <c r="X917" i="3"/>
  <c r="S918" i="3"/>
  <c r="AA918" i="3"/>
  <c r="V919" i="3"/>
  <c r="Q920" i="3"/>
  <c r="Y920" i="3"/>
  <c r="T921" i="3"/>
  <c r="AB921" i="3"/>
  <c r="W922" i="3"/>
  <c r="R923" i="3"/>
  <c r="Z923" i="3"/>
  <c r="U924" i="3"/>
  <c r="P925" i="3"/>
  <c r="X925" i="3"/>
  <c r="S926" i="3"/>
  <c r="AA926" i="3"/>
  <c r="V927" i="3"/>
  <c r="Q928" i="3"/>
  <c r="Y928" i="3"/>
  <c r="AA823" i="3"/>
  <c r="X825" i="3"/>
  <c r="P827" i="3"/>
  <c r="Z828" i="3"/>
  <c r="Q830" i="3"/>
  <c r="R831" i="3"/>
  <c r="AB831" i="3"/>
  <c r="Z832" i="3"/>
  <c r="U833" i="3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904" i="3"/>
  <c r="Z904" i="3"/>
  <c r="U905" i="3"/>
  <c r="AE905" i="3" s="1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AB823" i="3"/>
  <c r="Y825" i="3"/>
  <c r="V827" i="3"/>
  <c r="AA828" i="3"/>
  <c r="V830" i="3"/>
  <c r="S831" i="3"/>
  <c r="R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AE862" i="3" s="1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U824" i="3"/>
  <c r="Z825" i="3"/>
  <c r="W827" i="3"/>
  <c r="T829" i="3"/>
  <c r="W830" i="3"/>
  <c r="T831" i="3"/>
  <c r="S832" i="3"/>
  <c r="AB832" i="3"/>
  <c r="W833" i="3"/>
  <c r="R834" i="3"/>
  <c r="Z834" i="3"/>
  <c r="U835" i="3"/>
  <c r="AE835" i="3" s="1"/>
  <c r="P836" i="3"/>
  <c r="X836" i="3"/>
  <c r="S837" i="3"/>
  <c r="AA837" i="3"/>
  <c r="V838" i="3"/>
  <c r="Q839" i="3"/>
  <c r="Y839" i="3"/>
  <c r="T840" i="3"/>
  <c r="AB840" i="3"/>
  <c r="W841" i="3"/>
  <c r="R842" i="3"/>
  <c r="Z842" i="3"/>
  <c r="U843" i="3"/>
  <c r="P844" i="3"/>
  <c r="X844" i="3"/>
  <c r="S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AE899" i="3" s="1"/>
  <c r="P900" i="3"/>
  <c r="X900" i="3"/>
  <c r="S901" i="3"/>
  <c r="AA901" i="3"/>
  <c r="V902" i="3"/>
  <c r="Q903" i="3"/>
  <c r="Y903" i="3"/>
  <c r="T904" i="3"/>
  <c r="AB904" i="3"/>
  <c r="W905" i="3"/>
  <c r="R906" i="3"/>
  <c r="Z906" i="3"/>
  <c r="U907" i="3"/>
  <c r="AE907" i="3" s="1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V824" i="3"/>
  <c r="S826" i="3"/>
  <c r="X827" i="3"/>
  <c r="U829" i="3"/>
  <c r="X830" i="3"/>
  <c r="W831" i="3"/>
  <c r="T832" i="3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Q919" i="3"/>
  <c r="P921" i="3"/>
  <c r="Z922" i="3"/>
  <c r="W924" i="3"/>
  <c r="Z925" i="3"/>
  <c r="P927" i="3"/>
  <c r="S928" i="3"/>
  <c r="U929" i="3"/>
  <c r="S930" i="3"/>
  <c r="S931" i="3"/>
  <c r="P932" i="3"/>
  <c r="AA932" i="3"/>
  <c r="W933" i="3"/>
  <c r="S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Y919" i="3"/>
  <c r="V921" i="3"/>
  <c r="AA922" i="3"/>
  <c r="X924" i="3"/>
  <c r="AA925" i="3"/>
  <c r="Q927" i="3"/>
  <c r="T928" i="3"/>
  <c r="V929" i="3"/>
  <c r="W930" i="3"/>
  <c r="T931" i="3"/>
  <c r="Q932" i="3"/>
  <c r="AB932" i="3"/>
  <c r="X933" i="3"/>
  <c r="T934" i="3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Z919" i="3"/>
  <c r="W921" i="3"/>
  <c r="T923" i="3"/>
  <c r="Y924" i="3"/>
  <c r="AB925" i="3"/>
  <c r="R927" i="3"/>
  <c r="U928" i="3"/>
  <c r="AE928" i="3" s="1"/>
  <c r="W929" i="3"/>
  <c r="X930" i="3"/>
  <c r="U931" i="3"/>
  <c r="T932" i="3"/>
  <c r="P933" i="3"/>
  <c r="Y933" i="3"/>
  <c r="U934" i="3"/>
  <c r="AE934" i="3" s="1"/>
  <c r="Q935" i="3"/>
  <c r="Y935" i="3"/>
  <c r="T936" i="3"/>
  <c r="AB936" i="3"/>
  <c r="W937" i="3"/>
  <c r="R938" i="3"/>
  <c r="Z938" i="3"/>
  <c r="U939" i="3"/>
  <c r="AE939" i="3" s="1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P996" i="3"/>
  <c r="X996" i="3"/>
  <c r="S997" i="3"/>
  <c r="AA997" i="3"/>
  <c r="V998" i="3"/>
  <c r="Q999" i="3"/>
  <c r="Y999" i="3"/>
  <c r="S920" i="3"/>
  <c r="X921" i="3"/>
  <c r="U923" i="3"/>
  <c r="Q925" i="3"/>
  <c r="T926" i="3"/>
  <c r="W927" i="3"/>
  <c r="Z928" i="3"/>
  <c r="X929" i="3"/>
  <c r="Y930" i="3"/>
  <c r="V931" i="3"/>
  <c r="U932" i="3"/>
  <c r="Q933" i="3"/>
  <c r="Z933" i="3"/>
  <c r="V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AE944" i="3" s="1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T920" i="3"/>
  <c r="Q922" i="3"/>
  <c r="V923" i="3"/>
  <c r="R925" i="3"/>
  <c r="U926" i="3"/>
  <c r="AE926" i="3" s="1"/>
  <c r="X927" i="3"/>
  <c r="AA928" i="3"/>
  <c r="AB929" i="3"/>
  <c r="Z930" i="3"/>
  <c r="Y931" i="3"/>
  <c r="V932" i="3"/>
  <c r="R933" i="3"/>
  <c r="AA933" i="3"/>
  <c r="W934" i="3"/>
  <c r="S935" i="3"/>
  <c r="AA935" i="3"/>
  <c r="V936" i="3"/>
  <c r="Q937" i="3"/>
  <c r="Y937" i="3"/>
  <c r="T938" i="3"/>
  <c r="AB938" i="3"/>
  <c r="W939" i="3"/>
  <c r="R940" i="3"/>
  <c r="Z940" i="3"/>
  <c r="U941" i="3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P998" i="3"/>
  <c r="X998" i="3"/>
  <c r="S999" i="3"/>
  <c r="AA999" i="3"/>
  <c r="U920" i="3"/>
  <c r="AE920" i="3" s="1"/>
  <c r="R922" i="3"/>
  <c r="AB923" i="3"/>
  <c r="S925" i="3"/>
  <c r="V926" i="3"/>
  <c r="Y927" i="3"/>
  <c r="AB928" i="3"/>
  <c r="P930" i="3"/>
  <c r="AA930" i="3"/>
  <c r="Z931" i="3"/>
  <c r="W932" i="3"/>
  <c r="S933" i="3"/>
  <c r="AB933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AA920" i="3"/>
  <c r="S922" i="3"/>
  <c r="P924" i="3"/>
  <c r="T925" i="3"/>
  <c r="W926" i="3"/>
  <c r="Z927" i="3"/>
  <c r="P929" i="3"/>
  <c r="Q930" i="3"/>
  <c r="Q931" i="3"/>
  <c r="AA931" i="3"/>
  <c r="X932" i="3"/>
  <c r="T933" i="3"/>
  <c r="Q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AE943" i="3" s="1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AE999" i="3" s="1"/>
  <c r="AB920" i="3"/>
  <c r="Y922" i="3"/>
  <c r="Q924" i="3"/>
  <c r="Y925" i="3"/>
  <c r="AB926" i="3"/>
  <c r="R928" i="3"/>
  <c r="T929" i="3"/>
  <c r="R930" i="3"/>
  <c r="R931" i="3"/>
  <c r="AB931" i="3"/>
  <c r="Y932" i="3"/>
  <c r="V933" i="3"/>
  <c r="R934" i="3"/>
  <c r="AA934" i="3"/>
  <c r="V935" i="3"/>
  <c r="Q936" i="3"/>
  <c r="Y936" i="3"/>
  <c r="T937" i="3"/>
  <c r="AB937" i="3"/>
  <c r="W938" i="3"/>
  <c r="R939" i="3"/>
  <c r="Z939" i="3"/>
  <c r="U940" i="3"/>
  <c r="AE940" i="3" s="1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AE956" i="3" s="1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T985" i="3"/>
  <c r="AB985" i="3"/>
  <c r="W986" i="3"/>
  <c r="R987" i="3"/>
  <c r="Z987" i="3"/>
  <c r="U988" i="3"/>
  <c r="AE988" i="3" s="1"/>
  <c r="P989" i="3"/>
  <c r="X989" i="3"/>
  <c r="S990" i="3"/>
  <c r="AA990" i="3"/>
  <c r="V991" i="3"/>
  <c r="Q992" i="3"/>
  <c r="Y992" i="3"/>
  <c r="T993" i="3"/>
  <c r="AB993" i="3"/>
  <c r="W994" i="3"/>
  <c r="R995" i="3"/>
  <c r="Z995" i="3"/>
  <c r="U996" i="3"/>
  <c r="AE996" i="3" s="1"/>
  <c r="P997" i="3"/>
  <c r="X997" i="3"/>
  <c r="S998" i="3"/>
  <c r="AA998" i="3"/>
  <c r="V999" i="3"/>
  <c r="AE18" i="3"/>
  <c r="AE41" i="3"/>
  <c r="AE37" i="3"/>
  <c r="AE63" i="3"/>
  <c r="AE9" i="3"/>
  <c r="AE34" i="3"/>
  <c r="AE13" i="3"/>
  <c r="AE92" i="3"/>
  <c r="AE97" i="3"/>
  <c r="AE107" i="3"/>
  <c r="AE215" i="3"/>
  <c r="AE182" i="3"/>
  <c r="AE256" i="3"/>
  <c r="AE247" i="3"/>
  <c r="AE236" i="3"/>
  <c r="AE208" i="3"/>
  <c r="AE246" i="3"/>
  <c r="AE312" i="3"/>
  <c r="AE306" i="3"/>
  <c r="AE303" i="3"/>
  <c r="AE270" i="3"/>
  <c r="AE292" i="3"/>
  <c r="AE391" i="3"/>
  <c r="AE356" i="3"/>
  <c r="AE358" i="3"/>
  <c r="AE283" i="3"/>
  <c r="AE392" i="3"/>
  <c r="AE470" i="3"/>
  <c r="AE475" i="3"/>
  <c r="AE464" i="3"/>
  <c r="AE411" i="3"/>
  <c r="AE450" i="3"/>
  <c r="AE510" i="3"/>
  <c r="AE499" i="3"/>
  <c r="AE477" i="3"/>
  <c r="AE494" i="3"/>
  <c r="AE514" i="3"/>
  <c r="AE503" i="3"/>
  <c r="AE564" i="3"/>
  <c r="AE593" i="3"/>
  <c r="AE582" i="3"/>
  <c r="AE536" i="3"/>
  <c r="AE600" i="3"/>
  <c r="AE573" i="3"/>
  <c r="AE538" i="3"/>
  <c r="AE626" i="3"/>
  <c r="AE551" i="3"/>
  <c r="AE640" i="3"/>
  <c r="AE685" i="3"/>
  <c r="AE698" i="3"/>
  <c r="AE631" i="3"/>
  <c r="AE762" i="3"/>
  <c r="AE855" i="3"/>
  <c r="AE828" i="3"/>
  <c r="AE809" i="3"/>
  <c r="AE816" i="3"/>
  <c r="AE17" i="3"/>
  <c r="AE25" i="3"/>
  <c r="AE26" i="3"/>
  <c r="AE15" i="3"/>
  <c r="AE40" i="3"/>
  <c r="AE45" i="3"/>
  <c r="AE85" i="3"/>
  <c r="AE90" i="3"/>
  <c r="AE139" i="3"/>
  <c r="AE144" i="3"/>
  <c r="AE138" i="3"/>
  <c r="AE124" i="3"/>
  <c r="AE132" i="3"/>
  <c r="AE172" i="3"/>
  <c r="AE177" i="3"/>
  <c r="AE176" i="3"/>
  <c r="AE184" i="3"/>
  <c r="AE181" i="3"/>
  <c r="AE202" i="3"/>
  <c r="AE250" i="3"/>
  <c r="AE212" i="3"/>
  <c r="AE268" i="3"/>
  <c r="AE214" i="3"/>
  <c r="AE129" i="3"/>
  <c r="AE235" i="3"/>
  <c r="AE281" i="3"/>
  <c r="AE341" i="3"/>
  <c r="AE170" i="3"/>
  <c r="AE295" i="3"/>
  <c r="AE359" i="3"/>
  <c r="AE353" i="3"/>
  <c r="AE361" i="3"/>
  <c r="AE221" i="3"/>
  <c r="AE310" i="3"/>
  <c r="AE347" i="3"/>
  <c r="AE408" i="3"/>
  <c r="AE437" i="3"/>
  <c r="AE394" i="3"/>
  <c r="AE426" i="3"/>
  <c r="AE420" i="3"/>
  <c r="AE316" i="3"/>
  <c r="AE374" i="3"/>
  <c r="AE387" i="3"/>
  <c r="AE486" i="3"/>
  <c r="AE415" i="3"/>
  <c r="AE512" i="3"/>
  <c r="AE423" i="3"/>
  <c r="AE498" i="3"/>
  <c r="AE539" i="3"/>
  <c r="AE563" i="3"/>
  <c r="AE603" i="3"/>
  <c r="AE552" i="3"/>
  <c r="AE581" i="3"/>
  <c r="AE589" i="3"/>
  <c r="AE524" i="3"/>
  <c r="AE553" i="3"/>
  <c r="AE681" i="3"/>
  <c r="AE654" i="3"/>
  <c r="AE554" i="3"/>
  <c r="AE605" i="3"/>
  <c r="AE574" i="3"/>
  <c r="AE642" i="3"/>
  <c r="AE562" i="3"/>
  <c r="AE778" i="3"/>
  <c r="AE550" i="3"/>
  <c r="AE815" i="3"/>
  <c r="AE732" i="3"/>
  <c r="AE796" i="3"/>
  <c r="AE812" i="3"/>
  <c r="AE644" i="3"/>
  <c r="AE691" i="3"/>
  <c r="AE739" i="3"/>
  <c r="AE755" i="3"/>
  <c r="AE803" i="3"/>
  <c r="AE688" i="3"/>
  <c r="AE752" i="3"/>
  <c r="AE792" i="3"/>
  <c r="AE793" i="3"/>
  <c r="AE769" i="3"/>
  <c r="AE827" i="3"/>
  <c r="AE808" i="3"/>
  <c r="AE721" i="3"/>
  <c r="AE741" i="3"/>
  <c r="AE876" i="3"/>
  <c r="AE729" i="3"/>
  <c r="AE929" i="3"/>
  <c r="AE910" i="3"/>
  <c r="AE957" i="3"/>
  <c r="AE961" i="3"/>
  <c r="AE985" i="3"/>
  <c r="AE890" i="3"/>
  <c r="AE199" i="3"/>
  <c r="AE344" i="3"/>
  <c r="AE457" i="3"/>
  <c r="AE567" i="3"/>
  <c r="AE348" i="3"/>
  <c r="AE565" i="3"/>
  <c r="AE735" i="3"/>
  <c r="AE799" i="3"/>
  <c r="AE714" i="3"/>
  <c r="AE633" i="3"/>
  <c r="AE716" i="3"/>
  <c r="AE7" i="3"/>
  <c r="AE39" i="3"/>
  <c r="AE47" i="3"/>
  <c r="AE55" i="3"/>
  <c r="AE33" i="3"/>
  <c r="AE8" i="3"/>
  <c r="AE24" i="3"/>
  <c r="AE48" i="3"/>
  <c r="AE29" i="3"/>
  <c r="AE53" i="3"/>
  <c r="AE6" i="3"/>
  <c r="AE38" i="3"/>
  <c r="AE54" i="3"/>
  <c r="AE64" i="3"/>
  <c r="AE72" i="3"/>
  <c r="AE11" i="3"/>
  <c r="AE27" i="3"/>
  <c r="AE61" i="3"/>
  <c r="AE69" i="3"/>
  <c r="AE10" i="3"/>
  <c r="AE58" i="3"/>
  <c r="AE74" i="3"/>
  <c r="AE82" i="3"/>
  <c r="AE20" i="3"/>
  <c r="AE36" i="3"/>
  <c r="AE71" i="3"/>
  <c r="AE14" i="3"/>
  <c r="AE30" i="3"/>
  <c r="AE60" i="3"/>
  <c r="AE68" i="3"/>
  <c r="AE50" i="3"/>
  <c r="AE62" i="3"/>
  <c r="AE70" i="3"/>
  <c r="AE35" i="3"/>
  <c r="AE94" i="3"/>
  <c r="AE110" i="3"/>
  <c r="AE91" i="3"/>
  <c r="AE51" i="3"/>
  <c r="AE88" i="3"/>
  <c r="AE104" i="3"/>
  <c r="AE98" i="3"/>
  <c r="AE28" i="3"/>
  <c r="AE67" i="3"/>
  <c r="AE75" i="3"/>
  <c r="AE87" i="3"/>
  <c r="AE95" i="3"/>
  <c r="AE111" i="3"/>
  <c r="AE84" i="3"/>
  <c r="AE127" i="3"/>
  <c r="AE135" i="3"/>
  <c r="AE151" i="3"/>
  <c r="AE113" i="3"/>
  <c r="AE148" i="3"/>
  <c r="AE156" i="3"/>
  <c r="AE12" i="3"/>
  <c r="AE93" i="3"/>
  <c r="AE145" i="3"/>
  <c r="AE153" i="3"/>
  <c r="AE116" i="3"/>
  <c r="AE123" i="3"/>
  <c r="AE147" i="3"/>
  <c r="AE89" i="3"/>
  <c r="AE136" i="3"/>
  <c r="AE81" i="3"/>
  <c r="AE109" i="3"/>
  <c r="AE125" i="3"/>
  <c r="AE141" i="3"/>
  <c r="AE142" i="3"/>
  <c r="AE167" i="3"/>
  <c r="AE175" i="3"/>
  <c r="AE183" i="3"/>
  <c r="AE191" i="3"/>
  <c r="AE130" i="3"/>
  <c r="AE180" i="3"/>
  <c r="AE196" i="3"/>
  <c r="AE204" i="3"/>
  <c r="AE185" i="3"/>
  <c r="AE126" i="3"/>
  <c r="AE150" i="3"/>
  <c r="AE163" i="3"/>
  <c r="AE171" i="3"/>
  <c r="AE114" i="3"/>
  <c r="AE146" i="3"/>
  <c r="AE158" i="3"/>
  <c r="AE200" i="3"/>
  <c r="AE134" i="3"/>
  <c r="AE157" i="3"/>
  <c r="AE165" i="3"/>
  <c r="AE189" i="3"/>
  <c r="AE44" i="3"/>
  <c r="AE211" i="3"/>
  <c r="AE219" i="3"/>
  <c r="AE251" i="3"/>
  <c r="AE259" i="3"/>
  <c r="AE267" i="3"/>
  <c r="AE224" i="3"/>
  <c r="AE232" i="3"/>
  <c r="AE248" i="3"/>
  <c r="AE272" i="3"/>
  <c r="AE280" i="3"/>
  <c r="AE190" i="3"/>
  <c r="AE206" i="3"/>
  <c r="AE213" i="3"/>
  <c r="AE237" i="3"/>
  <c r="AE253" i="3"/>
  <c r="AE277" i="3"/>
  <c r="AE166" i="3"/>
  <c r="AE205" i="3"/>
  <c r="AE207" i="3"/>
  <c r="AE231" i="3"/>
  <c r="AE255" i="3"/>
  <c r="AE263" i="3"/>
  <c r="AE279" i="3"/>
  <c r="AE228" i="3"/>
  <c r="AE244" i="3"/>
  <c r="AE252" i="3"/>
  <c r="AE284" i="3"/>
  <c r="AE217" i="3"/>
  <c r="AE225" i="3"/>
  <c r="AE241" i="3"/>
  <c r="AE249" i="3"/>
  <c r="AE265" i="3"/>
  <c r="AE273" i="3"/>
  <c r="AE210" i="3"/>
  <c r="AE274" i="3"/>
  <c r="AE299" i="3"/>
  <c r="AE307" i="3"/>
  <c r="AE323" i="3"/>
  <c r="AE331" i="3"/>
  <c r="AE339" i="3"/>
  <c r="AE355" i="3"/>
  <c r="AE194" i="3"/>
  <c r="AE230" i="3"/>
  <c r="AE262" i="3"/>
  <c r="AE286" i="3"/>
  <c r="AE296" i="3"/>
  <c r="AE320" i="3"/>
  <c r="AE336" i="3"/>
  <c r="AE352" i="3"/>
  <c r="AE195" i="3"/>
  <c r="AE293" i="3"/>
  <c r="AE301" i="3"/>
  <c r="AE309" i="3"/>
  <c r="AE317" i="3"/>
  <c r="AE325" i="3"/>
  <c r="AE333" i="3"/>
  <c r="AE357" i="3"/>
  <c r="AE365" i="3"/>
  <c r="AE178" i="3"/>
  <c r="AE290" i="3"/>
  <c r="AE319" i="3"/>
  <c r="AE327" i="3"/>
  <c r="AE343" i="3"/>
  <c r="AE351" i="3"/>
  <c r="AE289" i="3"/>
  <c r="AE308" i="3"/>
  <c r="AE332" i="3"/>
  <c r="AE340" i="3"/>
  <c r="AE364" i="3"/>
  <c r="AE234" i="3"/>
  <c r="AE266" i="3"/>
  <c r="AE305" i="3"/>
  <c r="AE321" i="3"/>
  <c r="AE329" i="3"/>
  <c r="AE337" i="3"/>
  <c r="AE122" i="3"/>
  <c r="AE238" i="3"/>
  <c r="AE354" i="3"/>
  <c r="AE371" i="3"/>
  <c r="AE395" i="3"/>
  <c r="AE419" i="3"/>
  <c r="AE435" i="3"/>
  <c r="AE443" i="3"/>
  <c r="AE368" i="3"/>
  <c r="AE376" i="3"/>
  <c r="AE416" i="3"/>
  <c r="AE424" i="3"/>
  <c r="AE330" i="3"/>
  <c r="AE381" i="3"/>
  <c r="AE389" i="3"/>
  <c r="AE405" i="3"/>
  <c r="AE429" i="3"/>
  <c r="AE375" i="3"/>
  <c r="AE383" i="3"/>
  <c r="AE399" i="3"/>
  <c r="AE439" i="3"/>
  <c r="AE203" i="3"/>
  <c r="AE326" i="3"/>
  <c r="AE372" i="3"/>
  <c r="AE388" i="3"/>
  <c r="AE404" i="3"/>
  <c r="AE412" i="3"/>
  <c r="AE444" i="3"/>
  <c r="AE314" i="3"/>
  <c r="AE346" i="3"/>
  <c r="AE367" i="3"/>
  <c r="AE377" i="3"/>
  <c r="AE393" i="3"/>
  <c r="AE401" i="3"/>
  <c r="AE417" i="3"/>
  <c r="AE433" i="3"/>
  <c r="AE441" i="3"/>
  <c r="AE370" i="3"/>
  <c r="AE452" i="3"/>
  <c r="AE460" i="3"/>
  <c r="AE468" i="3"/>
  <c r="AE500" i="3"/>
  <c r="AE516" i="3"/>
  <c r="AE422" i="3"/>
  <c r="AE473" i="3"/>
  <c r="AE481" i="3"/>
  <c r="AE497" i="3"/>
  <c r="AE513" i="3"/>
  <c r="AE378" i="3"/>
  <c r="AE410" i="3"/>
  <c r="AE442" i="3"/>
  <c r="AE446" i="3"/>
  <c r="AE454" i="3"/>
  <c r="AE418" i="3"/>
  <c r="AE456" i="3"/>
  <c r="AE480" i="3"/>
  <c r="AE488" i="3"/>
  <c r="AE496" i="3"/>
  <c r="AE453" i="3"/>
  <c r="AE461" i="3"/>
  <c r="AE501" i="3"/>
  <c r="AE509" i="3"/>
  <c r="AE222" i="3"/>
  <c r="AE350" i="3"/>
  <c r="AE466" i="3"/>
  <c r="AE482" i="3"/>
  <c r="AE490" i="3"/>
  <c r="AE430" i="3"/>
  <c r="AE483" i="3"/>
  <c r="AE523" i="3"/>
  <c r="AE560" i="3"/>
  <c r="AE576" i="3"/>
  <c r="AE592" i="3"/>
  <c r="AE382" i="3"/>
  <c r="AE525" i="3"/>
  <c r="AE541" i="3"/>
  <c r="AE549" i="3"/>
  <c r="AE459" i="3"/>
  <c r="AE522" i="3"/>
  <c r="AE578" i="3"/>
  <c r="AE594" i="3"/>
  <c r="AE532" i="3"/>
  <c r="AE540" i="3"/>
  <c r="AE548" i="3"/>
  <c r="AE572" i="3"/>
  <c r="AE580" i="3"/>
  <c r="AE596" i="3"/>
  <c r="AE455" i="3"/>
  <c r="AE487" i="3"/>
  <c r="AE520" i="3"/>
  <c r="AE529" i="3"/>
  <c r="AE537" i="3"/>
  <c r="AE561" i="3"/>
  <c r="AE585" i="3"/>
  <c r="AE398" i="3"/>
  <c r="AE526" i="3"/>
  <c r="AE534" i="3"/>
  <c r="AE558" i="3"/>
  <c r="AE598" i="3"/>
  <c r="AE479" i="3"/>
  <c r="AE559" i="3"/>
  <c r="AE591" i="3"/>
  <c r="AE613" i="3"/>
  <c r="AE629" i="3"/>
  <c r="AE645" i="3"/>
  <c r="AE653" i="3"/>
  <c r="AE661" i="3"/>
  <c r="AE677" i="3"/>
  <c r="AE302" i="3"/>
  <c r="AE547" i="3"/>
  <c r="AE579" i="3"/>
  <c r="AE618" i="3"/>
  <c r="AE658" i="3"/>
  <c r="AE674" i="3"/>
  <c r="AE511" i="3"/>
  <c r="AE615" i="3"/>
  <c r="AE639" i="3"/>
  <c r="AE647" i="3"/>
  <c r="AE655" i="3"/>
  <c r="AE575" i="3"/>
  <c r="AE609" i="3"/>
  <c r="AE649" i="3"/>
  <c r="AE657" i="3"/>
  <c r="AE665" i="3"/>
  <c r="AE614" i="3"/>
  <c r="AE622" i="3"/>
  <c r="AE638" i="3"/>
  <c r="AE646" i="3"/>
  <c r="AE670" i="3"/>
  <c r="AE678" i="3"/>
  <c r="AE414" i="3"/>
  <c r="AE627" i="3"/>
  <c r="AE643" i="3"/>
  <c r="R17" i="1"/>
  <c r="AE463" i="3"/>
  <c r="AE620" i="3"/>
  <c r="AE687" i="3"/>
  <c r="AE695" i="3"/>
  <c r="AE711" i="3"/>
  <c r="AE719" i="3"/>
  <c r="AE759" i="3"/>
  <c r="AE775" i="3"/>
  <c r="AE783" i="3"/>
  <c r="AE831" i="3"/>
  <c r="AE847" i="3"/>
  <c r="AE700" i="3"/>
  <c r="AE708" i="3"/>
  <c r="AE724" i="3"/>
  <c r="AE772" i="3"/>
  <c r="AE780" i="3"/>
  <c r="AE788" i="3"/>
  <c r="AE804" i="3"/>
  <c r="AE836" i="3"/>
  <c r="AE852" i="3"/>
  <c r="AE860" i="3"/>
  <c r="AE587" i="3"/>
  <c r="AE660" i="3"/>
  <c r="AE680" i="3"/>
  <c r="AE705" i="3"/>
  <c r="AE745" i="3"/>
  <c r="AE761" i="3"/>
  <c r="AE785" i="3"/>
  <c r="AE825" i="3"/>
  <c r="AE833" i="3"/>
  <c r="AE616" i="3"/>
  <c r="AE599" i="3"/>
  <c r="AE604" i="3"/>
  <c r="AE636" i="3"/>
  <c r="AE668" i="3"/>
  <c r="AE707" i="3"/>
  <c r="AE715" i="3"/>
  <c r="AE731" i="3"/>
  <c r="AE771" i="3"/>
  <c r="AE779" i="3"/>
  <c r="AE795" i="3"/>
  <c r="AE843" i="3"/>
  <c r="AE859" i="3"/>
  <c r="AE624" i="3"/>
  <c r="AE712" i="3"/>
  <c r="AE768" i="3"/>
  <c r="AE800" i="3"/>
  <c r="AE824" i="3"/>
  <c r="AE832" i="3"/>
  <c r="AE840" i="3"/>
  <c r="AE701" i="3"/>
  <c r="AE717" i="3"/>
  <c r="AE749" i="3"/>
  <c r="AE765" i="3"/>
  <c r="AE781" i="3"/>
  <c r="AE789" i="3"/>
  <c r="AE805" i="3"/>
  <c r="AE813" i="3"/>
  <c r="AE829" i="3"/>
  <c r="AE837" i="3"/>
  <c r="AE845" i="3"/>
  <c r="AE742" i="3"/>
  <c r="AE806" i="3"/>
  <c r="AE866" i="3"/>
  <c r="AE858" i="3"/>
  <c r="AE871" i="3"/>
  <c r="AE879" i="3"/>
  <c r="AE911" i="3"/>
  <c r="AE951" i="3"/>
  <c r="AE991" i="3"/>
  <c r="AE718" i="3"/>
  <c r="AE846" i="3"/>
  <c r="AE916" i="3"/>
  <c r="AE924" i="3"/>
  <c r="AE932" i="3"/>
  <c r="AE664" i="3"/>
  <c r="AE802" i="3"/>
  <c r="AE889" i="3"/>
  <c r="AE913" i="3"/>
  <c r="AE945" i="3"/>
  <c r="AE977" i="3"/>
  <c r="AE870" i="3"/>
  <c r="AE894" i="3"/>
  <c r="AE758" i="3"/>
  <c r="AE822" i="3"/>
  <c r="AE886" i="3"/>
  <c r="AE867" i="3"/>
  <c r="AE883" i="3"/>
  <c r="AE891" i="3"/>
  <c r="AE923" i="3"/>
  <c r="AE931" i="3"/>
  <c r="AE947" i="3"/>
  <c r="AE955" i="3"/>
  <c r="AE987" i="3"/>
  <c r="AE995" i="3"/>
  <c r="AE702" i="3"/>
  <c r="AE734" i="3"/>
  <c r="AE766" i="3"/>
  <c r="AE798" i="3"/>
  <c r="AE872" i="3"/>
  <c r="AE896" i="3"/>
  <c r="AE904" i="3"/>
  <c r="AE952" i="3"/>
  <c r="AE960" i="3"/>
  <c r="AE722" i="3"/>
  <c r="AE754" i="3"/>
  <c r="AE786" i="3"/>
  <c r="AE869" i="3"/>
  <c r="AE901" i="3"/>
  <c r="AE933" i="3"/>
  <c r="AE941" i="3"/>
  <c r="AE965" i="3"/>
  <c r="AE997" i="3"/>
  <c r="AE906" i="3"/>
  <c r="AE930" i="3"/>
  <c r="AE982" i="3"/>
  <c r="AE922" i="3"/>
  <c r="AE986" i="3"/>
  <c r="AE946" i="3"/>
  <c r="AG7" i="3" l="1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W3" i="3"/>
  <c r="V3" i="3" s="1"/>
  <c r="D14" i="1" s="1"/>
  <c r="O6" i="3"/>
  <c r="Q3" i="3"/>
  <c r="Q2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I922" i="3" s="1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I234" i="3" s="1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I145" i="3" s="1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I959" i="3" s="1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I931" i="3" s="1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I503" i="3" s="1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I431" i="3" s="1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I228" i="3" s="1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I542" i="3" s="1"/>
  <c r="AD598" i="3"/>
  <c r="O598" i="3"/>
  <c r="N598" i="3"/>
  <c r="AG594" i="3"/>
  <c r="AH593" i="3"/>
  <c r="AD534" i="3"/>
  <c r="N534" i="3"/>
  <c r="O534" i="3"/>
  <c r="AH529" i="3"/>
  <c r="AI529" i="3" s="1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I485" i="3" s="1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I104" i="3" s="1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I64" i="3" s="1"/>
  <c r="AG65" i="3"/>
  <c r="N72" i="3"/>
  <c r="AD72" i="3"/>
  <c r="O72" i="3"/>
  <c r="AH67" i="3"/>
  <c r="AG68" i="3"/>
  <c r="AI68" i="3" s="1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I853" i="3" s="1"/>
  <c r="AG854" i="3"/>
  <c r="AD794" i="3"/>
  <c r="N794" i="3"/>
  <c r="O794" i="3"/>
  <c r="AH789" i="3"/>
  <c r="AG790" i="3"/>
  <c r="AD730" i="3"/>
  <c r="N730" i="3"/>
  <c r="O730" i="3"/>
  <c r="AH725" i="3"/>
  <c r="AI725" i="3" s="1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I155" i="3" s="1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I69" i="3" s="1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I813" i="3" s="1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I817" i="3" s="1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I591" i="3" s="1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I491" i="3" s="1"/>
  <c r="AG492" i="3"/>
  <c r="AD593" i="3"/>
  <c r="O593" i="3"/>
  <c r="N593" i="3"/>
  <c r="AG589" i="3"/>
  <c r="AH588" i="3"/>
  <c r="AD529" i="3"/>
  <c r="O529" i="3"/>
  <c r="N529" i="3"/>
  <c r="AG525" i="3"/>
  <c r="AH524" i="3"/>
  <c r="AI524" i="3" s="1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AI134" i="3" s="1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I107" i="3" s="1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I850" i="3" s="1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I976" i="3" s="1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I773" i="3" s="1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I603" i="3" s="1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I599" i="3" s="1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I544" i="3" s="1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AI334" i="3" s="1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AI258" i="3" s="1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I166" i="3" s="1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I207" i="3" s="1"/>
  <c r="AG208" i="3"/>
  <c r="O190" i="3"/>
  <c r="N190" i="3"/>
  <c r="AD190" i="3"/>
  <c r="AG186" i="3"/>
  <c r="AH185" i="3"/>
  <c r="AH110" i="3"/>
  <c r="AI110" i="3" s="1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I72" i="3" s="1"/>
  <c r="AH18" i="3"/>
  <c r="AG19" i="3"/>
  <c r="AH24" i="3"/>
  <c r="AG25" i="3"/>
  <c r="AD83" i="3"/>
  <c r="N83" i="3"/>
  <c r="O83" i="3"/>
  <c r="AH78" i="3"/>
  <c r="AG79" i="3"/>
  <c r="AG31" i="3"/>
  <c r="AH30" i="3"/>
  <c r="AI30" i="3" s="1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I20" i="3" s="1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I846" i="3" s="1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I764" i="3" s="1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I775" i="3" s="1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I739" i="3" s="1"/>
  <c r="AD677" i="3"/>
  <c r="N677" i="3"/>
  <c r="O677" i="3"/>
  <c r="AD660" i="3"/>
  <c r="N660" i="3"/>
  <c r="O660" i="3"/>
  <c r="AH655" i="3"/>
  <c r="AG656" i="3"/>
  <c r="AH467" i="3"/>
  <c r="AI467" i="3" s="1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I533" i="3" s="1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I572" i="3" s="1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I270" i="3" s="1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AI267" i="3" s="1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I209" i="3" s="1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AI41" i="3" s="1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843" i="3" l="1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A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AD3" i="3" s="1"/>
  <c r="U2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R42" i="1"/>
  <c r="R50" i="1"/>
  <c r="R58" i="1"/>
  <c r="R66" i="1"/>
  <c r="R74" i="1"/>
  <c r="S74" i="1" s="1"/>
  <c r="R82" i="1"/>
  <c r="R90" i="1"/>
  <c r="R98" i="1"/>
  <c r="R106" i="1"/>
  <c r="R114" i="1"/>
  <c r="R122" i="1"/>
  <c r="R130" i="1"/>
  <c r="R138" i="1"/>
  <c r="S138" i="1" s="1"/>
  <c r="R146" i="1"/>
  <c r="R154" i="1"/>
  <c r="R162" i="1"/>
  <c r="R170" i="1"/>
  <c r="R178" i="1"/>
  <c r="R186" i="1"/>
  <c r="R194" i="1"/>
  <c r="R202" i="1"/>
  <c r="S202" i="1" s="1"/>
  <c r="R210" i="1"/>
  <c r="R218" i="1"/>
  <c r="R226" i="1"/>
  <c r="R234" i="1"/>
  <c r="R242" i="1"/>
  <c r="R250" i="1"/>
  <c r="R258" i="1"/>
  <c r="R266" i="1"/>
  <c r="S266" i="1" s="1"/>
  <c r="R274" i="1"/>
  <c r="R282" i="1"/>
  <c r="R290" i="1"/>
  <c r="R298" i="1"/>
  <c r="R306" i="1"/>
  <c r="R314" i="1"/>
  <c r="R322" i="1"/>
  <c r="R330" i="1"/>
  <c r="S330" i="1" s="1"/>
  <c r="R338" i="1"/>
  <c r="R346" i="1"/>
  <c r="R354" i="1"/>
  <c r="R362" i="1"/>
  <c r="R370" i="1"/>
  <c r="R378" i="1"/>
  <c r="R386" i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490" i="1"/>
  <c r="S490" i="1" s="1"/>
  <c r="R498" i="1"/>
  <c r="S498" i="1" s="1"/>
  <c r="R506" i="1"/>
  <c r="S506" i="1" s="1"/>
  <c r="R514" i="1"/>
  <c r="S514" i="1" s="1"/>
  <c r="R522" i="1"/>
  <c r="S522" i="1" s="1"/>
  <c r="R530" i="1"/>
  <c r="S530" i="1" s="1"/>
  <c r="R538" i="1"/>
  <c r="S538" i="1" s="1"/>
  <c r="R546" i="1"/>
  <c r="S546" i="1" s="1"/>
  <c r="R554" i="1"/>
  <c r="S554" i="1" s="1"/>
  <c r="R562" i="1"/>
  <c r="S562" i="1" s="1"/>
  <c r="R570" i="1"/>
  <c r="S570" i="1" s="1"/>
  <c r="R578" i="1"/>
  <c r="S578" i="1" s="1"/>
  <c r="R586" i="1"/>
  <c r="S586" i="1" s="1"/>
  <c r="R594" i="1"/>
  <c r="S594" i="1" s="1"/>
  <c r="R602" i="1"/>
  <c r="S602" i="1" s="1"/>
  <c r="R610" i="1"/>
  <c r="S610" i="1" s="1"/>
  <c r="R618" i="1"/>
  <c r="S618" i="1" s="1"/>
  <c r="R626" i="1"/>
  <c r="S626" i="1" s="1"/>
  <c r="R634" i="1"/>
  <c r="S634" i="1" s="1"/>
  <c r="R642" i="1"/>
  <c r="S642" i="1" s="1"/>
  <c r="R650" i="1"/>
  <c r="S650" i="1" s="1"/>
  <c r="R658" i="1"/>
  <c r="S658" i="1" s="1"/>
  <c r="R19" i="1"/>
  <c r="R27" i="1"/>
  <c r="R35" i="1"/>
  <c r="R43" i="1"/>
  <c r="R51" i="1"/>
  <c r="R59" i="1"/>
  <c r="R67" i="1"/>
  <c r="S67" i="1" s="1"/>
  <c r="R75" i="1"/>
  <c r="R83" i="1"/>
  <c r="R91" i="1"/>
  <c r="R99" i="1"/>
  <c r="R107" i="1"/>
  <c r="R115" i="1"/>
  <c r="R123" i="1"/>
  <c r="R131" i="1"/>
  <c r="S131" i="1" s="1"/>
  <c r="R139" i="1"/>
  <c r="R147" i="1"/>
  <c r="R155" i="1"/>
  <c r="R163" i="1"/>
  <c r="R171" i="1"/>
  <c r="R179" i="1"/>
  <c r="R187" i="1"/>
  <c r="R195" i="1"/>
  <c r="S195" i="1" s="1"/>
  <c r="R203" i="1"/>
  <c r="R211" i="1"/>
  <c r="R219" i="1"/>
  <c r="R227" i="1"/>
  <c r="R235" i="1"/>
  <c r="R243" i="1"/>
  <c r="R251" i="1"/>
  <c r="R259" i="1"/>
  <c r="S259" i="1" s="1"/>
  <c r="R267" i="1"/>
  <c r="R275" i="1"/>
  <c r="R283" i="1"/>
  <c r="R291" i="1"/>
  <c r="R299" i="1"/>
  <c r="R307" i="1"/>
  <c r="R315" i="1"/>
  <c r="R323" i="1"/>
  <c r="S323" i="1" s="1"/>
  <c r="R331" i="1"/>
  <c r="R339" i="1"/>
  <c r="R347" i="1"/>
  <c r="R355" i="1"/>
  <c r="R363" i="1"/>
  <c r="R371" i="1"/>
  <c r="R379" i="1"/>
  <c r="R387" i="1"/>
  <c r="S387" i="1" s="1"/>
  <c r="R395" i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475" i="1"/>
  <c r="S475" i="1" s="1"/>
  <c r="R483" i="1"/>
  <c r="S483" i="1" s="1"/>
  <c r="R491" i="1"/>
  <c r="S491" i="1" s="1"/>
  <c r="R499" i="1"/>
  <c r="S499" i="1" s="1"/>
  <c r="R507" i="1"/>
  <c r="S507" i="1" s="1"/>
  <c r="R515" i="1"/>
  <c r="S515" i="1" s="1"/>
  <c r="R523" i="1"/>
  <c r="S523" i="1" s="1"/>
  <c r="R531" i="1"/>
  <c r="S531" i="1" s="1"/>
  <c r="R539" i="1"/>
  <c r="S539" i="1" s="1"/>
  <c r="R547" i="1"/>
  <c r="S547" i="1" s="1"/>
  <c r="R555" i="1"/>
  <c r="S555" i="1" s="1"/>
  <c r="R563" i="1"/>
  <c r="S563" i="1" s="1"/>
  <c r="R571" i="1"/>
  <c r="S571" i="1" s="1"/>
  <c r="R579" i="1"/>
  <c r="S579" i="1" s="1"/>
  <c r="R587" i="1"/>
  <c r="S587" i="1" s="1"/>
  <c r="R595" i="1"/>
  <c r="S595" i="1" s="1"/>
  <c r="R603" i="1"/>
  <c r="S603" i="1" s="1"/>
  <c r="R611" i="1"/>
  <c r="S611" i="1" s="1"/>
  <c r="R619" i="1"/>
  <c r="S619" i="1" s="1"/>
  <c r="R627" i="1"/>
  <c r="S627" i="1" s="1"/>
  <c r="R635" i="1"/>
  <c r="S635" i="1" s="1"/>
  <c r="R643" i="1"/>
  <c r="S643" i="1" s="1"/>
  <c r="R651" i="1"/>
  <c r="S651" i="1" s="1"/>
  <c r="R659" i="1"/>
  <c r="S659" i="1" s="1"/>
  <c r="R20" i="1"/>
  <c r="R28" i="1"/>
  <c r="R36" i="1"/>
  <c r="R44" i="1"/>
  <c r="R52" i="1"/>
  <c r="R60" i="1"/>
  <c r="S60" i="1" s="1"/>
  <c r="R68" i="1"/>
  <c r="R76" i="1"/>
  <c r="R84" i="1"/>
  <c r="R92" i="1"/>
  <c r="R100" i="1"/>
  <c r="R108" i="1"/>
  <c r="R116" i="1"/>
  <c r="R124" i="1"/>
  <c r="S124" i="1" s="1"/>
  <c r="R132" i="1"/>
  <c r="R140" i="1"/>
  <c r="R148" i="1"/>
  <c r="R156" i="1"/>
  <c r="R164" i="1"/>
  <c r="R172" i="1"/>
  <c r="R180" i="1"/>
  <c r="R188" i="1"/>
  <c r="S188" i="1" s="1"/>
  <c r="R196" i="1"/>
  <c r="R204" i="1"/>
  <c r="R212" i="1"/>
  <c r="R220" i="1"/>
  <c r="R228" i="1"/>
  <c r="R236" i="1"/>
  <c r="R244" i="1"/>
  <c r="R252" i="1"/>
  <c r="S252" i="1" s="1"/>
  <c r="R260" i="1"/>
  <c r="R268" i="1"/>
  <c r="R276" i="1"/>
  <c r="R284" i="1"/>
  <c r="R292" i="1"/>
  <c r="R300" i="1"/>
  <c r="R308" i="1"/>
  <c r="R316" i="1"/>
  <c r="S316" i="1" s="1"/>
  <c r="R324" i="1"/>
  <c r="R332" i="1"/>
  <c r="R340" i="1"/>
  <c r="R348" i="1"/>
  <c r="R356" i="1"/>
  <c r="R364" i="1"/>
  <c r="R372" i="1"/>
  <c r="R380" i="1"/>
  <c r="S380" i="1" s="1"/>
  <c r="R388" i="1"/>
  <c r="R396" i="1"/>
  <c r="S396" i="1" s="1"/>
  <c r="R404" i="1"/>
  <c r="S404" i="1" s="1"/>
  <c r="R412" i="1"/>
  <c r="S412" i="1" s="1"/>
  <c r="R420" i="1"/>
  <c r="S420" i="1" s="1"/>
  <c r="R428" i="1"/>
  <c r="S428" i="1" s="1"/>
  <c r="R436" i="1"/>
  <c r="S436" i="1" s="1"/>
  <c r="R444" i="1"/>
  <c r="S444" i="1" s="1"/>
  <c r="R452" i="1"/>
  <c r="S452" i="1" s="1"/>
  <c r="R460" i="1"/>
  <c r="S460" i="1" s="1"/>
  <c r="R468" i="1"/>
  <c r="S468" i="1" s="1"/>
  <c r="R476" i="1"/>
  <c r="S476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49" i="1"/>
  <c r="R73" i="1"/>
  <c r="R89" i="1"/>
  <c r="R105" i="1"/>
  <c r="S105" i="1" s="1"/>
  <c r="R21" i="1"/>
  <c r="S21" i="1" s="1"/>
  <c r="R29" i="1"/>
  <c r="R37" i="1"/>
  <c r="R45" i="1"/>
  <c r="R53" i="1"/>
  <c r="R61" i="1"/>
  <c r="R69" i="1"/>
  <c r="R77" i="1"/>
  <c r="S77" i="1" s="1"/>
  <c r="R85" i="1"/>
  <c r="S85" i="1" s="1"/>
  <c r="R93" i="1"/>
  <c r="R101" i="1"/>
  <c r="R109" i="1"/>
  <c r="R117" i="1"/>
  <c r="R125" i="1"/>
  <c r="R133" i="1"/>
  <c r="R141" i="1"/>
  <c r="R149" i="1"/>
  <c r="S149" i="1" s="1"/>
  <c r="R157" i="1"/>
  <c r="R165" i="1"/>
  <c r="R173" i="1"/>
  <c r="R181" i="1"/>
  <c r="R189" i="1"/>
  <c r="R197" i="1"/>
  <c r="R205" i="1"/>
  <c r="S205" i="1" s="1"/>
  <c r="R213" i="1"/>
  <c r="S213" i="1" s="1"/>
  <c r="R221" i="1"/>
  <c r="R229" i="1"/>
  <c r="R237" i="1"/>
  <c r="R245" i="1"/>
  <c r="R253" i="1"/>
  <c r="R261" i="1"/>
  <c r="R269" i="1"/>
  <c r="R277" i="1"/>
  <c r="S277" i="1" s="1"/>
  <c r="R285" i="1"/>
  <c r="R293" i="1"/>
  <c r="R301" i="1"/>
  <c r="R309" i="1"/>
  <c r="R317" i="1"/>
  <c r="R325" i="1"/>
  <c r="R333" i="1"/>
  <c r="S333" i="1" s="1"/>
  <c r="R341" i="1"/>
  <c r="S341" i="1" s="1"/>
  <c r="R349" i="1"/>
  <c r="R357" i="1"/>
  <c r="R365" i="1"/>
  <c r="R373" i="1"/>
  <c r="R381" i="1"/>
  <c r="R389" i="1"/>
  <c r="R397" i="1"/>
  <c r="S397" i="1" s="1"/>
  <c r="R405" i="1"/>
  <c r="S405" i="1" s="1"/>
  <c r="R413" i="1"/>
  <c r="S413" i="1" s="1"/>
  <c r="R421" i="1"/>
  <c r="S421" i="1" s="1"/>
  <c r="R429" i="1"/>
  <c r="S429" i="1" s="1"/>
  <c r="R437" i="1"/>
  <c r="S437" i="1" s="1"/>
  <c r="R445" i="1"/>
  <c r="S445" i="1" s="1"/>
  <c r="R453" i="1"/>
  <c r="S453" i="1" s="1"/>
  <c r="R461" i="1"/>
  <c r="S461" i="1" s="1"/>
  <c r="R469" i="1"/>
  <c r="S469" i="1" s="1"/>
  <c r="R477" i="1"/>
  <c r="S477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22" i="1"/>
  <c r="R30" i="1"/>
  <c r="R38" i="1"/>
  <c r="R46" i="1"/>
  <c r="R54" i="1"/>
  <c r="R62" i="1"/>
  <c r="R70" i="1"/>
  <c r="S70" i="1" s="1"/>
  <c r="R78" i="1"/>
  <c r="S78" i="1" s="1"/>
  <c r="R86" i="1"/>
  <c r="R94" i="1"/>
  <c r="R102" i="1"/>
  <c r="R110" i="1"/>
  <c r="R118" i="1"/>
  <c r="R126" i="1"/>
  <c r="R134" i="1"/>
  <c r="S134" i="1" s="1"/>
  <c r="R142" i="1"/>
  <c r="S142" i="1" s="1"/>
  <c r="R150" i="1"/>
  <c r="R158" i="1"/>
  <c r="R166" i="1"/>
  <c r="R174" i="1"/>
  <c r="R182" i="1"/>
  <c r="R190" i="1"/>
  <c r="R198" i="1"/>
  <c r="S198" i="1" s="1"/>
  <c r="R206" i="1"/>
  <c r="S206" i="1" s="1"/>
  <c r="R214" i="1"/>
  <c r="R222" i="1"/>
  <c r="R230" i="1"/>
  <c r="R238" i="1"/>
  <c r="R246" i="1"/>
  <c r="R254" i="1"/>
  <c r="R262" i="1"/>
  <c r="S262" i="1" s="1"/>
  <c r="R270" i="1"/>
  <c r="S270" i="1" s="1"/>
  <c r="R278" i="1"/>
  <c r="R286" i="1"/>
  <c r="R294" i="1"/>
  <c r="R302" i="1"/>
  <c r="R310" i="1"/>
  <c r="R318" i="1"/>
  <c r="R326" i="1"/>
  <c r="S326" i="1" s="1"/>
  <c r="R334" i="1"/>
  <c r="S334" i="1" s="1"/>
  <c r="R342" i="1"/>
  <c r="R350" i="1"/>
  <c r="R358" i="1"/>
  <c r="R366" i="1"/>
  <c r="R374" i="1"/>
  <c r="R382" i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470" i="1"/>
  <c r="S470" i="1" s="1"/>
  <c r="R478" i="1"/>
  <c r="S478" i="1" s="1"/>
  <c r="R486" i="1"/>
  <c r="S486" i="1" s="1"/>
  <c r="R494" i="1"/>
  <c r="S494" i="1" s="1"/>
  <c r="R502" i="1"/>
  <c r="S502" i="1" s="1"/>
  <c r="R510" i="1"/>
  <c r="S510" i="1" s="1"/>
  <c r="R518" i="1"/>
  <c r="S518" i="1" s="1"/>
  <c r="R526" i="1"/>
  <c r="S526" i="1" s="1"/>
  <c r="R534" i="1"/>
  <c r="S534" i="1" s="1"/>
  <c r="R542" i="1"/>
  <c r="S542" i="1" s="1"/>
  <c r="R550" i="1"/>
  <c r="S550" i="1" s="1"/>
  <c r="R558" i="1"/>
  <c r="S558" i="1" s="1"/>
  <c r="R566" i="1"/>
  <c r="S566" i="1" s="1"/>
  <c r="R574" i="1"/>
  <c r="S574" i="1" s="1"/>
  <c r="R582" i="1"/>
  <c r="S582" i="1" s="1"/>
  <c r="R590" i="1"/>
  <c r="S590" i="1" s="1"/>
  <c r="R598" i="1"/>
  <c r="S598" i="1" s="1"/>
  <c r="R606" i="1"/>
  <c r="S606" i="1" s="1"/>
  <c r="R614" i="1"/>
  <c r="S614" i="1" s="1"/>
  <c r="R622" i="1"/>
  <c r="S622" i="1" s="1"/>
  <c r="R630" i="1"/>
  <c r="S630" i="1" s="1"/>
  <c r="R638" i="1"/>
  <c r="S638" i="1" s="1"/>
  <c r="R646" i="1"/>
  <c r="S646" i="1" s="1"/>
  <c r="R654" i="1"/>
  <c r="S654" i="1" s="1"/>
  <c r="R662" i="1"/>
  <c r="S662" i="1" s="1"/>
  <c r="R23" i="1"/>
  <c r="R31" i="1"/>
  <c r="R39" i="1"/>
  <c r="R47" i="1"/>
  <c r="R55" i="1"/>
  <c r="R63" i="1"/>
  <c r="S63" i="1" s="1"/>
  <c r="R71" i="1"/>
  <c r="S71" i="1" s="1"/>
  <c r="R79" i="1"/>
  <c r="R87" i="1"/>
  <c r="R95" i="1"/>
  <c r="R103" i="1"/>
  <c r="R111" i="1"/>
  <c r="R119" i="1"/>
  <c r="R127" i="1"/>
  <c r="R135" i="1"/>
  <c r="S135" i="1" s="1"/>
  <c r="R143" i="1"/>
  <c r="R151" i="1"/>
  <c r="R159" i="1"/>
  <c r="R167" i="1"/>
  <c r="R175" i="1"/>
  <c r="R183" i="1"/>
  <c r="R191" i="1"/>
  <c r="S191" i="1" s="1"/>
  <c r="R199" i="1"/>
  <c r="S199" i="1" s="1"/>
  <c r="R207" i="1"/>
  <c r="R215" i="1"/>
  <c r="R223" i="1"/>
  <c r="R231" i="1"/>
  <c r="R239" i="1"/>
  <c r="R247" i="1"/>
  <c r="R255" i="1"/>
  <c r="R263" i="1"/>
  <c r="S263" i="1" s="1"/>
  <c r="R271" i="1"/>
  <c r="R279" i="1"/>
  <c r="R287" i="1"/>
  <c r="R295" i="1"/>
  <c r="R303" i="1"/>
  <c r="R311" i="1"/>
  <c r="S311" i="1" s="1"/>
  <c r="R319" i="1"/>
  <c r="R327" i="1"/>
  <c r="S327" i="1" s="1"/>
  <c r="R335" i="1"/>
  <c r="R343" i="1"/>
  <c r="R351" i="1"/>
  <c r="R359" i="1"/>
  <c r="R367" i="1"/>
  <c r="R375" i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471" i="1"/>
  <c r="S471" i="1" s="1"/>
  <c r="R479" i="1"/>
  <c r="S479" i="1" s="1"/>
  <c r="R487" i="1"/>
  <c r="S487" i="1" s="1"/>
  <c r="R495" i="1"/>
  <c r="S495" i="1" s="1"/>
  <c r="R503" i="1"/>
  <c r="S503" i="1" s="1"/>
  <c r="R511" i="1"/>
  <c r="S511" i="1" s="1"/>
  <c r="R519" i="1"/>
  <c r="S519" i="1" s="1"/>
  <c r="R527" i="1"/>
  <c r="S527" i="1" s="1"/>
  <c r="R535" i="1"/>
  <c r="S535" i="1" s="1"/>
  <c r="R543" i="1"/>
  <c r="S543" i="1" s="1"/>
  <c r="R551" i="1"/>
  <c r="S551" i="1" s="1"/>
  <c r="R559" i="1"/>
  <c r="S559" i="1" s="1"/>
  <c r="R567" i="1"/>
  <c r="S567" i="1" s="1"/>
  <c r="R575" i="1"/>
  <c r="S575" i="1" s="1"/>
  <c r="R583" i="1"/>
  <c r="S583" i="1" s="1"/>
  <c r="R591" i="1"/>
  <c r="S591" i="1" s="1"/>
  <c r="R599" i="1"/>
  <c r="S599" i="1" s="1"/>
  <c r="R607" i="1"/>
  <c r="S607" i="1" s="1"/>
  <c r="R615" i="1"/>
  <c r="S615" i="1" s="1"/>
  <c r="R623" i="1"/>
  <c r="S623" i="1" s="1"/>
  <c r="R631" i="1"/>
  <c r="S631" i="1" s="1"/>
  <c r="R639" i="1"/>
  <c r="S639" i="1" s="1"/>
  <c r="R647" i="1"/>
  <c r="S647" i="1" s="1"/>
  <c r="R655" i="1"/>
  <c r="S655" i="1" s="1"/>
  <c r="R24" i="1"/>
  <c r="R32" i="1"/>
  <c r="R40" i="1"/>
  <c r="R48" i="1"/>
  <c r="R56" i="1"/>
  <c r="R64" i="1"/>
  <c r="S64" i="1" s="1"/>
  <c r="R72" i="1"/>
  <c r="S72" i="1" s="1"/>
  <c r="R80" i="1"/>
  <c r="R88" i="1"/>
  <c r="R96" i="1"/>
  <c r="R104" i="1"/>
  <c r="R112" i="1"/>
  <c r="R120" i="1"/>
  <c r="R128" i="1"/>
  <c r="R136" i="1"/>
  <c r="S136" i="1" s="1"/>
  <c r="R144" i="1"/>
  <c r="R152" i="1"/>
  <c r="R160" i="1"/>
  <c r="R168" i="1"/>
  <c r="R176" i="1"/>
  <c r="R184" i="1"/>
  <c r="R192" i="1"/>
  <c r="R200" i="1"/>
  <c r="S200" i="1" s="1"/>
  <c r="R208" i="1"/>
  <c r="R216" i="1"/>
  <c r="R224" i="1"/>
  <c r="R232" i="1"/>
  <c r="R240" i="1"/>
  <c r="R248" i="1"/>
  <c r="R256" i="1"/>
  <c r="S256" i="1" s="1"/>
  <c r="R264" i="1"/>
  <c r="S264" i="1" s="1"/>
  <c r="R272" i="1"/>
  <c r="R280" i="1"/>
  <c r="R288" i="1"/>
  <c r="R296" i="1"/>
  <c r="R304" i="1"/>
  <c r="R312" i="1"/>
  <c r="R320" i="1"/>
  <c r="S320" i="1" s="1"/>
  <c r="R328" i="1"/>
  <c r="S328" i="1" s="1"/>
  <c r="R336" i="1"/>
  <c r="R344" i="1"/>
  <c r="R352" i="1"/>
  <c r="R360" i="1"/>
  <c r="R368" i="1"/>
  <c r="R376" i="1"/>
  <c r="R384" i="1"/>
  <c r="S384" i="1" s="1"/>
  <c r="R392" i="1"/>
  <c r="S392" i="1" s="1"/>
  <c r="R400" i="1"/>
  <c r="S400" i="1" s="1"/>
  <c r="R408" i="1"/>
  <c r="S408" i="1" s="1"/>
  <c r="R416" i="1"/>
  <c r="S416" i="1" s="1"/>
  <c r="R424" i="1"/>
  <c r="S424" i="1" s="1"/>
  <c r="R432" i="1"/>
  <c r="S432" i="1" s="1"/>
  <c r="R440" i="1"/>
  <c r="S440" i="1" s="1"/>
  <c r="R448" i="1"/>
  <c r="S448" i="1" s="1"/>
  <c r="R456" i="1"/>
  <c r="S456" i="1" s="1"/>
  <c r="R464" i="1"/>
  <c r="S464" i="1" s="1"/>
  <c r="R472" i="1"/>
  <c r="S472" i="1" s="1"/>
  <c r="R480" i="1"/>
  <c r="S480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25" i="1"/>
  <c r="R81" i="1"/>
  <c r="R97" i="1"/>
  <c r="R113" i="1"/>
  <c r="R41" i="1"/>
  <c r="R161" i="1"/>
  <c r="R225" i="1"/>
  <c r="S225" i="1" s="1"/>
  <c r="R289" i="1"/>
  <c r="R353" i="1"/>
  <c r="R417" i="1"/>
  <c r="S417" i="1" s="1"/>
  <c r="R481" i="1"/>
  <c r="S481" i="1" s="1"/>
  <c r="R545" i="1"/>
  <c r="S545" i="1" s="1"/>
  <c r="R609" i="1"/>
  <c r="S609" i="1" s="1"/>
  <c r="R249" i="1"/>
  <c r="R569" i="1"/>
  <c r="S569" i="1" s="1"/>
  <c r="R321" i="1"/>
  <c r="R513" i="1"/>
  <c r="S513" i="1" s="1"/>
  <c r="R641" i="1"/>
  <c r="S641" i="1" s="1"/>
  <c r="R657" i="1"/>
  <c r="S657" i="1" s="1"/>
  <c r="R217" i="1"/>
  <c r="R409" i="1"/>
  <c r="S409" i="1" s="1"/>
  <c r="R57" i="1"/>
  <c r="S57" i="1" s="1"/>
  <c r="R169" i="1"/>
  <c r="S169" i="1" s="1"/>
  <c r="R233" i="1"/>
  <c r="R297" i="1"/>
  <c r="R361" i="1"/>
  <c r="R425" i="1"/>
  <c r="S425" i="1" s="1"/>
  <c r="R489" i="1"/>
  <c r="S489" i="1" s="1"/>
  <c r="R553" i="1"/>
  <c r="S553" i="1" s="1"/>
  <c r="R617" i="1"/>
  <c r="S617" i="1" s="1"/>
  <c r="R185" i="1"/>
  <c r="S185" i="1" s="1"/>
  <c r="R377" i="1"/>
  <c r="R441" i="1"/>
  <c r="S441" i="1" s="1"/>
  <c r="R633" i="1"/>
  <c r="S633" i="1" s="1"/>
  <c r="R193" i="1"/>
  <c r="R385" i="1"/>
  <c r="R529" i="1"/>
  <c r="S529" i="1" s="1"/>
  <c r="R153" i="1"/>
  <c r="S153" i="1" s="1"/>
  <c r="R473" i="1"/>
  <c r="S473" i="1" s="1"/>
  <c r="R65" i="1"/>
  <c r="R177" i="1"/>
  <c r="R241" i="1"/>
  <c r="R305" i="1"/>
  <c r="R369" i="1"/>
  <c r="R433" i="1"/>
  <c r="S433" i="1" s="1"/>
  <c r="R497" i="1"/>
  <c r="S497" i="1" s="1"/>
  <c r="R561" i="1"/>
  <c r="S561" i="1" s="1"/>
  <c r="R625" i="1"/>
  <c r="S625" i="1" s="1"/>
  <c r="R121" i="1"/>
  <c r="R313" i="1"/>
  <c r="R505" i="1"/>
  <c r="S505" i="1" s="1"/>
  <c r="R257" i="1"/>
  <c r="R449" i="1"/>
  <c r="S449" i="1" s="1"/>
  <c r="R577" i="1"/>
  <c r="S577" i="1" s="1"/>
  <c r="R465" i="1"/>
  <c r="S465" i="1" s="1"/>
  <c r="R33" i="1"/>
  <c r="R601" i="1"/>
  <c r="S601" i="1" s="1"/>
  <c r="R129" i="1"/>
  <c r="R137" i="1"/>
  <c r="R201" i="1"/>
  <c r="R265" i="1"/>
  <c r="S265" i="1" s="1"/>
  <c r="R329" i="1"/>
  <c r="S329" i="1" s="1"/>
  <c r="R393" i="1"/>
  <c r="S393" i="1" s="1"/>
  <c r="R457" i="1"/>
  <c r="S457" i="1" s="1"/>
  <c r="R521" i="1"/>
  <c r="S521" i="1" s="1"/>
  <c r="R585" i="1"/>
  <c r="S585" i="1" s="1"/>
  <c r="R649" i="1"/>
  <c r="S649" i="1" s="1"/>
  <c r="R337" i="1"/>
  <c r="R593" i="1"/>
  <c r="S593" i="1" s="1"/>
  <c r="R281" i="1"/>
  <c r="S281" i="1" s="1"/>
  <c r="R345" i="1"/>
  <c r="S345" i="1" s="1"/>
  <c r="R537" i="1"/>
  <c r="S537" i="1" s="1"/>
  <c r="R145" i="1"/>
  <c r="R209" i="1"/>
  <c r="R273" i="1"/>
  <c r="R401" i="1"/>
  <c r="S401" i="1" s="1"/>
  <c r="AA18" i="1"/>
  <c r="AB18" i="1" s="1"/>
  <c r="AA26" i="1"/>
  <c r="AB26" i="1" s="1"/>
  <c r="AA34" i="1"/>
  <c r="AB34" i="1" s="1"/>
  <c r="AA42" i="1"/>
  <c r="AA50" i="1"/>
  <c r="AA58" i="1"/>
  <c r="AA66" i="1"/>
  <c r="AA74" i="1"/>
  <c r="AA82" i="1"/>
  <c r="AB82" i="1" s="1"/>
  <c r="AA90" i="1"/>
  <c r="AB90" i="1" s="1"/>
  <c r="AA98" i="1"/>
  <c r="AB98" i="1" s="1"/>
  <c r="AA106" i="1"/>
  <c r="AA114" i="1"/>
  <c r="AA122" i="1"/>
  <c r="AA130" i="1"/>
  <c r="AA138" i="1"/>
  <c r="AA146" i="1"/>
  <c r="AA154" i="1"/>
  <c r="AB154" i="1" s="1"/>
  <c r="AA162" i="1"/>
  <c r="AB162" i="1" s="1"/>
  <c r="AA170" i="1"/>
  <c r="AA178" i="1"/>
  <c r="AA186" i="1"/>
  <c r="AA194" i="1"/>
  <c r="AA202" i="1"/>
  <c r="AA210" i="1"/>
  <c r="AA218" i="1"/>
  <c r="AB218" i="1" s="1"/>
  <c r="AA226" i="1"/>
  <c r="AB226" i="1" s="1"/>
  <c r="AA234" i="1"/>
  <c r="AA242" i="1"/>
  <c r="AA250" i="1"/>
  <c r="AA258" i="1"/>
  <c r="AA266" i="1"/>
  <c r="AA274" i="1"/>
  <c r="AB274" i="1" s="1"/>
  <c r="AA282" i="1"/>
  <c r="AB282" i="1" s="1"/>
  <c r="AA290" i="1"/>
  <c r="AB290" i="1" s="1"/>
  <c r="AA298" i="1"/>
  <c r="AA306" i="1"/>
  <c r="AA314" i="1"/>
  <c r="AA322" i="1"/>
  <c r="AA330" i="1"/>
  <c r="AA338" i="1"/>
  <c r="AB338" i="1" s="1"/>
  <c r="AA346" i="1"/>
  <c r="AB346" i="1" s="1"/>
  <c r="AA354" i="1"/>
  <c r="AB354" i="1" s="1"/>
  <c r="AA362" i="1"/>
  <c r="AA370" i="1"/>
  <c r="AA378" i="1"/>
  <c r="AA386" i="1"/>
  <c r="AA394" i="1"/>
  <c r="AA402" i="1"/>
  <c r="AB402" i="1" s="1"/>
  <c r="AA410" i="1"/>
  <c r="AB410" i="1" s="1"/>
  <c r="AA418" i="1"/>
  <c r="AB418" i="1" s="1"/>
  <c r="AA426" i="1"/>
  <c r="AB426" i="1" s="1"/>
  <c r="AA434" i="1"/>
  <c r="AB434" i="1" s="1"/>
  <c r="AA442" i="1"/>
  <c r="AB442" i="1" s="1"/>
  <c r="AA450" i="1"/>
  <c r="AB450" i="1" s="1"/>
  <c r="AA458" i="1"/>
  <c r="AB458" i="1" s="1"/>
  <c r="AA466" i="1"/>
  <c r="AB466" i="1" s="1"/>
  <c r="AA474" i="1"/>
  <c r="AB474" i="1" s="1"/>
  <c r="AA482" i="1"/>
  <c r="AB482" i="1" s="1"/>
  <c r="AA490" i="1"/>
  <c r="AB490" i="1" s="1"/>
  <c r="AA498" i="1"/>
  <c r="AB498" i="1" s="1"/>
  <c r="AA506" i="1"/>
  <c r="AB506" i="1" s="1"/>
  <c r="AA514" i="1"/>
  <c r="AB514" i="1" s="1"/>
  <c r="AA522" i="1"/>
  <c r="AB522" i="1" s="1"/>
  <c r="AA530" i="1"/>
  <c r="AB530" i="1" s="1"/>
  <c r="AA538" i="1"/>
  <c r="AB538" i="1" s="1"/>
  <c r="AA546" i="1"/>
  <c r="AB546" i="1" s="1"/>
  <c r="AA554" i="1"/>
  <c r="AB554" i="1" s="1"/>
  <c r="AA562" i="1"/>
  <c r="AB562" i="1" s="1"/>
  <c r="AA570" i="1"/>
  <c r="AB570" i="1" s="1"/>
  <c r="AA578" i="1"/>
  <c r="AB578" i="1" s="1"/>
  <c r="AA586" i="1"/>
  <c r="AB586" i="1" s="1"/>
  <c r="AA594" i="1"/>
  <c r="AB594" i="1" s="1"/>
  <c r="AA602" i="1"/>
  <c r="AB602" i="1" s="1"/>
  <c r="AA610" i="1"/>
  <c r="AB610" i="1" s="1"/>
  <c r="AA618" i="1"/>
  <c r="AB618" i="1" s="1"/>
  <c r="AA626" i="1"/>
  <c r="AB626" i="1" s="1"/>
  <c r="AA634" i="1"/>
  <c r="AB634" i="1" s="1"/>
  <c r="AA642" i="1"/>
  <c r="AB642" i="1" s="1"/>
  <c r="AA650" i="1"/>
  <c r="AB650" i="1" s="1"/>
  <c r="AA658" i="1"/>
  <c r="AB658" i="1" s="1"/>
  <c r="AA29" i="1"/>
  <c r="AB29" i="1" s="1"/>
  <c r="AA19" i="1"/>
  <c r="AB19" i="1" s="1"/>
  <c r="AA27" i="1"/>
  <c r="AA35" i="1"/>
  <c r="AB35" i="1" s="1"/>
  <c r="AA43" i="1"/>
  <c r="AA51" i="1"/>
  <c r="AA59" i="1"/>
  <c r="AB59" i="1" s="1"/>
  <c r="AA67" i="1"/>
  <c r="AA75" i="1"/>
  <c r="AA83" i="1"/>
  <c r="AB83" i="1" s="1"/>
  <c r="AA91" i="1"/>
  <c r="AA99" i="1"/>
  <c r="AA107" i="1"/>
  <c r="AA115" i="1"/>
  <c r="AA123" i="1"/>
  <c r="AB123" i="1" s="1"/>
  <c r="AA131" i="1"/>
  <c r="AA139" i="1"/>
  <c r="AB139" i="1" s="1"/>
  <c r="AA147" i="1"/>
  <c r="AB147" i="1" s="1"/>
  <c r="AA155" i="1"/>
  <c r="AA163" i="1"/>
  <c r="AB163" i="1" s="1"/>
  <c r="AA171" i="1"/>
  <c r="AA179" i="1"/>
  <c r="AA187" i="1"/>
  <c r="AB187" i="1" s="1"/>
  <c r="AA195" i="1"/>
  <c r="AA203" i="1"/>
  <c r="AB203" i="1" s="1"/>
  <c r="AA211" i="1"/>
  <c r="AB211" i="1" s="1"/>
  <c r="AA219" i="1"/>
  <c r="AA227" i="1"/>
  <c r="AA235" i="1"/>
  <c r="AA243" i="1"/>
  <c r="AA251" i="1"/>
  <c r="AB251" i="1" s="1"/>
  <c r="AA259" i="1"/>
  <c r="AA267" i="1"/>
  <c r="AB267" i="1" s="1"/>
  <c r="AA275" i="1"/>
  <c r="AB275" i="1" s="1"/>
  <c r="AA283" i="1"/>
  <c r="AA291" i="1"/>
  <c r="AA299" i="1"/>
  <c r="AA307" i="1"/>
  <c r="AA315" i="1"/>
  <c r="AA323" i="1"/>
  <c r="AA331" i="1"/>
  <c r="AB331" i="1" s="1"/>
  <c r="AA339" i="1"/>
  <c r="AB339" i="1" s="1"/>
  <c r="AA347" i="1"/>
  <c r="AA355" i="1"/>
  <c r="AB355" i="1" s="1"/>
  <c r="AA363" i="1"/>
  <c r="AA371" i="1"/>
  <c r="AA379" i="1"/>
  <c r="AA387" i="1"/>
  <c r="AA395" i="1"/>
  <c r="AA403" i="1"/>
  <c r="AB403" i="1" s="1"/>
  <c r="AA411" i="1"/>
  <c r="AB411" i="1" s="1"/>
  <c r="AA419" i="1"/>
  <c r="AB419" i="1" s="1"/>
  <c r="AA427" i="1"/>
  <c r="AB427" i="1" s="1"/>
  <c r="AA435" i="1"/>
  <c r="AB435" i="1" s="1"/>
  <c r="AA443" i="1"/>
  <c r="AB443" i="1" s="1"/>
  <c r="AA451" i="1"/>
  <c r="AB451" i="1" s="1"/>
  <c r="AA459" i="1"/>
  <c r="AB459" i="1" s="1"/>
  <c r="AA467" i="1"/>
  <c r="AB467" i="1" s="1"/>
  <c r="AA475" i="1"/>
  <c r="AB475" i="1" s="1"/>
  <c r="AA483" i="1"/>
  <c r="AB483" i="1" s="1"/>
  <c r="AA491" i="1"/>
  <c r="AB491" i="1" s="1"/>
  <c r="AA499" i="1"/>
  <c r="AB499" i="1" s="1"/>
  <c r="AA507" i="1"/>
  <c r="AB507" i="1" s="1"/>
  <c r="AA515" i="1"/>
  <c r="AB515" i="1" s="1"/>
  <c r="AA523" i="1"/>
  <c r="AB523" i="1" s="1"/>
  <c r="AA531" i="1"/>
  <c r="AB531" i="1" s="1"/>
  <c r="AA539" i="1"/>
  <c r="AB539" i="1" s="1"/>
  <c r="AA547" i="1"/>
  <c r="AB547" i="1" s="1"/>
  <c r="AA555" i="1"/>
  <c r="AB555" i="1" s="1"/>
  <c r="AA563" i="1"/>
  <c r="AB563" i="1" s="1"/>
  <c r="AA571" i="1"/>
  <c r="AB571" i="1" s="1"/>
  <c r="AA579" i="1"/>
  <c r="AB579" i="1" s="1"/>
  <c r="AA587" i="1"/>
  <c r="AB587" i="1" s="1"/>
  <c r="AA595" i="1"/>
  <c r="AB595" i="1" s="1"/>
  <c r="AA603" i="1"/>
  <c r="AB603" i="1" s="1"/>
  <c r="AA611" i="1"/>
  <c r="AB611" i="1" s="1"/>
  <c r="AA619" i="1"/>
  <c r="AB619" i="1" s="1"/>
  <c r="AA627" i="1"/>
  <c r="AB627" i="1" s="1"/>
  <c r="AA635" i="1"/>
  <c r="AB635" i="1" s="1"/>
  <c r="AA643" i="1"/>
  <c r="AB643" i="1" s="1"/>
  <c r="AA651" i="1"/>
  <c r="AB651" i="1" s="1"/>
  <c r="AA659" i="1"/>
  <c r="AB659" i="1" s="1"/>
  <c r="AA20" i="1"/>
  <c r="AA28" i="1"/>
  <c r="AA36" i="1"/>
  <c r="AA44" i="1"/>
  <c r="AA52" i="1"/>
  <c r="AA60" i="1"/>
  <c r="AA68" i="1"/>
  <c r="AB68" i="1" s="1"/>
  <c r="AA76" i="1"/>
  <c r="AB76" i="1" s="1"/>
  <c r="AA84" i="1"/>
  <c r="AA92" i="1"/>
  <c r="AB92" i="1" s="1"/>
  <c r="AA100" i="1"/>
  <c r="AA108" i="1"/>
  <c r="AA116" i="1"/>
  <c r="AA124" i="1"/>
  <c r="AA132" i="1"/>
  <c r="AA140" i="1"/>
  <c r="AB140" i="1" s="1"/>
  <c r="AA148" i="1"/>
  <c r="AB148" i="1" s="1"/>
  <c r="AA156" i="1"/>
  <c r="AA164" i="1"/>
  <c r="AA172" i="1"/>
  <c r="AA180" i="1"/>
  <c r="AA188" i="1"/>
  <c r="AA196" i="1"/>
  <c r="AA204" i="1"/>
  <c r="AB204" i="1" s="1"/>
  <c r="AA212" i="1"/>
  <c r="AA220" i="1"/>
  <c r="AA228" i="1"/>
  <c r="AA236" i="1"/>
  <c r="AA244" i="1"/>
  <c r="AA252" i="1"/>
  <c r="AA260" i="1"/>
  <c r="AB260" i="1" s="1"/>
  <c r="AA268" i="1"/>
  <c r="AB268" i="1" s="1"/>
  <c r="AA276" i="1"/>
  <c r="AA284" i="1"/>
  <c r="AA292" i="1"/>
  <c r="AA300" i="1"/>
  <c r="AA308" i="1"/>
  <c r="AA316" i="1"/>
  <c r="AA324" i="1"/>
  <c r="AB324" i="1" s="1"/>
  <c r="AA332" i="1"/>
  <c r="AB332" i="1" s="1"/>
  <c r="AA340" i="1"/>
  <c r="AA348" i="1"/>
  <c r="AB348" i="1" s="1"/>
  <c r="AA356" i="1"/>
  <c r="AA364" i="1"/>
  <c r="AA372" i="1"/>
  <c r="AA380" i="1"/>
  <c r="AA388" i="1"/>
  <c r="AB388" i="1" s="1"/>
  <c r="AA396" i="1"/>
  <c r="AB396" i="1" s="1"/>
  <c r="AA404" i="1"/>
  <c r="AB404" i="1" s="1"/>
  <c r="AA412" i="1"/>
  <c r="AB412" i="1" s="1"/>
  <c r="AA420" i="1"/>
  <c r="AB420" i="1" s="1"/>
  <c r="AA428" i="1"/>
  <c r="AB428" i="1" s="1"/>
  <c r="AA436" i="1"/>
  <c r="AB436" i="1" s="1"/>
  <c r="AA444" i="1"/>
  <c r="AB444" i="1" s="1"/>
  <c r="AA452" i="1"/>
  <c r="AB452" i="1" s="1"/>
  <c r="AA460" i="1"/>
  <c r="AB460" i="1" s="1"/>
  <c r="AA468" i="1"/>
  <c r="AB468" i="1" s="1"/>
  <c r="AA476" i="1"/>
  <c r="AB476" i="1" s="1"/>
  <c r="AA484" i="1"/>
  <c r="AB484" i="1" s="1"/>
  <c r="AA492" i="1"/>
  <c r="AB492" i="1" s="1"/>
  <c r="AA500" i="1"/>
  <c r="AB500" i="1" s="1"/>
  <c r="AA508" i="1"/>
  <c r="AB508" i="1" s="1"/>
  <c r="AA516" i="1"/>
  <c r="AB516" i="1" s="1"/>
  <c r="AA524" i="1"/>
  <c r="AB524" i="1" s="1"/>
  <c r="AA532" i="1"/>
  <c r="AB532" i="1" s="1"/>
  <c r="AA540" i="1"/>
  <c r="AB540" i="1" s="1"/>
  <c r="AA548" i="1"/>
  <c r="AB548" i="1" s="1"/>
  <c r="AA556" i="1"/>
  <c r="AB556" i="1" s="1"/>
  <c r="AA564" i="1"/>
  <c r="AB564" i="1" s="1"/>
  <c r="AA572" i="1"/>
  <c r="AB572" i="1" s="1"/>
  <c r="AA580" i="1"/>
  <c r="AB580" i="1" s="1"/>
  <c r="AA588" i="1"/>
  <c r="AB588" i="1" s="1"/>
  <c r="AA596" i="1"/>
  <c r="AB596" i="1" s="1"/>
  <c r="AA604" i="1"/>
  <c r="AB604" i="1" s="1"/>
  <c r="AA612" i="1"/>
  <c r="AB612" i="1" s="1"/>
  <c r="AA620" i="1"/>
  <c r="AB620" i="1" s="1"/>
  <c r="AA628" i="1"/>
  <c r="AB628" i="1" s="1"/>
  <c r="AA636" i="1"/>
  <c r="AB636" i="1" s="1"/>
  <c r="AA644" i="1"/>
  <c r="AB644" i="1" s="1"/>
  <c r="AA652" i="1"/>
  <c r="AB652" i="1" s="1"/>
  <c r="AA660" i="1"/>
  <c r="AB660" i="1" s="1"/>
  <c r="AA21" i="1"/>
  <c r="AA37" i="1"/>
  <c r="AA45" i="1"/>
  <c r="AA53" i="1"/>
  <c r="AB53" i="1" s="1"/>
  <c r="AA22" i="1"/>
  <c r="AA30" i="1"/>
  <c r="AB30" i="1" s="1"/>
  <c r="AA38" i="1"/>
  <c r="AB38" i="1" s="1"/>
  <c r="AA46" i="1"/>
  <c r="AA54" i="1"/>
  <c r="AA62" i="1"/>
  <c r="AA70" i="1"/>
  <c r="AB70" i="1" s="1"/>
  <c r="AA78" i="1"/>
  <c r="AB78" i="1" s="1"/>
  <c r="AA86" i="1"/>
  <c r="AA94" i="1"/>
  <c r="AB94" i="1" s="1"/>
  <c r="AA102" i="1"/>
  <c r="AB102" i="1" s="1"/>
  <c r="AA110" i="1"/>
  <c r="AA118" i="1"/>
  <c r="AA126" i="1"/>
  <c r="AB126" i="1" s="1"/>
  <c r="AA134" i="1"/>
  <c r="AB134" i="1" s="1"/>
  <c r="AA142" i="1"/>
  <c r="AB142" i="1" s="1"/>
  <c r="AA150" i="1"/>
  <c r="AA158" i="1"/>
  <c r="AB158" i="1" s="1"/>
  <c r="AA166" i="1"/>
  <c r="AB166" i="1" s="1"/>
  <c r="AA174" i="1"/>
  <c r="AA182" i="1"/>
  <c r="AA190" i="1"/>
  <c r="AA198" i="1"/>
  <c r="AA206" i="1"/>
  <c r="AB206" i="1" s="1"/>
  <c r="AA214" i="1"/>
  <c r="AA222" i="1"/>
  <c r="AB222" i="1" s="1"/>
  <c r="AA230" i="1"/>
  <c r="AB230" i="1" s="1"/>
  <c r="AA238" i="1"/>
  <c r="AA246" i="1"/>
  <c r="AA254" i="1"/>
  <c r="AA262" i="1"/>
  <c r="AA270" i="1"/>
  <c r="AB270" i="1" s="1"/>
  <c r="AA278" i="1"/>
  <c r="AA286" i="1"/>
  <c r="AB286" i="1" s="1"/>
  <c r="AA294" i="1"/>
  <c r="AB294" i="1" s="1"/>
  <c r="AA302" i="1"/>
  <c r="AA310" i="1"/>
  <c r="AA318" i="1"/>
  <c r="AA326" i="1"/>
  <c r="AA334" i="1"/>
  <c r="AB334" i="1" s="1"/>
  <c r="AA342" i="1"/>
  <c r="AA350" i="1"/>
  <c r="AA358" i="1"/>
  <c r="AB358" i="1" s="1"/>
  <c r="AA366" i="1"/>
  <c r="AA374" i="1"/>
  <c r="AA382" i="1"/>
  <c r="AA390" i="1"/>
  <c r="AB390" i="1" s="1"/>
  <c r="AA398" i="1"/>
  <c r="AB398" i="1" s="1"/>
  <c r="AA406" i="1"/>
  <c r="AB406" i="1" s="1"/>
  <c r="AA414" i="1"/>
  <c r="AB414" i="1" s="1"/>
  <c r="AA422" i="1"/>
  <c r="AB422" i="1" s="1"/>
  <c r="AA430" i="1"/>
  <c r="AB430" i="1" s="1"/>
  <c r="AA438" i="1"/>
  <c r="AB438" i="1" s="1"/>
  <c r="AA446" i="1"/>
  <c r="AB446" i="1" s="1"/>
  <c r="AA454" i="1"/>
  <c r="AB454" i="1" s="1"/>
  <c r="AA462" i="1"/>
  <c r="AB462" i="1" s="1"/>
  <c r="AA470" i="1"/>
  <c r="AB470" i="1" s="1"/>
  <c r="AA478" i="1"/>
  <c r="AB478" i="1" s="1"/>
  <c r="AA486" i="1"/>
  <c r="AB486" i="1" s="1"/>
  <c r="AA494" i="1"/>
  <c r="AB494" i="1" s="1"/>
  <c r="AA502" i="1"/>
  <c r="AB502" i="1" s="1"/>
  <c r="AA510" i="1"/>
  <c r="AB510" i="1" s="1"/>
  <c r="AA518" i="1"/>
  <c r="AB518" i="1" s="1"/>
  <c r="AA526" i="1"/>
  <c r="AB526" i="1" s="1"/>
  <c r="AA534" i="1"/>
  <c r="AB534" i="1" s="1"/>
  <c r="AA542" i="1"/>
  <c r="AB542" i="1" s="1"/>
  <c r="AA550" i="1"/>
  <c r="AB550" i="1" s="1"/>
  <c r="AA558" i="1"/>
  <c r="AB558" i="1" s="1"/>
  <c r="AA566" i="1"/>
  <c r="AB566" i="1" s="1"/>
  <c r="AA574" i="1"/>
  <c r="AB574" i="1" s="1"/>
  <c r="AA582" i="1"/>
  <c r="AB582" i="1" s="1"/>
  <c r="AA590" i="1"/>
  <c r="AB590" i="1" s="1"/>
  <c r="AA598" i="1"/>
  <c r="AB598" i="1" s="1"/>
  <c r="AA606" i="1"/>
  <c r="AB606" i="1" s="1"/>
  <c r="AA614" i="1"/>
  <c r="AB614" i="1" s="1"/>
  <c r="AA622" i="1"/>
  <c r="AB622" i="1" s="1"/>
  <c r="AA630" i="1"/>
  <c r="AB630" i="1" s="1"/>
  <c r="AA638" i="1"/>
  <c r="AB638" i="1" s="1"/>
  <c r="AA646" i="1"/>
  <c r="AB646" i="1" s="1"/>
  <c r="AA654" i="1"/>
  <c r="AB654" i="1" s="1"/>
  <c r="AA662" i="1"/>
  <c r="AB662" i="1" s="1"/>
  <c r="AA33" i="1"/>
  <c r="AB33" i="1" s="1"/>
  <c r="AA23" i="1"/>
  <c r="AB23" i="1" s="1"/>
  <c r="AA31" i="1"/>
  <c r="AA39" i="1"/>
  <c r="AA47" i="1"/>
  <c r="AA55" i="1"/>
  <c r="AA63" i="1"/>
  <c r="AB63" i="1" s="1"/>
  <c r="AA71" i="1"/>
  <c r="AB71" i="1" s="1"/>
  <c r="AA79" i="1"/>
  <c r="AB79" i="1" s="1"/>
  <c r="AA87" i="1"/>
  <c r="AB87" i="1" s="1"/>
  <c r="AA95" i="1"/>
  <c r="AA103" i="1"/>
  <c r="AA111" i="1"/>
  <c r="AA119" i="1"/>
  <c r="AA127" i="1"/>
  <c r="AA135" i="1"/>
  <c r="AA143" i="1"/>
  <c r="AB143" i="1" s="1"/>
  <c r="AA151" i="1"/>
  <c r="AB151" i="1" s="1"/>
  <c r="AA159" i="1"/>
  <c r="AA167" i="1"/>
  <c r="AA175" i="1"/>
  <c r="AA183" i="1"/>
  <c r="AA191" i="1"/>
  <c r="AB191" i="1" s="1"/>
  <c r="AA199" i="1"/>
  <c r="AA207" i="1"/>
  <c r="AB207" i="1" s="1"/>
  <c r="AA215" i="1"/>
  <c r="AB215" i="1" s="1"/>
  <c r="AA223" i="1"/>
  <c r="AA231" i="1"/>
  <c r="AA239" i="1"/>
  <c r="AA247" i="1"/>
  <c r="AA255" i="1"/>
  <c r="AB255" i="1" s="1"/>
  <c r="AA263" i="1"/>
  <c r="AB263" i="1" s="1"/>
  <c r="AA271" i="1"/>
  <c r="AB271" i="1" s="1"/>
  <c r="AA279" i="1"/>
  <c r="AB279" i="1" s="1"/>
  <c r="AA287" i="1"/>
  <c r="AA295" i="1"/>
  <c r="AA303" i="1"/>
  <c r="AA311" i="1"/>
  <c r="AA319" i="1"/>
  <c r="AB319" i="1" s="1"/>
  <c r="AA327" i="1"/>
  <c r="AB327" i="1" s="1"/>
  <c r="AA335" i="1"/>
  <c r="AB335" i="1" s="1"/>
  <c r="AA343" i="1"/>
  <c r="AB343" i="1" s="1"/>
  <c r="AA351" i="1"/>
  <c r="AA359" i="1"/>
  <c r="AA367" i="1"/>
  <c r="AA375" i="1"/>
  <c r="AA383" i="1"/>
  <c r="AB383" i="1" s="1"/>
  <c r="AA391" i="1"/>
  <c r="AA399" i="1"/>
  <c r="AB399" i="1" s="1"/>
  <c r="AA407" i="1"/>
  <c r="AB407" i="1" s="1"/>
  <c r="AA415" i="1"/>
  <c r="AB415" i="1" s="1"/>
  <c r="AA423" i="1"/>
  <c r="AB423" i="1" s="1"/>
  <c r="AA431" i="1"/>
  <c r="AB431" i="1" s="1"/>
  <c r="AA439" i="1"/>
  <c r="AB439" i="1" s="1"/>
  <c r="AA447" i="1"/>
  <c r="AB447" i="1" s="1"/>
  <c r="AA455" i="1"/>
  <c r="AB455" i="1" s="1"/>
  <c r="AA463" i="1"/>
  <c r="AB463" i="1" s="1"/>
  <c r="AA471" i="1"/>
  <c r="AB471" i="1" s="1"/>
  <c r="AA479" i="1"/>
  <c r="AB479" i="1" s="1"/>
  <c r="AA487" i="1"/>
  <c r="AB487" i="1" s="1"/>
  <c r="AA495" i="1"/>
  <c r="AB495" i="1" s="1"/>
  <c r="AA503" i="1"/>
  <c r="AB503" i="1" s="1"/>
  <c r="AA511" i="1"/>
  <c r="AB511" i="1" s="1"/>
  <c r="AA519" i="1"/>
  <c r="AB519" i="1" s="1"/>
  <c r="AA527" i="1"/>
  <c r="AB527" i="1" s="1"/>
  <c r="AA535" i="1"/>
  <c r="AB535" i="1" s="1"/>
  <c r="AA543" i="1"/>
  <c r="AB543" i="1" s="1"/>
  <c r="AA551" i="1"/>
  <c r="AB551" i="1" s="1"/>
  <c r="AA559" i="1"/>
  <c r="AB559" i="1" s="1"/>
  <c r="AA567" i="1"/>
  <c r="AB567" i="1" s="1"/>
  <c r="AA575" i="1"/>
  <c r="AB575" i="1" s="1"/>
  <c r="AA583" i="1"/>
  <c r="AB583" i="1" s="1"/>
  <c r="AA591" i="1"/>
  <c r="AB591" i="1" s="1"/>
  <c r="AA599" i="1"/>
  <c r="AB599" i="1" s="1"/>
  <c r="AA607" i="1"/>
  <c r="AB607" i="1" s="1"/>
  <c r="AA615" i="1"/>
  <c r="AB615" i="1" s="1"/>
  <c r="AA623" i="1"/>
  <c r="AB623" i="1" s="1"/>
  <c r="AA631" i="1"/>
  <c r="AB631" i="1" s="1"/>
  <c r="AA639" i="1"/>
  <c r="AB639" i="1" s="1"/>
  <c r="AA647" i="1"/>
  <c r="AB647" i="1" s="1"/>
  <c r="AA655" i="1"/>
  <c r="AB655" i="1" s="1"/>
  <c r="AA25" i="1"/>
  <c r="AB25" i="1" s="1"/>
  <c r="AA24" i="1"/>
  <c r="AA32" i="1"/>
  <c r="AA40" i="1"/>
  <c r="AA48" i="1"/>
  <c r="AA56" i="1"/>
  <c r="AA64" i="1"/>
  <c r="AB64" i="1" s="1"/>
  <c r="AA72" i="1"/>
  <c r="AB72" i="1" s="1"/>
  <c r="AA80" i="1"/>
  <c r="AB80" i="1" s="1"/>
  <c r="AA88" i="1"/>
  <c r="AA96" i="1"/>
  <c r="AA104" i="1"/>
  <c r="AA112" i="1"/>
  <c r="AA120" i="1"/>
  <c r="AA128" i="1"/>
  <c r="AB128" i="1" s="1"/>
  <c r="AA136" i="1"/>
  <c r="AB136" i="1" s="1"/>
  <c r="AA144" i="1"/>
  <c r="AB144" i="1" s="1"/>
  <c r="AA152" i="1"/>
  <c r="AA160" i="1"/>
  <c r="AA168" i="1"/>
  <c r="AA176" i="1"/>
  <c r="AA184" i="1"/>
  <c r="AA192" i="1"/>
  <c r="AA200" i="1"/>
  <c r="AB200" i="1" s="1"/>
  <c r="AA208" i="1"/>
  <c r="AB208" i="1" s="1"/>
  <c r="AA216" i="1"/>
  <c r="AA224" i="1"/>
  <c r="AA232" i="1"/>
  <c r="AA240" i="1"/>
  <c r="AA248" i="1"/>
  <c r="AA256" i="1"/>
  <c r="AA264" i="1"/>
  <c r="AB264" i="1" s="1"/>
  <c r="AA272" i="1"/>
  <c r="AB272" i="1" s="1"/>
  <c r="AA280" i="1"/>
  <c r="AA288" i="1"/>
  <c r="AA296" i="1"/>
  <c r="AA304" i="1"/>
  <c r="AA312" i="1"/>
  <c r="AA320" i="1"/>
  <c r="AB320" i="1" s="1"/>
  <c r="AA328" i="1"/>
  <c r="AB328" i="1" s="1"/>
  <c r="AA336" i="1"/>
  <c r="AB336" i="1" s="1"/>
  <c r="AA344" i="1"/>
  <c r="AA352" i="1"/>
  <c r="AA360" i="1"/>
  <c r="AA368" i="1"/>
  <c r="AA376" i="1"/>
  <c r="AA384" i="1"/>
  <c r="AB384" i="1" s="1"/>
  <c r="AA392" i="1"/>
  <c r="AB392" i="1" s="1"/>
  <c r="AA400" i="1"/>
  <c r="AB400" i="1" s="1"/>
  <c r="AA408" i="1"/>
  <c r="AB408" i="1" s="1"/>
  <c r="AA416" i="1"/>
  <c r="AB416" i="1" s="1"/>
  <c r="AA424" i="1"/>
  <c r="AB424" i="1" s="1"/>
  <c r="AA432" i="1"/>
  <c r="AB432" i="1" s="1"/>
  <c r="AA440" i="1"/>
  <c r="AB440" i="1" s="1"/>
  <c r="AA448" i="1"/>
  <c r="AB448" i="1" s="1"/>
  <c r="AA456" i="1"/>
  <c r="AB456" i="1" s="1"/>
  <c r="AA464" i="1"/>
  <c r="AB464" i="1" s="1"/>
  <c r="AA472" i="1"/>
  <c r="AB472" i="1" s="1"/>
  <c r="AA480" i="1"/>
  <c r="AB480" i="1" s="1"/>
  <c r="AA488" i="1"/>
  <c r="AB488" i="1" s="1"/>
  <c r="AA496" i="1"/>
  <c r="AB496" i="1" s="1"/>
  <c r="AA504" i="1"/>
  <c r="AB504" i="1" s="1"/>
  <c r="AA512" i="1"/>
  <c r="AB512" i="1" s="1"/>
  <c r="AA520" i="1"/>
  <c r="AB520" i="1" s="1"/>
  <c r="AA528" i="1"/>
  <c r="AB528" i="1" s="1"/>
  <c r="AA536" i="1"/>
  <c r="AB536" i="1" s="1"/>
  <c r="AA544" i="1"/>
  <c r="AB544" i="1" s="1"/>
  <c r="AA552" i="1"/>
  <c r="AB552" i="1" s="1"/>
  <c r="AA560" i="1"/>
  <c r="AB560" i="1" s="1"/>
  <c r="AA568" i="1"/>
  <c r="AB568" i="1" s="1"/>
  <c r="AA576" i="1"/>
  <c r="AB576" i="1" s="1"/>
  <c r="AA584" i="1"/>
  <c r="AB584" i="1" s="1"/>
  <c r="AA592" i="1"/>
  <c r="AB592" i="1" s="1"/>
  <c r="AA600" i="1"/>
  <c r="AB600" i="1" s="1"/>
  <c r="AA608" i="1"/>
  <c r="AB608" i="1" s="1"/>
  <c r="AA616" i="1"/>
  <c r="AB616" i="1" s="1"/>
  <c r="AA624" i="1"/>
  <c r="AB624" i="1" s="1"/>
  <c r="AA632" i="1"/>
  <c r="AB632" i="1" s="1"/>
  <c r="AA640" i="1"/>
  <c r="AB640" i="1" s="1"/>
  <c r="AA648" i="1"/>
  <c r="AB648" i="1" s="1"/>
  <c r="AA656" i="1"/>
  <c r="AB656" i="1" s="1"/>
  <c r="AA57" i="1"/>
  <c r="AA89" i="1"/>
  <c r="AA121" i="1"/>
  <c r="AB121" i="1" s="1"/>
  <c r="AA153" i="1"/>
  <c r="AA185" i="1"/>
  <c r="AB185" i="1" s="1"/>
  <c r="AA217" i="1"/>
  <c r="AA249" i="1"/>
  <c r="AB249" i="1" s="1"/>
  <c r="AA281" i="1"/>
  <c r="AB281" i="1" s="1"/>
  <c r="AA313" i="1"/>
  <c r="AB313" i="1" s="1"/>
  <c r="AA345" i="1"/>
  <c r="AA377" i="1"/>
  <c r="AA409" i="1"/>
  <c r="AB409" i="1" s="1"/>
  <c r="AA441" i="1"/>
  <c r="AB441" i="1" s="1"/>
  <c r="AA473" i="1"/>
  <c r="AB473" i="1" s="1"/>
  <c r="AA505" i="1"/>
  <c r="AB505" i="1" s="1"/>
  <c r="AA537" i="1"/>
  <c r="AB537" i="1" s="1"/>
  <c r="AA569" i="1"/>
  <c r="AB569" i="1" s="1"/>
  <c r="AA601" i="1"/>
  <c r="AB601" i="1" s="1"/>
  <c r="AA633" i="1"/>
  <c r="AB633" i="1" s="1"/>
  <c r="AA161" i="1"/>
  <c r="AA417" i="1"/>
  <c r="AB417" i="1" s="1"/>
  <c r="AA513" i="1"/>
  <c r="AB513" i="1" s="1"/>
  <c r="AA609" i="1"/>
  <c r="AB609" i="1" s="1"/>
  <c r="AA101" i="1"/>
  <c r="AB101" i="1" s="1"/>
  <c r="AA133" i="1"/>
  <c r="AB133" i="1" s="1"/>
  <c r="AA229" i="1"/>
  <c r="AA293" i="1"/>
  <c r="AA389" i="1"/>
  <c r="AB389" i="1" s="1"/>
  <c r="AA453" i="1"/>
  <c r="AB453" i="1" s="1"/>
  <c r="AA549" i="1"/>
  <c r="AB549" i="1" s="1"/>
  <c r="AA309" i="1"/>
  <c r="AB309" i="1" s="1"/>
  <c r="AA565" i="1"/>
  <c r="AB565" i="1" s="1"/>
  <c r="AA61" i="1"/>
  <c r="AA93" i="1"/>
  <c r="AA125" i="1"/>
  <c r="AA157" i="1"/>
  <c r="AA189" i="1"/>
  <c r="AB189" i="1" s="1"/>
  <c r="AA221" i="1"/>
  <c r="AA253" i="1"/>
  <c r="AB253" i="1" s="1"/>
  <c r="AA285" i="1"/>
  <c r="AB285" i="1" s="1"/>
  <c r="AA317" i="1"/>
  <c r="AA349" i="1"/>
  <c r="AA381" i="1"/>
  <c r="AA413" i="1"/>
  <c r="AB413" i="1" s="1"/>
  <c r="AA445" i="1"/>
  <c r="AB445" i="1" s="1"/>
  <c r="AA477" i="1"/>
  <c r="AB477" i="1" s="1"/>
  <c r="AA509" i="1"/>
  <c r="AB509" i="1" s="1"/>
  <c r="AA541" i="1"/>
  <c r="AB541" i="1" s="1"/>
  <c r="AA573" i="1"/>
  <c r="AB573" i="1" s="1"/>
  <c r="AA605" i="1"/>
  <c r="AB605" i="1" s="1"/>
  <c r="AA637" i="1"/>
  <c r="AB637" i="1" s="1"/>
  <c r="AA193" i="1"/>
  <c r="AA385" i="1"/>
  <c r="AB385" i="1" s="1"/>
  <c r="AA481" i="1"/>
  <c r="AB481" i="1" s="1"/>
  <c r="AA545" i="1"/>
  <c r="AB545" i="1" s="1"/>
  <c r="AA641" i="1"/>
  <c r="AB641" i="1" s="1"/>
  <c r="AA69" i="1"/>
  <c r="AB69" i="1" s="1"/>
  <c r="AA165" i="1"/>
  <c r="AA197" i="1"/>
  <c r="AB197" i="1" s="1"/>
  <c r="AA261" i="1"/>
  <c r="AB261" i="1" s="1"/>
  <c r="AA325" i="1"/>
  <c r="AB325" i="1" s="1"/>
  <c r="AA357" i="1"/>
  <c r="AA421" i="1"/>
  <c r="AB421" i="1" s="1"/>
  <c r="AA485" i="1"/>
  <c r="AB485" i="1" s="1"/>
  <c r="AA517" i="1"/>
  <c r="AB517" i="1" s="1"/>
  <c r="AA581" i="1"/>
  <c r="AB581" i="1" s="1"/>
  <c r="AA645" i="1"/>
  <c r="AB645" i="1" s="1"/>
  <c r="AA277" i="1"/>
  <c r="AA597" i="1"/>
  <c r="AB597" i="1" s="1"/>
  <c r="AA65" i="1"/>
  <c r="AA97" i="1"/>
  <c r="AB97" i="1" s="1"/>
  <c r="AA129" i="1"/>
  <c r="AB129" i="1" s="1"/>
  <c r="AA225" i="1"/>
  <c r="AA257" i="1"/>
  <c r="AA289" i="1"/>
  <c r="AA321" i="1"/>
  <c r="AB321" i="1" s="1"/>
  <c r="AA353" i="1"/>
  <c r="AB353" i="1" s="1"/>
  <c r="AA449" i="1"/>
  <c r="AB449" i="1" s="1"/>
  <c r="AA577" i="1"/>
  <c r="AB577" i="1" s="1"/>
  <c r="AA613" i="1"/>
  <c r="AB613" i="1" s="1"/>
  <c r="AA437" i="1"/>
  <c r="AB437" i="1" s="1"/>
  <c r="AA73" i="1"/>
  <c r="AA105" i="1"/>
  <c r="AA137" i="1"/>
  <c r="AA169" i="1"/>
  <c r="AB169" i="1" s="1"/>
  <c r="AA201" i="1"/>
  <c r="AA233" i="1"/>
  <c r="AB233" i="1" s="1"/>
  <c r="AA265" i="1"/>
  <c r="AB265" i="1" s="1"/>
  <c r="AA297" i="1"/>
  <c r="AA329" i="1"/>
  <c r="AA361" i="1"/>
  <c r="AB361" i="1" s="1"/>
  <c r="AA393" i="1"/>
  <c r="AA425" i="1"/>
  <c r="AB425" i="1" s="1"/>
  <c r="AA457" i="1"/>
  <c r="AB457" i="1" s="1"/>
  <c r="AA489" i="1"/>
  <c r="AB489" i="1" s="1"/>
  <c r="AA521" i="1"/>
  <c r="AB521" i="1" s="1"/>
  <c r="AA553" i="1"/>
  <c r="AB553" i="1" s="1"/>
  <c r="AA585" i="1"/>
  <c r="AB585" i="1" s="1"/>
  <c r="AA617" i="1"/>
  <c r="AB617" i="1" s="1"/>
  <c r="AA649" i="1"/>
  <c r="AB649" i="1" s="1"/>
  <c r="AA81" i="1"/>
  <c r="AB81" i="1" s="1"/>
  <c r="AA145" i="1"/>
  <c r="AA209" i="1"/>
  <c r="AB209" i="1" s="1"/>
  <c r="AA273" i="1"/>
  <c r="AB273" i="1" s="1"/>
  <c r="AA337" i="1"/>
  <c r="AA433" i="1"/>
  <c r="AB433" i="1" s="1"/>
  <c r="AA529" i="1"/>
  <c r="AB529" i="1" s="1"/>
  <c r="AA593" i="1"/>
  <c r="AB593" i="1" s="1"/>
  <c r="AA625" i="1"/>
  <c r="AB625" i="1" s="1"/>
  <c r="AA85" i="1"/>
  <c r="AA117" i="1"/>
  <c r="AA181" i="1"/>
  <c r="AB181" i="1" s="1"/>
  <c r="AA341" i="1"/>
  <c r="AA405" i="1"/>
  <c r="AB405" i="1" s="1"/>
  <c r="AA501" i="1"/>
  <c r="AB501" i="1" s="1"/>
  <c r="AA629" i="1"/>
  <c r="AB629" i="1" s="1"/>
  <c r="AA77" i="1"/>
  <c r="AB77" i="1" s="1"/>
  <c r="AA109" i="1"/>
  <c r="AA141" i="1"/>
  <c r="AB141" i="1" s="1"/>
  <c r="AA173" i="1"/>
  <c r="AB173" i="1" s="1"/>
  <c r="AA205" i="1"/>
  <c r="AB205" i="1" s="1"/>
  <c r="AA237" i="1"/>
  <c r="AA269" i="1"/>
  <c r="AB269" i="1" s="1"/>
  <c r="AA301" i="1"/>
  <c r="AA333" i="1"/>
  <c r="AB333" i="1" s="1"/>
  <c r="AA365" i="1"/>
  <c r="AA397" i="1"/>
  <c r="AB397" i="1" s="1"/>
  <c r="AA429" i="1"/>
  <c r="AB429" i="1" s="1"/>
  <c r="AA461" i="1"/>
  <c r="AB461" i="1" s="1"/>
  <c r="AA493" i="1"/>
  <c r="AB493" i="1" s="1"/>
  <c r="AA525" i="1"/>
  <c r="AB525" i="1" s="1"/>
  <c r="AA557" i="1"/>
  <c r="AB557" i="1" s="1"/>
  <c r="AA589" i="1"/>
  <c r="AB589" i="1" s="1"/>
  <c r="AA621" i="1"/>
  <c r="AB621" i="1" s="1"/>
  <c r="AA653" i="1"/>
  <c r="AB653" i="1" s="1"/>
  <c r="AA41" i="1"/>
  <c r="AB41" i="1" s="1"/>
  <c r="AA113" i="1"/>
  <c r="AA177" i="1"/>
  <c r="AA241" i="1"/>
  <c r="AA305" i="1"/>
  <c r="AA369" i="1"/>
  <c r="AA401" i="1"/>
  <c r="AB401" i="1" s="1"/>
  <c r="AA465" i="1"/>
  <c r="AB465" i="1" s="1"/>
  <c r="AA497" i="1"/>
  <c r="AB497" i="1" s="1"/>
  <c r="AA561" i="1"/>
  <c r="AB561" i="1" s="1"/>
  <c r="AA657" i="1"/>
  <c r="AB657" i="1" s="1"/>
  <c r="AA49" i="1"/>
  <c r="AB49" i="1" s="1"/>
  <c r="AA149" i="1"/>
  <c r="AA213" i="1"/>
  <c r="AB213" i="1" s="1"/>
  <c r="AA245" i="1"/>
  <c r="AA373" i="1"/>
  <c r="AB373" i="1" s="1"/>
  <c r="AA469" i="1"/>
  <c r="AB469" i="1" s="1"/>
  <c r="AA533" i="1"/>
  <c r="AB533" i="1" s="1"/>
  <c r="AA661" i="1"/>
  <c r="AB661" i="1" s="1"/>
  <c r="A32" i="1"/>
  <c r="A41" i="1"/>
  <c r="A29" i="1"/>
  <c r="F29" i="1" s="1"/>
  <c r="G29" i="1" s="1"/>
  <c r="A43" i="1"/>
  <c r="A40" i="1"/>
  <c r="F41" i="1" s="1"/>
  <c r="A37" i="1"/>
  <c r="F37" i="1" s="1"/>
  <c r="G37" i="1" s="1"/>
  <c r="A33" i="1"/>
  <c r="A39" i="1"/>
  <c r="A42" i="1"/>
  <c r="A35" i="1"/>
  <c r="A31" i="1"/>
  <c r="A34" i="1"/>
  <c r="A38" i="1"/>
  <c r="A30" i="1"/>
  <c r="AB99" i="1"/>
  <c r="AB107" i="1"/>
  <c r="AB171" i="1"/>
  <c r="AB227" i="1"/>
  <c r="AB235" i="1"/>
  <c r="AB299" i="1"/>
  <c r="AB161" i="1"/>
  <c r="AB20" i="1"/>
  <c r="AB156" i="1"/>
  <c r="AB212" i="1"/>
  <c r="AB220" i="1"/>
  <c r="AB284" i="1"/>
  <c r="AB190" i="1"/>
  <c r="AB198" i="1"/>
  <c r="AB254" i="1"/>
  <c r="AB318" i="1"/>
  <c r="AB326" i="1"/>
  <c r="AB382" i="1"/>
  <c r="AB391" i="1"/>
  <c r="AB289" i="1"/>
  <c r="AD2" i="3"/>
  <c r="AC3" i="3" s="1"/>
  <c r="S154" i="1"/>
  <c r="S280" i="1"/>
  <c r="S291" i="1"/>
  <c r="S176" i="1"/>
  <c r="S121" i="1"/>
  <c r="S114" i="1"/>
  <c r="S370" i="1"/>
  <c r="S269" i="1"/>
  <c r="S108" i="1"/>
  <c r="S177" i="1"/>
  <c r="S90" i="1"/>
  <c r="S299" i="1"/>
  <c r="S18" i="1"/>
  <c r="S197" i="1"/>
  <c r="S141" i="1"/>
  <c r="S232" i="1"/>
  <c r="S69" i="1"/>
  <c r="S207" i="1"/>
  <c r="S88" i="1"/>
  <c r="S31" i="1"/>
  <c r="S109" i="1"/>
  <c r="S119" i="1"/>
  <c r="S33" i="1"/>
  <c r="S47" i="1"/>
  <c r="S258" i="1"/>
  <c r="S27" i="1"/>
  <c r="S157" i="1"/>
  <c r="S343" i="1"/>
  <c r="S290" i="1"/>
  <c r="S386" i="1"/>
  <c r="S106" i="1"/>
  <c r="S210" i="1"/>
  <c r="S110" i="1"/>
  <c r="S201" i="1"/>
  <c r="S360" i="1"/>
  <c r="S42" i="1"/>
  <c r="S146" i="1"/>
  <c r="S46" i="1"/>
  <c r="S137" i="1"/>
  <c r="S357" i="1"/>
  <c r="S271" i="1"/>
  <c r="S306" i="1"/>
  <c r="S156" i="1"/>
  <c r="S335" i="1"/>
  <c r="S221" i="1"/>
  <c r="S209" i="1"/>
  <c r="S319" i="1"/>
  <c r="S94" i="1"/>
  <c r="S190" i="1"/>
  <c r="S143" i="1"/>
  <c r="S159" i="1"/>
  <c r="S365" i="1"/>
  <c r="S247" i="1"/>
  <c r="S95" i="1"/>
  <c r="S237" i="1"/>
  <c r="S183" i="1"/>
  <c r="S361" i="1"/>
  <c r="S362" i="1"/>
  <c r="S385" i="1"/>
  <c r="S250" i="1"/>
  <c r="S261" i="1"/>
  <c r="S267" i="1"/>
  <c r="S117" i="1"/>
  <c r="S317" i="1"/>
  <c r="S295" i="1"/>
  <c r="S274" i="1"/>
  <c r="S174" i="1"/>
  <c r="S276" i="1"/>
  <c r="S308" i="1"/>
  <c r="S309" i="1"/>
  <c r="S351" i="1"/>
  <c r="S164" i="1"/>
  <c r="S101" i="1"/>
  <c r="S181" i="1"/>
  <c r="S158" i="1"/>
  <c r="S287" i="1"/>
  <c r="S100" i="1"/>
  <c r="S375" i="1"/>
  <c r="S359" i="1"/>
  <c r="S275" i="1"/>
  <c r="S170" i="1"/>
  <c r="S115" i="1"/>
  <c r="S348" i="1"/>
  <c r="S51" i="1"/>
  <c r="S179" i="1"/>
  <c r="S273" i="1"/>
  <c r="S230" i="1"/>
  <c r="S196" i="1"/>
  <c r="S204" i="1"/>
  <c r="S378" i="1"/>
  <c r="S59" i="1"/>
  <c r="S337" i="1"/>
  <c r="S314" i="1"/>
  <c r="S389" i="1"/>
  <c r="S165" i="1"/>
  <c r="S340" i="1"/>
  <c r="S248" i="1"/>
  <c r="S253" i="1"/>
  <c r="S127" i="1"/>
  <c r="S382" i="1"/>
  <c r="S285" i="1"/>
  <c r="S32" i="1"/>
  <c r="S35" i="1"/>
  <c r="S372" i="1"/>
  <c r="S40" i="1"/>
  <c r="S228" i="1"/>
  <c r="S128" i="1"/>
  <c r="S272" i="1"/>
  <c r="S296" i="1"/>
  <c r="S182" i="1"/>
  <c r="S251" i="1"/>
  <c r="S368" i="1"/>
  <c r="S25" i="1"/>
  <c r="S161" i="1"/>
  <c r="S118" i="1"/>
  <c r="S187" i="1"/>
  <c r="S79" i="1"/>
  <c r="S39" i="1"/>
  <c r="S151" i="1"/>
  <c r="S82" i="1"/>
  <c r="S97" i="1"/>
  <c r="S54" i="1"/>
  <c r="S139" i="1"/>
  <c r="S30" i="1"/>
  <c r="S93" i="1"/>
  <c r="S366" i="1"/>
  <c r="S376" i="1"/>
  <c r="S44" i="1"/>
  <c r="S255" i="1"/>
  <c r="S132" i="1"/>
  <c r="S312" i="1"/>
  <c r="S381" i="1"/>
  <c r="S68" i="1"/>
  <c r="S304" i="1"/>
  <c r="S111" i="1"/>
  <c r="S322" i="1"/>
  <c r="S91" i="1"/>
  <c r="S377" i="1"/>
  <c r="S19" i="1"/>
  <c r="S238" i="1"/>
  <c r="S338" i="1"/>
  <c r="S336" i="1"/>
  <c r="S246" i="1"/>
  <c r="S315" i="1"/>
  <c r="S203" i="1"/>
  <c r="S75" i="1"/>
  <c r="S193" i="1"/>
  <c r="S236" i="1"/>
  <c r="S58" i="1"/>
  <c r="S324" i="1"/>
  <c r="S371" i="1"/>
  <c r="S243" i="1"/>
  <c r="S129" i="1"/>
  <c r="S172" i="1"/>
  <c r="S260" i="1"/>
  <c r="S89" i="1"/>
  <c r="S102" i="1"/>
  <c r="S98" i="1"/>
  <c r="S116" i="1"/>
  <c r="S325" i="1"/>
  <c r="S331" i="1"/>
  <c r="S145" i="1"/>
  <c r="S62" i="1"/>
  <c r="S123" i="1"/>
  <c r="S81" i="1"/>
  <c r="S92" i="1"/>
  <c r="S303" i="1"/>
  <c r="S239" i="1"/>
  <c r="S86" i="1"/>
  <c r="S219" i="1"/>
  <c r="S175" i="1"/>
  <c r="S22" i="1"/>
  <c r="S155" i="1"/>
  <c r="S307" i="1"/>
  <c r="S107" i="1"/>
  <c r="S245" i="1"/>
  <c r="S233" i="1"/>
  <c r="S349" i="1"/>
  <c r="S212" i="1"/>
  <c r="S104" i="1"/>
  <c r="S292" i="1"/>
  <c r="S192" i="1"/>
  <c r="S257" i="1"/>
  <c r="S300" i="1"/>
  <c r="S122" i="1"/>
  <c r="S388" i="1"/>
  <c r="S286" i="1"/>
  <c r="S56" i="1"/>
  <c r="S278" i="1"/>
  <c r="S45" i="1"/>
  <c r="S231" i="1"/>
  <c r="S103" i="1"/>
  <c r="S367" i="1"/>
  <c r="S214" i="1"/>
  <c r="S347" i="1"/>
  <c r="S113" i="1"/>
  <c r="S178" i="1"/>
  <c r="S217" i="1"/>
  <c r="S73" i="1"/>
  <c r="S318" i="1"/>
  <c r="S298" i="1"/>
  <c r="S148" i="1"/>
  <c r="S305" i="1"/>
  <c r="S346" i="1"/>
  <c r="S140" i="1"/>
  <c r="S26" i="1"/>
  <c r="S373" i="1"/>
  <c r="S297" i="1"/>
  <c r="S76" i="1"/>
  <c r="S171" i="1"/>
  <c r="S167" i="1"/>
  <c r="S294" i="1"/>
  <c r="S374" i="1"/>
  <c r="S96" i="1"/>
  <c r="S99" i="1"/>
  <c r="S48" i="1"/>
  <c r="S216" i="1"/>
  <c r="S310" i="1"/>
  <c r="S379" i="1"/>
  <c r="S55" i="1"/>
  <c r="S120" i="1"/>
  <c r="S342" i="1"/>
  <c r="S173" i="1"/>
  <c r="S313" i="1"/>
  <c r="S241" i="1"/>
  <c r="S130" i="1"/>
  <c r="S332" i="1"/>
  <c r="S218" i="1"/>
  <c r="S66" i="1"/>
  <c r="S268" i="1"/>
  <c r="S222" i="1"/>
  <c r="S166" i="1"/>
  <c r="S52" i="1"/>
  <c r="S350" i="1"/>
  <c r="S38" i="1"/>
  <c r="S144" i="1"/>
  <c r="S223" i="1"/>
  <c r="S112" i="1"/>
  <c r="S234" i="1"/>
  <c r="S242" i="1"/>
  <c r="S24" i="1"/>
  <c r="S150" i="1"/>
  <c r="S293" i="1"/>
  <c r="S224" i="1"/>
  <c r="S227" i="1"/>
  <c r="S126" i="1"/>
  <c r="S160" i="1"/>
  <c r="S163" i="1"/>
  <c r="S358" i="1"/>
  <c r="S353" i="1"/>
  <c r="S249" i="1"/>
  <c r="S83" i="1"/>
  <c r="S302" i="1"/>
  <c r="S354" i="1"/>
  <c r="S50" i="1"/>
  <c r="S321" i="1"/>
  <c r="S364" i="1"/>
  <c r="S186" i="1"/>
  <c r="S133" i="1"/>
  <c r="S194" i="1"/>
  <c r="S282" i="1"/>
  <c r="S220" i="1"/>
  <c r="S20" i="1"/>
  <c r="S41" i="1"/>
  <c r="S61" i="1"/>
  <c r="S37" i="1"/>
  <c r="S180" i="1"/>
  <c r="S352" i="1"/>
  <c r="S355" i="1"/>
  <c r="S43" i="1"/>
  <c r="S288" i="1"/>
  <c r="S289" i="1"/>
  <c r="S254" i="1"/>
  <c r="S152" i="1"/>
  <c r="S284" i="1"/>
  <c r="S36" i="1"/>
  <c r="S235" i="1"/>
  <c r="S53" i="1"/>
  <c r="S65" i="1"/>
  <c r="S283" i="1"/>
  <c r="S49" i="1"/>
  <c r="S211" i="1"/>
  <c r="S87" i="1"/>
  <c r="S34" i="1"/>
  <c r="S147" i="1"/>
  <c r="S23" i="1"/>
  <c r="S369" i="1"/>
  <c r="S363" i="1"/>
  <c r="S395" i="1"/>
  <c r="S28" i="1"/>
  <c r="S168" i="1"/>
  <c r="S356" i="1"/>
  <c r="S229" i="1"/>
  <c r="S184" i="1"/>
  <c r="S125" i="1"/>
  <c r="S301" i="1"/>
  <c r="S189" i="1"/>
  <c r="S84" i="1"/>
  <c r="S240" i="1"/>
  <c r="S80" i="1"/>
  <c r="S29" i="1"/>
  <c r="S279" i="1"/>
  <c r="S226" i="1"/>
  <c r="S244" i="1"/>
  <c r="S344" i="1"/>
  <c r="S208" i="1"/>
  <c r="S339" i="1"/>
  <c r="S215" i="1"/>
  <c r="S162" i="1"/>
  <c r="F36" i="1"/>
  <c r="F42" i="1"/>
  <c r="AB42" i="1"/>
  <c r="AB106" i="1"/>
  <c r="AB170" i="1"/>
  <c r="AB234" i="1"/>
  <c r="AB298" i="1"/>
  <c r="AB362" i="1"/>
  <c r="AB43" i="1"/>
  <c r="AB262" i="1"/>
  <c r="AB89" i="1"/>
  <c r="AB153" i="1"/>
  <c r="AB217" i="1"/>
  <c r="AB192" i="1"/>
  <c r="AB256" i="1"/>
  <c r="AB229" i="1"/>
  <c r="AB349" i="1"/>
  <c r="AB157" i="1"/>
  <c r="AB317" i="1"/>
  <c r="AB221" i="1"/>
  <c r="AB276" i="1"/>
  <c r="AB50" i="1"/>
  <c r="AB114" i="1"/>
  <c r="AB178" i="1"/>
  <c r="AB242" i="1"/>
  <c r="AB306" i="1"/>
  <c r="AB370" i="1"/>
  <c r="AB51" i="1"/>
  <c r="AB115" i="1"/>
  <c r="AB179" i="1"/>
  <c r="AB243" i="1"/>
  <c r="AB307" i="1"/>
  <c r="AB225" i="1"/>
  <c r="AB245" i="1"/>
  <c r="AB124" i="1"/>
  <c r="AB347" i="1"/>
  <c r="AB381" i="1"/>
  <c r="AB108" i="1"/>
  <c r="AB109" i="1"/>
  <c r="AB337" i="1"/>
  <c r="AB323" i="1"/>
  <c r="AB329" i="1"/>
  <c r="AB58" i="1"/>
  <c r="AB122" i="1"/>
  <c r="AB186" i="1"/>
  <c r="AB250" i="1"/>
  <c r="AB314" i="1"/>
  <c r="AB378" i="1"/>
  <c r="AB22" i="1"/>
  <c r="AB86" i="1"/>
  <c r="AB150" i="1"/>
  <c r="AB214" i="1"/>
  <c r="AB278" i="1"/>
  <c r="AB342" i="1"/>
  <c r="AB31" i="1"/>
  <c r="AB95" i="1"/>
  <c r="AB159" i="1"/>
  <c r="AB223" i="1"/>
  <c r="AB287" i="1"/>
  <c r="AB351" i="1"/>
  <c r="AB105" i="1"/>
  <c r="AB297" i="1"/>
  <c r="AB21" i="1"/>
  <c r="AB277" i="1"/>
  <c r="AB252" i="1"/>
  <c r="AB37" i="1"/>
  <c r="AB293" i="1"/>
  <c r="AB365" i="1"/>
  <c r="AB387" i="1"/>
  <c r="AB377" i="1"/>
  <c r="AB371" i="1"/>
  <c r="AB393" i="1"/>
  <c r="AB66" i="1"/>
  <c r="AB130" i="1"/>
  <c r="AB194" i="1"/>
  <c r="AB258" i="1"/>
  <c r="AB322" i="1"/>
  <c r="AB386" i="1"/>
  <c r="AB67" i="1"/>
  <c r="AB131" i="1"/>
  <c r="AB195" i="1"/>
  <c r="AB259" i="1"/>
  <c r="AB350" i="1"/>
  <c r="AB39" i="1"/>
  <c r="AB103" i="1"/>
  <c r="AB167" i="1"/>
  <c r="AB231" i="1"/>
  <c r="AB295" i="1"/>
  <c r="AB359" i="1"/>
  <c r="AB113" i="1"/>
  <c r="AB177" i="1"/>
  <c r="AB241" i="1"/>
  <c r="AB24" i="1"/>
  <c r="AB88" i="1"/>
  <c r="AB152" i="1"/>
  <c r="AB216" i="1"/>
  <c r="AB280" i="1"/>
  <c r="AB344" i="1"/>
  <c r="AB308" i="1"/>
  <c r="AB357" i="1"/>
  <c r="AB316" i="1"/>
  <c r="AB60" i="1"/>
  <c r="AB36" i="1"/>
  <c r="AB172" i="1"/>
  <c r="AB84" i="1"/>
  <c r="AB28" i="1"/>
  <c r="AB132" i="1"/>
  <c r="AB369" i="1"/>
  <c r="AB100" i="1"/>
  <c r="AB74" i="1"/>
  <c r="AB138" i="1"/>
  <c r="AB202" i="1"/>
  <c r="AB266" i="1"/>
  <c r="AB330" i="1"/>
  <c r="AB394" i="1"/>
  <c r="AB75" i="1"/>
  <c r="AB47" i="1"/>
  <c r="AB111" i="1"/>
  <c r="AB175" i="1"/>
  <c r="AB239" i="1"/>
  <c r="AB303" i="1"/>
  <c r="AB367" i="1"/>
  <c r="AB57" i="1"/>
  <c r="AB32" i="1"/>
  <c r="AB96" i="1"/>
  <c r="AB160" i="1"/>
  <c r="AB224" i="1"/>
  <c r="AB288" i="1"/>
  <c r="AB352" i="1"/>
  <c r="AB85" i="1"/>
  <c r="AB164" i="1"/>
  <c r="AB188" i="1"/>
  <c r="AB228" i="1"/>
  <c r="AB196" i="1"/>
  <c r="AB146" i="1"/>
  <c r="AB210" i="1"/>
  <c r="AB46" i="1"/>
  <c r="AB110" i="1"/>
  <c r="AB174" i="1"/>
  <c r="AB238" i="1"/>
  <c r="AB302" i="1"/>
  <c r="AB366" i="1"/>
  <c r="AB55" i="1"/>
  <c r="AB119" i="1"/>
  <c r="AB183" i="1"/>
  <c r="AB247" i="1"/>
  <c r="AB311" i="1"/>
  <c r="AB375" i="1"/>
  <c r="AB65" i="1"/>
  <c r="AB193" i="1"/>
  <c r="AB257" i="1"/>
  <c r="AB40" i="1"/>
  <c r="AB104" i="1"/>
  <c r="AB168" i="1"/>
  <c r="AB232" i="1"/>
  <c r="AB296" i="1"/>
  <c r="AB360" i="1"/>
  <c r="AB117" i="1"/>
  <c r="AB340" i="1"/>
  <c r="AB236" i="1"/>
  <c r="AB180" i="1"/>
  <c r="AB315" i="1"/>
  <c r="AB237" i="1"/>
  <c r="AB52" i="1"/>
  <c r="AB292" i="1"/>
  <c r="AB27" i="1"/>
  <c r="AB91" i="1"/>
  <c r="AB155" i="1"/>
  <c r="AB219" i="1"/>
  <c r="AB283" i="1"/>
  <c r="AB54" i="1"/>
  <c r="AB118" i="1"/>
  <c r="AB182" i="1"/>
  <c r="AB246" i="1"/>
  <c r="AB310" i="1"/>
  <c r="AB374" i="1"/>
  <c r="AB127" i="1"/>
  <c r="AB73" i="1"/>
  <c r="AB137" i="1"/>
  <c r="AB201" i="1"/>
  <c r="AB48" i="1"/>
  <c r="AB112" i="1"/>
  <c r="AB176" i="1"/>
  <c r="AB240" i="1"/>
  <c r="AB304" i="1"/>
  <c r="AB368" i="1"/>
  <c r="AB149" i="1"/>
  <c r="AB356" i="1"/>
  <c r="AB345" i="1"/>
  <c r="AB165" i="1"/>
  <c r="AB364" i="1"/>
  <c r="AB341" i="1"/>
  <c r="AB395" i="1"/>
  <c r="AB244" i="1"/>
  <c r="AB363" i="1"/>
  <c r="AB116" i="1"/>
  <c r="AB379" i="1"/>
  <c r="AB291" i="1"/>
  <c r="AB62" i="1"/>
  <c r="AB135" i="1"/>
  <c r="AB199" i="1"/>
  <c r="AB145" i="1"/>
  <c r="AB56" i="1"/>
  <c r="AB120" i="1"/>
  <c r="AB184" i="1"/>
  <c r="AB248" i="1"/>
  <c r="AB312" i="1"/>
  <c r="AB376" i="1"/>
  <c r="AB372" i="1"/>
  <c r="AB380" i="1"/>
  <c r="AB61" i="1"/>
  <c r="AB44" i="1"/>
  <c r="AB300" i="1"/>
  <c r="AB305" i="1"/>
  <c r="AB125" i="1"/>
  <c r="AB45" i="1"/>
  <c r="AB301" i="1"/>
  <c r="AB93" i="1"/>
  <c r="F43" i="1"/>
  <c r="AC2" i="3" l="1"/>
  <c r="F35" i="1"/>
  <c r="H35" i="1" s="1"/>
  <c r="F32" i="1"/>
  <c r="Z648" i="1"/>
  <c r="U648" i="1"/>
  <c r="T648" i="1"/>
  <c r="Y648" i="1"/>
  <c r="V648" i="1"/>
  <c r="W648" i="1"/>
  <c r="W519" i="1"/>
  <c r="Y519" i="1"/>
  <c r="T519" i="1"/>
  <c r="U519" i="1"/>
  <c r="V519" i="1"/>
  <c r="Z519" i="1"/>
  <c r="T462" i="1"/>
  <c r="U462" i="1"/>
  <c r="V462" i="1"/>
  <c r="W462" i="1"/>
  <c r="Y462" i="1"/>
  <c r="Z462" i="1"/>
  <c r="W533" i="1"/>
  <c r="Y533" i="1"/>
  <c r="T533" i="1"/>
  <c r="U533" i="1"/>
  <c r="Z533" i="1"/>
  <c r="V533" i="1"/>
  <c r="Y572" i="1"/>
  <c r="Z572" i="1"/>
  <c r="U572" i="1"/>
  <c r="V572" i="1"/>
  <c r="W572" i="1"/>
  <c r="T572" i="1"/>
  <c r="Y577" i="1"/>
  <c r="Z577" i="1"/>
  <c r="U577" i="1"/>
  <c r="V577" i="1"/>
  <c r="T577" i="1"/>
  <c r="W577" i="1"/>
  <c r="W497" i="1"/>
  <c r="Y497" i="1"/>
  <c r="T497" i="1"/>
  <c r="Z497" i="1"/>
  <c r="V497" i="1"/>
  <c r="U497" i="1"/>
  <c r="Z617" i="1"/>
  <c r="U617" i="1"/>
  <c r="T617" i="1"/>
  <c r="V617" i="1"/>
  <c r="W617" i="1"/>
  <c r="Y617" i="1"/>
  <c r="Z640" i="1"/>
  <c r="Y640" i="1"/>
  <c r="T640" i="1"/>
  <c r="U640" i="1"/>
  <c r="V640" i="1"/>
  <c r="W640" i="1"/>
  <c r="Y576" i="1"/>
  <c r="Z576" i="1"/>
  <c r="U576" i="1"/>
  <c r="V576" i="1"/>
  <c r="W576" i="1"/>
  <c r="T576" i="1"/>
  <c r="W512" i="1"/>
  <c r="Y512" i="1"/>
  <c r="T512" i="1"/>
  <c r="V512" i="1"/>
  <c r="Z512" i="1"/>
  <c r="U512" i="1"/>
  <c r="T448" i="1"/>
  <c r="U448" i="1"/>
  <c r="V448" i="1"/>
  <c r="W448" i="1"/>
  <c r="Y448" i="1"/>
  <c r="Z448" i="1"/>
  <c r="Z639" i="1"/>
  <c r="U639" i="1"/>
  <c r="Y639" i="1"/>
  <c r="T639" i="1"/>
  <c r="V639" i="1"/>
  <c r="W639" i="1"/>
  <c r="Y575" i="1"/>
  <c r="Z575" i="1"/>
  <c r="U575" i="1"/>
  <c r="V575" i="1"/>
  <c r="T575" i="1"/>
  <c r="W575" i="1"/>
  <c r="W511" i="1"/>
  <c r="Y511" i="1"/>
  <c r="T511" i="1"/>
  <c r="U511" i="1"/>
  <c r="V511" i="1"/>
  <c r="Z511" i="1"/>
  <c r="T447" i="1"/>
  <c r="U447" i="1"/>
  <c r="V447" i="1"/>
  <c r="W447" i="1"/>
  <c r="Y447" i="1"/>
  <c r="Z447" i="1"/>
  <c r="Z646" i="1"/>
  <c r="U646" i="1"/>
  <c r="T646" i="1"/>
  <c r="V646" i="1"/>
  <c r="Y646" i="1"/>
  <c r="W646" i="1"/>
  <c r="Y582" i="1"/>
  <c r="Z582" i="1"/>
  <c r="U582" i="1"/>
  <c r="V582" i="1"/>
  <c r="T582" i="1"/>
  <c r="W582" i="1"/>
  <c r="W518" i="1"/>
  <c r="Y518" i="1"/>
  <c r="T518" i="1"/>
  <c r="U518" i="1"/>
  <c r="Z518" i="1"/>
  <c r="V518" i="1"/>
  <c r="T454" i="1"/>
  <c r="U454" i="1"/>
  <c r="V454" i="1"/>
  <c r="W454" i="1"/>
  <c r="Y454" i="1"/>
  <c r="Z454" i="1"/>
  <c r="Y653" i="1"/>
  <c r="Z653" i="1"/>
  <c r="U653" i="1"/>
  <c r="T653" i="1"/>
  <c r="V653" i="1"/>
  <c r="W653" i="1"/>
  <c r="Y589" i="1"/>
  <c r="Z589" i="1"/>
  <c r="U589" i="1"/>
  <c r="V589" i="1"/>
  <c r="W589" i="1"/>
  <c r="T589" i="1"/>
  <c r="W525" i="1"/>
  <c r="Y525" i="1"/>
  <c r="T525" i="1"/>
  <c r="U525" i="1"/>
  <c r="Z525" i="1"/>
  <c r="V525" i="1"/>
  <c r="T461" i="1"/>
  <c r="U461" i="1"/>
  <c r="V461" i="1"/>
  <c r="W461" i="1"/>
  <c r="Y461" i="1"/>
  <c r="Z461" i="1"/>
  <c r="T397" i="1"/>
  <c r="U397" i="1"/>
  <c r="V397" i="1"/>
  <c r="W397" i="1"/>
  <c r="Y397" i="1"/>
  <c r="Z397" i="1"/>
  <c r="Z628" i="1"/>
  <c r="U628" i="1"/>
  <c r="T628" i="1"/>
  <c r="Y628" i="1"/>
  <c r="V628" i="1"/>
  <c r="W628" i="1"/>
  <c r="Y564" i="1"/>
  <c r="Z564" i="1"/>
  <c r="U564" i="1"/>
  <c r="V564" i="1"/>
  <c r="W564" i="1"/>
  <c r="T564" i="1"/>
  <c r="W500" i="1"/>
  <c r="Y500" i="1"/>
  <c r="T500" i="1"/>
  <c r="V500" i="1"/>
  <c r="Z500" i="1"/>
  <c r="U500" i="1"/>
  <c r="T436" i="1"/>
  <c r="U436" i="1"/>
  <c r="V436" i="1"/>
  <c r="W436" i="1"/>
  <c r="Y436" i="1"/>
  <c r="Z436" i="1"/>
  <c r="Z635" i="1"/>
  <c r="T635" i="1"/>
  <c r="U635" i="1"/>
  <c r="V635" i="1"/>
  <c r="W635" i="1"/>
  <c r="Y635" i="1"/>
  <c r="Y571" i="1"/>
  <c r="Z571" i="1"/>
  <c r="U571" i="1"/>
  <c r="V571" i="1"/>
  <c r="T571" i="1"/>
  <c r="W571" i="1"/>
  <c r="W507" i="1"/>
  <c r="Y507" i="1"/>
  <c r="T507" i="1"/>
  <c r="U507" i="1"/>
  <c r="V507" i="1"/>
  <c r="Z507" i="1"/>
  <c r="T443" i="1"/>
  <c r="U443" i="1"/>
  <c r="V443" i="1"/>
  <c r="W443" i="1"/>
  <c r="Y443" i="1"/>
  <c r="Z443" i="1"/>
  <c r="Z642" i="1"/>
  <c r="U642" i="1"/>
  <c r="T642" i="1"/>
  <c r="V642" i="1"/>
  <c r="Y642" i="1"/>
  <c r="W642" i="1"/>
  <c r="Y578" i="1"/>
  <c r="Z578" i="1"/>
  <c r="U578" i="1"/>
  <c r="V578" i="1"/>
  <c r="T578" i="1"/>
  <c r="W578" i="1"/>
  <c r="W514" i="1"/>
  <c r="Y514" i="1"/>
  <c r="T514" i="1"/>
  <c r="U514" i="1"/>
  <c r="V514" i="1"/>
  <c r="Z514" i="1"/>
  <c r="T450" i="1"/>
  <c r="U450" i="1"/>
  <c r="V450" i="1"/>
  <c r="W450" i="1"/>
  <c r="Y450" i="1"/>
  <c r="Z450" i="1"/>
  <c r="T473" i="1"/>
  <c r="U473" i="1"/>
  <c r="V473" i="1"/>
  <c r="W473" i="1"/>
  <c r="Y473" i="1"/>
  <c r="Z473" i="1"/>
  <c r="W520" i="1"/>
  <c r="Y520" i="1"/>
  <c r="T520" i="1"/>
  <c r="V520" i="1"/>
  <c r="Z520" i="1"/>
  <c r="U520" i="1"/>
  <c r="T455" i="1"/>
  <c r="U455" i="1"/>
  <c r="V455" i="1"/>
  <c r="W455" i="1"/>
  <c r="Y455" i="1"/>
  <c r="Z455" i="1"/>
  <c r="T405" i="1"/>
  <c r="U405" i="1"/>
  <c r="V405" i="1"/>
  <c r="W405" i="1"/>
  <c r="Y405" i="1"/>
  <c r="Z405" i="1"/>
  <c r="W508" i="1"/>
  <c r="Y508" i="1"/>
  <c r="T508" i="1"/>
  <c r="V508" i="1"/>
  <c r="Z508" i="1"/>
  <c r="U508" i="1"/>
  <c r="Y593" i="1"/>
  <c r="Z593" i="1"/>
  <c r="U593" i="1"/>
  <c r="V593" i="1"/>
  <c r="T593" i="1"/>
  <c r="W593" i="1"/>
  <c r="T449" i="1"/>
  <c r="U449" i="1"/>
  <c r="V449" i="1"/>
  <c r="W449" i="1"/>
  <c r="Y449" i="1"/>
  <c r="Z449" i="1"/>
  <c r="T433" i="1"/>
  <c r="U433" i="1"/>
  <c r="V433" i="1"/>
  <c r="W433" i="1"/>
  <c r="Y433" i="1"/>
  <c r="Z433" i="1"/>
  <c r="W529" i="1"/>
  <c r="Y529" i="1"/>
  <c r="T529" i="1"/>
  <c r="Z529" i="1"/>
  <c r="V529" i="1"/>
  <c r="U529" i="1"/>
  <c r="W553" i="1"/>
  <c r="Y553" i="1"/>
  <c r="T553" i="1"/>
  <c r="Z553" i="1"/>
  <c r="U553" i="1"/>
  <c r="V553" i="1"/>
  <c r="T409" i="1"/>
  <c r="U409" i="1"/>
  <c r="V409" i="1"/>
  <c r="W409" i="1"/>
  <c r="Y409" i="1"/>
  <c r="Z409" i="1"/>
  <c r="Y609" i="1"/>
  <c r="Z609" i="1"/>
  <c r="U609" i="1"/>
  <c r="T609" i="1"/>
  <c r="V609" i="1"/>
  <c r="W609" i="1"/>
  <c r="Z632" i="1"/>
  <c r="U632" i="1"/>
  <c r="T632" i="1"/>
  <c r="V632" i="1"/>
  <c r="W632" i="1"/>
  <c r="Y632" i="1"/>
  <c r="Y568" i="1"/>
  <c r="Z568" i="1"/>
  <c r="U568" i="1"/>
  <c r="V568" i="1"/>
  <c r="W568" i="1"/>
  <c r="T568" i="1"/>
  <c r="W504" i="1"/>
  <c r="Y504" i="1"/>
  <c r="T504" i="1"/>
  <c r="V504" i="1"/>
  <c r="Z504" i="1"/>
  <c r="U504" i="1"/>
  <c r="T440" i="1"/>
  <c r="U440" i="1"/>
  <c r="V440" i="1"/>
  <c r="W440" i="1"/>
  <c r="Y440" i="1"/>
  <c r="Z440" i="1"/>
  <c r="Y631" i="1"/>
  <c r="Z631" i="1"/>
  <c r="U631" i="1"/>
  <c r="T631" i="1"/>
  <c r="V631" i="1"/>
  <c r="W631" i="1"/>
  <c r="Y567" i="1"/>
  <c r="Z567" i="1"/>
  <c r="U567" i="1"/>
  <c r="V567" i="1"/>
  <c r="T567" i="1"/>
  <c r="W567" i="1"/>
  <c r="W503" i="1"/>
  <c r="Y503" i="1"/>
  <c r="T503" i="1"/>
  <c r="U503" i="1"/>
  <c r="V503" i="1"/>
  <c r="Z503" i="1"/>
  <c r="T439" i="1"/>
  <c r="U439" i="1"/>
  <c r="V439" i="1"/>
  <c r="W439" i="1"/>
  <c r="Y439" i="1"/>
  <c r="Z439" i="1"/>
  <c r="Y638" i="1"/>
  <c r="Z638" i="1"/>
  <c r="T638" i="1"/>
  <c r="U638" i="1"/>
  <c r="V638" i="1"/>
  <c r="W638" i="1"/>
  <c r="Y574" i="1"/>
  <c r="Z574" i="1"/>
  <c r="U574" i="1"/>
  <c r="V574" i="1"/>
  <c r="T574" i="1"/>
  <c r="W574" i="1"/>
  <c r="W510" i="1"/>
  <c r="Y510" i="1"/>
  <c r="T510" i="1"/>
  <c r="U510" i="1"/>
  <c r="Z510" i="1"/>
  <c r="V510" i="1"/>
  <c r="T446" i="1"/>
  <c r="U446" i="1"/>
  <c r="V446" i="1"/>
  <c r="W446" i="1"/>
  <c r="Y446" i="1"/>
  <c r="Z446" i="1"/>
  <c r="Z645" i="1"/>
  <c r="U645" i="1"/>
  <c r="T645" i="1"/>
  <c r="V645" i="1"/>
  <c r="W645" i="1"/>
  <c r="Y645" i="1"/>
  <c r="Y581" i="1"/>
  <c r="Z581" i="1"/>
  <c r="U581" i="1"/>
  <c r="V581" i="1"/>
  <c r="T581" i="1"/>
  <c r="W581" i="1"/>
  <c r="W517" i="1"/>
  <c r="Y517" i="1"/>
  <c r="T517" i="1"/>
  <c r="U517" i="1"/>
  <c r="Z517" i="1"/>
  <c r="V517" i="1"/>
  <c r="T453" i="1"/>
  <c r="U453" i="1"/>
  <c r="V453" i="1"/>
  <c r="W453" i="1"/>
  <c r="Y453" i="1"/>
  <c r="Z453" i="1"/>
  <c r="Y620" i="1"/>
  <c r="Z620" i="1"/>
  <c r="T620" i="1"/>
  <c r="U620" i="1"/>
  <c r="V620" i="1"/>
  <c r="W620" i="1"/>
  <c r="Y556" i="1"/>
  <c r="Z556" i="1"/>
  <c r="U556" i="1"/>
  <c r="V556" i="1"/>
  <c r="T556" i="1"/>
  <c r="W556" i="1"/>
  <c r="W492" i="1"/>
  <c r="Y492" i="1"/>
  <c r="T492" i="1"/>
  <c r="V492" i="1"/>
  <c r="Z492" i="1"/>
  <c r="U492" i="1"/>
  <c r="T428" i="1"/>
  <c r="U428" i="1"/>
  <c r="V428" i="1"/>
  <c r="W428" i="1"/>
  <c r="Y428" i="1"/>
  <c r="Z428" i="1"/>
  <c r="Y627" i="1"/>
  <c r="Z627" i="1"/>
  <c r="U627" i="1"/>
  <c r="T627" i="1"/>
  <c r="V627" i="1"/>
  <c r="W627" i="1"/>
  <c r="Y563" i="1"/>
  <c r="Z563" i="1"/>
  <c r="U563" i="1"/>
  <c r="V563" i="1"/>
  <c r="T563" i="1"/>
  <c r="W563" i="1"/>
  <c r="W499" i="1"/>
  <c r="Y499" i="1"/>
  <c r="T499" i="1"/>
  <c r="U499" i="1"/>
  <c r="V499" i="1"/>
  <c r="Z499" i="1"/>
  <c r="T435" i="1"/>
  <c r="U435" i="1"/>
  <c r="V435" i="1"/>
  <c r="W435" i="1"/>
  <c r="Y435" i="1"/>
  <c r="Z435" i="1"/>
  <c r="Z634" i="1"/>
  <c r="U634" i="1"/>
  <c r="T634" i="1"/>
  <c r="Y634" i="1"/>
  <c r="V634" i="1"/>
  <c r="W634" i="1"/>
  <c r="Y570" i="1"/>
  <c r="Z570" i="1"/>
  <c r="U570" i="1"/>
  <c r="V570" i="1"/>
  <c r="T570" i="1"/>
  <c r="W570" i="1"/>
  <c r="W506" i="1"/>
  <c r="Y506" i="1"/>
  <c r="T506" i="1"/>
  <c r="U506" i="1"/>
  <c r="V506" i="1"/>
  <c r="Z506" i="1"/>
  <c r="T442" i="1"/>
  <c r="U442" i="1"/>
  <c r="V442" i="1"/>
  <c r="W442" i="1"/>
  <c r="Y442" i="1"/>
  <c r="Z442" i="1"/>
  <c r="Y583" i="1"/>
  <c r="Z583" i="1"/>
  <c r="U583" i="1"/>
  <c r="V583" i="1"/>
  <c r="T583" i="1"/>
  <c r="W583" i="1"/>
  <c r="T398" i="1"/>
  <c r="U398" i="1"/>
  <c r="V398" i="1"/>
  <c r="W398" i="1"/>
  <c r="Y398" i="1"/>
  <c r="Z398" i="1"/>
  <c r="T469" i="1"/>
  <c r="U469" i="1"/>
  <c r="V469" i="1"/>
  <c r="W469" i="1"/>
  <c r="Y469" i="1"/>
  <c r="Z469" i="1"/>
  <c r="Z636" i="1"/>
  <c r="U636" i="1"/>
  <c r="T636" i="1"/>
  <c r="V636" i="1"/>
  <c r="Y636" i="1"/>
  <c r="W636" i="1"/>
  <c r="T444" i="1"/>
  <c r="U444" i="1"/>
  <c r="V444" i="1"/>
  <c r="W444" i="1"/>
  <c r="Y444" i="1"/>
  <c r="Z444" i="1"/>
  <c r="Z643" i="1"/>
  <c r="U643" i="1"/>
  <c r="T643" i="1"/>
  <c r="Y643" i="1"/>
  <c r="V643" i="1"/>
  <c r="W643" i="1"/>
  <c r="Y579" i="1"/>
  <c r="Z579" i="1"/>
  <c r="U579" i="1"/>
  <c r="V579" i="1"/>
  <c r="T579" i="1"/>
  <c r="W579" i="1"/>
  <c r="W515" i="1"/>
  <c r="Y515" i="1"/>
  <c r="T515" i="1"/>
  <c r="U515" i="1"/>
  <c r="V515" i="1"/>
  <c r="Z515" i="1"/>
  <c r="T451" i="1"/>
  <c r="U451" i="1"/>
  <c r="V451" i="1"/>
  <c r="W451" i="1"/>
  <c r="Y451" i="1"/>
  <c r="Z451" i="1"/>
  <c r="Z650" i="1"/>
  <c r="U650" i="1"/>
  <c r="T650" i="1"/>
  <c r="V650" i="1"/>
  <c r="W650" i="1"/>
  <c r="Y650" i="1"/>
  <c r="Y586" i="1"/>
  <c r="Z586" i="1"/>
  <c r="U586" i="1"/>
  <c r="V586" i="1"/>
  <c r="T586" i="1"/>
  <c r="W586" i="1"/>
  <c r="W522" i="1"/>
  <c r="Y522" i="1"/>
  <c r="T522" i="1"/>
  <c r="U522" i="1"/>
  <c r="V522" i="1"/>
  <c r="Z522" i="1"/>
  <c r="T401" i="1"/>
  <c r="U401" i="1"/>
  <c r="V401" i="1"/>
  <c r="W401" i="1"/>
  <c r="Y401" i="1"/>
  <c r="Z401" i="1"/>
  <c r="W489" i="1"/>
  <c r="Y489" i="1"/>
  <c r="T489" i="1"/>
  <c r="Z489" i="1"/>
  <c r="V489" i="1"/>
  <c r="U489" i="1"/>
  <c r="W545" i="1"/>
  <c r="Y545" i="1"/>
  <c r="T545" i="1"/>
  <c r="Z545" i="1"/>
  <c r="U545" i="1"/>
  <c r="V545" i="1"/>
  <c r="Y624" i="1"/>
  <c r="Z624" i="1"/>
  <c r="T624" i="1"/>
  <c r="U624" i="1"/>
  <c r="V624" i="1"/>
  <c r="W624" i="1"/>
  <c r="Y560" i="1"/>
  <c r="Z560" i="1"/>
  <c r="U560" i="1"/>
  <c r="V560" i="1"/>
  <c r="W560" i="1"/>
  <c r="T560" i="1"/>
  <c r="W496" i="1"/>
  <c r="Y496" i="1"/>
  <c r="T496" i="1"/>
  <c r="V496" i="1"/>
  <c r="Z496" i="1"/>
  <c r="U496" i="1"/>
  <c r="T432" i="1"/>
  <c r="U432" i="1"/>
  <c r="V432" i="1"/>
  <c r="W432" i="1"/>
  <c r="Y432" i="1"/>
  <c r="Z432" i="1"/>
  <c r="Y623" i="1"/>
  <c r="Z623" i="1"/>
  <c r="U623" i="1"/>
  <c r="T623" i="1"/>
  <c r="V623" i="1"/>
  <c r="W623" i="1"/>
  <c r="Y559" i="1"/>
  <c r="Z559" i="1"/>
  <c r="U559" i="1"/>
  <c r="V559" i="1"/>
  <c r="T559" i="1"/>
  <c r="W559" i="1"/>
  <c r="W495" i="1"/>
  <c r="Y495" i="1"/>
  <c r="T495" i="1"/>
  <c r="U495" i="1"/>
  <c r="V495" i="1"/>
  <c r="Z495" i="1"/>
  <c r="T431" i="1"/>
  <c r="U431" i="1"/>
  <c r="V431" i="1"/>
  <c r="W431" i="1"/>
  <c r="Y431" i="1"/>
  <c r="Z431" i="1"/>
  <c r="Z630" i="1"/>
  <c r="Y630" i="1"/>
  <c r="T630" i="1"/>
  <c r="U630" i="1"/>
  <c r="V630" i="1"/>
  <c r="W630" i="1"/>
  <c r="Y566" i="1"/>
  <c r="Z566" i="1"/>
  <c r="U566" i="1"/>
  <c r="V566" i="1"/>
  <c r="T566" i="1"/>
  <c r="W566" i="1"/>
  <c r="W502" i="1"/>
  <c r="Y502" i="1"/>
  <c r="T502" i="1"/>
  <c r="U502" i="1"/>
  <c r="V502" i="1"/>
  <c r="Z502" i="1"/>
  <c r="T438" i="1"/>
  <c r="U438" i="1"/>
  <c r="V438" i="1"/>
  <c r="W438" i="1"/>
  <c r="Y438" i="1"/>
  <c r="Z438" i="1"/>
  <c r="Z637" i="1"/>
  <c r="U637" i="1"/>
  <c r="T637" i="1"/>
  <c r="Y637" i="1"/>
  <c r="V637" i="1"/>
  <c r="W637" i="1"/>
  <c r="Y573" i="1"/>
  <c r="Z573" i="1"/>
  <c r="U573" i="1"/>
  <c r="V573" i="1"/>
  <c r="W573" i="1"/>
  <c r="T573" i="1"/>
  <c r="W509" i="1"/>
  <c r="Y509" i="1"/>
  <c r="T509" i="1"/>
  <c r="U509" i="1"/>
  <c r="Z509" i="1"/>
  <c r="V509" i="1"/>
  <c r="T445" i="1"/>
  <c r="U445" i="1"/>
  <c r="V445" i="1"/>
  <c r="W445" i="1"/>
  <c r="Y445" i="1"/>
  <c r="Z445" i="1"/>
  <c r="Z612" i="1"/>
  <c r="U612" i="1"/>
  <c r="Y612" i="1"/>
  <c r="T612" i="1"/>
  <c r="V612" i="1"/>
  <c r="W612" i="1"/>
  <c r="W548" i="1"/>
  <c r="Y548" i="1"/>
  <c r="T548" i="1"/>
  <c r="V548" i="1"/>
  <c r="Z548" i="1"/>
  <c r="U548" i="1"/>
  <c r="W484" i="1"/>
  <c r="Y484" i="1"/>
  <c r="T484" i="1"/>
  <c r="V484" i="1"/>
  <c r="Z484" i="1"/>
  <c r="U484" i="1"/>
  <c r="T420" i="1"/>
  <c r="U420" i="1"/>
  <c r="V420" i="1"/>
  <c r="W420" i="1"/>
  <c r="Y420" i="1"/>
  <c r="Z420" i="1"/>
  <c r="Y619" i="1"/>
  <c r="Z619" i="1"/>
  <c r="U619" i="1"/>
  <c r="T619" i="1"/>
  <c r="V619" i="1"/>
  <c r="W619" i="1"/>
  <c r="T555" i="1"/>
  <c r="Y555" i="1"/>
  <c r="Z555" i="1"/>
  <c r="U555" i="1"/>
  <c r="V555" i="1"/>
  <c r="W555" i="1"/>
  <c r="W491" i="1"/>
  <c r="Y491" i="1"/>
  <c r="T491" i="1"/>
  <c r="U491" i="1"/>
  <c r="V491" i="1"/>
  <c r="Z491" i="1"/>
  <c r="T427" i="1"/>
  <c r="U427" i="1"/>
  <c r="V427" i="1"/>
  <c r="W427" i="1"/>
  <c r="Y427" i="1"/>
  <c r="Z427" i="1"/>
  <c r="Z626" i="1"/>
  <c r="U626" i="1"/>
  <c r="T626" i="1"/>
  <c r="V626" i="1"/>
  <c r="Y626" i="1"/>
  <c r="W626" i="1"/>
  <c r="Y562" i="1"/>
  <c r="Z562" i="1"/>
  <c r="U562" i="1"/>
  <c r="V562" i="1"/>
  <c r="T562" i="1"/>
  <c r="W562" i="1"/>
  <c r="W498" i="1"/>
  <c r="Y498" i="1"/>
  <c r="T498" i="1"/>
  <c r="U498" i="1"/>
  <c r="V498" i="1"/>
  <c r="Z498" i="1"/>
  <c r="T434" i="1"/>
  <c r="U434" i="1"/>
  <c r="V434" i="1"/>
  <c r="W434" i="1"/>
  <c r="Y434" i="1"/>
  <c r="Z434" i="1"/>
  <c r="T456" i="1"/>
  <c r="U456" i="1"/>
  <c r="V456" i="1"/>
  <c r="W456" i="1"/>
  <c r="Y456" i="1"/>
  <c r="Z456" i="1"/>
  <c r="W526" i="1"/>
  <c r="Y526" i="1"/>
  <c r="T526" i="1"/>
  <c r="U526" i="1"/>
  <c r="V526" i="1"/>
  <c r="Z526" i="1"/>
  <c r="Z661" i="1"/>
  <c r="U661" i="1"/>
  <c r="T661" i="1"/>
  <c r="Y661" i="1"/>
  <c r="V661" i="1"/>
  <c r="W661" i="1"/>
  <c r="Z649" i="1"/>
  <c r="U649" i="1"/>
  <c r="Y649" i="1"/>
  <c r="T649" i="1"/>
  <c r="V649" i="1"/>
  <c r="W649" i="1"/>
  <c r="W505" i="1"/>
  <c r="Y505" i="1"/>
  <c r="T505" i="1"/>
  <c r="Z505" i="1"/>
  <c r="U505" i="1"/>
  <c r="V505" i="1"/>
  <c r="T425" i="1"/>
  <c r="U425" i="1"/>
  <c r="V425" i="1"/>
  <c r="W425" i="1"/>
  <c r="Y425" i="1"/>
  <c r="Z425" i="1"/>
  <c r="Z657" i="1"/>
  <c r="Y657" i="1"/>
  <c r="U657" i="1"/>
  <c r="T657" i="1"/>
  <c r="V657" i="1"/>
  <c r="W657" i="1"/>
  <c r="W481" i="1"/>
  <c r="Y481" i="1"/>
  <c r="T481" i="1"/>
  <c r="Z481" i="1"/>
  <c r="U481" i="1"/>
  <c r="V481" i="1"/>
  <c r="Z616" i="1"/>
  <c r="U616" i="1"/>
  <c r="T616" i="1"/>
  <c r="V616" i="1"/>
  <c r="Y616" i="1"/>
  <c r="W616" i="1"/>
  <c r="W552" i="1"/>
  <c r="Y552" i="1"/>
  <c r="T552" i="1"/>
  <c r="V552" i="1"/>
  <c r="Z552" i="1"/>
  <c r="U552" i="1"/>
  <c r="W488" i="1"/>
  <c r="Y488" i="1"/>
  <c r="T488" i="1"/>
  <c r="V488" i="1"/>
  <c r="Z488" i="1"/>
  <c r="U488" i="1"/>
  <c r="T424" i="1"/>
  <c r="U424" i="1"/>
  <c r="V424" i="1"/>
  <c r="W424" i="1"/>
  <c r="Y424" i="1"/>
  <c r="Z424" i="1"/>
  <c r="Y615" i="1"/>
  <c r="Z615" i="1"/>
  <c r="T615" i="1"/>
  <c r="U615" i="1"/>
  <c r="V615" i="1"/>
  <c r="W615" i="1"/>
  <c r="W551" i="1"/>
  <c r="Y551" i="1"/>
  <c r="T551" i="1"/>
  <c r="U551" i="1"/>
  <c r="V551" i="1"/>
  <c r="Z551" i="1"/>
  <c r="W487" i="1"/>
  <c r="Y487" i="1"/>
  <c r="T487" i="1"/>
  <c r="U487" i="1"/>
  <c r="V487" i="1"/>
  <c r="Z487" i="1"/>
  <c r="T423" i="1"/>
  <c r="U423" i="1"/>
  <c r="V423" i="1"/>
  <c r="W423" i="1"/>
  <c r="Y423" i="1"/>
  <c r="Z423" i="1"/>
  <c r="Y622" i="1"/>
  <c r="Z622" i="1"/>
  <c r="U622" i="1"/>
  <c r="T622" i="1"/>
  <c r="V622" i="1"/>
  <c r="W622" i="1"/>
  <c r="Y558" i="1"/>
  <c r="Z558" i="1"/>
  <c r="U558" i="1"/>
  <c r="V558" i="1"/>
  <c r="T558" i="1"/>
  <c r="W558" i="1"/>
  <c r="W494" i="1"/>
  <c r="Y494" i="1"/>
  <c r="T494" i="1"/>
  <c r="U494" i="1"/>
  <c r="V494" i="1"/>
  <c r="Z494" i="1"/>
  <c r="T430" i="1"/>
  <c r="U430" i="1"/>
  <c r="V430" i="1"/>
  <c r="W430" i="1"/>
  <c r="Y430" i="1"/>
  <c r="Z430" i="1"/>
  <c r="Z629" i="1"/>
  <c r="U629" i="1"/>
  <c r="Y629" i="1"/>
  <c r="T629" i="1"/>
  <c r="V629" i="1"/>
  <c r="W629" i="1"/>
  <c r="Y565" i="1"/>
  <c r="Z565" i="1"/>
  <c r="U565" i="1"/>
  <c r="V565" i="1"/>
  <c r="T565" i="1"/>
  <c r="W565" i="1"/>
  <c r="W501" i="1"/>
  <c r="Y501" i="1"/>
  <c r="T501" i="1"/>
  <c r="U501" i="1"/>
  <c r="Z501" i="1"/>
  <c r="V501" i="1"/>
  <c r="T437" i="1"/>
  <c r="U437" i="1"/>
  <c r="V437" i="1"/>
  <c r="W437" i="1"/>
  <c r="Y437" i="1"/>
  <c r="Z437" i="1"/>
  <c r="Y604" i="1"/>
  <c r="Z604" i="1"/>
  <c r="U604" i="1"/>
  <c r="V604" i="1"/>
  <c r="T604" i="1"/>
  <c r="W604" i="1"/>
  <c r="W540" i="1"/>
  <c r="Y540" i="1"/>
  <c r="T540" i="1"/>
  <c r="V540" i="1"/>
  <c r="Z540" i="1"/>
  <c r="U540" i="1"/>
  <c r="T476" i="1"/>
  <c r="U476" i="1"/>
  <c r="V476" i="1"/>
  <c r="W476" i="1"/>
  <c r="Y476" i="1"/>
  <c r="Z476" i="1"/>
  <c r="T412" i="1"/>
  <c r="U412" i="1"/>
  <c r="V412" i="1"/>
  <c r="W412" i="1"/>
  <c r="Y412" i="1"/>
  <c r="Z412" i="1"/>
  <c r="Y611" i="1"/>
  <c r="Z611" i="1"/>
  <c r="U611" i="1"/>
  <c r="T611" i="1"/>
  <c r="V611" i="1"/>
  <c r="W611" i="1"/>
  <c r="W547" i="1"/>
  <c r="Y547" i="1"/>
  <c r="T547" i="1"/>
  <c r="U547" i="1"/>
  <c r="V547" i="1"/>
  <c r="Z547" i="1"/>
  <c r="W483" i="1"/>
  <c r="Y483" i="1"/>
  <c r="T483" i="1"/>
  <c r="U483" i="1"/>
  <c r="V483" i="1"/>
  <c r="Z483" i="1"/>
  <c r="T419" i="1"/>
  <c r="U419" i="1"/>
  <c r="V419" i="1"/>
  <c r="W419" i="1"/>
  <c r="Y419" i="1"/>
  <c r="Z419" i="1"/>
  <c r="Y618" i="1"/>
  <c r="Z618" i="1"/>
  <c r="U618" i="1"/>
  <c r="T618" i="1"/>
  <c r="V618" i="1"/>
  <c r="W618" i="1"/>
  <c r="W554" i="1"/>
  <c r="Y554" i="1"/>
  <c r="T554" i="1"/>
  <c r="U554" i="1"/>
  <c r="V554" i="1"/>
  <c r="Z554" i="1"/>
  <c r="W490" i="1"/>
  <c r="Y490" i="1"/>
  <c r="T490" i="1"/>
  <c r="U490" i="1"/>
  <c r="V490" i="1"/>
  <c r="Z490" i="1"/>
  <c r="T426" i="1"/>
  <c r="U426" i="1"/>
  <c r="V426" i="1"/>
  <c r="W426" i="1"/>
  <c r="Y426" i="1"/>
  <c r="Z426" i="1"/>
  <c r="T465" i="1"/>
  <c r="U465" i="1"/>
  <c r="V465" i="1"/>
  <c r="W465" i="1"/>
  <c r="Y465" i="1"/>
  <c r="Z465" i="1"/>
  <c r="Y584" i="1"/>
  <c r="Z584" i="1"/>
  <c r="U584" i="1"/>
  <c r="V584" i="1"/>
  <c r="W584" i="1"/>
  <c r="T584" i="1"/>
  <c r="Z654" i="1"/>
  <c r="U654" i="1"/>
  <c r="T654" i="1"/>
  <c r="V654" i="1"/>
  <c r="W654" i="1"/>
  <c r="Y654" i="1"/>
  <c r="Y585" i="1"/>
  <c r="Z585" i="1"/>
  <c r="U585" i="1"/>
  <c r="V585" i="1"/>
  <c r="T585" i="1"/>
  <c r="W585" i="1"/>
  <c r="Z633" i="1"/>
  <c r="U633" i="1"/>
  <c r="T633" i="1"/>
  <c r="V633" i="1"/>
  <c r="Y633" i="1"/>
  <c r="W633" i="1"/>
  <c r="Z641" i="1"/>
  <c r="U641" i="1"/>
  <c r="T641" i="1"/>
  <c r="V641" i="1"/>
  <c r="W641" i="1"/>
  <c r="Y641" i="1"/>
  <c r="T417" i="1"/>
  <c r="U417" i="1"/>
  <c r="V417" i="1"/>
  <c r="W417" i="1"/>
  <c r="Y417" i="1"/>
  <c r="Z417" i="1"/>
  <c r="Y608" i="1"/>
  <c r="Z608" i="1"/>
  <c r="U608" i="1"/>
  <c r="T608" i="1"/>
  <c r="V608" i="1"/>
  <c r="W608" i="1"/>
  <c r="W544" i="1"/>
  <c r="Y544" i="1"/>
  <c r="T544" i="1"/>
  <c r="V544" i="1"/>
  <c r="Z544" i="1"/>
  <c r="U544" i="1"/>
  <c r="T480" i="1"/>
  <c r="U480" i="1"/>
  <c r="V480" i="1"/>
  <c r="W480" i="1"/>
  <c r="Y480" i="1"/>
  <c r="Z480" i="1"/>
  <c r="T416" i="1"/>
  <c r="U416" i="1"/>
  <c r="V416" i="1"/>
  <c r="W416" i="1"/>
  <c r="Y416" i="1"/>
  <c r="Z416" i="1"/>
  <c r="Y607" i="1"/>
  <c r="Z607" i="1"/>
  <c r="U607" i="1"/>
  <c r="V607" i="1"/>
  <c r="W607" i="1"/>
  <c r="T607" i="1"/>
  <c r="W543" i="1"/>
  <c r="Y543" i="1"/>
  <c r="T543" i="1"/>
  <c r="U543" i="1"/>
  <c r="V543" i="1"/>
  <c r="Z543" i="1"/>
  <c r="T479" i="1"/>
  <c r="U479" i="1"/>
  <c r="V479" i="1"/>
  <c r="W479" i="1"/>
  <c r="Y479" i="1"/>
  <c r="Z479" i="1"/>
  <c r="T415" i="1"/>
  <c r="U415" i="1"/>
  <c r="V415" i="1"/>
  <c r="W415" i="1"/>
  <c r="Y415" i="1"/>
  <c r="Z415" i="1"/>
  <c r="Z614" i="1"/>
  <c r="U614" i="1"/>
  <c r="T614" i="1"/>
  <c r="Y614" i="1"/>
  <c r="V614" i="1"/>
  <c r="W614" i="1"/>
  <c r="W550" i="1"/>
  <c r="Y550" i="1"/>
  <c r="T550" i="1"/>
  <c r="U550" i="1"/>
  <c r="Z550" i="1"/>
  <c r="V550" i="1"/>
  <c r="W486" i="1"/>
  <c r="Y486" i="1"/>
  <c r="T486" i="1"/>
  <c r="U486" i="1"/>
  <c r="Z486" i="1"/>
  <c r="V486" i="1"/>
  <c r="T422" i="1"/>
  <c r="U422" i="1"/>
  <c r="V422" i="1"/>
  <c r="W422" i="1"/>
  <c r="Y422" i="1"/>
  <c r="Z422" i="1"/>
  <c r="Z621" i="1"/>
  <c r="U621" i="1"/>
  <c r="T621" i="1"/>
  <c r="Y621" i="1"/>
  <c r="V621" i="1"/>
  <c r="W621" i="1"/>
  <c r="Y557" i="1"/>
  <c r="Z557" i="1"/>
  <c r="U557" i="1"/>
  <c r="V557" i="1"/>
  <c r="T557" i="1"/>
  <c r="W557" i="1"/>
  <c r="W493" i="1"/>
  <c r="Y493" i="1"/>
  <c r="T493" i="1"/>
  <c r="U493" i="1"/>
  <c r="Z493" i="1"/>
  <c r="V493" i="1"/>
  <c r="T429" i="1"/>
  <c r="U429" i="1"/>
  <c r="V429" i="1"/>
  <c r="W429" i="1"/>
  <c r="Y429" i="1"/>
  <c r="Z429" i="1"/>
  <c r="Z660" i="1"/>
  <c r="U660" i="1"/>
  <c r="T660" i="1"/>
  <c r="V660" i="1"/>
  <c r="W660" i="1"/>
  <c r="Y660" i="1"/>
  <c r="Y596" i="1"/>
  <c r="Z596" i="1"/>
  <c r="U596" i="1"/>
  <c r="V596" i="1"/>
  <c r="W596" i="1"/>
  <c r="T596" i="1"/>
  <c r="W532" i="1"/>
  <c r="Y532" i="1"/>
  <c r="T532" i="1"/>
  <c r="V532" i="1"/>
  <c r="Z532" i="1"/>
  <c r="U532" i="1"/>
  <c r="T468" i="1"/>
  <c r="U468" i="1"/>
  <c r="V468" i="1"/>
  <c r="W468" i="1"/>
  <c r="Y468" i="1"/>
  <c r="Z468" i="1"/>
  <c r="T404" i="1"/>
  <c r="U404" i="1"/>
  <c r="V404" i="1"/>
  <c r="W404" i="1"/>
  <c r="Y404" i="1"/>
  <c r="Z404" i="1"/>
  <c r="Y603" i="1"/>
  <c r="Z603" i="1"/>
  <c r="U603" i="1"/>
  <c r="V603" i="1"/>
  <c r="T603" i="1"/>
  <c r="W603" i="1"/>
  <c r="W539" i="1"/>
  <c r="Y539" i="1"/>
  <c r="T539" i="1"/>
  <c r="U539" i="1"/>
  <c r="V539" i="1"/>
  <c r="Z539" i="1"/>
  <c r="T475" i="1"/>
  <c r="U475" i="1"/>
  <c r="V475" i="1"/>
  <c r="W475" i="1"/>
  <c r="Y475" i="1"/>
  <c r="Z475" i="1"/>
  <c r="T411" i="1"/>
  <c r="U411" i="1"/>
  <c r="V411" i="1"/>
  <c r="W411" i="1"/>
  <c r="Y411" i="1"/>
  <c r="Z411" i="1"/>
  <c r="Y610" i="1"/>
  <c r="Z610" i="1"/>
  <c r="U610" i="1"/>
  <c r="W610" i="1"/>
  <c r="V610" i="1"/>
  <c r="T610" i="1"/>
  <c r="W546" i="1"/>
  <c r="Y546" i="1"/>
  <c r="T546" i="1"/>
  <c r="U546" i="1"/>
  <c r="V546" i="1"/>
  <c r="Z546" i="1"/>
  <c r="W482" i="1"/>
  <c r="Y482" i="1"/>
  <c r="T482" i="1"/>
  <c r="U482" i="1"/>
  <c r="V482" i="1"/>
  <c r="Z482" i="1"/>
  <c r="T418" i="1"/>
  <c r="U418" i="1"/>
  <c r="V418" i="1"/>
  <c r="W418" i="1"/>
  <c r="Y418" i="1"/>
  <c r="Z418" i="1"/>
  <c r="Y561" i="1"/>
  <c r="Z561" i="1"/>
  <c r="U561" i="1"/>
  <c r="V561" i="1"/>
  <c r="T561" i="1"/>
  <c r="W561" i="1"/>
  <c r="Y590" i="1"/>
  <c r="Z590" i="1"/>
  <c r="U590" i="1"/>
  <c r="V590" i="1"/>
  <c r="T590" i="1"/>
  <c r="W590" i="1"/>
  <c r="Y597" i="1"/>
  <c r="Z597" i="1"/>
  <c r="U597" i="1"/>
  <c r="V597" i="1"/>
  <c r="W597" i="1"/>
  <c r="T597" i="1"/>
  <c r="W521" i="1"/>
  <c r="Y521" i="1"/>
  <c r="T521" i="1"/>
  <c r="Z521" i="1"/>
  <c r="U521" i="1"/>
  <c r="V521" i="1"/>
  <c r="Y601" i="1"/>
  <c r="Z601" i="1"/>
  <c r="U601" i="1"/>
  <c r="V601" i="1"/>
  <c r="T601" i="1"/>
  <c r="W601" i="1"/>
  <c r="T441" i="1"/>
  <c r="U441" i="1"/>
  <c r="V441" i="1"/>
  <c r="W441" i="1"/>
  <c r="Y441" i="1"/>
  <c r="Z441" i="1"/>
  <c r="W513" i="1"/>
  <c r="Y513" i="1"/>
  <c r="T513" i="1"/>
  <c r="Z513" i="1"/>
  <c r="U513" i="1"/>
  <c r="V513" i="1"/>
  <c r="Y600" i="1"/>
  <c r="Z600" i="1"/>
  <c r="U600" i="1"/>
  <c r="V600" i="1"/>
  <c r="W600" i="1"/>
  <c r="T600" i="1"/>
  <c r="W536" i="1"/>
  <c r="Y536" i="1"/>
  <c r="T536" i="1"/>
  <c r="V536" i="1"/>
  <c r="Z536" i="1"/>
  <c r="U536" i="1"/>
  <c r="T472" i="1"/>
  <c r="U472" i="1"/>
  <c r="V472" i="1"/>
  <c r="W472" i="1"/>
  <c r="Y472" i="1"/>
  <c r="Z472" i="1"/>
  <c r="T408" i="1"/>
  <c r="U408" i="1"/>
  <c r="V408" i="1"/>
  <c r="W408" i="1"/>
  <c r="Y408" i="1"/>
  <c r="Z408" i="1"/>
  <c r="Y599" i="1"/>
  <c r="Z599" i="1"/>
  <c r="U599" i="1"/>
  <c r="V599" i="1"/>
  <c r="T599" i="1"/>
  <c r="W599" i="1"/>
  <c r="W535" i="1"/>
  <c r="Y535" i="1"/>
  <c r="T535" i="1"/>
  <c r="U535" i="1"/>
  <c r="V535" i="1"/>
  <c r="Z535" i="1"/>
  <c r="T471" i="1"/>
  <c r="U471" i="1"/>
  <c r="V471" i="1"/>
  <c r="W471" i="1"/>
  <c r="Y471" i="1"/>
  <c r="Z471" i="1"/>
  <c r="T407" i="1"/>
  <c r="U407" i="1"/>
  <c r="V407" i="1"/>
  <c r="W407" i="1"/>
  <c r="Y407" i="1"/>
  <c r="Z407" i="1"/>
  <c r="Y606" i="1"/>
  <c r="Z606" i="1"/>
  <c r="U606" i="1"/>
  <c r="T606" i="1"/>
  <c r="W606" i="1"/>
  <c r="V606" i="1"/>
  <c r="W542" i="1"/>
  <c r="Y542" i="1"/>
  <c r="T542" i="1"/>
  <c r="U542" i="1"/>
  <c r="V542" i="1"/>
  <c r="Z542" i="1"/>
  <c r="T478" i="1"/>
  <c r="U478" i="1"/>
  <c r="V478" i="1"/>
  <c r="W478" i="1"/>
  <c r="Y478" i="1"/>
  <c r="Z478" i="1"/>
  <c r="T414" i="1"/>
  <c r="U414" i="1"/>
  <c r="V414" i="1"/>
  <c r="W414" i="1"/>
  <c r="Y414" i="1"/>
  <c r="Z414" i="1"/>
  <c r="Z613" i="1"/>
  <c r="U613" i="1"/>
  <c r="Y613" i="1"/>
  <c r="T613" i="1"/>
  <c r="V613" i="1"/>
  <c r="W613" i="1"/>
  <c r="W549" i="1"/>
  <c r="Y549" i="1"/>
  <c r="T549" i="1"/>
  <c r="U549" i="1"/>
  <c r="Z549" i="1"/>
  <c r="V549" i="1"/>
  <c r="W485" i="1"/>
  <c r="Y485" i="1"/>
  <c r="T485" i="1"/>
  <c r="U485" i="1"/>
  <c r="Z485" i="1"/>
  <c r="V485" i="1"/>
  <c r="T421" i="1"/>
  <c r="U421" i="1"/>
  <c r="V421" i="1"/>
  <c r="W421" i="1"/>
  <c r="Y421" i="1"/>
  <c r="Z421" i="1"/>
  <c r="Z652" i="1"/>
  <c r="T652" i="1"/>
  <c r="U652" i="1"/>
  <c r="Y652" i="1"/>
  <c r="V652" i="1"/>
  <c r="W652" i="1"/>
  <c r="Y588" i="1"/>
  <c r="Z588" i="1"/>
  <c r="U588" i="1"/>
  <c r="V588" i="1"/>
  <c r="W588" i="1"/>
  <c r="T588" i="1"/>
  <c r="W524" i="1"/>
  <c r="Y524" i="1"/>
  <c r="T524" i="1"/>
  <c r="V524" i="1"/>
  <c r="Z524" i="1"/>
  <c r="U524" i="1"/>
  <c r="T460" i="1"/>
  <c r="U460" i="1"/>
  <c r="V460" i="1"/>
  <c r="W460" i="1"/>
  <c r="Y460" i="1"/>
  <c r="Z460" i="1"/>
  <c r="T396" i="1"/>
  <c r="U396" i="1"/>
  <c r="V396" i="1"/>
  <c r="W396" i="1"/>
  <c r="Y396" i="1"/>
  <c r="Z396" i="1"/>
  <c r="Z659" i="1"/>
  <c r="U659" i="1"/>
  <c r="T659" i="1"/>
  <c r="V659" i="1"/>
  <c r="Y659" i="1"/>
  <c r="W659" i="1"/>
  <c r="Y595" i="1"/>
  <c r="Z595" i="1"/>
  <c r="U595" i="1"/>
  <c r="V595" i="1"/>
  <c r="T595" i="1"/>
  <c r="W595" i="1"/>
  <c r="W531" i="1"/>
  <c r="Y531" i="1"/>
  <c r="T531" i="1"/>
  <c r="U531" i="1"/>
  <c r="V531" i="1"/>
  <c r="Z531" i="1"/>
  <c r="T467" i="1"/>
  <c r="U467" i="1"/>
  <c r="V467" i="1"/>
  <c r="W467" i="1"/>
  <c r="Y467" i="1"/>
  <c r="Z467" i="1"/>
  <c r="T403" i="1"/>
  <c r="U403" i="1"/>
  <c r="V403" i="1"/>
  <c r="W403" i="1"/>
  <c r="Y403" i="1"/>
  <c r="Z403" i="1"/>
  <c r="Y602" i="1"/>
  <c r="Z602" i="1"/>
  <c r="U602" i="1"/>
  <c r="V602" i="1"/>
  <c r="T602" i="1"/>
  <c r="W602" i="1"/>
  <c r="W538" i="1"/>
  <c r="Y538" i="1"/>
  <c r="T538" i="1"/>
  <c r="U538" i="1"/>
  <c r="V538" i="1"/>
  <c r="Z538" i="1"/>
  <c r="T474" i="1"/>
  <c r="U474" i="1"/>
  <c r="V474" i="1"/>
  <c r="W474" i="1"/>
  <c r="Y474" i="1"/>
  <c r="Z474" i="1"/>
  <c r="T410" i="1"/>
  <c r="U410" i="1"/>
  <c r="V410" i="1"/>
  <c r="W410" i="1"/>
  <c r="Y410" i="1"/>
  <c r="Z410" i="1"/>
  <c r="Y569" i="1"/>
  <c r="Z569" i="1"/>
  <c r="U569" i="1"/>
  <c r="V569" i="1"/>
  <c r="T569" i="1"/>
  <c r="W569" i="1"/>
  <c r="Z647" i="1"/>
  <c r="Y647" i="1"/>
  <c r="T647" i="1"/>
  <c r="U647" i="1"/>
  <c r="V647" i="1"/>
  <c r="W647" i="1"/>
  <c r="T458" i="1"/>
  <c r="U458" i="1"/>
  <c r="V458" i="1"/>
  <c r="W458" i="1"/>
  <c r="Y458" i="1"/>
  <c r="Z458" i="1"/>
  <c r="W537" i="1"/>
  <c r="Y537" i="1"/>
  <c r="T537" i="1"/>
  <c r="Z537" i="1"/>
  <c r="U537" i="1"/>
  <c r="V537" i="1"/>
  <c r="T457" i="1"/>
  <c r="U457" i="1"/>
  <c r="V457" i="1"/>
  <c r="W457" i="1"/>
  <c r="Y457" i="1"/>
  <c r="Z457" i="1"/>
  <c r="Z625" i="1"/>
  <c r="U625" i="1"/>
  <c r="T625" i="1"/>
  <c r="V625" i="1"/>
  <c r="W625" i="1"/>
  <c r="Y625" i="1"/>
  <c r="Z656" i="1"/>
  <c r="U656" i="1"/>
  <c r="Y656" i="1"/>
  <c r="T656" i="1"/>
  <c r="V656" i="1"/>
  <c r="W656" i="1"/>
  <c r="Y592" i="1"/>
  <c r="Z592" i="1"/>
  <c r="U592" i="1"/>
  <c r="V592" i="1"/>
  <c r="W592" i="1"/>
  <c r="T592" i="1"/>
  <c r="W528" i="1"/>
  <c r="Y528" i="1"/>
  <c r="T528" i="1"/>
  <c r="V528" i="1"/>
  <c r="Z528" i="1"/>
  <c r="U528" i="1"/>
  <c r="T464" i="1"/>
  <c r="U464" i="1"/>
  <c r="V464" i="1"/>
  <c r="W464" i="1"/>
  <c r="Y464" i="1"/>
  <c r="Z464" i="1"/>
  <c r="T400" i="1"/>
  <c r="U400" i="1"/>
  <c r="V400" i="1"/>
  <c r="W400" i="1"/>
  <c r="Y400" i="1"/>
  <c r="Z400" i="1"/>
  <c r="Z655" i="1"/>
  <c r="T655" i="1"/>
  <c r="U655" i="1"/>
  <c r="V655" i="1"/>
  <c r="Y655" i="1"/>
  <c r="W655" i="1"/>
  <c r="Y591" i="1"/>
  <c r="Z591" i="1"/>
  <c r="U591" i="1"/>
  <c r="V591" i="1"/>
  <c r="T591" i="1"/>
  <c r="W591" i="1"/>
  <c r="W527" i="1"/>
  <c r="Y527" i="1"/>
  <c r="T527" i="1"/>
  <c r="U527" i="1"/>
  <c r="V527" i="1"/>
  <c r="Z527" i="1"/>
  <c r="T463" i="1"/>
  <c r="U463" i="1"/>
  <c r="V463" i="1"/>
  <c r="W463" i="1"/>
  <c r="Y463" i="1"/>
  <c r="Z463" i="1"/>
  <c r="T399" i="1"/>
  <c r="U399" i="1"/>
  <c r="V399" i="1"/>
  <c r="W399" i="1"/>
  <c r="Y399" i="1"/>
  <c r="Z399" i="1"/>
  <c r="Y662" i="1"/>
  <c r="Z662" i="1"/>
  <c r="U662" i="1"/>
  <c r="T662" i="1"/>
  <c r="V662" i="1"/>
  <c r="W662" i="1"/>
  <c r="Y598" i="1"/>
  <c r="Z598" i="1"/>
  <c r="U598" i="1"/>
  <c r="V598" i="1"/>
  <c r="T598" i="1"/>
  <c r="W598" i="1"/>
  <c r="W534" i="1"/>
  <c r="Y534" i="1"/>
  <c r="T534" i="1"/>
  <c r="U534" i="1"/>
  <c r="V534" i="1"/>
  <c r="Z534" i="1"/>
  <c r="T470" i="1"/>
  <c r="U470" i="1"/>
  <c r="V470" i="1"/>
  <c r="W470" i="1"/>
  <c r="Y470" i="1"/>
  <c r="Z470" i="1"/>
  <c r="T406" i="1"/>
  <c r="U406" i="1"/>
  <c r="V406" i="1"/>
  <c r="W406" i="1"/>
  <c r="Y406" i="1"/>
  <c r="Z406" i="1"/>
  <c r="Y605" i="1"/>
  <c r="Z605" i="1"/>
  <c r="U605" i="1"/>
  <c r="V605" i="1"/>
  <c r="T605" i="1"/>
  <c r="W605" i="1"/>
  <c r="W541" i="1"/>
  <c r="Y541" i="1"/>
  <c r="T541" i="1"/>
  <c r="U541" i="1"/>
  <c r="Z541" i="1"/>
  <c r="V541" i="1"/>
  <c r="T477" i="1"/>
  <c r="U477" i="1"/>
  <c r="V477" i="1"/>
  <c r="W477" i="1"/>
  <c r="Y477" i="1"/>
  <c r="Z477" i="1"/>
  <c r="T413" i="1"/>
  <c r="U413" i="1"/>
  <c r="V413" i="1"/>
  <c r="W413" i="1"/>
  <c r="Y413" i="1"/>
  <c r="Z413" i="1"/>
  <c r="Y644" i="1"/>
  <c r="Z644" i="1"/>
  <c r="T644" i="1"/>
  <c r="U644" i="1"/>
  <c r="V644" i="1"/>
  <c r="W644" i="1"/>
  <c r="Y580" i="1"/>
  <c r="Z580" i="1"/>
  <c r="U580" i="1"/>
  <c r="V580" i="1"/>
  <c r="T580" i="1"/>
  <c r="W580" i="1"/>
  <c r="W516" i="1"/>
  <c r="Y516" i="1"/>
  <c r="T516" i="1"/>
  <c r="V516" i="1"/>
  <c r="Z516" i="1"/>
  <c r="U516" i="1"/>
  <c r="T452" i="1"/>
  <c r="U452" i="1"/>
  <c r="V452" i="1"/>
  <c r="W452" i="1"/>
  <c r="Y452" i="1"/>
  <c r="Z452" i="1"/>
  <c r="Z651" i="1"/>
  <c r="U651" i="1"/>
  <c r="T651" i="1"/>
  <c r="V651" i="1"/>
  <c r="Y651" i="1"/>
  <c r="W651" i="1"/>
  <c r="Y587" i="1"/>
  <c r="Z587" i="1"/>
  <c r="U587" i="1"/>
  <c r="V587" i="1"/>
  <c r="T587" i="1"/>
  <c r="W587" i="1"/>
  <c r="W523" i="1"/>
  <c r="Y523" i="1"/>
  <c r="T523" i="1"/>
  <c r="U523" i="1"/>
  <c r="V523" i="1"/>
  <c r="Z523" i="1"/>
  <c r="T459" i="1"/>
  <c r="U459" i="1"/>
  <c r="V459" i="1"/>
  <c r="W459" i="1"/>
  <c r="Y459" i="1"/>
  <c r="Z459" i="1"/>
  <c r="Z658" i="1"/>
  <c r="T658" i="1"/>
  <c r="U658" i="1"/>
  <c r="Y658" i="1"/>
  <c r="V658" i="1"/>
  <c r="W658" i="1"/>
  <c r="Y594" i="1"/>
  <c r="Z594" i="1"/>
  <c r="U594" i="1"/>
  <c r="V594" i="1"/>
  <c r="T594" i="1"/>
  <c r="W594" i="1"/>
  <c r="W530" i="1"/>
  <c r="Y530" i="1"/>
  <c r="T530" i="1"/>
  <c r="U530" i="1"/>
  <c r="V530" i="1"/>
  <c r="Z530" i="1"/>
  <c r="T466" i="1"/>
  <c r="U466" i="1"/>
  <c r="V466" i="1"/>
  <c r="W466" i="1"/>
  <c r="Y466" i="1"/>
  <c r="Z466" i="1"/>
  <c r="T402" i="1"/>
  <c r="U402" i="1"/>
  <c r="V402" i="1"/>
  <c r="W402" i="1"/>
  <c r="Y402" i="1"/>
  <c r="Z402" i="1"/>
  <c r="F38" i="1"/>
  <c r="H38" i="1" s="1"/>
  <c r="AC589" i="1"/>
  <c r="AD589" i="1"/>
  <c r="AE589" i="1"/>
  <c r="AC625" i="1"/>
  <c r="AD625" i="1"/>
  <c r="AE625" i="1"/>
  <c r="AC453" i="1"/>
  <c r="AD453" i="1"/>
  <c r="AE453" i="1"/>
  <c r="AC417" i="1"/>
  <c r="AD417" i="1"/>
  <c r="AE417" i="1"/>
  <c r="AC441" i="1"/>
  <c r="AD441" i="1"/>
  <c r="AE441" i="1"/>
  <c r="AC632" i="1"/>
  <c r="AD632" i="1"/>
  <c r="AE632" i="1"/>
  <c r="AC568" i="1"/>
  <c r="AD568" i="1"/>
  <c r="AE568" i="1"/>
  <c r="AC504" i="1"/>
  <c r="AD504" i="1"/>
  <c r="AE504" i="1"/>
  <c r="AC440" i="1"/>
  <c r="AD440" i="1"/>
  <c r="AE440" i="1"/>
  <c r="AC639" i="1"/>
  <c r="AD639" i="1"/>
  <c r="AE639" i="1"/>
  <c r="AC575" i="1"/>
  <c r="AD575" i="1"/>
  <c r="AE575" i="1"/>
  <c r="AC511" i="1"/>
  <c r="AD511" i="1"/>
  <c r="AE511" i="1"/>
  <c r="AC447" i="1"/>
  <c r="AD447" i="1"/>
  <c r="AE447" i="1"/>
  <c r="AC654" i="1"/>
  <c r="AD654" i="1"/>
  <c r="AE654" i="1"/>
  <c r="AC590" i="1"/>
  <c r="AD590" i="1"/>
  <c r="AE590" i="1"/>
  <c r="AC526" i="1"/>
  <c r="AD526" i="1"/>
  <c r="AE526" i="1"/>
  <c r="AC462" i="1"/>
  <c r="AD462" i="1"/>
  <c r="AE462" i="1"/>
  <c r="AC398" i="1"/>
  <c r="AD398" i="1"/>
  <c r="AE398" i="1"/>
  <c r="AC628" i="1"/>
  <c r="AD628" i="1"/>
  <c r="AE628" i="1"/>
  <c r="AC564" i="1"/>
  <c r="AD564" i="1"/>
  <c r="AE564" i="1"/>
  <c r="AC500" i="1"/>
  <c r="AD500" i="1"/>
  <c r="AE500" i="1"/>
  <c r="AC436" i="1"/>
  <c r="AD436" i="1"/>
  <c r="AE436" i="1"/>
  <c r="AC635" i="1"/>
  <c r="AD635" i="1"/>
  <c r="AE635" i="1"/>
  <c r="AC571" i="1"/>
  <c r="AD571" i="1"/>
  <c r="AE571" i="1"/>
  <c r="AC507" i="1"/>
  <c r="AD507" i="1"/>
  <c r="AE507" i="1"/>
  <c r="AC443" i="1"/>
  <c r="AD443" i="1"/>
  <c r="AE443" i="1"/>
  <c r="AC650" i="1"/>
  <c r="AD650" i="1"/>
  <c r="AE650" i="1"/>
  <c r="AC586" i="1"/>
  <c r="AD586" i="1"/>
  <c r="AE586" i="1"/>
  <c r="AC522" i="1"/>
  <c r="AD522" i="1"/>
  <c r="AE522" i="1"/>
  <c r="AC458" i="1"/>
  <c r="AD458" i="1"/>
  <c r="AE458" i="1"/>
  <c r="AC557" i="1"/>
  <c r="AD557" i="1"/>
  <c r="AE557" i="1"/>
  <c r="AC629" i="1"/>
  <c r="AD629" i="1"/>
  <c r="AE629" i="1"/>
  <c r="AC593" i="1"/>
  <c r="AD593" i="1"/>
  <c r="AE593" i="1"/>
  <c r="AC649" i="1"/>
  <c r="AD649" i="1"/>
  <c r="AE649" i="1"/>
  <c r="AC413" i="1"/>
  <c r="AD413" i="1"/>
  <c r="AE413" i="1"/>
  <c r="AC409" i="1"/>
  <c r="AD409" i="1"/>
  <c r="AE409" i="1"/>
  <c r="AC624" i="1"/>
  <c r="AD624" i="1"/>
  <c r="AE624" i="1"/>
  <c r="AC560" i="1"/>
  <c r="AD560" i="1"/>
  <c r="AE560" i="1"/>
  <c r="AC496" i="1"/>
  <c r="AD496" i="1"/>
  <c r="AE496" i="1"/>
  <c r="AC432" i="1"/>
  <c r="AD432" i="1"/>
  <c r="AE432" i="1"/>
  <c r="AC631" i="1"/>
  <c r="AD631" i="1"/>
  <c r="AE631" i="1"/>
  <c r="AC567" i="1"/>
  <c r="AD567" i="1"/>
  <c r="AE567" i="1"/>
  <c r="AC503" i="1"/>
  <c r="AD503" i="1"/>
  <c r="AE503" i="1"/>
  <c r="AC439" i="1"/>
  <c r="AD439" i="1"/>
  <c r="AE439" i="1"/>
  <c r="AC646" i="1"/>
  <c r="AD646" i="1"/>
  <c r="AE646" i="1"/>
  <c r="AC582" i="1"/>
  <c r="AD582" i="1"/>
  <c r="AE582" i="1"/>
  <c r="AC518" i="1"/>
  <c r="AD518" i="1"/>
  <c r="AE518" i="1"/>
  <c r="AC454" i="1"/>
  <c r="AD454" i="1"/>
  <c r="AE454" i="1"/>
  <c r="AC620" i="1"/>
  <c r="AD620" i="1"/>
  <c r="AE620" i="1"/>
  <c r="AC556" i="1"/>
  <c r="AD556" i="1"/>
  <c r="AE556" i="1"/>
  <c r="AC492" i="1"/>
  <c r="AD492" i="1"/>
  <c r="AE492" i="1"/>
  <c r="AC428" i="1"/>
  <c r="AD428" i="1"/>
  <c r="AE428" i="1"/>
  <c r="AC627" i="1"/>
  <c r="AD627" i="1"/>
  <c r="AE627" i="1"/>
  <c r="AC563" i="1"/>
  <c r="AD563" i="1"/>
  <c r="AE563" i="1"/>
  <c r="AC499" i="1"/>
  <c r="AD499" i="1"/>
  <c r="AE499" i="1"/>
  <c r="AC435" i="1"/>
  <c r="AD435" i="1"/>
  <c r="AE435" i="1"/>
  <c r="AC642" i="1"/>
  <c r="AD642" i="1"/>
  <c r="AE642" i="1"/>
  <c r="AC578" i="1"/>
  <c r="AD578" i="1"/>
  <c r="AE578" i="1"/>
  <c r="AC514" i="1"/>
  <c r="AD514" i="1"/>
  <c r="AE514" i="1"/>
  <c r="AC450" i="1"/>
  <c r="AD450" i="1"/>
  <c r="AE450" i="1"/>
  <c r="B29" i="1"/>
  <c r="AC525" i="1"/>
  <c r="AD525" i="1"/>
  <c r="AE525" i="1"/>
  <c r="AC501" i="1"/>
  <c r="AD501" i="1"/>
  <c r="AE501" i="1"/>
  <c r="AC529" i="1"/>
  <c r="AD529" i="1"/>
  <c r="AE529" i="1"/>
  <c r="AC617" i="1"/>
  <c r="AD617" i="1"/>
  <c r="AE617" i="1"/>
  <c r="AC645" i="1"/>
  <c r="AD645" i="1"/>
  <c r="AE645" i="1"/>
  <c r="AC637" i="1"/>
  <c r="AD637" i="1"/>
  <c r="AE637" i="1"/>
  <c r="AC633" i="1"/>
  <c r="AD633" i="1"/>
  <c r="AE633" i="1"/>
  <c r="AC616" i="1"/>
  <c r="AD616" i="1"/>
  <c r="AE616" i="1"/>
  <c r="AC552" i="1"/>
  <c r="AD552" i="1"/>
  <c r="AE552" i="1"/>
  <c r="AC488" i="1"/>
  <c r="AD488" i="1"/>
  <c r="AE488" i="1"/>
  <c r="AC424" i="1"/>
  <c r="AD424" i="1"/>
  <c r="AE424" i="1"/>
  <c r="AC623" i="1"/>
  <c r="AD623" i="1"/>
  <c r="AE623" i="1"/>
  <c r="AC559" i="1"/>
  <c r="AD559" i="1"/>
  <c r="AE559" i="1"/>
  <c r="AC495" i="1"/>
  <c r="AD495" i="1"/>
  <c r="AE495" i="1"/>
  <c r="AC431" i="1"/>
  <c r="AD431" i="1"/>
  <c r="AE431" i="1"/>
  <c r="AC638" i="1"/>
  <c r="AD638" i="1"/>
  <c r="AE638" i="1"/>
  <c r="AC574" i="1"/>
  <c r="AD574" i="1"/>
  <c r="AE574" i="1"/>
  <c r="AC510" i="1"/>
  <c r="AD510" i="1"/>
  <c r="AE510" i="1"/>
  <c r="AC446" i="1"/>
  <c r="AD446" i="1"/>
  <c r="AE446" i="1"/>
  <c r="AC612" i="1"/>
  <c r="AD612" i="1"/>
  <c r="AE612" i="1"/>
  <c r="AC548" i="1"/>
  <c r="AD548" i="1"/>
  <c r="AE548" i="1"/>
  <c r="AC484" i="1"/>
  <c r="AD484" i="1"/>
  <c r="AE484" i="1"/>
  <c r="AC420" i="1"/>
  <c r="AD420" i="1"/>
  <c r="AE420" i="1"/>
  <c r="AC619" i="1"/>
  <c r="AD619" i="1"/>
  <c r="AE619" i="1"/>
  <c r="AC555" i="1"/>
  <c r="AD555" i="1"/>
  <c r="AE555" i="1"/>
  <c r="AC491" i="1"/>
  <c r="AD491" i="1"/>
  <c r="AE491" i="1"/>
  <c r="AC427" i="1"/>
  <c r="AD427" i="1"/>
  <c r="AE427" i="1"/>
  <c r="AC634" i="1"/>
  <c r="AD634" i="1"/>
  <c r="AE634" i="1"/>
  <c r="AC570" i="1"/>
  <c r="AD570" i="1"/>
  <c r="AE570" i="1"/>
  <c r="AC506" i="1"/>
  <c r="AD506" i="1"/>
  <c r="AE506" i="1"/>
  <c r="AC442" i="1"/>
  <c r="AD442" i="1"/>
  <c r="AE442" i="1"/>
  <c r="AC597" i="1"/>
  <c r="AD597" i="1"/>
  <c r="AE597" i="1"/>
  <c r="F39" i="1"/>
  <c r="AC661" i="1"/>
  <c r="AD661" i="1"/>
  <c r="AE661" i="1"/>
  <c r="AC657" i="1"/>
  <c r="AD657" i="1"/>
  <c r="AE657" i="1"/>
  <c r="AC493" i="1"/>
  <c r="AD493" i="1"/>
  <c r="AE493" i="1"/>
  <c r="AC405" i="1"/>
  <c r="AD405" i="1"/>
  <c r="AE405" i="1"/>
  <c r="AC433" i="1"/>
  <c r="AD433" i="1"/>
  <c r="AE433" i="1"/>
  <c r="AC585" i="1"/>
  <c r="AD585" i="1"/>
  <c r="AE585" i="1"/>
  <c r="AC581" i="1"/>
  <c r="AD581" i="1"/>
  <c r="AE581" i="1"/>
  <c r="AC605" i="1"/>
  <c r="AD605" i="1"/>
  <c r="AE605" i="1"/>
  <c r="AC601" i="1"/>
  <c r="AD601" i="1"/>
  <c r="AE601" i="1"/>
  <c r="AC608" i="1"/>
  <c r="AD608" i="1"/>
  <c r="AE608" i="1"/>
  <c r="AC544" i="1"/>
  <c r="AD544" i="1"/>
  <c r="AE544" i="1"/>
  <c r="AC480" i="1"/>
  <c r="AD480" i="1"/>
  <c r="AE480" i="1"/>
  <c r="AC416" i="1"/>
  <c r="AD416" i="1"/>
  <c r="AE416" i="1"/>
  <c r="AC615" i="1"/>
  <c r="AD615" i="1"/>
  <c r="AE615" i="1"/>
  <c r="AC551" i="1"/>
  <c r="AD551" i="1"/>
  <c r="AE551" i="1"/>
  <c r="AC487" i="1"/>
  <c r="AD487" i="1"/>
  <c r="AE487" i="1"/>
  <c r="AC423" i="1"/>
  <c r="AD423" i="1"/>
  <c r="AE423" i="1"/>
  <c r="AC630" i="1"/>
  <c r="AD630" i="1"/>
  <c r="AE630" i="1"/>
  <c r="AC566" i="1"/>
  <c r="AD566" i="1"/>
  <c r="AE566" i="1"/>
  <c r="AC502" i="1"/>
  <c r="AD502" i="1"/>
  <c r="AE502" i="1"/>
  <c r="AC438" i="1"/>
  <c r="AD438" i="1"/>
  <c r="AE438" i="1"/>
  <c r="AC604" i="1"/>
  <c r="AD604" i="1"/>
  <c r="AE604" i="1"/>
  <c r="AC540" i="1"/>
  <c r="AD540" i="1"/>
  <c r="AE540" i="1"/>
  <c r="AC476" i="1"/>
  <c r="AD476" i="1"/>
  <c r="AE476" i="1"/>
  <c r="AC412" i="1"/>
  <c r="AD412" i="1"/>
  <c r="AE412" i="1"/>
  <c r="AC611" i="1"/>
  <c r="AD611" i="1"/>
  <c r="AE611" i="1"/>
  <c r="AC547" i="1"/>
  <c r="AD547" i="1"/>
  <c r="AE547" i="1"/>
  <c r="AC483" i="1"/>
  <c r="AD483" i="1"/>
  <c r="AE483" i="1"/>
  <c r="AC419" i="1"/>
  <c r="AD419" i="1"/>
  <c r="AE419" i="1"/>
  <c r="AC626" i="1"/>
  <c r="AD626" i="1"/>
  <c r="AE626" i="1"/>
  <c r="AC562" i="1"/>
  <c r="AD562" i="1"/>
  <c r="AE562" i="1"/>
  <c r="AC498" i="1"/>
  <c r="AD498" i="1"/>
  <c r="AE498" i="1"/>
  <c r="AC434" i="1"/>
  <c r="AD434" i="1"/>
  <c r="AE434" i="1"/>
  <c r="AC425" i="1"/>
  <c r="AD425" i="1"/>
  <c r="AE425" i="1"/>
  <c r="F33" i="1"/>
  <c r="AC533" i="1"/>
  <c r="AD533" i="1"/>
  <c r="AE533" i="1"/>
  <c r="AC561" i="1"/>
  <c r="AD561" i="1"/>
  <c r="AE561" i="1"/>
  <c r="AC461" i="1"/>
  <c r="AD461" i="1"/>
  <c r="AE461" i="1"/>
  <c r="AC553" i="1"/>
  <c r="AD553" i="1"/>
  <c r="AE553" i="1"/>
  <c r="AC437" i="1"/>
  <c r="AD437" i="1"/>
  <c r="AE437" i="1"/>
  <c r="AC517" i="1"/>
  <c r="AD517" i="1"/>
  <c r="AE517" i="1"/>
  <c r="AC573" i="1"/>
  <c r="AD573" i="1"/>
  <c r="AE573" i="1"/>
  <c r="AC569" i="1"/>
  <c r="AD569" i="1"/>
  <c r="AE569" i="1"/>
  <c r="AC600" i="1"/>
  <c r="AD600" i="1"/>
  <c r="AE600" i="1"/>
  <c r="AC536" i="1"/>
  <c r="AD536" i="1"/>
  <c r="AE536" i="1"/>
  <c r="AC472" i="1"/>
  <c r="AD472" i="1"/>
  <c r="AE472" i="1"/>
  <c r="AC408" i="1"/>
  <c r="AD408" i="1"/>
  <c r="AE408" i="1"/>
  <c r="AC607" i="1"/>
  <c r="AD607" i="1"/>
  <c r="AE607" i="1"/>
  <c r="AC543" i="1"/>
  <c r="AD543" i="1"/>
  <c r="AE543" i="1"/>
  <c r="AC479" i="1"/>
  <c r="AD479" i="1"/>
  <c r="AE479" i="1"/>
  <c r="AC415" i="1"/>
  <c r="AD415" i="1"/>
  <c r="AE415" i="1"/>
  <c r="AC622" i="1"/>
  <c r="AD622" i="1"/>
  <c r="AE622" i="1"/>
  <c r="AC558" i="1"/>
  <c r="AD558" i="1"/>
  <c r="AE558" i="1"/>
  <c r="AC494" i="1"/>
  <c r="AD494" i="1"/>
  <c r="AE494" i="1"/>
  <c r="AC430" i="1"/>
  <c r="AD430" i="1"/>
  <c r="AE430" i="1"/>
  <c r="AC660" i="1"/>
  <c r="AD660" i="1"/>
  <c r="AE660" i="1"/>
  <c r="AC596" i="1"/>
  <c r="AD596" i="1"/>
  <c r="AE596" i="1"/>
  <c r="AC532" i="1"/>
  <c r="AD532" i="1"/>
  <c r="AE532" i="1"/>
  <c r="AC468" i="1"/>
  <c r="AD468" i="1"/>
  <c r="AE468" i="1"/>
  <c r="AC404" i="1"/>
  <c r="AD404" i="1"/>
  <c r="AE404" i="1"/>
  <c r="AC603" i="1"/>
  <c r="AD603" i="1"/>
  <c r="AE603" i="1"/>
  <c r="AC539" i="1"/>
  <c r="AD539" i="1"/>
  <c r="AE539" i="1"/>
  <c r="AC475" i="1"/>
  <c r="AD475" i="1"/>
  <c r="AE475" i="1"/>
  <c r="AC411" i="1"/>
  <c r="AD411" i="1"/>
  <c r="AE411" i="1"/>
  <c r="AC618" i="1"/>
  <c r="AD618" i="1"/>
  <c r="AE618" i="1"/>
  <c r="AC554" i="1"/>
  <c r="AD554" i="1"/>
  <c r="AE554" i="1"/>
  <c r="AC490" i="1"/>
  <c r="AD490" i="1"/>
  <c r="AE490" i="1"/>
  <c r="AC426" i="1"/>
  <c r="AD426" i="1"/>
  <c r="AE426" i="1"/>
  <c r="AC445" i="1"/>
  <c r="AD445" i="1"/>
  <c r="AE445" i="1"/>
  <c r="F30" i="1"/>
  <c r="G30" i="1" s="1"/>
  <c r="AC469" i="1"/>
  <c r="AD469" i="1"/>
  <c r="AE469" i="1"/>
  <c r="AC497" i="1"/>
  <c r="AD497" i="1"/>
  <c r="AE497" i="1"/>
  <c r="AC429" i="1"/>
  <c r="AD429" i="1"/>
  <c r="AE429" i="1"/>
  <c r="AC521" i="1"/>
  <c r="AD521" i="1"/>
  <c r="AE521" i="1"/>
  <c r="AC613" i="1"/>
  <c r="AD613" i="1"/>
  <c r="AE613" i="1"/>
  <c r="AC485" i="1"/>
  <c r="AD485" i="1"/>
  <c r="AE485" i="1"/>
  <c r="AC641" i="1"/>
  <c r="AD641" i="1"/>
  <c r="AE641" i="1"/>
  <c r="AC541" i="1"/>
  <c r="AD541" i="1"/>
  <c r="AE541" i="1"/>
  <c r="AC565" i="1"/>
  <c r="AD565" i="1"/>
  <c r="AE565" i="1"/>
  <c r="AC537" i="1"/>
  <c r="AD537" i="1"/>
  <c r="AE537" i="1"/>
  <c r="AC656" i="1"/>
  <c r="AD656" i="1"/>
  <c r="AE656" i="1"/>
  <c r="AC592" i="1"/>
  <c r="AD592" i="1"/>
  <c r="AE592" i="1"/>
  <c r="AC528" i="1"/>
  <c r="AD528" i="1"/>
  <c r="AE528" i="1"/>
  <c r="AC464" i="1"/>
  <c r="AD464" i="1"/>
  <c r="AE464" i="1"/>
  <c r="AC400" i="1"/>
  <c r="AD400" i="1"/>
  <c r="AE400" i="1"/>
  <c r="AC599" i="1"/>
  <c r="AD599" i="1"/>
  <c r="AE599" i="1"/>
  <c r="AC535" i="1"/>
  <c r="AD535" i="1"/>
  <c r="AE535" i="1"/>
  <c r="AC471" i="1"/>
  <c r="AD471" i="1"/>
  <c r="AE471" i="1"/>
  <c r="AC407" i="1"/>
  <c r="AD407" i="1"/>
  <c r="AE407" i="1"/>
  <c r="AC614" i="1"/>
  <c r="AD614" i="1"/>
  <c r="AE614" i="1"/>
  <c r="AC550" i="1"/>
  <c r="AD550" i="1"/>
  <c r="AE550" i="1"/>
  <c r="AC486" i="1"/>
  <c r="AD486" i="1"/>
  <c r="AE486" i="1"/>
  <c r="AC422" i="1"/>
  <c r="AD422" i="1"/>
  <c r="AE422" i="1"/>
  <c r="AC652" i="1"/>
  <c r="AD652" i="1"/>
  <c r="AE652" i="1"/>
  <c r="AC588" i="1"/>
  <c r="AD588" i="1"/>
  <c r="AE588" i="1"/>
  <c r="AC524" i="1"/>
  <c r="AD524" i="1"/>
  <c r="AE524" i="1"/>
  <c r="AC460" i="1"/>
  <c r="AD460" i="1"/>
  <c r="AE460" i="1"/>
  <c r="AC396" i="1"/>
  <c r="AD396" i="1"/>
  <c r="AE396" i="1"/>
  <c r="AC659" i="1"/>
  <c r="AD659" i="1"/>
  <c r="AE659" i="1"/>
  <c r="AC595" i="1"/>
  <c r="AD595" i="1"/>
  <c r="AE595" i="1"/>
  <c r="AC531" i="1"/>
  <c r="AD531" i="1"/>
  <c r="AE531" i="1"/>
  <c r="AC467" i="1"/>
  <c r="AD467" i="1"/>
  <c r="AE467" i="1"/>
  <c r="AC403" i="1"/>
  <c r="AD403" i="1"/>
  <c r="AE403" i="1"/>
  <c r="AC610" i="1"/>
  <c r="AD610" i="1"/>
  <c r="AE610" i="1"/>
  <c r="AC546" i="1"/>
  <c r="AD546" i="1"/>
  <c r="AE546" i="1"/>
  <c r="AC482" i="1"/>
  <c r="AD482" i="1"/>
  <c r="AE482" i="1"/>
  <c r="AC418" i="1"/>
  <c r="AD418" i="1"/>
  <c r="AE418" i="1"/>
  <c r="AC465" i="1"/>
  <c r="AD465" i="1"/>
  <c r="AE465" i="1"/>
  <c r="AC653" i="1"/>
  <c r="AD653" i="1"/>
  <c r="AE653" i="1"/>
  <c r="AC397" i="1"/>
  <c r="AD397" i="1"/>
  <c r="AE397" i="1"/>
  <c r="AC489" i="1"/>
  <c r="AD489" i="1"/>
  <c r="AE489" i="1"/>
  <c r="AC577" i="1"/>
  <c r="AD577" i="1"/>
  <c r="AE577" i="1"/>
  <c r="AC421" i="1"/>
  <c r="AD421" i="1"/>
  <c r="AE421" i="1"/>
  <c r="AC545" i="1"/>
  <c r="AD545" i="1"/>
  <c r="AE545" i="1"/>
  <c r="AC509" i="1"/>
  <c r="AD509" i="1"/>
  <c r="AE509" i="1"/>
  <c r="AC609" i="1"/>
  <c r="AD609" i="1"/>
  <c r="AE609" i="1"/>
  <c r="AC505" i="1"/>
  <c r="AD505" i="1"/>
  <c r="AE505" i="1"/>
  <c r="AC648" i="1"/>
  <c r="AD648" i="1"/>
  <c r="AE648" i="1"/>
  <c r="AC584" i="1"/>
  <c r="AD584" i="1"/>
  <c r="AE584" i="1"/>
  <c r="AC520" i="1"/>
  <c r="AD520" i="1"/>
  <c r="AE520" i="1"/>
  <c r="AC456" i="1"/>
  <c r="AD456" i="1"/>
  <c r="AE456" i="1"/>
  <c r="AC655" i="1"/>
  <c r="AD655" i="1"/>
  <c r="AE655" i="1"/>
  <c r="AC591" i="1"/>
  <c r="AD591" i="1"/>
  <c r="AE591" i="1"/>
  <c r="AC527" i="1"/>
  <c r="AD527" i="1"/>
  <c r="AE527" i="1"/>
  <c r="AC463" i="1"/>
  <c r="AD463" i="1"/>
  <c r="AE463" i="1"/>
  <c r="AC399" i="1"/>
  <c r="AD399" i="1"/>
  <c r="AE399" i="1"/>
  <c r="AC606" i="1"/>
  <c r="AD606" i="1"/>
  <c r="AE606" i="1"/>
  <c r="AC542" i="1"/>
  <c r="AD542" i="1"/>
  <c r="AE542" i="1"/>
  <c r="AC478" i="1"/>
  <c r="AD478" i="1"/>
  <c r="AE478" i="1"/>
  <c r="AC414" i="1"/>
  <c r="AD414" i="1"/>
  <c r="AE414" i="1"/>
  <c r="AC644" i="1"/>
  <c r="AD644" i="1"/>
  <c r="AE644" i="1"/>
  <c r="AC580" i="1"/>
  <c r="AD580" i="1"/>
  <c r="AE580" i="1"/>
  <c r="AC516" i="1"/>
  <c r="AD516" i="1"/>
  <c r="AE516" i="1"/>
  <c r="AC452" i="1"/>
  <c r="AD452" i="1"/>
  <c r="AE452" i="1"/>
  <c r="AC651" i="1"/>
  <c r="AD651" i="1"/>
  <c r="AE651" i="1"/>
  <c r="AC587" i="1"/>
  <c r="AD587" i="1"/>
  <c r="AE587" i="1"/>
  <c r="AC523" i="1"/>
  <c r="AD523" i="1"/>
  <c r="AE523" i="1"/>
  <c r="AC459" i="1"/>
  <c r="AD459" i="1"/>
  <c r="AE459" i="1"/>
  <c r="AC602" i="1"/>
  <c r="AD602" i="1"/>
  <c r="AE602" i="1"/>
  <c r="AC538" i="1"/>
  <c r="AD538" i="1"/>
  <c r="AE538" i="1"/>
  <c r="AC474" i="1"/>
  <c r="AD474" i="1"/>
  <c r="AE474" i="1"/>
  <c r="AC410" i="1"/>
  <c r="AD410" i="1"/>
  <c r="AE410" i="1"/>
  <c r="AC401" i="1"/>
  <c r="AD401" i="1"/>
  <c r="AE401" i="1"/>
  <c r="AC621" i="1"/>
  <c r="AD621" i="1"/>
  <c r="AE621" i="1"/>
  <c r="AC457" i="1"/>
  <c r="AD457" i="1"/>
  <c r="AE457" i="1"/>
  <c r="AC449" i="1"/>
  <c r="AD449" i="1"/>
  <c r="AE449" i="1"/>
  <c r="AC481" i="1"/>
  <c r="AD481" i="1"/>
  <c r="AE481" i="1"/>
  <c r="AC477" i="1"/>
  <c r="AD477" i="1"/>
  <c r="AE477" i="1"/>
  <c r="AC549" i="1"/>
  <c r="AD549" i="1"/>
  <c r="AE549" i="1"/>
  <c r="AC513" i="1"/>
  <c r="AD513" i="1"/>
  <c r="AE513" i="1"/>
  <c r="AC473" i="1"/>
  <c r="AD473" i="1"/>
  <c r="AE473" i="1"/>
  <c r="AC640" i="1"/>
  <c r="AD640" i="1"/>
  <c r="AE640" i="1"/>
  <c r="AC576" i="1"/>
  <c r="AD576" i="1"/>
  <c r="AE576" i="1"/>
  <c r="AC512" i="1"/>
  <c r="AD512" i="1"/>
  <c r="AE512" i="1"/>
  <c r="AC448" i="1"/>
  <c r="AD448" i="1"/>
  <c r="AE448" i="1"/>
  <c r="AC647" i="1"/>
  <c r="AD647" i="1"/>
  <c r="AE647" i="1"/>
  <c r="AC583" i="1"/>
  <c r="AD583" i="1"/>
  <c r="AE583" i="1"/>
  <c r="AC519" i="1"/>
  <c r="AD519" i="1"/>
  <c r="AE519" i="1"/>
  <c r="AC455" i="1"/>
  <c r="AD455" i="1"/>
  <c r="AE455" i="1"/>
  <c r="AC662" i="1"/>
  <c r="AD662" i="1"/>
  <c r="AE662" i="1"/>
  <c r="AC598" i="1"/>
  <c r="AD598" i="1"/>
  <c r="AE598" i="1"/>
  <c r="AC534" i="1"/>
  <c r="AD534" i="1"/>
  <c r="AE534" i="1"/>
  <c r="AC470" i="1"/>
  <c r="AD470" i="1"/>
  <c r="AE470" i="1"/>
  <c r="AC406" i="1"/>
  <c r="AD406" i="1"/>
  <c r="AE406" i="1"/>
  <c r="AC636" i="1"/>
  <c r="AD636" i="1"/>
  <c r="AE636" i="1"/>
  <c r="AC572" i="1"/>
  <c r="AD572" i="1"/>
  <c r="AE572" i="1"/>
  <c r="AC508" i="1"/>
  <c r="AD508" i="1"/>
  <c r="AE508" i="1"/>
  <c r="AC444" i="1"/>
  <c r="AD444" i="1"/>
  <c r="AE444" i="1"/>
  <c r="AC643" i="1"/>
  <c r="AD643" i="1"/>
  <c r="AE643" i="1"/>
  <c r="AC579" i="1"/>
  <c r="AD579" i="1"/>
  <c r="AE579" i="1"/>
  <c r="AC515" i="1"/>
  <c r="AD515" i="1"/>
  <c r="AE515" i="1"/>
  <c r="AC451" i="1"/>
  <c r="AD451" i="1"/>
  <c r="AE451" i="1"/>
  <c r="AC658" i="1"/>
  <c r="AD658" i="1"/>
  <c r="AE658" i="1"/>
  <c r="AC594" i="1"/>
  <c r="AD594" i="1"/>
  <c r="AE594" i="1"/>
  <c r="AC530" i="1"/>
  <c r="AD530" i="1"/>
  <c r="AE530" i="1"/>
  <c r="AC466" i="1"/>
  <c r="AD466" i="1"/>
  <c r="AE466" i="1"/>
  <c r="AC402" i="1"/>
  <c r="AD402" i="1"/>
  <c r="AE402" i="1"/>
  <c r="F31" i="1"/>
  <c r="H31" i="1" s="1"/>
  <c r="F40" i="1"/>
  <c r="G40" i="1" s="1"/>
  <c r="B33" i="1"/>
  <c r="G33" i="1"/>
  <c r="H33" i="1"/>
  <c r="B37" i="1"/>
  <c r="F34" i="1"/>
  <c r="G38" i="1"/>
  <c r="B35" i="1"/>
  <c r="B38" i="1"/>
  <c r="G35" i="1"/>
  <c r="B31" i="1"/>
  <c r="H37" i="1"/>
  <c r="AC312" i="1"/>
  <c r="AD312" i="1"/>
  <c r="AE312" i="1"/>
  <c r="AD304" i="1"/>
  <c r="AE304" i="1"/>
  <c r="AC304" i="1"/>
  <c r="AC331" i="1"/>
  <c r="AE331" i="1"/>
  <c r="AD331" i="1"/>
  <c r="AC288" i="1"/>
  <c r="AD288" i="1"/>
  <c r="AE288" i="1"/>
  <c r="AC222" i="1"/>
  <c r="AD222" i="1"/>
  <c r="AE222" i="1"/>
  <c r="AC314" i="1"/>
  <c r="AD314" i="1"/>
  <c r="AE314" i="1"/>
  <c r="AE299" i="1"/>
  <c r="AD299" i="1"/>
  <c r="AC299" i="1"/>
  <c r="AC389" i="1"/>
  <c r="AD389" i="1"/>
  <c r="AE389" i="1"/>
  <c r="AC325" i="1"/>
  <c r="AD325" i="1"/>
  <c r="AE325" i="1"/>
  <c r="AC212" i="1"/>
  <c r="AD212" i="1"/>
  <c r="AE212" i="1"/>
  <c r="AD263" i="1"/>
  <c r="AC263" i="1"/>
  <c r="AE263" i="1"/>
  <c r="AD290" i="1"/>
  <c r="AE290" i="1"/>
  <c r="AC290" i="1"/>
  <c r="AD165" i="1"/>
  <c r="AC165" i="1"/>
  <c r="AE165" i="1"/>
  <c r="AC255" i="1"/>
  <c r="AD255" i="1"/>
  <c r="AE255" i="1"/>
  <c r="AC282" i="1"/>
  <c r="AE282" i="1"/>
  <c r="AD282" i="1"/>
  <c r="AD133" i="1"/>
  <c r="AE133" i="1"/>
  <c r="AC133" i="1"/>
  <c r="AC104" i="1"/>
  <c r="AD104" i="1"/>
  <c r="AE104" i="1"/>
  <c r="AC110" i="1"/>
  <c r="AD110" i="1"/>
  <c r="AE110" i="1"/>
  <c r="AE274" i="1"/>
  <c r="AC274" i="1"/>
  <c r="AD274" i="1"/>
  <c r="AC205" i="1"/>
  <c r="AD205" i="1"/>
  <c r="AE205" i="1"/>
  <c r="AE101" i="1"/>
  <c r="AC101" i="1"/>
  <c r="AD101" i="1"/>
  <c r="AC96" i="1"/>
  <c r="AD96" i="1"/>
  <c r="AE96" i="1"/>
  <c r="AC239" i="1"/>
  <c r="AD239" i="1"/>
  <c r="AE239" i="1"/>
  <c r="AD102" i="1"/>
  <c r="AE102" i="1"/>
  <c r="AC102" i="1"/>
  <c r="AC266" i="1"/>
  <c r="AD266" i="1"/>
  <c r="AE266" i="1"/>
  <c r="AC132" i="1"/>
  <c r="AD132" i="1"/>
  <c r="AE132" i="1"/>
  <c r="AC357" i="1"/>
  <c r="AD357" i="1"/>
  <c r="AE357" i="1"/>
  <c r="AD24" i="1"/>
  <c r="AC24" i="1"/>
  <c r="AE24" i="1"/>
  <c r="AC167" i="1"/>
  <c r="AD167" i="1"/>
  <c r="AE167" i="1"/>
  <c r="AC30" i="1"/>
  <c r="AE30" i="1"/>
  <c r="AD30" i="1"/>
  <c r="AC194" i="1"/>
  <c r="AD194" i="1"/>
  <c r="AE194" i="1"/>
  <c r="AC387" i="1"/>
  <c r="AD387" i="1"/>
  <c r="AE387" i="1"/>
  <c r="AC277" i="1"/>
  <c r="AD277" i="1"/>
  <c r="AE277" i="1"/>
  <c r="AE233" i="1"/>
  <c r="AC233" i="1"/>
  <c r="AD233" i="1"/>
  <c r="AE95" i="1"/>
  <c r="AC95" i="1"/>
  <c r="AD95" i="1"/>
  <c r="AD251" i="1"/>
  <c r="AE251" i="1"/>
  <c r="AC251" i="1"/>
  <c r="AE122" i="1"/>
  <c r="AC122" i="1"/>
  <c r="AD122" i="1"/>
  <c r="AD333" i="1"/>
  <c r="AE333" i="1"/>
  <c r="AC333" i="1"/>
  <c r="AE392" i="1"/>
  <c r="AC392" i="1"/>
  <c r="AD392" i="1"/>
  <c r="AE161" i="1"/>
  <c r="AC161" i="1"/>
  <c r="AD161" i="1"/>
  <c r="AE23" i="1"/>
  <c r="AC23" i="1"/>
  <c r="AD23" i="1"/>
  <c r="AE179" i="1"/>
  <c r="AC179" i="1"/>
  <c r="AD179" i="1"/>
  <c r="AD50" i="1"/>
  <c r="AC50" i="1"/>
  <c r="AE50" i="1"/>
  <c r="AD76" i="1"/>
  <c r="AC76" i="1"/>
  <c r="AE76" i="1"/>
  <c r="AD320" i="1"/>
  <c r="AE320" i="1"/>
  <c r="AC320" i="1"/>
  <c r="AE89" i="1"/>
  <c r="AD89" i="1"/>
  <c r="AC89" i="1"/>
  <c r="AC326" i="1"/>
  <c r="AD326" i="1"/>
  <c r="AE326" i="1"/>
  <c r="AD107" i="1"/>
  <c r="AE107" i="1"/>
  <c r="AC107" i="1"/>
  <c r="Z339" i="1"/>
  <c r="W339" i="1"/>
  <c r="V339" i="1"/>
  <c r="U339" i="1"/>
  <c r="Y339" i="1"/>
  <c r="T339" i="1"/>
  <c r="Z240" i="1"/>
  <c r="U240" i="1"/>
  <c r="W240" i="1"/>
  <c r="T240" i="1"/>
  <c r="Y240" i="1"/>
  <c r="V240" i="1"/>
  <c r="Z184" i="1"/>
  <c r="U184" i="1"/>
  <c r="Y184" i="1"/>
  <c r="W184" i="1"/>
  <c r="V184" i="1"/>
  <c r="T184" i="1"/>
  <c r="Z369" i="1"/>
  <c r="V369" i="1"/>
  <c r="T369" i="1"/>
  <c r="Y369" i="1"/>
  <c r="U369" i="1"/>
  <c r="W369" i="1"/>
  <c r="Z283" i="1"/>
  <c r="W283" i="1"/>
  <c r="V283" i="1"/>
  <c r="T283" i="1"/>
  <c r="Y283" i="1"/>
  <c r="U283" i="1"/>
  <c r="Z202" i="1"/>
  <c r="W202" i="1"/>
  <c r="U202" i="1"/>
  <c r="V202" i="1"/>
  <c r="T202" i="1"/>
  <c r="Y202" i="1"/>
  <c r="Z180" i="1"/>
  <c r="W180" i="1"/>
  <c r="T180" i="1"/>
  <c r="Y180" i="1"/>
  <c r="U180" i="1"/>
  <c r="V180" i="1"/>
  <c r="Z282" i="1"/>
  <c r="W282" i="1"/>
  <c r="U282" i="1"/>
  <c r="Y282" i="1"/>
  <c r="T282" i="1"/>
  <c r="V282" i="1"/>
  <c r="Z50" i="1"/>
  <c r="T50" i="1"/>
  <c r="Y50" i="1"/>
  <c r="U50" i="1"/>
  <c r="W50" i="1"/>
  <c r="V50" i="1"/>
  <c r="Z160" i="1"/>
  <c r="U160" i="1"/>
  <c r="W160" i="1"/>
  <c r="T160" i="1"/>
  <c r="V160" i="1"/>
  <c r="Y160" i="1"/>
  <c r="Z24" i="1"/>
  <c r="W24" i="1"/>
  <c r="T24" i="1"/>
  <c r="V24" i="1"/>
  <c r="U24" i="1"/>
  <c r="Y24" i="1"/>
  <c r="Z52" i="1"/>
  <c r="U52" i="1"/>
  <c r="W52" i="1"/>
  <c r="T52" i="1"/>
  <c r="V52" i="1"/>
  <c r="Y52" i="1"/>
  <c r="Z393" i="1"/>
  <c r="V393" i="1"/>
  <c r="U393" i="1"/>
  <c r="Y393" i="1"/>
  <c r="W393" i="1"/>
  <c r="T393" i="1"/>
  <c r="Z342" i="1"/>
  <c r="V342" i="1"/>
  <c r="T342" i="1"/>
  <c r="Y342" i="1"/>
  <c r="W342" i="1"/>
  <c r="U342" i="1"/>
  <c r="Z99" i="1"/>
  <c r="W99" i="1"/>
  <c r="T99" i="1"/>
  <c r="Y99" i="1"/>
  <c r="V99" i="1"/>
  <c r="U99" i="1"/>
  <c r="Z373" i="1"/>
  <c r="W373" i="1"/>
  <c r="U373" i="1"/>
  <c r="Y373" i="1"/>
  <c r="T373" i="1"/>
  <c r="V373" i="1"/>
  <c r="Z148" i="1"/>
  <c r="V148" i="1"/>
  <c r="Y148" i="1"/>
  <c r="W148" i="1"/>
  <c r="T148" i="1"/>
  <c r="U148" i="1"/>
  <c r="Z113" i="1"/>
  <c r="U113" i="1"/>
  <c r="W113" i="1"/>
  <c r="T113" i="1"/>
  <c r="V113" i="1"/>
  <c r="Y113" i="1"/>
  <c r="Z231" i="1"/>
  <c r="T231" i="1"/>
  <c r="U231" i="1"/>
  <c r="W231" i="1"/>
  <c r="Y231" i="1"/>
  <c r="V231" i="1"/>
  <c r="Z122" i="1"/>
  <c r="W122" i="1"/>
  <c r="U122" i="1"/>
  <c r="V122" i="1"/>
  <c r="T122" i="1"/>
  <c r="Y122" i="1"/>
  <c r="Z390" i="1"/>
  <c r="W390" i="1"/>
  <c r="U390" i="1"/>
  <c r="Y390" i="1"/>
  <c r="T390" i="1"/>
  <c r="V390" i="1"/>
  <c r="Z175" i="1"/>
  <c r="V175" i="1"/>
  <c r="U175" i="1"/>
  <c r="T175" i="1"/>
  <c r="Y175" i="1"/>
  <c r="W175" i="1"/>
  <c r="V81" i="1"/>
  <c r="T81" i="1"/>
  <c r="Y81" i="1"/>
  <c r="U81" i="1"/>
  <c r="W81" i="1"/>
  <c r="Z81" i="1"/>
  <c r="U333" i="1"/>
  <c r="T333" i="1"/>
  <c r="Y333" i="1"/>
  <c r="V333" i="1"/>
  <c r="W333" i="1"/>
  <c r="Z333" i="1"/>
  <c r="Z371" i="1"/>
  <c r="W371" i="1"/>
  <c r="V371" i="1"/>
  <c r="Y371" i="1"/>
  <c r="T371" i="1"/>
  <c r="U371" i="1"/>
  <c r="Z315" i="1"/>
  <c r="W315" i="1"/>
  <c r="T315" i="1"/>
  <c r="Y315" i="1"/>
  <c r="U315" i="1"/>
  <c r="V315" i="1"/>
  <c r="Z277" i="1"/>
  <c r="W277" i="1"/>
  <c r="T277" i="1"/>
  <c r="Y277" i="1"/>
  <c r="U277" i="1"/>
  <c r="V277" i="1"/>
  <c r="Z312" i="1"/>
  <c r="W312" i="1"/>
  <c r="T312" i="1"/>
  <c r="Y312" i="1"/>
  <c r="V312" i="1"/>
  <c r="U312" i="1"/>
  <c r="T139" i="1"/>
  <c r="Y139" i="1"/>
  <c r="V139" i="1"/>
  <c r="Z139" i="1"/>
  <c r="W139" i="1"/>
  <c r="U139" i="1"/>
  <c r="Z39" i="1"/>
  <c r="V39" i="1"/>
  <c r="Y39" i="1"/>
  <c r="W39" i="1"/>
  <c r="T39" i="1"/>
  <c r="U39" i="1"/>
  <c r="Z251" i="1"/>
  <c r="W251" i="1"/>
  <c r="T251" i="1"/>
  <c r="Y251" i="1"/>
  <c r="V251" i="1"/>
  <c r="U251" i="1"/>
  <c r="Z372" i="1"/>
  <c r="U372" i="1"/>
  <c r="W372" i="1"/>
  <c r="V372" i="1"/>
  <c r="T372" i="1"/>
  <c r="Y372" i="1"/>
  <c r="Z248" i="1"/>
  <c r="V248" i="1"/>
  <c r="Y248" i="1"/>
  <c r="W248" i="1"/>
  <c r="U248" i="1"/>
  <c r="T248" i="1"/>
  <c r="Z59" i="1"/>
  <c r="U59" i="1"/>
  <c r="Y59" i="1"/>
  <c r="W59" i="1"/>
  <c r="T59" i="1"/>
  <c r="V59" i="1"/>
  <c r="Z179" i="1"/>
  <c r="W179" i="1"/>
  <c r="U179" i="1"/>
  <c r="Y179" i="1"/>
  <c r="T179" i="1"/>
  <c r="V179" i="1"/>
  <c r="Z375" i="1"/>
  <c r="W375" i="1"/>
  <c r="V375" i="1"/>
  <c r="Y375" i="1"/>
  <c r="T375" i="1"/>
  <c r="U375" i="1"/>
  <c r="Z351" i="1"/>
  <c r="T351" i="1"/>
  <c r="W351" i="1"/>
  <c r="Y351" i="1"/>
  <c r="V351" i="1"/>
  <c r="U351" i="1"/>
  <c r="Z317" i="1"/>
  <c r="Y317" i="1"/>
  <c r="W317" i="1"/>
  <c r="U317" i="1"/>
  <c r="V317" i="1"/>
  <c r="T317" i="1"/>
  <c r="Z362" i="1"/>
  <c r="T362" i="1"/>
  <c r="Y362" i="1"/>
  <c r="W362" i="1"/>
  <c r="U362" i="1"/>
  <c r="V362" i="1"/>
  <c r="Z159" i="1"/>
  <c r="V159" i="1"/>
  <c r="Y159" i="1"/>
  <c r="T159" i="1"/>
  <c r="W159" i="1"/>
  <c r="U159" i="1"/>
  <c r="Z335" i="1"/>
  <c r="U335" i="1"/>
  <c r="T335" i="1"/>
  <c r="Y335" i="1"/>
  <c r="W335" i="1"/>
  <c r="V335" i="1"/>
  <c r="Z137" i="1"/>
  <c r="Y137" i="1"/>
  <c r="W137" i="1"/>
  <c r="T137" i="1"/>
  <c r="V137" i="1"/>
  <c r="U137" i="1"/>
  <c r="Z210" i="1"/>
  <c r="Y210" i="1"/>
  <c r="W210" i="1"/>
  <c r="V210" i="1"/>
  <c r="T210" i="1"/>
  <c r="U210" i="1"/>
  <c r="U149" i="1"/>
  <c r="Y149" i="1"/>
  <c r="W149" i="1"/>
  <c r="V149" i="1"/>
  <c r="Z149" i="1"/>
  <c r="T149" i="1"/>
  <c r="Z263" i="1"/>
  <c r="W263" i="1"/>
  <c r="T263" i="1"/>
  <c r="Y263" i="1"/>
  <c r="V263" i="1"/>
  <c r="U263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V18" i="1"/>
  <c r="Y18" i="1"/>
  <c r="W18" i="1"/>
  <c r="U18" i="1"/>
  <c r="Z18" i="1"/>
  <c r="T18" i="1"/>
  <c r="V114" i="1"/>
  <c r="Z114" i="1"/>
  <c r="U114" i="1"/>
  <c r="Y114" i="1"/>
  <c r="W114" i="1"/>
  <c r="T114" i="1"/>
  <c r="G43" i="1"/>
  <c r="B43" i="1"/>
  <c r="H43" i="1"/>
  <c r="AE379" i="1"/>
  <c r="AD379" i="1"/>
  <c r="AC379" i="1"/>
  <c r="AC292" i="1"/>
  <c r="AE292" i="1"/>
  <c r="AD292" i="1"/>
  <c r="AC164" i="1"/>
  <c r="AD164" i="1"/>
  <c r="AE164" i="1"/>
  <c r="AD60" i="1"/>
  <c r="AC60" i="1"/>
  <c r="AE60" i="1"/>
  <c r="AE386" i="1"/>
  <c r="AD386" i="1"/>
  <c r="AC386" i="1"/>
  <c r="AD347" i="1"/>
  <c r="AE347" i="1"/>
  <c r="AC347" i="1"/>
  <c r="AC221" i="1"/>
  <c r="AD221" i="1"/>
  <c r="AE221" i="1"/>
  <c r="AC93" i="1"/>
  <c r="AD93" i="1"/>
  <c r="AE93" i="1"/>
  <c r="AC341" i="1"/>
  <c r="AD341" i="1"/>
  <c r="AE341" i="1"/>
  <c r="AE232" i="1"/>
  <c r="AC232" i="1"/>
  <c r="AD232" i="1"/>
  <c r="AE380" i="1"/>
  <c r="AC380" i="1"/>
  <c r="AD380" i="1"/>
  <c r="AC120" i="1"/>
  <c r="AE120" i="1"/>
  <c r="AD120" i="1"/>
  <c r="AC126" i="1"/>
  <c r="AD126" i="1"/>
  <c r="AE126" i="1"/>
  <c r="AE269" i="1"/>
  <c r="AC269" i="1"/>
  <c r="AD269" i="1"/>
  <c r="AD112" i="1"/>
  <c r="AE112" i="1"/>
  <c r="AC112" i="1"/>
  <c r="AC118" i="1"/>
  <c r="AD118" i="1"/>
  <c r="AE118" i="1"/>
  <c r="AE237" i="1"/>
  <c r="AC237" i="1"/>
  <c r="AD237" i="1"/>
  <c r="AD247" i="1"/>
  <c r="AC247" i="1"/>
  <c r="AE247" i="1"/>
  <c r="AE45" i="1"/>
  <c r="AC45" i="1"/>
  <c r="AD45" i="1"/>
  <c r="AD68" i="1"/>
  <c r="AC68" i="1"/>
  <c r="AE68" i="1"/>
  <c r="AC56" i="1"/>
  <c r="AE56" i="1"/>
  <c r="AD56" i="1"/>
  <c r="AE199" i="1"/>
  <c r="AD199" i="1"/>
  <c r="AC199" i="1"/>
  <c r="AE62" i="1"/>
  <c r="AD62" i="1"/>
  <c r="AC62" i="1"/>
  <c r="AE226" i="1"/>
  <c r="AC226" i="1"/>
  <c r="AD226" i="1"/>
  <c r="AC363" i="1"/>
  <c r="AE363" i="1"/>
  <c r="AD363" i="1"/>
  <c r="AD345" i="1"/>
  <c r="AE345" i="1"/>
  <c r="AC345" i="1"/>
  <c r="AD48" i="1"/>
  <c r="AC48" i="1"/>
  <c r="AE48" i="1"/>
  <c r="AC191" i="1"/>
  <c r="AD191" i="1"/>
  <c r="AE191" i="1"/>
  <c r="AC54" i="1"/>
  <c r="AD54" i="1"/>
  <c r="AE54" i="1"/>
  <c r="AC218" i="1"/>
  <c r="AD218" i="1"/>
  <c r="AE218" i="1"/>
  <c r="AE315" i="1"/>
  <c r="AC315" i="1"/>
  <c r="AD315" i="1"/>
  <c r="AE253" i="1"/>
  <c r="AC253" i="1"/>
  <c r="AD253" i="1"/>
  <c r="AC40" i="1"/>
  <c r="AE40" i="1"/>
  <c r="AD40" i="1"/>
  <c r="AE183" i="1"/>
  <c r="AC183" i="1"/>
  <c r="AD183" i="1"/>
  <c r="AD46" i="1"/>
  <c r="AC46" i="1"/>
  <c r="AE46" i="1"/>
  <c r="AC210" i="1"/>
  <c r="AD210" i="1"/>
  <c r="AE210" i="1"/>
  <c r="AE228" i="1"/>
  <c r="AC228" i="1"/>
  <c r="AD228" i="1"/>
  <c r="AE29" i="1"/>
  <c r="AC29" i="1"/>
  <c r="AD29" i="1"/>
  <c r="AD32" i="1"/>
  <c r="AC32" i="1"/>
  <c r="AE32" i="1"/>
  <c r="AE175" i="1"/>
  <c r="AC175" i="1"/>
  <c r="AD175" i="1"/>
  <c r="AD38" i="1"/>
  <c r="AE38" i="1"/>
  <c r="AC38" i="1"/>
  <c r="AD202" i="1"/>
  <c r="AC202" i="1"/>
  <c r="AE202" i="1"/>
  <c r="AE28" i="1"/>
  <c r="AC28" i="1"/>
  <c r="AD28" i="1"/>
  <c r="AC308" i="1"/>
  <c r="AE308" i="1"/>
  <c r="AD308" i="1"/>
  <c r="AC241" i="1"/>
  <c r="AE241" i="1"/>
  <c r="AD241" i="1"/>
  <c r="AD103" i="1"/>
  <c r="AE103" i="1"/>
  <c r="AC103" i="1"/>
  <c r="AD259" i="1"/>
  <c r="AC259" i="1"/>
  <c r="AE259" i="1"/>
  <c r="AC130" i="1"/>
  <c r="AE130" i="1"/>
  <c r="AD130" i="1"/>
  <c r="AE365" i="1"/>
  <c r="AD365" i="1"/>
  <c r="AC365" i="1"/>
  <c r="AE21" i="1"/>
  <c r="AD21" i="1"/>
  <c r="AC21" i="1"/>
  <c r="AE169" i="1"/>
  <c r="AD169" i="1"/>
  <c r="AC169" i="1"/>
  <c r="AE31" i="1"/>
  <c r="AC31" i="1"/>
  <c r="AD31" i="1"/>
  <c r="AD187" i="1"/>
  <c r="AE187" i="1"/>
  <c r="AC187" i="1"/>
  <c r="AD58" i="1"/>
  <c r="AC58" i="1"/>
  <c r="AE58" i="1"/>
  <c r="AE108" i="1"/>
  <c r="AC108" i="1"/>
  <c r="AD108" i="1"/>
  <c r="AE328" i="1"/>
  <c r="AD328" i="1"/>
  <c r="AC328" i="1"/>
  <c r="AE97" i="1"/>
  <c r="AC97" i="1"/>
  <c r="AD97" i="1"/>
  <c r="AC334" i="1"/>
  <c r="AD334" i="1"/>
  <c r="AE334" i="1"/>
  <c r="AE115" i="1"/>
  <c r="AC115" i="1"/>
  <c r="AD115" i="1"/>
  <c r="AE189" i="1"/>
  <c r="AC189" i="1"/>
  <c r="AD189" i="1"/>
  <c r="AE157" i="1"/>
  <c r="AD157" i="1"/>
  <c r="AC157" i="1"/>
  <c r="AC256" i="1"/>
  <c r="AD256" i="1"/>
  <c r="AE256" i="1"/>
  <c r="AE25" i="1"/>
  <c r="AD25" i="1"/>
  <c r="AC25" i="1"/>
  <c r="AD262" i="1"/>
  <c r="AE262" i="1"/>
  <c r="AC262" i="1"/>
  <c r="AE43" i="1"/>
  <c r="AC43" i="1"/>
  <c r="AD43" i="1"/>
  <c r="G32" i="1"/>
  <c r="H32" i="1"/>
  <c r="B32" i="1"/>
  <c r="G36" i="1"/>
  <c r="H36" i="1"/>
  <c r="B36" i="1"/>
  <c r="Z208" i="1"/>
  <c r="V208" i="1"/>
  <c r="W208" i="1"/>
  <c r="Y208" i="1"/>
  <c r="U208" i="1"/>
  <c r="T208" i="1"/>
  <c r="Z84" i="1"/>
  <c r="V84" i="1"/>
  <c r="Y84" i="1"/>
  <c r="T84" i="1"/>
  <c r="U84" i="1"/>
  <c r="W84" i="1"/>
  <c r="Z229" i="1"/>
  <c r="T229" i="1"/>
  <c r="U229" i="1"/>
  <c r="V229" i="1"/>
  <c r="Y229" i="1"/>
  <c r="W229" i="1"/>
  <c r="Z23" i="1"/>
  <c r="T23" i="1"/>
  <c r="W23" i="1"/>
  <c r="V23" i="1"/>
  <c r="U23" i="1"/>
  <c r="Y23" i="1"/>
  <c r="Z205" i="1"/>
  <c r="W205" i="1"/>
  <c r="V205" i="1"/>
  <c r="T205" i="1"/>
  <c r="Y205" i="1"/>
  <c r="U205" i="1"/>
  <c r="U254" i="1"/>
  <c r="V254" i="1"/>
  <c r="W254" i="1"/>
  <c r="T254" i="1"/>
  <c r="Z254" i="1"/>
  <c r="Y254" i="1"/>
  <c r="Z37" i="1"/>
  <c r="V37" i="1"/>
  <c r="Y37" i="1"/>
  <c r="W37" i="1"/>
  <c r="U37" i="1"/>
  <c r="T37" i="1"/>
  <c r="Z21" i="1"/>
  <c r="W21" i="1"/>
  <c r="T21" i="1"/>
  <c r="Y21" i="1"/>
  <c r="V21" i="1"/>
  <c r="U21" i="1"/>
  <c r="Z354" i="1"/>
  <c r="U354" i="1"/>
  <c r="Y354" i="1"/>
  <c r="W354" i="1"/>
  <c r="T354" i="1"/>
  <c r="V354" i="1"/>
  <c r="Z60" i="1"/>
  <c r="T60" i="1"/>
  <c r="U60" i="1"/>
  <c r="W60" i="1"/>
  <c r="Y60" i="1"/>
  <c r="V60" i="1"/>
  <c r="Z242" i="1"/>
  <c r="T242" i="1"/>
  <c r="Y242" i="1"/>
  <c r="V242" i="1"/>
  <c r="W242" i="1"/>
  <c r="U242" i="1"/>
  <c r="Z166" i="1"/>
  <c r="U166" i="1"/>
  <c r="Y166" i="1"/>
  <c r="V166" i="1"/>
  <c r="W166" i="1"/>
  <c r="T166" i="1"/>
  <c r="Z218" i="1"/>
  <c r="T218" i="1"/>
  <c r="U218" i="1"/>
  <c r="Y218" i="1"/>
  <c r="W218" i="1"/>
  <c r="V218" i="1"/>
  <c r="Z387" i="1"/>
  <c r="V387" i="1"/>
  <c r="T387" i="1"/>
  <c r="W387" i="1"/>
  <c r="U387" i="1"/>
  <c r="Y387" i="1"/>
  <c r="Z96" i="1"/>
  <c r="W96" i="1"/>
  <c r="V96" i="1"/>
  <c r="Y96" i="1"/>
  <c r="U96" i="1"/>
  <c r="T96" i="1"/>
  <c r="Z26" i="1"/>
  <c r="U26" i="1"/>
  <c r="W26" i="1"/>
  <c r="V26" i="1"/>
  <c r="Y26" i="1"/>
  <c r="T26" i="1"/>
  <c r="Z142" i="1"/>
  <c r="T142" i="1"/>
  <c r="W142" i="1"/>
  <c r="Y142" i="1"/>
  <c r="V142" i="1"/>
  <c r="U142" i="1"/>
  <c r="Z328" i="1"/>
  <c r="T328" i="1"/>
  <c r="W328" i="1"/>
  <c r="V328" i="1"/>
  <c r="Y328" i="1"/>
  <c r="U328" i="1"/>
  <c r="Z45" i="1"/>
  <c r="V45" i="1"/>
  <c r="W45" i="1"/>
  <c r="Y45" i="1"/>
  <c r="T45" i="1"/>
  <c r="U45" i="1"/>
  <c r="Z300" i="1"/>
  <c r="T300" i="1"/>
  <c r="U300" i="1"/>
  <c r="Y300" i="1"/>
  <c r="W300" i="1"/>
  <c r="V300" i="1"/>
  <c r="Z233" i="1"/>
  <c r="W233" i="1"/>
  <c r="V233" i="1"/>
  <c r="Y233" i="1"/>
  <c r="U233" i="1"/>
  <c r="T233" i="1"/>
  <c r="V219" i="1"/>
  <c r="Z219" i="1"/>
  <c r="U219" i="1"/>
  <c r="T219" i="1"/>
  <c r="Y219" i="1"/>
  <c r="W219" i="1"/>
  <c r="V123" i="1"/>
  <c r="U123" i="1"/>
  <c r="Y123" i="1"/>
  <c r="T123" i="1"/>
  <c r="W123" i="1"/>
  <c r="Z123" i="1"/>
  <c r="W102" i="1"/>
  <c r="V102" i="1"/>
  <c r="U102" i="1"/>
  <c r="Y102" i="1"/>
  <c r="T102" i="1"/>
  <c r="Z102" i="1"/>
  <c r="Z324" i="1"/>
  <c r="T324" i="1"/>
  <c r="Y324" i="1"/>
  <c r="W324" i="1"/>
  <c r="V324" i="1"/>
  <c r="U324" i="1"/>
  <c r="Z246" i="1"/>
  <c r="U246" i="1"/>
  <c r="Y246" i="1"/>
  <c r="W246" i="1"/>
  <c r="V246" i="1"/>
  <c r="T246" i="1"/>
  <c r="Z322" i="1"/>
  <c r="V322" i="1"/>
  <c r="U322" i="1"/>
  <c r="W322" i="1"/>
  <c r="Y322" i="1"/>
  <c r="T322" i="1"/>
  <c r="Z132" i="1"/>
  <c r="W132" i="1"/>
  <c r="V132" i="1"/>
  <c r="Y132" i="1"/>
  <c r="T132" i="1"/>
  <c r="U132" i="1"/>
  <c r="Z54" i="1"/>
  <c r="W54" i="1"/>
  <c r="T54" i="1"/>
  <c r="Y54" i="1"/>
  <c r="V54" i="1"/>
  <c r="U54" i="1"/>
  <c r="Z79" i="1"/>
  <c r="T79" i="1"/>
  <c r="U79" i="1"/>
  <c r="Y79" i="1"/>
  <c r="W79" i="1"/>
  <c r="V79" i="1"/>
  <c r="Z182" i="1"/>
  <c r="T182" i="1"/>
  <c r="Y182" i="1"/>
  <c r="W182" i="1"/>
  <c r="U182" i="1"/>
  <c r="V182" i="1"/>
  <c r="Z35" i="1"/>
  <c r="T35" i="1"/>
  <c r="W35" i="1"/>
  <c r="V35" i="1"/>
  <c r="Y35" i="1"/>
  <c r="U35" i="1"/>
  <c r="Z340" i="1"/>
  <c r="W340" i="1"/>
  <c r="T340" i="1"/>
  <c r="Y340" i="1"/>
  <c r="V340" i="1"/>
  <c r="U340" i="1"/>
  <c r="Z341" i="1"/>
  <c r="W341" i="1"/>
  <c r="U341" i="1"/>
  <c r="Y341" i="1"/>
  <c r="V341" i="1"/>
  <c r="T341" i="1"/>
  <c r="Z51" i="1"/>
  <c r="U51" i="1"/>
  <c r="W51" i="1"/>
  <c r="V51" i="1"/>
  <c r="Y51" i="1"/>
  <c r="T51" i="1"/>
  <c r="Z100" i="1"/>
  <c r="T100" i="1"/>
  <c r="Y100" i="1"/>
  <c r="U100" i="1"/>
  <c r="W100" i="1"/>
  <c r="V100" i="1"/>
  <c r="Z309" i="1"/>
  <c r="W309" i="1"/>
  <c r="U309" i="1"/>
  <c r="Y309" i="1"/>
  <c r="V309" i="1"/>
  <c r="T309" i="1"/>
  <c r="Z169" i="1"/>
  <c r="W169" i="1"/>
  <c r="Y169" i="1"/>
  <c r="U169" i="1"/>
  <c r="V169" i="1"/>
  <c r="T169" i="1"/>
  <c r="Z361" i="1"/>
  <c r="U361" i="1"/>
  <c r="W361" i="1"/>
  <c r="Y361" i="1"/>
  <c r="V361" i="1"/>
  <c r="T361" i="1"/>
  <c r="Z143" i="1"/>
  <c r="U143" i="1"/>
  <c r="W143" i="1"/>
  <c r="Y143" i="1"/>
  <c r="V143" i="1"/>
  <c r="T143" i="1"/>
  <c r="Z156" i="1"/>
  <c r="V156" i="1"/>
  <c r="U156" i="1"/>
  <c r="T156" i="1"/>
  <c r="W156" i="1"/>
  <c r="Y156" i="1"/>
  <c r="Z46" i="1"/>
  <c r="U46" i="1"/>
  <c r="Y46" i="1"/>
  <c r="W46" i="1"/>
  <c r="T46" i="1"/>
  <c r="V46" i="1"/>
  <c r="Z106" i="1"/>
  <c r="V106" i="1"/>
  <c r="Y106" i="1"/>
  <c r="W106" i="1"/>
  <c r="U106" i="1"/>
  <c r="T106" i="1"/>
  <c r="Z258" i="1"/>
  <c r="T258" i="1"/>
  <c r="W258" i="1"/>
  <c r="Y258" i="1"/>
  <c r="V258" i="1"/>
  <c r="U258" i="1"/>
  <c r="Z207" i="1"/>
  <c r="U207" i="1"/>
  <c r="W207" i="1"/>
  <c r="Y207" i="1"/>
  <c r="V207" i="1"/>
  <c r="T207" i="1"/>
  <c r="W299" i="1"/>
  <c r="T299" i="1"/>
  <c r="U299" i="1"/>
  <c r="Z299" i="1"/>
  <c r="Y299" i="1"/>
  <c r="V299" i="1"/>
  <c r="V281" i="1"/>
  <c r="Z281" i="1"/>
  <c r="U281" i="1"/>
  <c r="T281" i="1"/>
  <c r="W281" i="1"/>
  <c r="Y281" i="1"/>
  <c r="AE395" i="1"/>
  <c r="AD395" i="1"/>
  <c r="AC395" i="1"/>
  <c r="AC296" i="1"/>
  <c r="AD296" i="1"/>
  <c r="AE296" i="1"/>
  <c r="AC92" i="1"/>
  <c r="AD92" i="1"/>
  <c r="AE92" i="1"/>
  <c r="AD353" i="1"/>
  <c r="AE353" i="1"/>
  <c r="AC353" i="1"/>
  <c r="AE109" i="1"/>
  <c r="AD109" i="1"/>
  <c r="AC109" i="1"/>
  <c r="AD388" i="1"/>
  <c r="AC388" i="1"/>
  <c r="AE388" i="1"/>
  <c r="AE61" i="1"/>
  <c r="AC61" i="1"/>
  <c r="AD61" i="1"/>
  <c r="AD383" i="1"/>
  <c r="AE383" i="1"/>
  <c r="AC383" i="1"/>
  <c r="AC375" i="1"/>
  <c r="AD375" i="1"/>
  <c r="AE375" i="1"/>
  <c r="AC184" i="1"/>
  <c r="AD184" i="1"/>
  <c r="AE184" i="1"/>
  <c r="AE125" i="1"/>
  <c r="AC125" i="1"/>
  <c r="AD125" i="1"/>
  <c r="AD372" i="1"/>
  <c r="AE372" i="1"/>
  <c r="AC372" i="1"/>
  <c r="AC291" i="1"/>
  <c r="AD291" i="1"/>
  <c r="AE291" i="1"/>
  <c r="AE356" i="1"/>
  <c r="AD356" i="1"/>
  <c r="AC356" i="1"/>
  <c r="AC283" i="1"/>
  <c r="AD283" i="1"/>
  <c r="AE283" i="1"/>
  <c r="AC309" i="1"/>
  <c r="AD309" i="1"/>
  <c r="AE309" i="1"/>
  <c r="AC340" i="1"/>
  <c r="AD340" i="1"/>
  <c r="AE340" i="1"/>
  <c r="AC257" i="1"/>
  <c r="AE257" i="1"/>
  <c r="AD257" i="1"/>
  <c r="AC275" i="1"/>
  <c r="AE275" i="1"/>
  <c r="AD275" i="1"/>
  <c r="AE146" i="1"/>
  <c r="AC146" i="1"/>
  <c r="AD146" i="1"/>
  <c r="AC188" i="1"/>
  <c r="AE188" i="1"/>
  <c r="AD188" i="1"/>
  <c r="AD324" i="1"/>
  <c r="AE324" i="1"/>
  <c r="AC324" i="1"/>
  <c r="AD249" i="1"/>
  <c r="AE249" i="1"/>
  <c r="AC249" i="1"/>
  <c r="AE111" i="1"/>
  <c r="AC111" i="1"/>
  <c r="AD111" i="1"/>
  <c r="AD267" i="1"/>
  <c r="AE267" i="1"/>
  <c r="AC267" i="1"/>
  <c r="AC138" i="1"/>
  <c r="AD138" i="1"/>
  <c r="AE138" i="1"/>
  <c r="AC84" i="1"/>
  <c r="AD84" i="1"/>
  <c r="AE84" i="1"/>
  <c r="AC53" i="1"/>
  <c r="AD53" i="1"/>
  <c r="AE53" i="1"/>
  <c r="AE177" i="1"/>
  <c r="AC177" i="1"/>
  <c r="AD177" i="1"/>
  <c r="AE39" i="1"/>
  <c r="AC39" i="1"/>
  <c r="AD39" i="1"/>
  <c r="AD195" i="1"/>
  <c r="AE195" i="1"/>
  <c r="AC195" i="1"/>
  <c r="AD66" i="1"/>
  <c r="AC66" i="1"/>
  <c r="AE66" i="1"/>
  <c r="AC140" i="1"/>
  <c r="AD140" i="1"/>
  <c r="AE140" i="1"/>
  <c r="AD336" i="1"/>
  <c r="AE336" i="1"/>
  <c r="AC336" i="1"/>
  <c r="AE105" i="1"/>
  <c r="AD105" i="1"/>
  <c r="AC105" i="1"/>
  <c r="AD342" i="1"/>
  <c r="AE342" i="1"/>
  <c r="AC342" i="1"/>
  <c r="AE123" i="1"/>
  <c r="AC123" i="1"/>
  <c r="AD123" i="1"/>
  <c r="AC329" i="1"/>
  <c r="AD329" i="1"/>
  <c r="AE329" i="1"/>
  <c r="AD285" i="1"/>
  <c r="AC285" i="1"/>
  <c r="AE285" i="1"/>
  <c r="AD264" i="1"/>
  <c r="AE264" i="1"/>
  <c r="AC264" i="1"/>
  <c r="AC33" i="1"/>
  <c r="AD33" i="1"/>
  <c r="AE33" i="1"/>
  <c r="AC270" i="1"/>
  <c r="AD270" i="1"/>
  <c r="AE270" i="1"/>
  <c r="AC51" i="1"/>
  <c r="AD51" i="1"/>
  <c r="AE51" i="1"/>
  <c r="AC276" i="1"/>
  <c r="AE276" i="1"/>
  <c r="AD276" i="1"/>
  <c r="AE349" i="1"/>
  <c r="AD349" i="1"/>
  <c r="AC349" i="1"/>
  <c r="AD192" i="1"/>
  <c r="AE192" i="1"/>
  <c r="AC192" i="1"/>
  <c r="AD335" i="1"/>
  <c r="AC335" i="1"/>
  <c r="AE335" i="1"/>
  <c r="AC198" i="1"/>
  <c r="AD198" i="1"/>
  <c r="AE198" i="1"/>
  <c r="AE362" i="1"/>
  <c r="AC362" i="1"/>
  <c r="AD362" i="1"/>
  <c r="H39" i="1"/>
  <c r="B39" i="1"/>
  <c r="G39" i="1"/>
  <c r="Z344" i="1"/>
  <c r="V344" i="1"/>
  <c r="Y344" i="1"/>
  <c r="T344" i="1"/>
  <c r="U344" i="1"/>
  <c r="W344" i="1"/>
  <c r="Z189" i="1"/>
  <c r="W189" i="1"/>
  <c r="T189" i="1"/>
  <c r="Y189" i="1"/>
  <c r="U189" i="1"/>
  <c r="V189" i="1"/>
  <c r="Z256" i="1"/>
  <c r="W256" i="1"/>
  <c r="V256" i="1"/>
  <c r="Y256" i="1"/>
  <c r="T256" i="1"/>
  <c r="U256" i="1"/>
  <c r="Z147" i="1"/>
  <c r="T147" i="1"/>
  <c r="W147" i="1"/>
  <c r="U147" i="1"/>
  <c r="V147" i="1"/>
  <c r="Y147" i="1"/>
  <c r="Z65" i="1"/>
  <c r="V65" i="1"/>
  <c r="W65" i="1"/>
  <c r="T65" i="1"/>
  <c r="U65" i="1"/>
  <c r="Y65" i="1"/>
  <c r="Z289" i="1"/>
  <c r="W289" i="1"/>
  <c r="V289" i="1"/>
  <c r="U289" i="1"/>
  <c r="T289" i="1"/>
  <c r="Y289" i="1"/>
  <c r="Z185" i="1"/>
  <c r="U185" i="1"/>
  <c r="V185" i="1"/>
  <c r="W185" i="1"/>
  <c r="T185" i="1"/>
  <c r="Y185" i="1"/>
  <c r="Z194" i="1"/>
  <c r="U194" i="1"/>
  <c r="W194" i="1"/>
  <c r="T194" i="1"/>
  <c r="Y194" i="1"/>
  <c r="V194" i="1"/>
  <c r="Z302" i="1"/>
  <c r="T302" i="1"/>
  <c r="Y302" i="1"/>
  <c r="W302" i="1"/>
  <c r="U302" i="1"/>
  <c r="V302" i="1"/>
  <c r="Z126" i="1"/>
  <c r="U126" i="1"/>
  <c r="Y126" i="1"/>
  <c r="W126" i="1"/>
  <c r="V126" i="1"/>
  <c r="T126" i="1"/>
  <c r="Z234" i="1"/>
  <c r="W234" i="1"/>
  <c r="V234" i="1"/>
  <c r="T234" i="1"/>
  <c r="Y234" i="1"/>
  <c r="U234" i="1"/>
  <c r="Z188" i="1"/>
  <c r="T188" i="1"/>
  <c r="Y188" i="1"/>
  <c r="V188" i="1"/>
  <c r="U188" i="1"/>
  <c r="W188" i="1"/>
  <c r="Z332" i="1"/>
  <c r="U332" i="1"/>
  <c r="W332" i="1"/>
  <c r="Y332" i="1"/>
  <c r="V332" i="1"/>
  <c r="T332" i="1"/>
  <c r="Z120" i="1"/>
  <c r="U120" i="1"/>
  <c r="V120" i="1"/>
  <c r="W120" i="1"/>
  <c r="T120" i="1"/>
  <c r="Y120" i="1"/>
  <c r="Z374" i="1"/>
  <c r="T374" i="1"/>
  <c r="U374" i="1"/>
  <c r="Y374" i="1"/>
  <c r="V374" i="1"/>
  <c r="W374" i="1"/>
  <c r="Z140" i="1"/>
  <c r="T140" i="1"/>
  <c r="W140" i="1"/>
  <c r="Y140" i="1"/>
  <c r="U140" i="1"/>
  <c r="V140" i="1"/>
  <c r="Z298" i="1"/>
  <c r="W298" i="1"/>
  <c r="T298" i="1"/>
  <c r="Y298" i="1"/>
  <c r="U298" i="1"/>
  <c r="V298" i="1"/>
  <c r="Z199" i="1"/>
  <c r="T199" i="1"/>
  <c r="Y199" i="1"/>
  <c r="W199" i="1"/>
  <c r="U199" i="1"/>
  <c r="V199" i="1"/>
  <c r="Z278" i="1"/>
  <c r="W278" i="1"/>
  <c r="U278" i="1"/>
  <c r="Y278" i="1"/>
  <c r="V278" i="1"/>
  <c r="T278" i="1"/>
  <c r="Z257" i="1"/>
  <c r="V257" i="1"/>
  <c r="U257" i="1"/>
  <c r="Y257" i="1"/>
  <c r="W257" i="1"/>
  <c r="T257" i="1"/>
  <c r="Z245" i="1"/>
  <c r="W245" i="1"/>
  <c r="V245" i="1"/>
  <c r="Y245" i="1"/>
  <c r="T245" i="1"/>
  <c r="U245" i="1"/>
  <c r="Z86" i="1"/>
  <c r="W86" i="1"/>
  <c r="T86" i="1"/>
  <c r="V86" i="1"/>
  <c r="U86" i="1"/>
  <c r="Y86" i="1"/>
  <c r="T62" i="1"/>
  <c r="W62" i="1"/>
  <c r="Z62" i="1"/>
  <c r="U62" i="1"/>
  <c r="V62" i="1"/>
  <c r="Y62" i="1"/>
  <c r="V89" i="1"/>
  <c r="Z89" i="1"/>
  <c r="U89" i="1"/>
  <c r="W89" i="1"/>
  <c r="T89" i="1"/>
  <c r="Y89" i="1"/>
  <c r="Z58" i="1"/>
  <c r="V58" i="1"/>
  <c r="Y58" i="1"/>
  <c r="W58" i="1"/>
  <c r="U58" i="1"/>
  <c r="T58" i="1"/>
  <c r="Z336" i="1"/>
  <c r="T336" i="1"/>
  <c r="Y336" i="1"/>
  <c r="W336" i="1"/>
  <c r="U336" i="1"/>
  <c r="V336" i="1"/>
  <c r="Z111" i="1"/>
  <c r="W111" i="1"/>
  <c r="U111" i="1"/>
  <c r="Y111" i="1"/>
  <c r="T111" i="1"/>
  <c r="V111" i="1"/>
  <c r="Z255" i="1"/>
  <c r="W255" i="1"/>
  <c r="V255" i="1"/>
  <c r="Y255" i="1"/>
  <c r="T255" i="1"/>
  <c r="U255" i="1"/>
  <c r="Z97" i="1"/>
  <c r="W97" i="1"/>
  <c r="T97" i="1"/>
  <c r="Y97" i="1"/>
  <c r="U97" i="1"/>
  <c r="V97" i="1"/>
  <c r="Z187" i="1"/>
  <c r="T187" i="1"/>
  <c r="U187" i="1"/>
  <c r="Y187" i="1"/>
  <c r="V187" i="1"/>
  <c r="W187" i="1"/>
  <c r="Z57" i="1"/>
  <c r="T57" i="1"/>
  <c r="U57" i="1"/>
  <c r="Y57" i="1"/>
  <c r="W57" i="1"/>
  <c r="V57" i="1"/>
  <c r="Z32" i="1"/>
  <c r="W32" i="1"/>
  <c r="U32" i="1"/>
  <c r="Y32" i="1"/>
  <c r="T32" i="1"/>
  <c r="V32" i="1"/>
  <c r="Z165" i="1"/>
  <c r="W165" i="1"/>
  <c r="U165" i="1"/>
  <c r="Y165" i="1"/>
  <c r="T165" i="1"/>
  <c r="V165" i="1"/>
  <c r="Z378" i="1"/>
  <c r="W378" i="1"/>
  <c r="T378" i="1"/>
  <c r="Y378" i="1"/>
  <c r="U378" i="1"/>
  <c r="V378" i="1"/>
  <c r="Z348" i="1"/>
  <c r="V348" i="1"/>
  <c r="Y348" i="1"/>
  <c r="W348" i="1"/>
  <c r="U348" i="1"/>
  <c r="T348" i="1"/>
  <c r="Z287" i="1"/>
  <c r="W287" i="1"/>
  <c r="V287" i="1"/>
  <c r="Y287" i="1"/>
  <c r="U287" i="1"/>
  <c r="T287" i="1"/>
  <c r="Z308" i="1"/>
  <c r="W308" i="1"/>
  <c r="T308" i="1"/>
  <c r="Y308" i="1"/>
  <c r="U308" i="1"/>
  <c r="V308" i="1"/>
  <c r="Z117" i="1"/>
  <c r="W117" i="1"/>
  <c r="T117" i="1"/>
  <c r="Y117" i="1"/>
  <c r="V117" i="1"/>
  <c r="U117" i="1"/>
  <c r="Z183" i="1"/>
  <c r="Y183" i="1"/>
  <c r="V183" i="1"/>
  <c r="W183" i="1"/>
  <c r="T183" i="1"/>
  <c r="U183" i="1"/>
  <c r="Z190" i="1"/>
  <c r="Y190" i="1"/>
  <c r="W190" i="1"/>
  <c r="T190" i="1"/>
  <c r="V190" i="1"/>
  <c r="U190" i="1"/>
  <c r="Z200" i="1"/>
  <c r="Y200" i="1"/>
  <c r="U200" i="1"/>
  <c r="W200" i="1"/>
  <c r="T200" i="1"/>
  <c r="V200" i="1"/>
  <c r="Z146" i="1"/>
  <c r="W146" i="1"/>
  <c r="T146" i="1"/>
  <c r="Y146" i="1"/>
  <c r="U146" i="1"/>
  <c r="V146" i="1"/>
  <c r="Z386" i="1"/>
  <c r="U386" i="1"/>
  <c r="Y386" i="1"/>
  <c r="W386" i="1"/>
  <c r="T386" i="1"/>
  <c r="V386" i="1"/>
  <c r="Z47" i="1"/>
  <c r="W47" i="1"/>
  <c r="V47" i="1"/>
  <c r="Y47" i="1"/>
  <c r="U47" i="1"/>
  <c r="T47" i="1"/>
  <c r="Z320" i="1"/>
  <c r="W320" i="1"/>
  <c r="V320" i="1"/>
  <c r="Y320" i="1"/>
  <c r="U320" i="1"/>
  <c r="T320" i="1"/>
  <c r="U90" i="1"/>
  <c r="V90" i="1"/>
  <c r="Z90" i="1"/>
  <c r="W90" i="1"/>
  <c r="Y90" i="1"/>
  <c r="T90" i="1"/>
  <c r="W121" i="1"/>
  <c r="T121" i="1"/>
  <c r="V121" i="1"/>
  <c r="Y121" i="1"/>
  <c r="U121" i="1"/>
  <c r="Z121" i="1"/>
  <c r="AE81" i="1"/>
  <c r="AC81" i="1"/>
  <c r="AD81" i="1"/>
  <c r="AC310" i="1"/>
  <c r="AD310" i="1"/>
  <c r="AE310" i="1"/>
  <c r="AC196" i="1"/>
  <c r="AD196" i="1"/>
  <c r="AE196" i="1"/>
  <c r="AD294" i="1"/>
  <c r="AE294" i="1"/>
  <c r="AC294" i="1"/>
  <c r="AC293" i="1"/>
  <c r="AD293" i="1"/>
  <c r="AE293" i="1"/>
  <c r="AC215" i="1"/>
  <c r="AD215" i="1"/>
  <c r="AE215" i="1"/>
  <c r="AC281" i="1"/>
  <c r="AD281" i="1"/>
  <c r="AE281" i="1"/>
  <c r="AE248" i="1"/>
  <c r="AC248" i="1"/>
  <c r="AD248" i="1"/>
  <c r="AC246" i="1"/>
  <c r="AD246" i="1"/>
  <c r="AE246" i="1"/>
  <c r="AE220" i="1"/>
  <c r="AC220" i="1"/>
  <c r="AD220" i="1"/>
  <c r="AE301" i="1"/>
  <c r="AD301" i="1"/>
  <c r="AC301" i="1"/>
  <c r="AC273" i="1"/>
  <c r="AE273" i="1"/>
  <c r="AD273" i="1"/>
  <c r="AE162" i="1"/>
  <c r="AD162" i="1"/>
  <c r="AC162" i="1"/>
  <c r="AC265" i="1"/>
  <c r="AD265" i="1"/>
  <c r="AE265" i="1"/>
  <c r="AD154" i="1"/>
  <c r="AE154" i="1"/>
  <c r="AC154" i="1"/>
  <c r="AD119" i="1"/>
  <c r="AE119" i="1"/>
  <c r="AC119" i="1"/>
  <c r="H29" i="1"/>
  <c r="AE305" i="1"/>
  <c r="AC305" i="1"/>
  <c r="AD305" i="1"/>
  <c r="AE181" i="1"/>
  <c r="AC181" i="1"/>
  <c r="AD181" i="1"/>
  <c r="AE209" i="1"/>
  <c r="AC209" i="1"/>
  <c r="AD209" i="1"/>
  <c r="AE71" i="1"/>
  <c r="AC71" i="1"/>
  <c r="AD71" i="1"/>
  <c r="AC227" i="1"/>
  <c r="AD227" i="1"/>
  <c r="AE227" i="1"/>
  <c r="AE98" i="1"/>
  <c r="AD98" i="1"/>
  <c r="AC98" i="1"/>
  <c r="AC244" i="1"/>
  <c r="AD244" i="1"/>
  <c r="AE244" i="1"/>
  <c r="AD149" i="1"/>
  <c r="AE149" i="1"/>
  <c r="AC149" i="1"/>
  <c r="AC201" i="1"/>
  <c r="AD201" i="1"/>
  <c r="AE201" i="1"/>
  <c r="AE63" i="1"/>
  <c r="AC63" i="1"/>
  <c r="AD63" i="1"/>
  <c r="AC219" i="1"/>
  <c r="AD219" i="1"/>
  <c r="AE219" i="1"/>
  <c r="AC90" i="1"/>
  <c r="AE90" i="1"/>
  <c r="AD90" i="1"/>
  <c r="AE180" i="1"/>
  <c r="AC180" i="1"/>
  <c r="AD180" i="1"/>
  <c r="AE117" i="1"/>
  <c r="AC117" i="1"/>
  <c r="AD117" i="1"/>
  <c r="AE193" i="1"/>
  <c r="AC193" i="1"/>
  <c r="AD193" i="1"/>
  <c r="AE55" i="1"/>
  <c r="AC55" i="1"/>
  <c r="AD55" i="1"/>
  <c r="AC211" i="1"/>
  <c r="AD211" i="1"/>
  <c r="AE211" i="1"/>
  <c r="AC82" i="1"/>
  <c r="AD82" i="1"/>
  <c r="AE82" i="1"/>
  <c r="AD148" i="1"/>
  <c r="AC148" i="1"/>
  <c r="AE148" i="1"/>
  <c r="AE85" i="1"/>
  <c r="AC85" i="1"/>
  <c r="AD85" i="1"/>
  <c r="AD185" i="1"/>
  <c r="AC185" i="1"/>
  <c r="AE185" i="1"/>
  <c r="AE47" i="1"/>
  <c r="AD47" i="1"/>
  <c r="AC47" i="1"/>
  <c r="AC203" i="1"/>
  <c r="AD203" i="1"/>
  <c r="AE203" i="1"/>
  <c r="AD74" i="1"/>
  <c r="AC74" i="1"/>
  <c r="AE74" i="1"/>
  <c r="AD172" i="1"/>
  <c r="AE172" i="1"/>
  <c r="AC172" i="1"/>
  <c r="AE344" i="1"/>
  <c r="AC344" i="1"/>
  <c r="AD344" i="1"/>
  <c r="AE113" i="1"/>
  <c r="AD113" i="1"/>
  <c r="AC113" i="1"/>
  <c r="AC350" i="1"/>
  <c r="AD350" i="1"/>
  <c r="AE350" i="1"/>
  <c r="AE131" i="1"/>
  <c r="AC131" i="1"/>
  <c r="AD131" i="1"/>
  <c r="AC393" i="1"/>
  <c r="AE393" i="1"/>
  <c r="AD393" i="1"/>
  <c r="AC361" i="1"/>
  <c r="AD361" i="1"/>
  <c r="AE361" i="1"/>
  <c r="AD272" i="1"/>
  <c r="AE272" i="1"/>
  <c r="AC272" i="1"/>
  <c r="AE41" i="1"/>
  <c r="AD41" i="1"/>
  <c r="AC41" i="1"/>
  <c r="AD278" i="1"/>
  <c r="AC278" i="1"/>
  <c r="AE278" i="1"/>
  <c r="AE59" i="1"/>
  <c r="AD59" i="1"/>
  <c r="AC59" i="1"/>
  <c r="AC323" i="1"/>
  <c r="AE323" i="1"/>
  <c r="AD323" i="1"/>
  <c r="AC381" i="1"/>
  <c r="AD381" i="1"/>
  <c r="AE381" i="1"/>
  <c r="AC200" i="1"/>
  <c r="AE200" i="1"/>
  <c r="AD200" i="1"/>
  <c r="AD343" i="1"/>
  <c r="AE343" i="1"/>
  <c r="AC343" i="1"/>
  <c r="AD206" i="1"/>
  <c r="AC206" i="1"/>
  <c r="AE206" i="1"/>
  <c r="AE370" i="1"/>
  <c r="AC370" i="1"/>
  <c r="AD370" i="1"/>
  <c r="AC321" i="1"/>
  <c r="AE321" i="1"/>
  <c r="AD321" i="1"/>
  <c r="AC229" i="1"/>
  <c r="AD229" i="1"/>
  <c r="AE229" i="1"/>
  <c r="AD128" i="1"/>
  <c r="AE128" i="1"/>
  <c r="AC128" i="1"/>
  <c r="AC271" i="1"/>
  <c r="AD271" i="1"/>
  <c r="AE271" i="1"/>
  <c r="AD134" i="1"/>
  <c r="AC134" i="1"/>
  <c r="AE134" i="1"/>
  <c r="AE298" i="1"/>
  <c r="AD298" i="1"/>
  <c r="AC298" i="1"/>
  <c r="Z244" i="1"/>
  <c r="W244" i="1"/>
  <c r="T244" i="1"/>
  <c r="V244" i="1"/>
  <c r="Y244" i="1"/>
  <c r="U244" i="1"/>
  <c r="Z105" i="1"/>
  <c r="U105" i="1"/>
  <c r="W105" i="1"/>
  <c r="V105" i="1"/>
  <c r="Y105" i="1"/>
  <c r="T105" i="1"/>
  <c r="Z356" i="1"/>
  <c r="W356" i="1"/>
  <c r="T356" i="1"/>
  <c r="Y356" i="1"/>
  <c r="U356" i="1"/>
  <c r="V356" i="1"/>
  <c r="Z153" i="1"/>
  <c r="T153" i="1"/>
  <c r="Y153" i="1"/>
  <c r="U153" i="1"/>
  <c r="V153" i="1"/>
  <c r="W153" i="1"/>
  <c r="Z53" i="1"/>
  <c r="T53" i="1"/>
  <c r="U53" i="1"/>
  <c r="Y53" i="1"/>
  <c r="V53" i="1"/>
  <c r="W53" i="1"/>
  <c r="Z288" i="1"/>
  <c r="V288" i="1"/>
  <c r="Y288" i="1"/>
  <c r="U288" i="1"/>
  <c r="T288" i="1"/>
  <c r="W288" i="1"/>
  <c r="Z61" i="1"/>
  <c r="V61" i="1"/>
  <c r="W61" i="1"/>
  <c r="Y61" i="1"/>
  <c r="T61" i="1"/>
  <c r="U61" i="1"/>
  <c r="Z326" i="1"/>
  <c r="V326" i="1"/>
  <c r="U326" i="1"/>
  <c r="W326" i="1"/>
  <c r="T326" i="1"/>
  <c r="Y326" i="1"/>
  <c r="Z83" i="1"/>
  <c r="W83" i="1"/>
  <c r="V83" i="1"/>
  <c r="U83" i="1"/>
  <c r="Y83" i="1"/>
  <c r="T83" i="1"/>
  <c r="Z227" i="1"/>
  <c r="V227" i="1"/>
  <c r="W227" i="1"/>
  <c r="U227" i="1"/>
  <c r="Y227" i="1"/>
  <c r="T227" i="1"/>
  <c r="Z112" i="1"/>
  <c r="W112" i="1"/>
  <c r="U112" i="1"/>
  <c r="V112" i="1"/>
  <c r="T112" i="1"/>
  <c r="Y112" i="1"/>
  <c r="Z222" i="1"/>
  <c r="V222" i="1"/>
  <c r="U222" i="1"/>
  <c r="Y222" i="1"/>
  <c r="T222" i="1"/>
  <c r="W222" i="1"/>
  <c r="Z130" i="1"/>
  <c r="V130" i="1"/>
  <c r="Y130" i="1"/>
  <c r="W130" i="1"/>
  <c r="U130" i="1"/>
  <c r="T130" i="1"/>
  <c r="Z55" i="1"/>
  <c r="Y55" i="1"/>
  <c r="W55" i="1"/>
  <c r="V55" i="1"/>
  <c r="U55" i="1"/>
  <c r="T55" i="1"/>
  <c r="Z294" i="1"/>
  <c r="V294" i="1"/>
  <c r="Y294" i="1"/>
  <c r="W294" i="1"/>
  <c r="U294" i="1"/>
  <c r="T294" i="1"/>
  <c r="Z346" i="1"/>
  <c r="W346" i="1"/>
  <c r="T346" i="1"/>
  <c r="Y346" i="1"/>
  <c r="V346" i="1"/>
  <c r="U346" i="1"/>
  <c r="Z318" i="1"/>
  <c r="W318" i="1"/>
  <c r="V318" i="1"/>
  <c r="Y318" i="1"/>
  <c r="U318" i="1"/>
  <c r="T318" i="1"/>
  <c r="Z347" i="1"/>
  <c r="W347" i="1"/>
  <c r="U347" i="1"/>
  <c r="Y347" i="1"/>
  <c r="V347" i="1"/>
  <c r="T347" i="1"/>
  <c r="Z323" i="1"/>
  <c r="V323" i="1"/>
  <c r="W323" i="1"/>
  <c r="T323" i="1"/>
  <c r="U323" i="1"/>
  <c r="Y323" i="1"/>
  <c r="Z192" i="1"/>
  <c r="W192" i="1"/>
  <c r="Y192" i="1"/>
  <c r="T192" i="1"/>
  <c r="V192" i="1"/>
  <c r="U192" i="1"/>
  <c r="Z107" i="1"/>
  <c r="T107" i="1"/>
  <c r="Y107" i="1"/>
  <c r="W107" i="1"/>
  <c r="U107" i="1"/>
  <c r="V107" i="1"/>
  <c r="Z131" i="1"/>
  <c r="U131" i="1"/>
  <c r="V131" i="1"/>
  <c r="Y131" i="1"/>
  <c r="W131" i="1"/>
  <c r="T131" i="1"/>
  <c r="Z145" i="1"/>
  <c r="T145" i="1"/>
  <c r="U145" i="1"/>
  <c r="Y145" i="1"/>
  <c r="W145" i="1"/>
  <c r="V145" i="1"/>
  <c r="Z260" i="1"/>
  <c r="W260" i="1"/>
  <c r="T260" i="1"/>
  <c r="Y260" i="1"/>
  <c r="V260" i="1"/>
  <c r="U260" i="1"/>
  <c r="Z236" i="1"/>
  <c r="V236" i="1"/>
  <c r="U236" i="1"/>
  <c r="Y236" i="1"/>
  <c r="W236" i="1"/>
  <c r="T236" i="1"/>
  <c r="Z338" i="1"/>
  <c r="Y338" i="1"/>
  <c r="W338" i="1"/>
  <c r="U338" i="1"/>
  <c r="V338" i="1"/>
  <c r="T338" i="1"/>
  <c r="Z304" i="1"/>
  <c r="W304" i="1"/>
  <c r="U304" i="1"/>
  <c r="V304" i="1"/>
  <c r="Y304" i="1"/>
  <c r="T304" i="1"/>
  <c r="Z44" i="1"/>
  <c r="W44" i="1"/>
  <c r="U44" i="1"/>
  <c r="Y44" i="1"/>
  <c r="T44" i="1"/>
  <c r="V44" i="1"/>
  <c r="Z225" i="1"/>
  <c r="W225" i="1"/>
  <c r="V225" i="1"/>
  <c r="Y225" i="1"/>
  <c r="T225" i="1"/>
  <c r="U225" i="1"/>
  <c r="Z118" i="1"/>
  <c r="V118" i="1"/>
  <c r="W118" i="1"/>
  <c r="U118" i="1"/>
  <c r="T118" i="1"/>
  <c r="Y118" i="1"/>
  <c r="Z296" i="1"/>
  <c r="T296" i="1"/>
  <c r="U296" i="1"/>
  <c r="Y296" i="1"/>
  <c r="W296" i="1"/>
  <c r="V296" i="1"/>
  <c r="Z285" i="1"/>
  <c r="V285" i="1"/>
  <c r="Y285" i="1"/>
  <c r="W285" i="1"/>
  <c r="T285" i="1"/>
  <c r="U285" i="1"/>
  <c r="Z389" i="1"/>
  <c r="W389" i="1"/>
  <c r="T389" i="1"/>
  <c r="Y389" i="1"/>
  <c r="V389" i="1"/>
  <c r="U389" i="1"/>
  <c r="Z204" i="1"/>
  <c r="W204" i="1"/>
  <c r="V204" i="1"/>
  <c r="Y204" i="1"/>
  <c r="U204" i="1"/>
  <c r="T204" i="1"/>
  <c r="Z115" i="1"/>
  <c r="T115" i="1"/>
  <c r="W115" i="1"/>
  <c r="Y115" i="1"/>
  <c r="V115" i="1"/>
  <c r="U115" i="1"/>
  <c r="Z158" i="1"/>
  <c r="U158" i="1"/>
  <c r="W158" i="1"/>
  <c r="Y158" i="1"/>
  <c r="V158" i="1"/>
  <c r="T158" i="1"/>
  <c r="Z276" i="1"/>
  <c r="W276" i="1"/>
  <c r="U276" i="1"/>
  <c r="Y276" i="1"/>
  <c r="V276" i="1"/>
  <c r="T276" i="1"/>
  <c r="Z267" i="1"/>
  <c r="W267" i="1"/>
  <c r="U267" i="1"/>
  <c r="Y267" i="1"/>
  <c r="T267" i="1"/>
  <c r="V267" i="1"/>
  <c r="Z237" i="1"/>
  <c r="W237" i="1"/>
  <c r="T237" i="1"/>
  <c r="V237" i="1"/>
  <c r="Y237" i="1"/>
  <c r="U237" i="1"/>
  <c r="Z94" i="1"/>
  <c r="W94" i="1"/>
  <c r="T94" i="1"/>
  <c r="Y94" i="1"/>
  <c r="V94" i="1"/>
  <c r="U94" i="1"/>
  <c r="Z306" i="1"/>
  <c r="W306" i="1"/>
  <c r="T306" i="1"/>
  <c r="Y306" i="1"/>
  <c r="V306" i="1"/>
  <c r="U306" i="1"/>
  <c r="Z266" i="1"/>
  <c r="Y266" i="1"/>
  <c r="W266" i="1"/>
  <c r="T266" i="1"/>
  <c r="U266" i="1"/>
  <c r="V266" i="1"/>
  <c r="Z136" i="1"/>
  <c r="V136" i="1"/>
  <c r="Y136" i="1"/>
  <c r="W136" i="1"/>
  <c r="T136" i="1"/>
  <c r="U136" i="1"/>
  <c r="Z33" i="1"/>
  <c r="W33" i="1"/>
  <c r="U33" i="1"/>
  <c r="T33" i="1"/>
  <c r="Y33" i="1"/>
  <c r="V33" i="1"/>
  <c r="Z69" i="1"/>
  <c r="W69" i="1"/>
  <c r="T69" i="1"/>
  <c r="Y69" i="1"/>
  <c r="V69" i="1"/>
  <c r="U69" i="1"/>
  <c r="T177" i="1"/>
  <c r="U177" i="1"/>
  <c r="W177" i="1"/>
  <c r="V177" i="1"/>
  <c r="Z177" i="1"/>
  <c r="Y177" i="1"/>
  <c r="V329" i="1"/>
  <c r="Z329" i="1"/>
  <c r="W329" i="1"/>
  <c r="U329" i="1"/>
  <c r="Y329" i="1"/>
  <c r="T329" i="1"/>
  <c r="AD44" i="1"/>
  <c r="AC44" i="1"/>
  <c r="AE44" i="1"/>
  <c r="AE91" i="1"/>
  <c r="AC91" i="1"/>
  <c r="AD91" i="1"/>
  <c r="AD302" i="1"/>
  <c r="AE302" i="1"/>
  <c r="AC302" i="1"/>
  <c r="AE75" i="1"/>
  <c r="AC75" i="1"/>
  <c r="AD75" i="1"/>
  <c r="AD144" i="1"/>
  <c r="AE144" i="1"/>
  <c r="AC144" i="1"/>
  <c r="AD72" i="1"/>
  <c r="AC72" i="1"/>
  <c r="AE72" i="1"/>
  <c r="AE143" i="1"/>
  <c r="AC143" i="1"/>
  <c r="AD143" i="1"/>
  <c r="AC391" i="1"/>
  <c r="AD391" i="1"/>
  <c r="AE391" i="1"/>
  <c r="AC240" i="1"/>
  <c r="AD240" i="1"/>
  <c r="AE240" i="1"/>
  <c r="AC238" i="1"/>
  <c r="AD238" i="1"/>
  <c r="AE238" i="1"/>
  <c r="AC197" i="1"/>
  <c r="AD197" i="1"/>
  <c r="AE197" i="1"/>
  <c r="AE135" i="1"/>
  <c r="AC135" i="1"/>
  <c r="AD135" i="1"/>
  <c r="AC373" i="1"/>
  <c r="AE373" i="1"/>
  <c r="AD373" i="1"/>
  <c r="AE127" i="1"/>
  <c r="AC127" i="1"/>
  <c r="AD127" i="1"/>
  <c r="AC300" i="1"/>
  <c r="AD300" i="1"/>
  <c r="AE300" i="1"/>
  <c r="AE376" i="1"/>
  <c r="AD376" i="1"/>
  <c r="AC376" i="1"/>
  <c r="AC145" i="1"/>
  <c r="AE145" i="1"/>
  <c r="AD145" i="1"/>
  <c r="AD382" i="1"/>
  <c r="AC382" i="1"/>
  <c r="AE382" i="1"/>
  <c r="AC163" i="1"/>
  <c r="AD163" i="1"/>
  <c r="AE163" i="1"/>
  <c r="AC34" i="1"/>
  <c r="AE34" i="1"/>
  <c r="AD34" i="1"/>
  <c r="AC268" i="1"/>
  <c r="AD268" i="1"/>
  <c r="AE268" i="1"/>
  <c r="AC368" i="1"/>
  <c r="AE368" i="1"/>
  <c r="AD368" i="1"/>
  <c r="AE137" i="1"/>
  <c r="AD137" i="1"/>
  <c r="AC137" i="1"/>
  <c r="AC374" i="1"/>
  <c r="AD374" i="1"/>
  <c r="AE374" i="1"/>
  <c r="AE155" i="1"/>
  <c r="AC155" i="1"/>
  <c r="AD155" i="1"/>
  <c r="AD26" i="1"/>
  <c r="AC26" i="1"/>
  <c r="AE26" i="1"/>
  <c r="AC236" i="1"/>
  <c r="AD236" i="1"/>
  <c r="AE236" i="1"/>
  <c r="AE360" i="1"/>
  <c r="AC360" i="1"/>
  <c r="AD360" i="1"/>
  <c r="AD129" i="1"/>
  <c r="AE129" i="1"/>
  <c r="AC129" i="1"/>
  <c r="AE366" i="1"/>
  <c r="AC366" i="1"/>
  <c r="AD366" i="1"/>
  <c r="AE147" i="1"/>
  <c r="AC147" i="1"/>
  <c r="AD147" i="1"/>
  <c r="AD18" i="1"/>
  <c r="AC18" i="1"/>
  <c r="AE18" i="1"/>
  <c r="AC204" i="1"/>
  <c r="AD204" i="1"/>
  <c r="AE204" i="1"/>
  <c r="AD352" i="1"/>
  <c r="AE352" i="1"/>
  <c r="AC352" i="1"/>
  <c r="AE121" i="1"/>
  <c r="AD121" i="1"/>
  <c r="AC121" i="1"/>
  <c r="AD358" i="1"/>
  <c r="AE358" i="1"/>
  <c r="AC358" i="1"/>
  <c r="AC139" i="1"/>
  <c r="AD139" i="1"/>
  <c r="AE139" i="1"/>
  <c r="AC100" i="1"/>
  <c r="AE100" i="1"/>
  <c r="AD100" i="1"/>
  <c r="AC36" i="1"/>
  <c r="AE36" i="1"/>
  <c r="AD36" i="1"/>
  <c r="AE280" i="1"/>
  <c r="AC280" i="1"/>
  <c r="AD280" i="1"/>
  <c r="AE49" i="1"/>
  <c r="AD49" i="1"/>
  <c r="AC49" i="1"/>
  <c r="AC286" i="1"/>
  <c r="AD286" i="1"/>
  <c r="AE286" i="1"/>
  <c r="AC67" i="1"/>
  <c r="AD67" i="1"/>
  <c r="AE67" i="1"/>
  <c r="AE371" i="1"/>
  <c r="AD371" i="1"/>
  <c r="AC371" i="1"/>
  <c r="AD20" i="1"/>
  <c r="AC20" i="1"/>
  <c r="AE20" i="1"/>
  <c r="AC208" i="1"/>
  <c r="AD208" i="1"/>
  <c r="AE208" i="1"/>
  <c r="AC351" i="1"/>
  <c r="AD351" i="1"/>
  <c r="AE351" i="1"/>
  <c r="AC214" i="1"/>
  <c r="AD214" i="1"/>
  <c r="AE214" i="1"/>
  <c r="AD378" i="1"/>
  <c r="AC378" i="1"/>
  <c r="AE378" i="1"/>
  <c r="AC337" i="1"/>
  <c r="AD337" i="1"/>
  <c r="AE337" i="1"/>
  <c r="AC261" i="1"/>
  <c r="AD261" i="1"/>
  <c r="AE261" i="1"/>
  <c r="AC136" i="1"/>
  <c r="AD136" i="1"/>
  <c r="AE136" i="1"/>
  <c r="AD279" i="1"/>
  <c r="AE279" i="1"/>
  <c r="AC279" i="1"/>
  <c r="AC142" i="1"/>
  <c r="AD142" i="1"/>
  <c r="AE142" i="1"/>
  <c r="AE306" i="1"/>
  <c r="AC306" i="1"/>
  <c r="AD306" i="1"/>
  <c r="AD77" i="1"/>
  <c r="AE77" i="1"/>
  <c r="AC77" i="1"/>
  <c r="AC260" i="1"/>
  <c r="AD260" i="1"/>
  <c r="AE260" i="1"/>
  <c r="AD64" i="1"/>
  <c r="AC64" i="1"/>
  <c r="AE64" i="1"/>
  <c r="AD207" i="1"/>
  <c r="AE207" i="1"/>
  <c r="AC207" i="1"/>
  <c r="AD70" i="1"/>
  <c r="AE70" i="1"/>
  <c r="AC70" i="1"/>
  <c r="AC234" i="1"/>
  <c r="AD234" i="1"/>
  <c r="AE234" i="1"/>
  <c r="Z226" i="1"/>
  <c r="W226" i="1"/>
  <c r="T226" i="1"/>
  <c r="Y226" i="1"/>
  <c r="V226" i="1"/>
  <c r="U226" i="1"/>
  <c r="Z380" i="1"/>
  <c r="U380" i="1"/>
  <c r="W380" i="1"/>
  <c r="V380" i="1"/>
  <c r="Y380" i="1"/>
  <c r="T380" i="1"/>
  <c r="Z168" i="1"/>
  <c r="V168" i="1"/>
  <c r="W168" i="1"/>
  <c r="T168" i="1"/>
  <c r="Y168" i="1"/>
  <c r="U168" i="1"/>
  <c r="Z34" i="1"/>
  <c r="T34" i="1"/>
  <c r="Y34" i="1"/>
  <c r="U34" i="1"/>
  <c r="W34" i="1"/>
  <c r="V34" i="1"/>
  <c r="Z235" i="1"/>
  <c r="V235" i="1"/>
  <c r="U235" i="1"/>
  <c r="Y235" i="1"/>
  <c r="T235" i="1"/>
  <c r="W235" i="1"/>
  <c r="Z43" i="1"/>
  <c r="V43" i="1"/>
  <c r="W43" i="1"/>
  <c r="Y43" i="1"/>
  <c r="U43" i="1"/>
  <c r="T43" i="1"/>
  <c r="Z41" i="1"/>
  <c r="W41" i="1"/>
  <c r="T41" i="1"/>
  <c r="U41" i="1"/>
  <c r="V41" i="1"/>
  <c r="Y41" i="1"/>
  <c r="Z133" i="1"/>
  <c r="T133" i="1"/>
  <c r="Y133" i="1"/>
  <c r="W133" i="1"/>
  <c r="V133" i="1"/>
  <c r="U133" i="1"/>
  <c r="Z249" i="1"/>
  <c r="W249" i="1"/>
  <c r="U249" i="1"/>
  <c r="T249" i="1"/>
  <c r="Y249" i="1"/>
  <c r="V249" i="1"/>
  <c r="Z224" i="1"/>
  <c r="V224" i="1"/>
  <c r="W224" i="1"/>
  <c r="T224" i="1"/>
  <c r="U224" i="1"/>
  <c r="Y224" i="1"/>
  <c r="Z223" i="1"/>
  <c r="U223" i="1"/>
  <c r="W223" i="1"/>
  <c r="T223" i="1"/>
  <c r="V223" i="1"/>
  <c r="Y223" i="1"/>
  <c r="Z268" i="1"/>
  <c r="W268" i="1"/>
  <c r="Y268" i="1"/>
  <c r="T268" i="1"/>
  <c r="V268" i="1"/>
  <c r="U268" i="1"/>
  <c r="Z262" i="1"/>
  <c r="U262" i="1"/>
  <c r="Y262" i="1"/>
  <c r="T262" i="1"/>
  <c r="W262" i="1"/>
  <c r="V262" i="1"/>
  <c r="Z379" i="1"/>
  <c r="W379" i="1"/>
  <c r="U379" i="1"/>
  <c r="Y379" i="1"/>
  <c r="T379" i="1"/>
  <c r="V379" i="1"/>
  <c r="Z167" i="1"/>
  <c r="T167" i="1"/>
  <c r="Y167" i="1"/>
  <c r="V167" i="1"/>
  <c r="W167" i="1"/>
  <c r="U167" i="1"/>
  <c r="Z70" i="1"/>
  <c r="W70" i="1"/>
  <c r="V70" i="1"/>
  <c r="Y70" i="1"/>
  <c r="U70" i="1"/>
  <c r="T70" i="1"/>
  <c r="Z330" i="1"/>
  <c r="W330" i="1"/>
  <c r="T330" i="1"/>
  <c r="Y330" i="1"/>
  <c r="V330" i="1"/>
  <c r="U330" i="1"/>
  <c r="Z214" i="1"/>
  <c r="T214" i="1"/>
  <c r="W214" i="1"/>
  <c r="Y214" i="1"/>
  <c r="U214" i="1"/>
  <c r="V214" i="1"/>
  <c r="Z56" i="1"/>
  <c r="T56" i="1"/>
  <c r="Y56" i="1"/>
  <c r="V56" i="1"/>
  <c r="W56" i="1"/>
  <c r="U56" i="1"/>
  <c r="Z292" i="1"/>
  <c r="T292" i="1"/>
  <c r="Y292" i="1"/>
  <c r="W292" i="1"/>
  <c r="U292" i="1"/>
  <c r="V292" i="1"/>
  <c r="Z307" i="1"/>
  <c r="T307" i="1"/>
  <c r="Y307" i="1"/>
  <c r="W307" i="1"/>
  <c r="V307" i="1"/>
  <c r="U307" i="1"/>
  <c r="T239" i="1"/>
  <c r="U239" i="1"/>
  <c r="Y239" i="1"/>
  <c r="V239" i="1"/>
  <c r="W239" i="1"/>
  <c r="Z239" i="1"/>
  <c r="Z331" i="1"/>
  <c r="U331" i="1"/>
  <c r="V331" i="1"/>
  <c r="Y331" i="1"/>
  <c r="W331" i="1"/>
  <c r="T331" i="1"/>
  <c r="Z383" i="1"/>
  <c r="W383" i="1"/>
  <c r="T383" i="1"/>
  <c r="Y383" i="1"/>
  <c r="U383" i="1"/>
  <c r="V383" i="1"/>
  <c r="Z193" i="1"/>
  <c r="W193" i="1"/>
  <c r="U193" i="1"/>
  <c r="Y193" i="1"/>
  <c r="T193" i="1"/>
  <c r="V193" i="1"/>
  <c r="Z238" i="1"/>
  <c r="V238" i="1"/>
  <c r="U238" i="1"/>
  <c r="Y238" i="1"/>
  <c r="W238" i="1"/>
  <c r="T238" i="1"/>
  <c r="Z392" i="1"/>
  <c r="W392" i="1"/>
  <c r="U392" i="1"/>
  <c r="Y392" i="1"/>
  <c r="V392" i="1"/>
  <c r="T392" i="1"/>
  <c r="Z376" i="1"/>
  <c r="U376" i="1"/>
  <c r="Y376" i="1"/>
  <c r="W376" i="1"/>
  <c r="T376" i="1"/>
  <c r="V376" i="1"/>
  <c r="Z134" i="1"/>
  <c r="V134" i="1"/>
  <c r="Y134" i="1"/>
  <c r="W134" i="1"/>
  <c r="T134" i="1"/>
  <c r="U134" i="1"/>
  <c r="Z161" i="1"/>
  <c r="U161" i="1"/>
  <c r="W161" i="1"/>
  <c r="V161" i="1"/>
  <c r="Y161" i="1"/>
  <c r="T161" i="1"/>
  <c r="Z272" i="1"/>
  <c r="T272" i="1"/>
  <c r="U272" i="1"/>
  <c r="V272" i="1"/>
  <c r="W272" i="1"/>
  <c r="Y272" i="1"/>
  <c r="Z135" i="1"/>
  <c r="T135" i="1"/>
  <c r="Y135" i="1"/>
  <c r="W135" i="1"/>
  <c r="V135" i="1"/>
  <c r="U135" i="1"/>
  <c r="Z314" i="1"/>
  <c r="T314" i="1"/>
  <c r="Y314" i="1"/>
  <c r="W314" i="1"/>
  <c r="U314" i="1"/>
  <c r="V314" i="1"/>
  <c r="Z77" i="1"/>
  <c r="V77" i="1"/>
  <c r="Y77" i="1"/>
  <c r="W77" i="1"/>
  <c r="T77" i="1"/>
  <c r="U77" i="1"/>
  <c r="Z170" i="1"/>
  <c r="W170" i="1"/>
  <c r="T170" i="1"/>
  <c r="Y170" i="1"/>
  <c r="U170" i="1"/>
  <c r="V170" i="1"/>
  <c r="Z181" i="1"/>
  <c r="W181" i="1"/>
  <c r="V181" i="1"/>
  <c r="Y181" i="1"/>
  <c r="U181" i="1"/>
  <c r="T181" i="1"/>
  <c r="Z265" i="1"/>
  <c r="W265" i="1"/>
  <c r="T265" i="1"/>
  <c r="V265" i="1"/>
  <c r="Y265" i="1"/>
  <c r="U265" i="1"/>
  <c r="Z261" i="1"/>
  <c r="W261" i="1"/>
  <c r="Y261" i="1"/>
  <c r="U261" i="1"/>
  <c r="V261" i="1"/>
  <c r="T261" i="1"/>
  <c r="Z95" i="1"/>
  <c r="U95" i="1"/>
  <c r="W95" i="1"/>
  <c r="V95" i="1"/>
  <c r="T95" i="1"/>
  <c r="Y95" i="1"/>
  <c r="Z319" i="1"/>
  <c r="W319" i="1"/>
  <c r="T319" i="1"/>
  <c r="Y319" i="1"/>
  <c r="U319" i="1"/>
  <c r="V319" i="1"/>
  <c r="Z271" i="1"/>
  <c r="W271" i="1"/>
  <c r="U271" i="1"/>
  <c r="Y271" i="1"/>
  <c r="T271" i="1"/>
  <c r="V271" i="1"/>
  <c r="Z42" i="1"/>
  <c r="W42" i="1"/>
  <c r="U42" i="1"/>
  <c r="Y42" i="1"/>
  <c r="V42" i="1"/>
  <c r="T42" i="1"/>
  <c r="Z290" i="1"/>
  <c r="Y290" i="1"/>
  <c r="W290" i="1"/>
  <c r="V290" i="1"/>
  <c r="U290" i="1"/>
  <c r="T290" i="1"/>
  <c r="Z119" i="1"/>
  <c r="V119" i="1"/>
  <c r="Y119" i="1"/>
  <c r="W119" i="1"/>
  <c r="T119" i="1"/>
  <c r="U119" i="1"/>
  <c r="Z232" i="1"/>
  <c r="W232" i="1"/>
  <c r="T232" i="1"/>
  <c r="U232" i="1"/>
  <c r="Y232" i="1"/>
  <c r="V232" i="1"/>
  <c r="W108" i="1"/>
  <c r="V108" i="1"/>
  <c r="U108" i="1"/>
  <c r="Z108" i="1"/>
  <c r="Y108" i="1"/>
  <c r="T108" i="1"/>
  <c r="U176" i="1"/>
  <c r="W176" i="1"/>
  <c r="Z176" i="1"/>
  <c r="T176" i="1"/>
  <c r="Y176" i="1"/>
  <c r="V176" i="1"/>
  <c r="Z279" i="1"/>
  <c r="T279" i="1"/>
  <c r="Y279" i="1"/>
  <c r="W279" i="1"/>
  <c r="U279" i="1"/>
  <c r="V279" i="1"/>
  <c r="Z301" i="1"/>
  <c r="W301" i="1"/>
  <c r="Y301" i="1"/>
  <c r="V301" i="1"/>
  <c r="U301" i="1"/>
  <c r="T301" i="1"/>
  <c r="U28" i="1"/>
  <c r="Z28" i="1"/>
  <c r="T28" i="1"/>
  <c r="W28" i="1"/>
  <c r="V28" i="1"/>
  <c r="Y28" i="1"/>
  <c r="Z87" i="1"/>
  <c r="W87" i="1"/>
  <c r="V87" i="1"/>
  <c r="Y87" i="1"/>
  <c r="T87" i="1"/>
  <c r="U87" i="1"/>
  <c r="V36" i="1"/>
  <c r="U36" i="1"/>
  <c r="W36" i="1"/>
  <c r="Z36" i="1"/>
  <c r="T36" i="1"/>
  <c r="Y36" i="1"/>
  <c r="Z355" i="1"/>
  <c r="U355" i="1"/>
  <c r="W355" i="1"/>
  <c r="Y355" i="1"/>
  <c r="T355" i="1"/>
  <c r="V355" i="1"/>
  <c r="Z316" i="1"/>
  <c r="V316" i="1"/>
  <c r="T316" i="1"/>
  <c r="Y316" i="1"/>
  <c r="W316" i="1"/>
  <c r="U316" i="1"/>
  <c r="Z186" i="1"/>
  <c r="V186" i="1"/>
  <c r="Y186" i="1"/>
  <c r="W186" i="1"/>
  <c r="U186" i="1"/>
  <c r="T186" i="1"/>
  <c r="Z353" i="1"/>
  <c r="U353" i="1"/>
  <c r="Y353" i="1"/>
  <c r="W353" i="1"/>
  <c r="V353" i="1"/>
  <c r="T353" i="1"/>
  <c r="Z124" i="1"/>
  <c r="U124" i="1"/>
  <c r="T124" i="1"/>
  <c r="V124" i="1"/>
  <c r="Y124" i="1"/>
  <c r="W124" i="1"/>
  <c r="Z144" i="1"/>
  <c r="T144" i="1"/>
  <c r="U144" i="1"/>
  <c r="Y144" i="1"/>
  <c r="W144" i="1"/>
  <c r="V144" i="1"/>
  <c r="Z66" i="1"/>
  <c r="U66" i="1"/>
  <c r="T66" i="1"/>
  <c r="V66" i="1"/>
  <c r="Y66" i="1"/>
  <c r="W66" i="1"/>
  <c r="Z241" i="1"/>
  <c r="W241" i="1"/>
  <c r="T241" i="1"/>
  <c r="V241" i="1"/>
  <c r="Y241" i="1"/>
  <c r="U241" i="1"/>
  <c r="Z310" i="1"/>
  <c r="W310" i="1"/>
  <c r="V310" i="1"/>
  <c r="Y310" i="1"/>
  <c r="T310" i="1"/>
  <c r="U310" i="1"/>
  <c r="Z171" i="1"/>
  <c r="T171" i="1"/>
  <c r="W171" i="1"/>
  <c r="V171" i="1"/>
  <c r="U171" i="1"/>
  <c r="Y171" i="1"/>
  <c r="Z74" i="1"/>
  <c r="U74" i="1"/>
  <c r="W74" i="1"/>
  <c r="T74" i="1"/>
  <c r="Y74" i="1"/>
  <c r="V74" i="1"/>
  <c r="Z73" i="1"/>
  <c r="W73" i="1"/>
  <c r="T73" i="1"/>
  <c r="Y73" i="1"/>
  <c r="U73" i="1"/>
  <c r="V73" i="1"/>
  <c r="Z259" i="1"/>
  <c r="W259" i="1"/>
  <c r="V259" i="1"/>
  <c r="Y259" i="1"/>
  <c r="U259" i="1"/>
  <c r="T259" i="1"/>
  <c r="Z286" i="1"/>
  <c r="V286" i="1"/>
  <c r="U286" i="1"/>
  <c r="W286" i="1"/>
  <c r="T286" i="1"/>
  <c r="Y286" i="1"/>
  <c r="Z104" i="1"/>
  <c r="T104" i="1"/>
  <c r="Y104" i="1"/>
  <c r="W104" i="1"/>
  <c r="U104" i="1"/>
  <c r="V104" i="1"/>
  <c r="U155" i="1"/>
  <c r="T155" i="1"/>
  <c r="Y155" i="1"/>
  <c r="V155" i="1"/>
  <c r="Z155" i="1"/>
  <c r="W155" i="1"/>
  <c r="U72" i="1"/>
  <c r="T72" i="1"/>
  <c r="Y72" i="1"/>
  <c r="V72" i="1"/>
  <c r="W72" i="1"/>
  <c r="Z72" i="1"/>
  <c r="Z325" i="1"/>
  <c r="V325" i="1"/>
  <c r="T325" i="1"/>
  <c r="Y325" i="1"/>
  <c r="W325" i="1"/>
  <c r="U325" i="1"/>
  <c r="Z172" i="1"/>
  <c r="T172" i="1"/>
  <c r="Y172" i="1"/>
  <c r="W172" i="1"/>
  <c r="V172" i="1"/>
  <c r="U172" i="1"/>
  <c r="Z75" i="1"/>
  <c r="W75" i="1"/>
  <c r="V75" i="1"/>
  <c r="Y75" i="1"/>
  <c r="T75" i="1"/>
  <c r="U75" i="1"/>
  <c r="Z19" i="1"/>
  <c r="T19" i="1"/>
  <c r="Y19" i="1"/>
  <c r="W19" i="1"/>
  <c r="V19" i="1"/>
  <c r="U19" i="1"/>
  <c r="Z68" i="1"/>
  <c r="T68" i="1"/>
  <c r="Y68" i="1"/>
  <c r="W68" i="1"/>
  <c r="V68" i="1"/>
  <c r="U68" i="1"/>
  <c r="Z366" i="1"/>
  <c r="U366" i="1"/>
  <c r="Y366" i="1"/>
  <c r="W366" i="1"/>
  <c r="T366" i="1"/>
  <c r="V366" i="1"/>
  <c r="Z82" i="1"/>
  <c r="U82" i="1"/>
  <c r="Y82" i="1"/>
  <c r="W82" i="1"/>
  <c r="T82" i="1"/>
  <c r="V82" i="1"/>
  <c r="Z25" i="1"/>
  <c r="T25" i="1"/>
  <c r="W25" i="1"/>
  <c r="Y25" i="1"/>
  <c r="V25" i="1"/>
  <c r="U25" i="1"/>
  <c r="Z128" i="1"/>
  <c r="V128" i="1"/>
  <c r="U128" i="1"/>
  <c r="W128" i="1"/>
  <c r="Y128" i="1"/>
  <c r="T128" i="1"/>
  <c r="Z382" i="1"/>
  <c r="V382" i="1"/>
  <c r="W382" i="1"/>
  <c r="Y382" i="1"/>
  <c r="T382" i="1"/>
  <c r="U382" i="1"/>
  <c r="Z213" i="1"/>
  <c r="T213" i="1"/>
  <c r="Y213" i="1"/>
  <c r="W213" i="1"/>
  <c r="U213" i="1"/>
  <c r="V213" i="1"/>
  <c r="Z196" i="1"/>
  <c r="U196" i="1"/>
  <c r="Y196" i="1"/>
  <c r="W196" i="1"/>
  <c r="V196" i="1"/>
  <c r="T196" i="1"/>
  <c r="Z275" i="1"/>
  <c r="W275" i="1"/>
  <c r="V275" i="1"/>
  <c r="Y275" i="1"/>
  <c r="U275" i="1"/>
  <c r="T275" i="1"/>
  <c r="Z101" i="1"/>
  <c r="T101" i="1"/>
  <c r="Y101" i="1"/>
  <c r="W101" i="1"/>
  <c r="U101" i="1"/>
  <c r="V101" i="1"/>
  <c r="Z174" i="1"/>
  <c r="V174" i="1"/>
  <c r="W174" i="1"/>
  <c r="Y174" i="1"/>
  <c r="T174" i="1"/>
  <c r="U174" i="1"/>
  <c r="Z250" i="1"/>
  <c r="W250" i="1"/>
  <c r="T250" i="1"/>
  <c r="Y250" i="1"/>
  <c r="V250" i="1"/>
  <c r="U250" i="1"/>
  <c r="Z327" i="1"/>
  <c r="W327" i="1"/>
  <c r="T327" i="1"/>
  <c r="Y327" i="1"/>
  <c r="V327" i="1"/>
  <c r="U327" i="1"/>
  <c r="Z209" i="1"/>
  <c r="W209" i="1"/>
  <c r="V209" i="1"/>
  <c r="U209" i="1"/>
  <c r="Y209" i="1"/>
  <c r="T209" i="1"/>
  <c r="Z138" i="1"/>
  <c r="W138" i="1"/>
  <c r="T138" i="1"/>
  <c r="Y138" i="1"/>
  <c r="V138" i="1"/>
  <c r="U138" i="1"/>
  <c r="Z360" i="1"/>
  <c r="W360" i="1"/>
  <c r="V360" i="1"/>
  <c r="Y360" i="1"/>
  <c r="U360" i="1"/>
  <c r="T360" i="1"/>
  <c r="Z343" i="1"/>
  <c r="W343" i="1"/>
  <c r="T343" i="1"/>
  <c r="Y343" i="1"/>
  <c r="U343" i="1"/>
  <c r="V343" i="1"/>
  <c r="Z109" i="1"/>
  <c r="T109" i="1"/>
  <c r="Y109" i="1"/>
  <c r="W109" i="1"/>
  <c r="U109" i="1"/>
  <c r="V109" i="1"/>
  <c r="U141" i="1"/>
  <c r="T141" i="1"/>
  <c r="Z141" i="1"/>
  <c r="Y141" i="1"/>
  <c r="W141" i="1"/>
  <c r="V141" i="1"/>
  <c r="Z269" i="1"/>
  <c r="U269" i="1"/>
  <c r="W269" i="1"/>
  <c r="V269" i="1"/>
  <c r="Y269" i="1"/>
  <c r="T269" i="1"/>
  <c r="W291" i="1"/>
  <c r="U291" i="1"/>
  <c r="Z291" i="1"/>
  <c r="T291" i="1"/>
  <c r="V291" i="1"/>
  <c r="Y291" i="1"/>
  <c r="AE99" i="1"/>
  <c r="AC99" i="1"/>
  <c r="AD99" i="1"/>
  <c r="AE83" i="1"/>
  <c r="AC83" i="1"/>
  <c r="AD83" i="1"/>
  <c r="AC216" i="1"/>
  <c r="AE216" i="1"/>
  <c r="AD216" i="1"/>
  <c r="AE150" i="1"/>
  <c r="AC150" i="1"/>
  <c r="AD150" i="1"/>
  <c r="AC242" i="1"/>
  <c r="AD242" i="1"/>
  <c r="AE242" i="1"/>
  <c r="AC254" i="1"/>
  <c r="AD254" i="1"/>
  <c r="AE254" i="1"/>
  <c r="AC284" i="1"/>
  <c r="AD284" i="1"/>
  <c r="AE284" i="1"/>
  <c r="AC156" i="1"/>
  <c r="AD156" i="1"/>
  <c r="AE156" i="1"/>
  <c r="AC224" i="1"/>
  <c r="AE224" i="1"/>
  <c r="AD224" i="1"/>
  <c r="AC367" i="1"/>
  <c r="AD367" i="1"/>
  <c r="AE367" i="1"/>
  <c r="AC230" i="1"/>
  <c r="AD230" i="1"/>
  <c r="AE230" i="1"/>
  <c r="AE394" i="1"/>
  <c r="AC394" i="1"/>
  <c r="AD394" i="1"/>
  <c r="AD369" i="1"/>
  <c r="AC369" i="1"/>
  <c r="AE369" i="1"/>
  <c r="AD316" i="1"/>
  <c r="AE316" i="1"/>
  <c r="AC316" i="1"/>
  <c r="AD152" i="1"/>
  <c r="AE152" i="1"/>
  <c r="AC152" i="1"/>
  <c r="AC295" i="1"/>
  <c r="AD295" i="1"/>
  <c r="AE295" i="1"/>
  <c r="AC158" i="1"/>
  <c r="AD158" i="1"/>
  <c r="AE158" i="1"/>
  <c r="AE322" i="1"/>
  <c r="AC322" i="1"/>
  <c r="AD322" i="1"/>
  <c r="AE141" i="1"/>
  <c r="AD141" i="1"/>
  <c r="AC141" i="1"/>
  <c r="AE37" i="1"/>
  <c r="AD37" i="1"/>
  <c r="AC37" i="1"/>
  <c r="AD80" i="1"/>
  <c r="AC80" i="1"/>
  <c r="AE80" i="1"/>
  <c r="AD223" i="1"/>
  <c r="AE223" i="1"/>
  <c r="AC223" i="1"/>
  <c r="AE86" i="1"/>
  <c r="AC86" i="1"/>
  <c r="AD86" i="1"/>
  <c r="AC250" i="1"/>
  <c r="AD250" i="1"/>
  <c r="AE250" i="1"/>
  <c r="AD313" i="1"/>
  <c r="AE313" i="1"/>
  <c r="AC313" i="1"/>
  <c r="AC124" i="1"/>
  <c r="AD124" i="1"/>
  <c r="AE124" i="1"/>
  <c r="AE289" i="1"/>
  <c r="AC289" i="1"/>
  <c r="AD289" i="1"/>
  <c r="AC151" i="1"/>
  <c r="AD151" i="1"/>
  <c r="AE151" i="1"/>
  <c r="AD307" i="1"/>
  <c r="AE307" i="1"/>
  <c r="AC307" i="1"/>
  <c r="AE178" i="1"/>
  <c r="AD178" i="1"/>
  <c r="AC178" i="1"/>
  <c r="AC339" i="1"/>
  <c r="AD339" i="1"/>
  <c r="AE339" i="1"/>
  <c r="AE213" i="1"/>
  <c r="AD213" i="1"/>
  <c r="AC213" i="1"/>
  <c r="AC217" i="1"/>
  <c r="AE217" i="1"/>
  <c r="AD217" i="1"/>
  <c r="AC79" i="1"/>
  <c r="AE79" i="1"/>
  <c r="AD79" i="1"/>
  <c r="AD235" i="1"/>
  <c r="AE235" i="1"/>
  <c r="AC235" i="1"/>
  <c r="AC106" i="1"/>
  <c r="AD106" i="1"/>
  <c r="AE106" i="1"/>
  <c r="B42" i="1"/>
  <c r="G42" i="1"/>
  <c r="H42" i="1"/>
  <c r="Z162" i="1"/>
  <c r="T162" i="1"/>
  <c r="Y162" i="1"/>
  <c r="W162" i="1"/>
  <c r="V162" i="1"/>
  <c r="U162" i="1"/>
  <c r="Z29" i="1"/>
  <c r="U29" i="1"/>
  <c r="Y29" i="1"/>
  <c r="W29" i="1"/>
  <c r="T29" i="1"/>
  <c r="V29" i="1"/>
  <c r="Z63" i="1"/>
  <c r="V63" i="1"/>
  <c r="Y63" i="1"/>
  <c r="W63" i="1"/>
  <c r="U63" i="1"/>
  <c r="T63" i="1"/>
  <c r="Z395" i="1"/>
  <c r="V395" i="1"/>
  <c r="W395" i="1"/>
  <c r="U395" i="1"/>
  <c r="Y395" i="1"/>
  <c r="T395" i="1"/>
  <c r="Z211" i="1"/>
  <c r="W211" i="1"/>
  <c r="U211" i="1"/>
  <c r="T211" i="1"/>
  <c r="V211" i="1"/>
  <c r="Y211" i="1"/>
  <c r="Z284" i="1"/>
  <c r="U284" i="1"/>
  <c r="V284" i="1"/>
  <c r="T284" i="1"/>
  <c r="W284" i="1"/>
  <c r="Y284" i="1"/>
  <c r="Z352" i="1"/>
  <c r="W352" i="1"/>
  <c r="V352" i="1"/>
  <c r="Y352" i="1"/>
  <c r="T352" i="1"/>
  <c r="U352" i="1"/>
  <c r="Z20" i="1"/>
  <c r="U20" i="1"/>
  <c r="T20" i="1"/>
  <c r="Y20" i="1"/>
  <c r="W20" i="1"/>
  <c r="V20" i="1"/>
  <c r="Z364" i="1"/>
  <c r="V364" i="1"/>
  <c r="Y364" i="1"/>
  <c r="W364" i="1"/>
  <c r="T364" i="1"/>
  <c r="U364" i="1"/>
  <c r="Z358" i="1"/>
  <c r="V358" i="1"/>
  <c r="W358" i="1"/>
  <c r="Y358" i="1"/>
  <c r="U358" i="1"/>
  <c r="T358" i="1"/>
  <c r="Z293" i="1"/>
  <c r="T293" i="1"/>
  <c r="Y293" i="1"/>
  <c r="V293" i="1"/>
  <c r="U293" i="1"/>
  <c r="W293" i="1"/>
  <c r="Z38" i="1"/>
  <c r="V38" i="1"/>
  <c r="T38" i="1"/>
  <c r="Y38" i="1"/>
  <c r="U38" i="1"/>
  <c r="W38" i="1"/>
  <c r="Z198" i="1"/>
  <c r="W198" i="1"/>
  <c r="V198" i="1"/>
  <c r="Y198" i="1"/>
  <c r="U198" i="1"/>
  <c r="T198" i="1"/>
  <c r="Z313" i="1"/>
  <c r="W313" i="1"/>
  <c r="U313" i="1"/>
  <c r="T313" i="1"/>
  <c r="V313" i="1"/>
  <c r="Y313" i="1"/>
  <c r="Z216" i="1"/>
  <c r="T216" i="1"/>
  <c r="V216" i="1"/>
  <c r="W216" i="1"/>
  <c r="Y216" i="1"/>
  <c r="U216" i="1"/>
  <c r="Z76" i="1"/>
  <c r="T76" i="1"/>
  <c r="Y76" i="1"/>
  <c r="W76" i="1"/>
  <c r="U76" i="1"/>
  <c r="V76" i="1"/>
  <c r="Z195" i="1"/>
  <c r="T195" i="1"/>
  <c r="Y195" i="1"/>
  <c r="W195" i="1"/>
  <c r="U195" i="1"/>
  <c r="V195" i="1"/>
  <c r="Z217" i="1"/>
  <c r="T217" i="1"/>
  <c r="Y217" i="1"/>
  <c r="W217" i="1"/>
  <c r="V217" i="1"/>
  <c r="U217" i="1"/>
  <c r="Z367" i="1"/>
  <c r="V367" i="1"/>
  <c r="U367" i="1"/>
  <c r="T367" i="1"/>
  <c r="W367" i="1"/>
  <c r="Y367" i="1"/>
  <c r="Z71" i="1"/>
  <c r="V71" i="1"/>
  <c r="T71" i="1"/>
  <c r="W71" i="1"/>
  <c r="Y71" i="1"/>
  <c r="U71" i="1"/>
  <c r="Z212" i="1"/>
  <c r="W212" i="1"/>
  <c r="V212" i="1"/>
  <c r="Y212" i="1"/>
  <c r="U212" i="1"/>
  <c r="T212" i="1"/>
  <c r="U22" i="1"/>
  <c r="W22" i="1"/>
  <c r="Z22" i="1"/>
  <c r="V22" i="1"/>
  <c r="T22" i="1"/>
  <c r="Y22" i="1"/>
  <c r="V303" i="1"/>
  <c r="W303" i="1"/>
  <c r="Z303" i="1"/>
  <c r="T303" i="1"/>
  <c r="U303" i="1"/>
  <c r="Y303" i="1"/>
  <c r="Z116" i="1"/>
  <c r="W116" i="1"/>
  <c r="U116" i="1"/>
  <c r="T116" i="1"/>
  <c r="V116" i="1"/>
  <c r="Y116" i="1"/>
  <c r="Z129" i="1"/>
  <c r="W129" i="1"/>
  <c r="U129" i="1"/>
  <c r="Y129" i="1"/>
  <c r="V129" i="1"/>
  <c r="T129" i="1"/>
  <c r="Z203" i="1"/>
  <c r="W203" i="1"/>
  <c r="T203" i="1"/>
  <c r="Y203" i="1"/>
  <c r="U203" i="1"/>
  <c r="V203" i="1"/>
  <c r="Z377" i="1"/>
  <c r="V377" i="1"/>
  <c r="T377" i="1"/>
  <c r="W377" i="1"/>
  <c r="U377" i="1"/>
  <c r="Y377" i="1"/>
  <c r="Z191" i="1"/>
  <c r="W191" i="1"/>
  <c r="T191" i="1"/>
  <c r="Y191" i="1"/>
  <c r="U191" i="1"/>
  <c r="V191" i="1"/>
  <c r="Z93" i="1"/>
  <c r="V93" i="1"/>
  <c r="W93" i="1"/>
  <c r="Y93" i="1"/>
  <c r="T93" i="1"/>
  <c r="U93" i="1"/>
  <c r="Z391" i="1"/>
  <c r="V391" i="1"/>
  <c r="W391" i="1"/>
  <c r="Y391" i="1"/>
  <c r="T391" i="1"/>
  <c r="U391" i="1"/>
  <c r="Z368" i="1"/>
  <c r="V368" i="1"/>
  <c r="T368" i="1"/>
  <c r="Y368" i="1"/>
  <c r="U368" i="1"/>
  <c r="W368" i="1"/>
  <c r="Z228" i="1"/>
  <c r="V228" i="1"/>
  <c r="Y228" i="1"/>
  <c r="W228" i="1"/>
  <c r="U228" i="1"/>
  <c r="T228" i="1"/>
  <c r="Z127" i="1"/>
  <c r="Y127" i="1"/>
  <c r="W127" i="1"/>
  <c r="U127" i="1"/>
  <c r="V127" i="1"/>
  <c r="T127" i="1"/>
  <c r="Z337" i="1"/>
  <c r="T337" i="1"/>
  <c r="W337" i="1"/>
  <c r="Y337" i="1"/>
  <c r="V337" i="1"/>
  <c r="U337" i="1"/>
  <c r="Z230" i="1"/>
  <c r="V230" i="1"/>
  <c r="W230" i="1"/>
  <c r="Y230" i="1"/>
  <c r="T230" i="1"/>
  <c r="U230" i="1"/>
  <c r="Z359" i="1"/>
  <c r="V359" i="1"/>
  <c r="W359" i="1"/>
  <c r="U359" i="1"/>
  <c r="Y359" i="1"/>
  <c r="T359" i="1"/>
  <c r="Z64" i="1"/>
  <c r="T64" i="1"/>
  <c r="W64" i="1"/>
  <c r="Y64" i="1"/>
  <c r="V64" i="1"/>
  <c r="U64" i="1"/>
  <c r="Z274" i="1"/>
  <c r="V274" i="1"/>
  <c r="Y274" i="1"/>
  <c r="W274" i="1"/>
  <c r="U274" i="1"/>
  <c r="T274" i="1"/>
  <c r="Z85" i="1"/>
  <c r="Y85" i="1"/>
  <c r="W85" i="1"/>
  <c r="T85" i="1"/>
  <c r="U85" i="1"/>
  <c r="V85" i="1"/>
  <c r="Z247" i="1"/>
  <c r="Y247" i="1"/>
  <c r="W247" i="1"/>
  <c r="U247" i="1"/>
  <c r="V247" i="1"/>
  <c r="T247" i="1"/>
  <c r="Z394" i="1"/>
  <c r="Y394" i="1"/>
  <c r="V394" i="1"/>
  <c r="W394" i="1"/>
  <c r="U394" i="1"/>
  <c r="T394" i="1"/>
  <c r="Y357" i="1"/>
  <c r="W357" i="1"/>
  <c r="U357" i="1"/>
  <c r="Z357" i="1"/>
  <c r="T357" i="1"/>
  <c r="V357" i="1"/>
  <c r="Z201" i="1"/>
  <c r="Y201" i="1"/>
  <c r="W201" i="1"/>
  <c r="V201" i="1"/>
  <c r="T201" i="1"/>
  <c r="U201" i="1"/>
  <c r="Z157" i="1"/>
  <c r="W157" i="1"/>
  <c r="T157" i="1"/>
  <c r="Y157" i="1"/>
  <c r="V157" i="1"/>
  <c r="U157" i="1"/>
  <c r="W31" i="1"/>
  <c r="Y31" i="1"/>
  <c r="U31" i="1"/>
  <c r="Z31" i="1"/>
  <c r="V31" i="1"/>
  <c r="T31" i="1"/>
  <c r="V384" i="1"/>
  <c r="U384" i="1"/>
  <c r="T384" i="1"/>
  <c r="Z384" i="1"/>
  <c r="Y384" i="1"/>
  <c r="W384" i="1"/>
  <c r="U370" i="1"/>
  <c r="Y370" i="1"/>
  <c r="W370" i="1"/>
  <c r="T370" i="1"/>
  <c r="Z370" i="1"/>
  <c r="V370" i="1"/>
  <c r="V280" i="1"/>
  <c r="Y280" i="1"/>
  <c r="W280" i="1"/>
  <c r="T280" i="1"/>
  <c r="Z280" i="1"/>
  <c r="U280" i="1"/>
  <c r="AC318" i="1"/>
  <c r="AD318" i="1"/>
  <c r="AE318" i="1"/>
  <c r="AE73" i="1"/>
  <c r="AD73" i="1"/>
  <c r="AC73" i="1"/>
  <c r="AE65" i="1"/>
  <c r="AC65" i="1"/>
  <c r="AD65" i="1"/>
  <c r="AC57" i="1"/>
  <c r="AE57" i="1"/>
  <c r="AD57" i="1"/>
  <c r="AC359" i="1"/>
  <c r="AE359" i="1"/>
  <c r="AD359" i="1"/>
  <c r="AD287" i="1"/>
  <c r="AE287" i="1"/>
  <c r="AC287" i="1"/>
  <c r="AD78" i="1"/>
  <c r="AE78" i="1"/>
  <c r="AC78" i="1"/>
  <c r="AE170" i="1"/>
  <c r="AC170" i="1"/>
  <c r="AD170" i="1"/>
  <c r="AE35" i="1"/>
  <c r="AC35" i="1"/>
  <c r="AD35" i="1"/>
  <c r="AE27" i="1"/>
  <c r="AD27" i="1"/>
  <c r="AC27" i="1"/>
  <c r="AE19" i="1"/>
  <c r="AD19" i="1"/>
  <c r="AC19" i="1"/>
  <c r="AC327" i="1"/>
  <c r="AD327" i="1"/>
  <c r="AE327" i="1"/>
  <c r="AC190" i="1"/>
  <c r="AD190" i="1"/>
  <c r="AE190" i="1"/>
  <c r="AE354" i="1"/>
  <c r="AC354" i="1"/>
  <c r="AD354" i="1"/>
  <c r="AC116" i="1"/>
  <c r="AE116" i="1"/>
  <c r="AD116" i="1"/>
  <c r="AE364" i="1"/>
  <c r="AC364" i="1"/>
  <c r="AD364" i="1"/>
  <c r="AD176" i="1"/>
  <c r="AC176" i="1"/>
  <c r="AE176" i="1"/>
  <c r="AC319" i="1"/>
  <c r="AD319" i="1"/>
  <c r="AE319" i="1"/>
  <c r="AC182" i="1"/>
  <c r="AD182" i="1"/>
  <c r="AE182" i="1"/>
  <c r="AD346" i="1"/>
  <c r="AC346" i="1"/>
  <c r="AE346" i="1"/>
  <c r="AD52" i="1"/>
  <c r="AC52" i="1"/>
  <c r="AE52" i="1"/>
  <c r="AC348" i="1"/>
  <c r="AD348" i="1"/>
  <c r="AE348" i="1"/>
  <c r="AC168" i="1"/>
  <c r="AD168" i="1"/>
  <c r="AE168" i="1"/>
  <c r="AC311" i="1"/>
  <c r="AD311" i="1"/>
  <c r="AE311" i="1"/>
  <c r="AC174" i="1"/>
  <c r="AD174" i="1"/>
  <c r="AE174" i="1"/>
  <c r="AE338" i="1"/>
  <c r="AD338" i="1"/>
  <c r="AC338" i="1"/>
  <c r="AC385" i="1"/>
  <c r="AD385" i="1"/>
  <c r="AE385" i="1"/>
  <c r="AD332" i="1"/>
  <c r="AE332" i="1"/>
  <c r="AC332" i="1"/>
  <c r="AD160" i="1"/>
  <c r="AC160" i="1"/>
  <c r="AE160" i="1"/>
  <c r="AC303" i="1"/>
  <c r="AD303" i="1"/>
  <c r="AE303" i="1"/>
  <c r="AD166" i="1"/>
  <c r="AE166" i="1"/>
  <c r="AC166" i="1"/>
  <c r="AC330" i="1"/>
  <c r="AD330" i="1"/>
  <c r="AE330" i="1"/>
  <c r="AC173" i="1"/>
  <c r="AD173" i="1"/>
  <c r="AE173" i="1"/>
  <c r="AE69" i="1"/>
  <c r="AD69" i="1"/>
  <c r="AC69" i="1"/>
  <c r="AC88" i="1"/>
  <c r="AD88" i="1"/>
  <c r="AE88" i="1"/>
  <c r="AD231" i="1"/>
  <c r="AE231" i="1"/>
  <c r="AC231" i="1"/>
  <c r="AC94" i="1"/>
  <c r="AD94" i="1"/>
  <c r="AE94" i="1"/>
  <c r="AC258" i="1"/>
  <c r="AD258" i="1"/>
  <c r="AE258" i="1"/>
  <c r="AC377" i="1"/>
  <c r="AD377" i="1"/>
  <c r="AE377" i="1"/>
  <c r="AC252" i="1"/>
  <c r="AD252" i="1"/>
  <c r="AE252" i="1"/>
  <c r="AE297" i="1"/>
  <c r="AC297" i="1"/>
  <c r="AD297" i="1"/>
  <c r="AE159" i="1"/>
  <c r="AD159" i="1"/>
  <c r="AC159" i="1"/>
  <c r="AD22" i="1"/>
  <c r="AE22" i="1"/>
  <c r="AC22" i="1"/>
  <c r="AD186" i="1"/>
  <c r="AE186" i="1"/>
  <c r="AC186" i="1"/>
  <c r="AC355" i="1"/>
  <c r="AD355" i="1"/>
  <c r="AE355" i="1"/>
  <c r="AE245" i="1"/>
  <c r="AC245" i="1"/>
  <c r="AD245" i="1"/>
  <c r="AE225" i="1"/>
  <c r="AD225" i="1"/>
  <c r="AC225" i="1"/>
  <c r="AE87" i="1"/>
  <c r="AC87" i="1"/>
  <c r="AD87" i="1"/>
  <c r="AE243" i="1"/>
  <c r="AC243" i="1"/>
  <c r="AD243" i="1"/>
  <c r="AD114" i="1"/>
  <c r="AE114" i="1"/>
  <c r="AC114" i="1"/>
  <c r="AD317" i="1"/>
  <c r="AE317" i="1"/>
  <c r="AC317" i="1"/>
  <c r="AD384" i="1"/>
  <c r="AE384" i="1"/>
  <c r="AC384" i="1"/>
  <c r="AD153" i="1"/>
  <c r="AC153" i="1"/>
  <c r="AE153" i="1"/>
  <c r="AE390" i="1"/>
  <c r="AC390" i="1"/>
  <c r="AD390" i="1"/>
  <c r="AE171" i="1"/>
  <c r="AC171" i="1"/>
  <c r="AD171" i="1"/>
  <c r="AD42" i="1"/>
  <c r="AC42" i="1"/>
  <c r="AE42" i="1"/>
  <c r="B41" i="1"/>
  <c r="H41" i="1"/>
  <c r="G41" i="1"/>
  <c r="Z215" i="1"/>
  <c r="T215" i="1"/>
  <c r="U215" i="1"/>
  <c r="Y215" i="1"/>
  <c r="V215" i="1"/>
  <c r="W215" i="1"/>
  <c r="Z80" i="1"/>
  <c r="V80" i="1"/>
  <c r="Y80" i="1"/>
  <c r="W80" i="1"/>
  <c r="T80" i="1"/>
  <c r="U80" i="1"/>
  <c r="Z125" i="1"/>
  <c r="T125" i="1"/>
  <c r="W125" i="1"/>
  <c r="Y125" i="1"/>
  <c r="V125" i="1"/>
  <c r="U125" i="1"/>
  <c r="Z363" i="1"/>
  <c r="W363" i="1"/>
  <c r="U363" i="1"/>
  <c r="Y363" i="1"/>
  <c r="T363" i="1"/>
  <c r="V363" i="1"/>
  <c r="Z49" i="1"/>
  <c r="V49" i="1"/>
  <c r="W49" i="1"/>
  <c r="U49" i="1"/>
  <c r="Y49" i="1"/>
  <c r="T49" i="1"/>
  <c r="Z152" i="1"/>
  <c r="W152" i="1"/>
  <c r="U152" i="1"/>
  <c r="T152" i="1"/>
  <c r="Y152" i="1"/>
  <c r="V152" i="1"/>
  <c r="Z252" i="1"/>
  <c r="W252" i="1"/>
  <c r="V252" i="1"/>
  <c r="Y252" i="1"/>
  <c r="U252" i="1"/>
  <c r="T252" i="1"/>
  <c r="Z220" i="1"/>
  <c r="U220" i="1"/>
  <c r="W220" i="1"/>
  <c r="V220" i="1"/>
  <c r="T220" i="1"/>
  <c r="Y220" i="1"/>
  <c r="Z321" i="1"/>
  <c r="V321" i="1"/>
  <c r="W321" i="1"/>
  <c r="T321" i="1"/>
  <c r="Y321" i="1"/>
  <c r="U321" i="1"/>
  <c r="Z163" i="1"/>
  <c r="U163" i="1"/>
  <c r="V163" i="1"/>
  <c r="W163" i="1"/>
  <c r="T163" i="1"/>
  <c r="Y163" i="1"/>
  <c r="Z150" i="1"/>
  <c r="U150" i="1"/>
  <c r="W150" i="1"/>
  <c r="T150" i="1"/>
  <c r="V150" i="1"/>
  <c r="Y150" i="1"/>
  <c r="Z350" i="1"/>
  <c r="T350" i="1"/>
  <c r="W350" i="1"/>
  <c r="V350" i="1"/>
  <c r="U350" i="1"/>
  <c r="Y350" i="1"/>
  <c r="Z345" i="1"/>
  <c r="T345" i="1"/>
  <c r="U345" i="1"/>
  <c r="Y345" i="1"/>
  <c r="W345" i="1"/>
  <c r="V345" i="1"/>
  <c r="Z173" i="1"/>
  <c r="V173" i="1"/>
  <c r="U173" i="1"/>
  <c r="Y173" i="1"/>
  <c r="W173" i="1"/>
  <c r="T173" i="1"/>
  <c r="Z48" i="1"/>
  <c r="V48" i="1"/>
  <c r="T48" i="1"/>
  <c r="W48" i="1"/>
  <c r="Y48" i="1"/>
  <c r="U48" i="1"/>
  <c r="Z297" i="1"/>
  <c r="T297" i="1"/>
  <c r="Y297" i="1"/>
  <c r="W297" i="1"/>
  <c r="U297" i="1"/>
  <c r="V297" i="1"/>
  <c r="Z305" i="1"/>
  <c r="T305" i="1"/>
  <c r="Y305" i="1"/>
  <c r="W305" i="1"/>
  <c r="U305" i="1"/>
  <c r="V305" i="1"/>
  <c r="Z178" i="1"/>
  <c r="U178" i="1"/>
  <c r="Y178" i="1"/>
  <c r="T178" i="1"/>
  <c r="W178" i="1"/>
  <c r="V178" i="1"/>
  <c r="Z103" i="1"/>
  <c r="V103" i="1"/>
  <c r="T103" i="1"/>
  <c r="U103" i="1"/>
  <c r="W103" i="1"/>
  <c r="Y103" i="1"/>
  <c r="Z388" i="1"/>
  <c r="T388" i="1"/>
  <c r="Y388" i="1"/>
  <c r="W388" i="1"/>
  <c r="V388" i="1"/>
  <c r="U388" i="1"/>
  <c r="Z349" i="1"/>
  <c r="U349" i="1"/>
  <c r="W349" i="1"/>
  <c r="Y349" i="1"/>
  <c r="T349" i="1"/>
  <c r="V349" i="1"/>
  <c r="Z67" i="1"/>
  <c r="T67" i="1"/>
  <c r="V67" i="1"/>
  <c r="Y67" i="1"/>
  <c r="W67" i="1"/>
  <c r="U67" i="1"/>
  <c r="V92" i="1"/>
  <c r="T92" i="1"/>
  <c r="Y92" i="1"/>
  <c r="U92" i="1"/>
  <c r="W92" i="1"/>
  <c r="Z92" i="1"/>
  <c r="U98" i="1"/>
  <c r="T98" i="1"/>
  <c r="Y98" i="1"/>
  <c r="V98" i="1"/>
  <c r="W98" i="1"/>
  <c r="Z98" i="1"/>
  <c r="Z243" i="1"/>
  <c r="V243" i="1"/>
  <c r="W243" i="1"/>
  <c r="Y243" i="1"/>
  <c r="U243" i="1"/>
  <c r="T243" i="1"/>
  <c r="Z334" i="1"/>
  <c r="W334" i="1"/>
  <c r="U334" i="1"/>
  <c r="Y334" i="1"/>
  <c r="V334" i="1"/>
  <c r="T334" i="1"/>
  <c r="Z91" i="1"/>
  <c r="V91" i="1"/>
  <c r="T91" i="1"/>
  <c r="W91" i="1"/>
  <c r="U91" i="1"/>
  <c r="Y91" i="1"/>
  <c r="Z381" i="1"/>
  <c r="U381" i="1"/>
  <c r="V381" i="1"/>
  <c r="W381" i="1"/>
  <c r="Y381" i="1"/>
  <c r="T381" i="1"/>
  <c r="Z30" i="1"/>
  <c r="W30" i="1"/>
  <c r="T30" i="1"/>
  <c r="Y30" i="1"/>
  <c r="U30" i="1"/>
  <c r="V30" i="1"/>
  <c r="Z151" i="1"/>
  <c r="U151" i="1"/>
  <c r="W151" i="1"/>
  <c r="T151" i="1"/>
  <c r="Y151" i="1"/>
  <c r="V151" i="1"/>
  <c r="Z270" i="1"/>
  <c r="W270" i="1"/>
  <c r="V270" i="1"/>
  <c r="Y270" i="1"/>
  <c r="T270" i="1"/>
  <c r="U270" i="1"/>
  <c r="Z40" i="1"/>
  <c r="W40" i="1"/>
  <c r="V40" i="1"/>
  <c r="U40" i="1"/>
  <c r="Y40" i="1"/>
  <c r="T40" i="1"/>
  <c r="Z253" i="1"/>
  <c r="W253" i="1"/>
  <c r="U253" i="1"/>
  <c r="Y253" i="1"/>
  <c r="T253" i="1"/>
  <c r="V253" i="1"/>
  <c r="Z78" i="1"/>
  <c r="W78" i="1"/>
  <c r="U78" i="1"/>
  <c r="Y78" i="1"/>
  <c r="T78" i="1"/>
  <c r="V78" i="1"/>
  <c r="Z273" i="1"/>
  <c r="U273" i="1"/>
  <c r="W273" i="1"/>
  <c r="T273" i="1"/>
  <c r="Y273" i="1"/>
  <c r="V273" i="1"/>
  <c r="Z264" i="1"/>
  <c r="V264" i="1"/>
  <c r="W264" i="1"/>
  <c r="T264" i="1"/>
  <c r="Y264" i="1"/>
  <c r="U264" i="1"/>
  <c r="Z164" i="1"/>
  <c r="U164" i="1"/>
  <c r="W164" i="1"/>
  <c r="Y164" i="1"/>
  <c r="V164" i="1"/>
  <c r="T164" i="1"/>
  <c r="Z295" i="1"/>
  <c r="T295" i="1"/>
  <c r="W295" i="1"/>
  <c r="Y295" i="1"/>
  <c r="V295" i="1"/>
  <c r="U295" i="1"/>
  <c r="Z385" i="1"/>
  <c r="T385" i="1"/>
  <c r="Y385" i="1"/>
  <c r="W385" i="1"/>
  <c r="V385" i="1"/>
  <c r="U385" i="1"/>
  <c r="Z365" i="1"/>
  <c r="U365" i="1"/>
  <c r="Y365" i="1"/>
  <c r="W365" i="1"/>
  <c r="V365" i="1"/>
  <c r="T365" i="1"/>
  <c r="Z221" i="1"/>
  <c r="U221" i="1"/>
  <c r="Y221" i="1"/>
  <c r="W221" i="1"/>
  <c r="V221" i="1"/>
  <c r="T221" i="1"/>
  <c r="Z206" i="1"/>
  <c r="W206" i="1"/>
  <c r="T206" i="1"/>
  <c r="Y206" i="1"/>
  <c r="U206" i="1"/>
  <c r="V206" i="1"/>
  <c r="Z110" i="1"/>
  <c r="W110" i="1"/>
  <c r="U110" i="1"/>
  <c r="Y110" i="1"/>
  <c r="V110" i="1"/>
  <c r="T110" i="1"/>
  <c r="Z27" i="1"/>
  <c r="W27" i="1"/>
  <c r="Y27" i="1"/>
  <c r="V27" i="1"/>
  <c r="U27" i="1"/>
  <c r="T27" i="1"/>
  <c r="Z88" i="1"/>
  <c r="V88" i="1"/>
  <c r="T88" i="1"/>
  <c r="Y88" i="1"/>
  <c r="W88" i="1"/>
  <c r="U88" i="1"/>
  <c r="U197" i="1"/>
  <c r="V197" i="1"/>
  <c r="Z197" i="1"/>
  <c r="Y197" i="1"/>
  <c r="W197" i="1"/>
  <c r="T197" i="1"/>
  <c r="V311" i="1"/>
  <c r="Z311" i="1"/>
  <c r="U311" i="1"/>
  <c r="T311" i="1"/>
  <c r="Y311" i="1"/>
  <c r="W311" i="1"/>
  <c r="Z154" i="1"/>
  <c r="W154" i="1"/>
  <c r="T154" i="1"/>
  <c r="Y154" i="1"/>
  <c r="V154" i="1"/>
  <c r="U154" i="1"/>
  <c r="B30" i="1" l="1"/>
  <c r="H30" i="1"/>
  <c r="G31" i="1"/>
  <c r="B15" i="1" s="1"/>
  <c r="B40" i="1"/>
  <c r="H40" i="1"/>
  <c r="G34" i="1"/>
  <c r="B34" i="1"/>
  <c r="H34" i="1"/>
  <c r="D1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<sst xmlns="http://schemas.openxmlformats.org/spreadsheetml/2006/main" count="434" uniqueCount="245">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</sst>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9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Alignment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9" xfId="0" applyFont="1" applyBorder="1" applyAlignment="1">
      <alignment horizontal="right" wrapText="1"/>
    </xf>
    <xf numFmtId="0" fontId="0" fillId="0" borderId="10" xfId="0" applyBorder="1" applyAlignment="1">
      <alignment horizontal="right" wrapText="1"/>
    </xf>
    <xf numFmtId="1" fontId="0" fillId="0" borderId="0" xfId="0" applyNumberFormat="1" applyBorder="1"/>
    <xf numFmtId="0" fontId="0" fillId="0" borderId="0" xfId="0" applyBorder="1"/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 applyBorder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0" xfId="0" applyNumberFormat="1"/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0" borderId="0" xfId="0" applyProtection="1"/>
    <xf numFmtId="0" fontId="0" fillId="4" borderId="0" xfId="0" applyFill="1" applyProtection="1"/>
    <xf numFmtId="0" fontId="0" fillId="3" borderId="0" xfId="0" applyFill="1" applyProtection="1"/>
    <xf numFmtId="0" fontId="2" fillId="3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horizontal="right"/>
    </xf>
    <xf numFmtId="0" fontId="2" fillId="3" borderId="0" xfId="0" applyFont="1" applyFill="1" applyAlignment="1" applyProtection="1"/>
    <xf numFmtId="0" fontId="5" fillId="3" borderId="0" xfId="0" applyFont="1" applyFill="1" applyAlignment="1" applyProtection="1">
      <alignment horizontal="center" vertical="center" wrapText="1"/>
    </xf>
    <xf numFmtId="16" fontId="2" fillId="3" borderId="0" xfId="0" applyNumberFormat="1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2" fillId="3" borderId="0" xfId="0" applyFont="1" applyFill="1" applyAlignment="1" applyProtection="1">
      <alignment horizontal="right" vertical="center"/>
    </xf>
    <xf numFmtId="0" fontId="0" fillId="8" borderId="9" xfId="0" applyFill="1" applyBorder="1" applyProtection="1"/>
    <xf numFmtId="0" fontId="0" fillId="8" borderId="10" xfId="0" applyFill="1" applyBorder="1" applyProtection="1"/>
    <xf numFmtId="165" fontId="0" fillId="0" borderId="0" xfId="0" applyNumberFormat="1"/>
    <xf numFmtId="0" fontId="7" fillId="3" borderId="0" xfId="0" applyFont="1" applyFill="1" applyAlignment="1" applyProtection="1">
      <alignment horizontal="right" vertical="top"/>
    </xf>
    <xf numFmtId="0" fontId="7" fillId="3" borderId="0" xfId="0" applyFont="1" applyFill="1" applyAlignment="1" applyProtection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 applyProtection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 applyProtection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 applyProtection="1">
      <alignment horizontal="left" vertical="center"/>
    </xf>
    <xf numFmtId="14" fontId="0" fillId="3" borderId="5" xfId="0" applyNumberFormat="1" applyFill="1" applyBorder="1" applyAlignment="1" applyProtection="1">
      <alignment horizontal="right" vertical="center"/>
    </xf>
    <xf numFmtId="14" fontId="0" fillId="3" borderId="7" xfId="0" applyNumberFormat="1" applyFill="1" applyBorder="1" applyAlignment="1" applyProtection="1">
      <alignment horizontal="right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 applyProtection="1"/>
    <xf numFmtId="0" fontId="0" fillId="10" borderId="3" xfId="0" applyFill="1" applyBorder="1" applyAlignment="1" applyProtection="1">
      <alignment horizontal="left" vertical="center"/>
    </xf>
    <xf numFmtId="0" fontId="0" fillId="10" borderId="3" xfId="0" applyFill="1" applyBorder="1" applyAlignment="1" applyProtection="1">
      <alignment horizontal="left"/>
    </xf>
    <xf numFmtId="0" fontId="0" fillId="10" borderId="3" xfId="0" applyFill="1" applyBorder="1" applyProtection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 applyProtection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 applyProtection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 applyProtection="1">
      <alignment horizontal="left"/>
    </xf>
    <xf numFmtId="0" fontId="7" fillId="3" borderId="0" xfId="0" applyFont="1" applyFill="1" applyProtection="1"/>
    <xf numFmtId="0" fontId="0" fillId="7" borderId="13" xfId="0" applyFill="1" applyBorder="1"/>
    <xf numFmtId="14" fontId="7" fillId="3" borderId="0" xfId="0" applyNumberFormat="1" applyFont="1" applyFill="1" applyProtection="1"/>
    <xf numFmtId="0" fontId="0" fillId="0" borderId="0" xfId="0" applyFill="1" applyBorder="1" applyAlignment="1">
      <alignment horizontal="right" wrapText="1"/>
    </xf>
    <xf numFmtId="0" fontId="0" fillId="5" borderId="3" xfId="0" applyFill="1" applyBorder="1" applyAlignment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/>
    <xf numFmtId="0" fontId="3" fillId="2" borderId="29" xfId="0" applyFont="1" applyFill="1" applyBorder="1" applyAlignment="1" applyProtection="1">
      <alignment vertical="center" wrapText="1"/>
    </xf>
    <xf numFmtId="0" fontId="7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0" fillId="3" borderId="0" xfId="0" applyFill="1"/>
    <xf numFmtId="0" fontId="8" fillId="8" borderId="28" xfId="0" applyFont="1" applyFill="1" applyBorder="1" applyAlignment="1" applyProtection="1">
      <alignment horizontal="right"/>
    </xf>
    <xf numFmtId="1" fontId="8" fillId="6" borderId="28" xfId="0" applyNumberFormat="1" applyFont="1" applyFill="1" applyBorder="1" applyAlignment="1" applyProtection="1">
      <alignment horizontal="center"/>
    </xf>
    <xf numFmtId="0" fontId="0" fillId="6" borderId="28" xfId="0" applyFill="1" applyBorder="1" applyAlignment="1" applyProtection="1">
      <alignment horizontal="center"/>
    </xf>
    <xf numFmtId="16" fontId="0" fillId="3" borderId="11" xfId="0" applyNumberFormat="1" applyFill="1" applyBorder="1" applyProtection="1"/>
    <xf numFmtId="0" fontId="0" fillId="3" borderId="11" xfId="0" applyFill="1" applyBorder="1" applyProtection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0" borderId="0" xfId="0" applyBorder="1" applyAlignment="1">
      <alignment horizontal="right" wrapText="1"/>
    </xf>
    <xf numFmtId="0" fontId="0" fillId="12" borderId="0" xfId="0" applyFill="1" applyBorder="1"/>
    <xf numFmtId="0" fontId="0" fillId="12" borderId="19" xfId="0" applyFill="1" applyBorder="1"/>
    <xf numFmtId="0" fontId="0" fillId="12" borderId="20" xfId="0" applyFill="1" applyBorder="1"/>
    <xf numFmtId="0" fontId="0" fillId="3" borderId="0" xfId="0" applyFill="1" applyAlignment="1" applyProtection="1">
      <alignment horizontal="left"/>
    </xf>
    <xf numFmtId="4" fontId="0" fillId="5" borderId="3" xfId="0" applyNumberFormat="1" applyFill="1" applyBorder="1" applyAlignment="1" applyProtection="1">
      <protection locked="0"/>
    </xf>
    <xf numFmtId="0" fontId="0" fillId="5" borderId="3" xfId="0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2" fillId="4" borderId="28" xfId="0" applyFont="1" applyFill="1" applyBorder="1" applyAlignment="1" applyProtection="1">
      <alignment horizontal="center"/>
    </xf>
    <xf numFmtId="0" fontId="2" fillId="4" borderId="31" xfId="0" applyFont="1" applyFill="1" applyBorder="1" applyAlignment="1" applyProtection="1">
      <alignment horizontal="center"/>
    </xf>
    <xf numFmtId="0" fontId="0" fillId="4" borderId="28" xfId="0" applyFill="1" applyBorder="1" applyAlignment="1" applyProtection="1">
      <alignment horizontal="center"/>
    </xf>
    <xf numFmtId="16" fontId="2" fillId="3" borderId="1" xfId="0" applyNumberFormat="1" applyFont="1" applyFill="1" applyBorder="1" applyAlignment="1" applyProtection="1">
      <alignment horizontal="center"/>
    </xf>
    <xf numFmtId="16" fontId="2" fillId="3" borderId="2" xfId="0" applyNumberFormat="1" applyFont="1" applyFill="1" applyBorder="1" applyAlignment="1" applyProtection="1">
      <alignment horizontal="center"/>
    </xf>
    <xf numFmtId="0" fontId="2" fillId="8" borderId="1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center"/>
    </xf>
    <xf numFmtId="0" fontId="0" fillId="14" borderId="0" xfId="0" applyFill="1" applyAlignment="1" applyProtection="1">
      <alignment horizontal="center"/>
    </xf>
    <xf numFmtId="0" fontId="0" fillId="15" borderId="0" xfId="0" applyFill="1" applyAlignment="1" applyProtection="1">
      <alignment horizontal="center"/>
    </xf>
    <xf numFmtId="0" fontId="0" fillId="13" borderId="0" xfId="0" applyFill="1" applyAlignment="1" applyProtection="1">
      <alignment horizont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0" fillId="2" borderId="30" xfId="0" applyFill="1" applyBorder="1" applyAlignment="1" applyProtection="1">
      <alignment horizontal="center" vertical="center" wrapText="1"/>
    </xf>
    <xf numFmtId="0" fontId="0" fillId="2" borderId="31" xfId="0" applyFill="1" applyBorder="1" applyAlignment="1" applyProtection="1">
      <alignment horizontal="center" vertical="center" wrapText="1"/>
    </xf>
    <xf numFmtId="0" fontId="0" fillId="2" borderId="32" xfId="0" applyFill="1" applyBorder="1" applyAlignment="1" applyProtection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68.181462221268106</c:v>
                </c:pt>
                <c:pt idx="1">
                  <c:v>29.931663770224525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3.6610025523910884E-2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84.339251719614751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24.399999999999995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125.85070685467454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31.124368361908893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63.250584979598813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44293</c:v>
                </c:pt>
                <c:pt idx="1">
                  <c:v>44294</c:v>
                </c:pt>
                <c:pt idx="2">
                  <c:v>44295</c:v>
                </c:pt>
                <c:pt idx="3">
                  <c:v>44296</c:v>
                </c:pt>
                <c:pt idx="4">
                  <c:v>44297</c:v>
                </c:pt>
                <c:pt idx="5">
                  <c:v>44298</c:v>
                </c:pt>
                <c:pt idx="6">
                  <c:v>44299</c:v>
                </c:pt>
                <c:pt idx="7">
                  <c:v>44300</c:v>
                </c:pt>
                <c:pt idx="8">
                  <c:v>44301</c:v>
                </c:pt>
                <c:pt idx="9">
                  <c:v>44302</c:v>
                </c:pt>
                <c:pt idx="10">
                  <c:v>44303</c:v>
                </c:pt>
                <c:pt idx="11">
                  <c:v>44304</c:v>
                </c:pt>
                <c:pt idx="12">
                  <c:v>44305</c:v>
                </c:pt>
                <c:pt idx="13">
                  <c:v>44306</c:v>
                </c:pt>
                <c:pt idx="14">
                  <c:v>44307</c:v>
                </c:pt>
                <c:pt idx="15">
                  <c:v>44308</c:v>
                </c:pt>
                <c:pt idx="16">
                  <c:v>44309</c:v>
                </c:pt>
                <c:pt idx="17">
                  <c:v>44310</c:v>
                </c:pt>
                <c:pt idx="18">
                  <c:v>44311</c:v>
                </c:pt>
                <c:pt idx="19">
                  <c:v>44312</c:v>
                </c:pt>
                <c:pt idx="20">
                  <c:v>44313</c:v>
                </c:pt>
                <c:pt idx="21">
                  <c:v>44314</c:v>
                </c:pt>
                <c:pt idx="22">
                  <c:v>44315</c:v>
                </c:pt>
                <c:pt idx="23">
                  <c:v>44316</c:v>
                </c:pt>
                <c:pt idx="24">
                  <c:v>44317</c:v>
                </c:pt>
                <c:pt idx="25">
                  <c:v>44318</c:v>
                </c:pt>
                <c:pt idx="26">
                  <c:v>44319</c:v>
                </c:pt>
                <c:pt idx="27">
                  <c:v>44320</c:v>
                </c:pt>
                <c:pt idx="28">
                  <c:v>44321</c:v>
                </c:pt>
                <c:pt idx="29">
                  <c:v>44322</c:v>
                </c:pt>
                <c:pt idx="30">
                  <c:v>44323</c:v>
                </c:pt>
                <c:pt idx="31">
                  <c:v>44324</c:v>
                </c:pt>
                <c:pt idx="32">
                  <c:v>44325</c:v>
                </c:pt>
                <c:pt idx="33">
                  <c:v>44326</c:v>
                </c:pt>
                <c:pt idx="34">
                  <c:v>44327</c:v>
                </c:pt>
                <c:pt idx="35">
                  <c:v>44328</c:v>
                </c:pt>
                <c:pt idx="36">
                  <c:v>44329</c:v>
                </c:pt>
                <c:pt idx="37">
                  <c:v>44330</c:v>
                </c:pt>
                <c:pt idx="38">
                  <c:v>44331</c:v>
                </c:pt>
                <c:pt idx="39">
                  <c:v>44332</c:v>
                </c:pt>
                <c:pt idx="40">
                  <c:v>44333</c:v>
                </c:pt>
                <c:pt idx="41">
                  <c:v>44334</c:v>
                </c:pt>
                <c:pt idx="42">
                  <c:v>44335</c:v>
                </c:pt>
                <c:pt idx="43">
                  <c:v>44336</c:v>
                </c:pt>
                <c:pt idx="44">
                  <c:v>44337</c:v>
                </c:pt>
                <c:pt idx="45">
                  <c:v>44338</c:v>
                </c:pt>
                <c:pt idx="46">
                  <c:v>44339</c:v>
                </c:pt>
                <c:pt idx="47">
                  <c:v>44340</c:v>
                </c:pt>
                <c:pt idx="48">
                  <c:v>44341</c:v>
                </c:pt>
                <c:pt idx="49">
                  <c:v>44342</c:v>
                </c:pt>
                <c:pt idx="50">
                  <c:v>44343</c:v>
                </c:pt>
                <c:pt idx="51">
                  <c:v>44344</c:v>
                </c:pt>
                <c:pt idx="52">
                  <c:v>44345</c:v>
                </c:pt>
                <c:pt idx="53">
                  <c:v>44346</c:v>
                </c:pt>
                <c:pt idx="54">
                  <c:v>44347</c:v>
                </c:pt>
                <c:pt idx="55">
                  <c:v>44348</c:v>
                </c:pt>
                <c:pt idx="56">
                  <c:v>44349</c:v>
                </c:pt>
                <c:pt idx="57">
                  <c:v>44350</c:v>
                </c:pt>
                <c:pt idx="58">
                  <c:v>44351</c:v>
                </c:pt>
                <c:pt idx="59">
                  <c:v>44352</c:v>
                </c:pt>
                <c:pt idx="60">
                  <c:v>44353</c:v>
                </c:pt>
                <c:pt idx="61">
                  <c:v>44354</c:v>
                </c:pt>
                <c:pt idx="62">
                  <c:v>44355</c:v>
                </c:pt>
                <c:pt idx="63">
                  <c:v>44356</c:v>
                </c:pt>
                <c:pt idx="64">
                  <c:v>44357</c:v>
                </c:pt>
                <c:pt idx="65">
                  <c:v>44358</c:v>
                </c:pt>
                <c:pt idx="66">
                  <c:v>44359</c:v>
                </c:pt>
                <c:pt idx="67">
                  <c:v>44360</c:v>
                </c:pt>
                <c:pt idx="68">
                  <c:v>44361</c:v>
                </c:pt>
                <c:pt idx="69">
                  <c:v>44362</c:v>
                </c:pt>
                <c:pt idx="70">
                  <c:v>44363</c:v>
                </c:pt>
                <c:pt idx="71">
                  <c:v>44364</c:v>
                </c:pt>
                <c:pt idx="72">
                  <c:v>44365</c:v>
                </c:pt>
                <c:pt idx="73">
                  <c:v>44366</c:v>
                </c:pt>
                <c:pt idx="74">
                  <c:v>44367</c:v>
                </c:pt>
                <c:pt idx="75">
                  <c:v>44368</c:v>
                </c:pt>
                <c:pt idx="76">
                  <c:v>44369</c:v>
                </c:pt>
                <c:pt idx="77">
                  <c:v>44370</c:v>
                </c:pt>
                <c:pt idx="78">
                  <c:v>44371</c:v>
                </c:pt>
                <c:pt idx="79">
                  <c:v>44372</c:v>
                </c:pt>
                <c:pt idx="80">
                  <c:v>44373</c:v>
                </c:pt>
                <c:pt idx="81">
                  <c:v>44374</c:v>
                </c:pt>
                <c:pt idx="82">
                  <c:v>44375</c:v>
                </c:pt>
                <c:pt idx="83">
                  <c:v>44376</c:v>
                </c:pt>
                <c:pt idx="84">
                  <c:v>44377</c:v>
                </c:pt>
                <c:pt idx="85">
                  <c:v>44378</c:v>
                </c:pt>
                <c:pt idx="86">
                  <c:v>44379</c:v>
                </c:pt>
                <c:pt idx="87">
                  <c:v>44380</c:v>
                </c:pt>
                <c:pt idx="88">
                  <c:v>44381</c:v>
                </c:pt>
                <c:pt idx="89">
                  <c:v>44382</c:v>
                </c:pt>
                <c:pt idx="90">
                  <c:v>44383</c:v>
                </c:pt>
                <c:pt idx="91">
                  <c:v>44384</c:v>
                </c:pt>
                <c:pt idx="92">
                  <c:v>44385</c:v>
                </c:pt>
                <c:pt idx="93">
                  <c:v>44386</c:v>
                </c:pt>
                <c:pt idx="94">
                  <c:v>44387</c:v>
                </c:pt>
                <c:pt idx="95">
                  <c:v>44388</c:v>
                </c:pt>
                <c:pt idx="96">
                  <c:v>44389</c:v>
                </c:pt>
                <c:pt idx="97">
                  <c:v>44390</c:v>
                </c:pt>
                <c:pt idx="98">
                  <c:v>44391</c:v>
                </c:pt>
                <c:pt idx="99">
                  <c:v>44392</c:v>
                </c:pt>
                <c:pt idx="100">
                  <c:v>44393</c:v>
                </c:pt>
                <c:pt idx="101">
                  <c:v>44394</c:v>
                </c:pt>
                <c:pt idx="102">
                  <c:v>44395</c:v>
                </c:pt>
                <c:pt idx="103">
                  <c:v>44396</c:v>
                </c:pt>
                <c:pt idx="104">
                  <c:v>44397</c:v>
                </c:pt>
                <c:pt idx="105">
                  <c:v>44398</c:v>
                </c:pt>
                <c:pt idx="106">
                  <c:v>44399</c:v>
                </c:pt>
                <c:pt idx="107">
                  <c:v>44400</c:v>
                </c:pt>
                <c:pt idx="108">
                  <c:v>44401</c:v>
                </c:pt>
                <c:pt idx="109">
                  <c:v>44402</c:v>
                </c:pt>
                <c:pt idx="110">
                  <c:v>44403</c:v>
                </c:pt>
                <c:pt idx="111">
                  <c:v>44404</c:v>
                </c:pt>
                <c:pt idx="112">
                  <c:v>44405</c:v>
                </c:pt>
                <c:pt idx="113">
                  <c:v>44406</c:v>
                </c:pt>
                <c:pt idx="114">
                  <c:v>44407</c:v>
                </c:pt>
                <c:pt idx="115">
                  <c:v>44408</c:v>
                </c:pt>
                <c:pt idx="116">
                  <c:v>44409</c:v>
                </c:pt>
                <c:pt idx="117">
                  <c:v>44410</c:v>
                </c:pt>
                <c:pt idx="118">
                  <c:v>44411</c:v>
                </c:pt>
                <c:pt idx="119">
                  <c:v>44412</c:v>
                </c:pt>
                <c:pt idx="120">
                  <c:v>44413</c:v>
                </c:pt>
                <c:pt idx="121">
                  <c:v>44414</c:v>
                </c:pt>
                <c:pt idx="122">
                  <c:v>44415</c:v>
                </c:pt>
                <c:pt idx="123">
                  <c:v>44416</c:v>
                </c:pt>
                <c:pt idx="124">
                  <c:v>44417</c:v>
                </c:pt>
                <c:pt idx="125">
                  <c:v>44418</c:v>
                </c:pt>
                <c:pt idx="126">
                  <c:v>44419</c:v>
                </c:pt>
                <c:pt idx="127">
                  <c:v>44420</c:v>
                </c:pt>
                <c:pt idx="128">
                  <c:v>44421</c:v>
                </c:pt>
                <c:pt idx="129">
                  <c:v>44422</c:v>
                </c:pt>
                <c:pt idx="130">
                  <c:v>44423</c:v>
                </c:pt>
                <c:pt idx="131">
                  <c:v>44424</c:v>
                </c:pt>
                <c:pt idx="132">
                  <c:v>44425</c:v>
                </c:pt>
                <c:pt idx="133">
                  <c:v>44426</c:v>
                </c:pt>
                <c:pt idx="134">
                  <c:v>44427</c:v>
                </c:pt>
                <c:pt idx="135">
                  <c:v>44428</c:v>
                </c:pt>
                <c:pt idx="136">
                  <c:v>44429</c:v>
                </c:pt>
                <c:pt idx="137">
                  <c:v>44430</c:v>
                </c:pt>
                <c:pt idx="138">
                  <c:v>44431</c:v>
                </c:pt>
                <c:pt idx="139">
                  <c:v>44432</c:v>
                </c:pt>
                <c:pt idx="140">
                  <c:v>44433</c:v>
                </c:pt>
                <c:pt idx="141">
                  <c:v>44434</c:v>
                </c:pt>
                <c:pt idx="142">
                  <c:v>44435</c:v>
                </c:pt>
                <c:pt idx="143">
                  <c:v>44436</c:v>
                </c:pt>
                <c:pt idx="144">
                  <c:v>44437</c:v>
                </c:pt>
                <c:pt idx="145">
                  <c:v>44438</c:v>
                </c:pt>
                <c:pt idx="146">
                  <c:v>44439</c:v>
                </c:pt>
                <c:pt idx="147">
                  <c:v>44440</c:v>
                </c:pt>
                <c:pt idx="148">
                  <c:v>44441</c:v>
                </c:pt>
                <c:pt idx="149">
                  <c:v>44442</c:v>
                </c:pt>
                <c:pt idx="150">
                  <c:v>44443</c:v>
                </c:pt>
                <c:pt idx="151">
                  <c:v>44444</c:v>
                </c:pt>
                <c:pt idx="152">
                  <c:v>44445</c:v>
                </c:pt>
                <c:pt idx="153">
                  <c:v>44446</c:v>
                </c:pt>
                <c:pt idx="154">
                  <c:v>44447</c:v>
                </c:pt>
                <c:pt idx="155">
                  <c:v>44448</c:v>
                </c:pt>
                <c:pt idx="156">
                  <c:v>44449</c:v>
                </c:pt>
                <c:pt idx="157">
                  <c:v>44450</c:v>
                </c:pt>
                <c:pt idx="158">
                  <c:v>44451</c:v>
                </c:pt>
                <c:pt idx="159">
                  <c:v>44452</c:v>
                </c:pt>
                <c:pt idx="160">
                  <c:v>44453</c:v>
                </c:pt>
                <c:pt idx="161">
                  <c:v>44454</c:v>
                </c:pt>
                <c:pt idx="162">
                  <c:v>44455</c:v>
                </c:pt>
                <c:pt idx="163">
                  <c:v>44456</c:v>
                </c:pt>
                <c:pt idx="164">
                  <c:v>44457</c:v>
                </c:pt>
                <c:pt idx="165">
                  <c:v>44458</c:v>
                </c:pt>
                <c:pt idx="166">
                  <c:v>44459</c:v>
                </c:pt>
                <c:pt idx="167">
                  <c:v>44460</c:v>
                </c:pt>
                <c:pt idx="168">
                  <c:v>44461</c:v>
                </c:pt>
                <c:pt idx="169">
                  <c:v>44462</c:v>
                </c:pt>
                <c:pt idx="170">
                  <c:v>44463</c:v>
                </c:pt>
                <c:pt idx="171">
                  <c:v>44464</c:v>
                </c:pt>
                <c:pt idx="172">
                  <c:v>44465</c:v>
                </c:pt>
                <c:pt idx="173">
                  <c:v>44466</c:v>
                </c:pt>
                <c:pt idx="174">
                  <c:v>44467</c:v>
                </c:pt>
                <c:pt idx="175">
                  <c:v>44468</c:v>
                </c:pt>
                <c:pt idx="176">
                  <c:v>44469</c:v>
                </c:pt>
                <c:pt idx="177">
                  <c:v>44470</c:v>
                </c:pt>
                <c:pt idx="178">
                  <c:v>44471</c:v>
                </c:pt>
                <c:pt idx="179">
                  <c:v>44472</c:v>
                </c:pt>
                <c:pt idx="180">
                  <c:v>44473</c:v>
                </c:pt>
                <c:pt idx="181">
                  <c:v>44474</c:v>
                </c:pt>
                <c:pt idx="182">
                  <c:v>44475</c:v>
                </c:pt>
                <c:pt idx="183">
                  <c:v>44476</c:v>
                </c:pt>
                <c:pt idx="184">
                  <c:v>44477</c:v>
                </c:pt>
                <c:pt idx="185">
                  <c:v>44478</c:v>
                </c:pt>
                <c:pt idx="186">
                  <c:v>44479</c:v>
                </c:pt>
                <c:pt idx="187">
                  <c:v>44480</c:v>
                </c:pt>
                <c:pt idx="188">
                  <c:v>44481</c:v>
                </c:pt>
                <c:pt idx="189">
                  <c:v>44482</c:v>
                </c:pt>
                <c:pt idx="190">
                  <c:v>44483</c:v>
                </c:pt>
                <c:pt idx="191">
                  <c:v>44484</c:v>
                </c:pt>
                <c:pt idx="192">
                  <c:v>44485</c:v>
                </c:pt>
                <c:pt idx="193">
                  <c:v>44486</c:v>
                </c:pt>
                <c:pt idx="194">
                  <c:v>44487</c:v>
                </c:pt>
                <c:pt idx="195">
                  <c:v>44488</c:v>
                </c:pt>
                <c:pt idx="196">
                  <c:v>44489</c:v>
                </c:pt>
                <c:pt idx="197">
                  <c:v>44490</c:v>
                </c:pt>
                <c:pt idx="198">
                  <c:v>44491</c:v>
                </c:pt>
                <c:pt idx="199">
                  <c:v>44492</c:v>
                </c:pt>
                <c:pt idx="200">
                  <c:v>44493</c:v>
                </c:pt>
                <c:pt idx="201">
                  <c:v>44494</c:v>
                </c:pt>
                <c:pt idx="202">
                  <c:v>44495</c:v>
                </c:pt>
                <c:pt idx="203">
                  <c:v>44496</c:v>
                </c:pt>
                <c:pt idx="204">
                  <c:v>44497</c:v>
                </c:pt>
                <c:pt idx="205">
                  <c:v>44498</c:v>
                </c:pt>
                <c:pt idx="206">
                  <c:v>44499</c:v>
                </c:pt>
                <c:pt idx="207">
                  <c:v>44500</c:v>
                </c:pt>
                <c:pt idx="208">
                  <c:v>44501</c:v>
                </c:pt>
                <c:pt idx="209">
                  <c:v>44502</c:v>
                </c:pt>
                <c:pt idx="210">
                  <c:v>44503</c:v>
                </c:pt>
                <c:pt idx="211">
                  <c:v>44504</c:v>
                </c:pt>
                <c:pt idx="212">
                  <c:v>44505</c:v>
                </c:pt>
                <c:pt idx="213">
                  <c:v>44506</c:v>
                </c:pt>
                <c:pt idx="214">
                  <c:v>44507</c:v>
                </c:pt>
                <c:pt idx="215">
                  <c:v>44508</c:v>
                </c:pt>
                <c:pt idx="216">
                  <c:v>44509</c:v>
                </c:pt>
                <c:pt idx="217">
                  <c:v>44510</c:v>
                </c:pt>
                <c:pt idx="218">
                  <c:v>44511</c:v>
                </c:pt>
                <c:pt idx="219">
                  <c:v>44512</c:v>
                </c:pt>
                <c:pt idx="220">
                  <c:v>44513</c:v>
                </c:pt>
                <c:pt idx="221">
                  <c:v>44514</c:v>
                </c:pt>
                <c:pt idx="222">
                  <c:v>44515</c:v>
                </c:pt>
                <c:pt idx="223">
                  <c:v>44516</c:v>
                </c:pt>
                <c:pt idx="224">
                  <c:v>44517</c:v>
                </c:pt>
                <c:pt idx="225">
                  <c:v>44518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3.7018063245480501</c:v>
                </c:pt>
                <c:pt idx="1">
                  <c:v>3.8157038080205701</c:v>
                </c:pt>
                <c:pt idx="2">
                  <c:v>3.9308620680621198</c:v>
                </c:pt>
                <c:pt idx="3">
                  <c:v>4.0487088484767702</c:v>
                </c:pt>
                <c:pt idx="4">
                  <c:v>4.1678716821863597</c:v>
                </c:pt>
                <c:pt idx="5">
                  <c:v>4.2909242803341501</c:v>
                </c:pt>
                <c:pt idx="6">
                  <c:v>4.4196431378050196</c:v>
                </c:pt>
                <c:pt idx="7">
                  <c:v>4.54954279023422</c:v>
                </c:pt>
                <c:pt idx="8">
                  <c:v>4.6815592234797396</c:v>
                </c:pt>
                <c:pt idx="9">
                  <c:v>4.8218242399990396</c:v>
                </c:pt>
                <c:pt idx="10">
                  <c:v>4.9638470266789003</c:v>
                </c:pt>
                <c:pt idx="11">
                  <c:v>5.1100672979550898</c:v>
                </c:pt>
                <c:pt idx="12">
                  <c:v>5.2582291957999301</c:v>
                </c:pt>
                <c:pt idx="13">
                  <c:v>5.4127650708037001</c:v>
                </c:pt>
                <c:pt idx="14">
                  <c:v>5.5701643723671603</c:v>
                </c:pt>
                <c:pt idx="15">
                  <c:v>5.7241256980453201</c:v>
                </c:pt>
                <c:pt idx="16">
                  <c:v>5.8838860034351397</c:v>
                </c:pt>
                <c:pt idx="17">
                  <c:v>6.0458521389029602</c:v>
                </c:pt>
                <c:pt idx="18">
                  <c:v>6.2153893589174798</c:v>
                </c:pt>
                <c:pt idx="19">
                  <c:v>6.39221199075131</c:v>
                </c:pt>
                <c:pt idx="20">
                  <c:v>6.5787661496709404</c:v>
                </c:pt>
                <c:pt idx="21">
                  <c:v>6.7736871156532699</c:v>
                </c:pt>
                <c:pt idx="22">
                  <c:v>6.9623732963940297</c:v>
                </c:pt>
                <c:pt idx="23">
                  <c:v>7.15079216129031</c:v>
                </c:pt>
                <c:pt idx="24">
                  <c:v>7.3450108257654598</c:v>
                </c:pt>
                <c:pt idx="25">
                  <c:v>7.5428733191622896</c:v>
                </c:pt>
                <c:pt idx="26">
                  <c:v>7.7442695587096404</c:v>
                </c:pt>
                <c:pt idx="27">
                  <c:v>7.9467613201477203</c:v>
                </c:pt>
                <c:pt idx="28">
                  <c:v>8.1556123592648095</c:v>
                </c:pt>
                <c:pt idx="29">
                  <c:v>8.3722374149980894</c:v>
                </c:pt>
                <c:pt idx="30">
                  <c:v>8.5892868544551799</c:v>
                </c:pt>
                <c:pt idx="31">
                  <c:v>8.8074282930843104</c:v>
                </c:pt>
                <c:pt idx="32">
                  <c:v>9.0239208638384607</c:v>
                </c:pt>
                <c:pt idx="33">
                  <c:v>9.2477020619193002</c:v>
                </c:pt>
                <c:pt idx="34">
                  <c:v>9.4817350257112007</c:v>
                </c:pt>
                <c:pt idx="35">
                  <c:v>9.7271225023093297</c:v>
                </c:pt>
                <c:pt idx="36">
                  <c:v>9.9770803887443709</c:v>
                </c:pt>
                <c:pt idx="37">
                  <c:v>10.2269414905352</c:v>
                </c:pt>
                <c:pt idx="38">
                  <c:v>10.481142417590499</c:v>
                </c:pt>
                <c:pt idx="39">
                  <c:v>10.7415249399556</c:v>
                </c:pt>
                <c:pt idx="40">
                  <c:v>10.999934922709</c:v>
                </c:pt>
                <c:pt idx="41">
                  <c:v>11.2613105918501</c:v>
                </c:pt>
                <c:pt idx="42">
                  <c:v>11.5387065955523</c:v>
                </c:pt>
                <c:pt idx="43">
                  <c:v>11.8214672619421</c:v>
                </c:pt>
                <c:pt idx="44">
                  <c:v>12.116949098678701</c:v>
                </c:pt>
                <c:pt idx="45">
                  <c:v>12.4075424290639</c:v>
                </c:pt>
                <c:pt idx="46">
                  <c:v>12.699112261674101</c:v>
                </c:pt>
                <c:pt idx="47">
                  <c:v>12.995354862532899</c:v>
                </c:pt>
                <c:pt idx="48">
                  <c:v>13.3046990791085</c:v>
                </c:pt>
                <c:pt idx="49">
                  <c:v>13.630677121125</c:v>
                </c:pt>
                <c:pt idx="50">
                  <c:v>13.948458410643999</c:v>
                </c:pt>
                <c:pt idx="51">
                  <c:v>14.2544068063424</c:v>
                </c:pt>
                <c:pt idx="52">
                  <c:v>14.5569194472154</c:v>
                </c:pt>
                <c:pt idx="53">
                  <c:v>14.8734392003196</c:v>
                </c:pt>
                <c:pt idx="54">
                  <c:v>15.188187330408599</c:v>
                </c:pt>
                <c:pt idx="55">
                  <c:v>15.509883398987</c:v>
                </c:pt>
                <c:pt idx="56">
                  <c:v>15.8334965380858</c:v>
                </c:pt>
                <c:pt idx="57">
                  <c:v>16.147592775263099</c:v>
                </c:pt>
                <c:pt idx="58">
                  <c:v>16.470766073418499</c:v>
                </c:pt>
                <c:pt idx="59">
                  <c:v>16.803628670584899</c:v>
                </c:pt>
                <c:pt idx="60">
                  <c:v>17.140772610968199</c:v>
                </c:pt>
                <c:pt idx="61">
                  <c:v>17.487474503399</c:v>
                </c:pt>
                <c:pt idx="62">
                  <c:v>17.849447407957499</c:v>
                </c:pt>
                <c:pt idx="63">
                  <c:v>18.230796610181802</c:v>
                </c:pt>
                <c:pt idx="64">
                  <c:v>18.619947532556999</c:v>
                </c:pt>
                <c:pt idx="65">
                  <c:v>19.018417078071302</c:v>
                </c:pt>
                <c:pt idx="66">
                  <c:v>19.418573165182</c:v>
                </c:pt>
                <c:pt idx="67">
                  <c:v>19.819500193071399</c:v>
                </c:pt>
                <c:pt idx="68">
                  <c:v>20.207831750180699</c:v>
                </c:pt>
                <c:pt idx="69">
                  <c:v>20.6051005132333</c:v>
                </c:pt>
                <c:pt idx="70">
                  <c:v>20.988590265444401</c:v>
                </c:pt>
                <c:pt idx="71">
                  <c:v>21.3810344620412</c:v>
                </c:pt>
                <c:pt idx="72">
                  <c:v>21.7997648366559</c:v>
                </c:pt>
                <c:pt idx="73">
                  <c:v>22.212194187305599</c:v>
                </c:pt>
                <c:pt idx="74">
                  <c:v>22.637847917986601</c:v>
                </c:pt>
                <c:pt idx="75">
                  <c:v>23.0750140379896</c:v>
                </c:pt>
                <c:pt idx="76">
                  <c:v>23.505699943545899</c:v>
                </c:pt>
                <c:pt idx="77">
                  <c:v>23.932687481342601</c:v>
                </c:pt>
                <c:pt idx="78">
                  <c:v>24.371089766169199</c:v>
                </c:pt>
                <c:pt idx="79">
                  <c:v>24.823583660296499</c:v>
                </c:pt>
                <c:pt idx="80">
                  <c:v>25.267431423308398</c:v>
                </c:pt>
                <c:pt idx="81">
                  <c:v>25.722374503837301</c:v>
                </c:pt>
                <c:pt idx="82">
                  <c:v>26.1786840984681</c:v>
                </c:pt>
                <c:pt idx="83">
                  <c:v>26.646614411657101</c:v>
                </c:pt>
                <c:pt idx="84">
                  <c:v>27.125354890690399</c:v>
                </c:pt>
                <c:pt idx="85">
                  <c:v>27.583601403002302</c:v>
                </c:pt>
                <c:pt idx="86">
                  <c:v>28.025807261698699</c:v>
                </c:pt>
                <c:pt idx="87">
                  <c:v>28.480327730374899</c:v>
                </c:pt>
                <c:pt idx="88">
                  <c:v>28.9636832435149</c:v>
                </c:pt>
                <c:pt idx="89">
                  <c:v>29.4779097302048</c:v>
                </c:pt>
                <c:pt idx="90">
                  <c:v>29.997462808160002</c:v>
                </c:pt>
                <c:pt idx="91">
                  <c:v>30.521587192735801</c:v>
                </c:pt>
                <c:pt idx="92">
                  <c:v>31.037855248879801</c:v>
                </c:pt>
                <c:pt idx="93">
                  <c:v>31.568828592747899</c:v>
                </c:pt>
                <c:pt idx="94">
                  <c:v>32.073540018729901</c:v>
                </c:pt>
                <c:pt idx="95">
                  <c:v>32.5655612670392</c:v>
                </c:pt>
                <c:pt idx="96">
                  <c:v>33.079516710629399</c:v>
                </c:pt>
                <c:pt idx="97">
                  <c:v>33.609197002150196</c:v>
                </c:pt>
                <c:pt idx="98">
                  <c:v>34.123661789147697</c:v>
                </c:pt>
                <c:pt idx="99">
                  <c:v>34.694151310280297</c:v>
                </c:pt>
                <c:pt idx="100">
                  <c:v>35.3041034708274</c:v>
                </c:pt>
                <c:pt idx="101">
                  <c:v>35.908040194231702</c:v>
                </c:pt>
                <c:pt idx="102">
                  <c:v>36.498853627948399</c:v>
                </c:pt>
                <c:pt idx="103">
                  <c:v>37.0894414980623</c:v>
                </c:pt>
                <c:pt idx="104">
                  <c:v>37.715647297652701</c:v>
                </c:pt>
                <c:pt idx="105">
                  <c:v>38.320819541937603</c:v>
                </c:pt>
                <c:pt idx="106">
                  <c:v>38.968482525521097</c:v>
                </c:pt>
                <c:pt idx="107">
                  <c:v>39.615918044951101</c:v>
                </c:pt>
                <c:pt idx="108">
                  <c:v>40.2733789881378</c:v>
                </c:pt>
                <c:pt idx="109">
                  <c:v>40.903146926687498</c:v>
                </c:pt>
                <c:pt idx="110">
                  <c:v>41.534159765825798</c:v>
                </c:pt>
                <c:pt idx="111">
                  <c:v>42.199413108153202</c:v>
                </c:pt>
                <c:pt idx="112">
                  <c:v>42.877849251653302</c:v>
                </c:pt>
                <c:pt idx="113">
                  <c:v>43.576670949048399</c:v>
                </c:pt>
                <c:pt idx="114">
                  <c:v>44.283219542978401</c:v>
                </c:pt>
                <c:pt idx="115">
                  <c:v>45.003904266103902</c:v>
                </c:pt>
                <c:pt idx="116">
                  <c:v>45.736115288908401</c:v>
                </c:pt>
                <c:pt idx="117">
                  <c:v>46.500187870301197</c:v>
                </c:pt>
                <c:pt idx="118">
                  <c:v>47.268313645922802</c:v>
                </c:pt>
                <c:pt idx="119">
                  <c:v>48.038707659285002</c:v>
                </c:pt>
                <c:pt idx="120">
                  <c:v>48.796971080413897</c:v>
                </c:pt>
                <c:pt idx="121">
                  <c:v>49.5579904095272</c:v>
                </c:pt>
                <c:pt idx="122">
                  <c:v>50.334436415210703</c:v>
                </c:pt>
                <c:pt idx="123">
                  <c:v>51.118690913929903</c:v>
                </c:pt>
                <c:pt idx="124">
                  <c:v>51.920310925508304</c:v>
                </c:pt>
                <c:pt idx="125">
                  <c:v>52.713677982587797</c:v>
                </c:pt>
                <c:pt idx="126">
                  <c:v>53.5341907851261</c:v>
                </c:pt>
                <c:pt idx="127">
                  <c:v>54.341487355772401</c:v>
                </c:pt>
                <c:pt idx="128">
                  <c:v>55.174219671723499</c:v>
                </c:pt>
                <c:pt idx="129">
                  <c:v>56.004196554520199</c:v>
                </c:pt>
                <c:pt idx="130">
                  <c:v>56.799054147261103</c:v>
                </c:pt>
                <c:pt idx="131">
                  <c:v>57.603172874620803</c:v>
                </c:pt>
                <c:pt idx="132">
                  <c:v>58.4044429169724</c:v>
                </c:pt>
                <c:pt idx="133">
                  <c:v>59.212210014093998</c:v>
                </c:pt>
                <c:pt idx="134">
                  <c:v>60.030856977467401</c:v>
                </c:pt>
                <c:pt idx="135">
                  <c:v>60.879063846378202</c:v>
                </c:pt>
                <c:pt idx="136">
                  <c:v>61.757150225120903</c:v>
                </c:pt>
                <c:pt idx="137">
                  <c:v>62.652419419878697</c:v>
                </c:pt>
                <c:pt idx="138">
                  <c:v>63.575597727538799</c:v>
                </c:pt>
                <c:pt idx="139">
                  <c:v>64.506953903162596</c:v>
                </c:pt>
                <c:pt idx="140">
                  <c:v>65.461953950694806</c:v>
                </c:pt>
                <c:pt idx="141">
                  <c:v>66.411729301088997</c:v>
                </c:pt>
                <c:pt idx="142">
                  <c:v>67.366207671054298</c:v>
                </c:pt>
                <c:pt idx="143">
                  <c:v>68.2977820064159</c:v>
                </c:pt>
                <c:pt idx="144">
                  <c:v>69.233835927219204</c:v>
                </c:pt>
                <c:pt idx="145">
                  <c:v>70.187981907639696</c:v>
                </c:pt>
                <c:pt idx="146">
                  <c:v>71.153587773387002</c:v>
                </c:pt>
                <c:pt idx="147">
                  <c:v>72.111719457061</c:v>
                </c:pt>
                <c:pt idx="148">
                  <c:v>73.080665508476002</c:v>
                </c:pt>
                <c:pt idx="149">
                  <c:v>74.106874286013095</c:v>
                </c:pt>
                <c:pt idx="150">
                  <c:v>75.148605458817102</c:v>
                </c:pt>
                <c:pt idx="151">
                  <c:v>76.213341500468502</c:v>
                </c:pt>
                <c:pt idx="152">
                  <c:v>77.279062164983202</c:v>
                </c:pt>
                <c:pt idx="153">
                  <c:v>78.323281506894105</c:v>
                </c:pt>
                <c:pt idx="154">
                  <c:v>79.413525997816294</c:v>
                </c:pt>
                <c:pt idx="155">
                  <c:v>80.474597290060203</c:v>
                </c:pt>
                <c:pt idx="156">
                  <c:v>81.5546617294752</c:v>
                </c:pt>
                <c:pt idx="157">
                  <c:v>82.652567506272405</c:v>
                </c:pt>
                <c:pt idx="158">
                  <c:v>83.791846035662303</c:v>
                </c:pt>
                <c:pt idx="159">
                  <c:v>84.911864691729903</c:v>
                </c:pt>
                <c:pt idx="160">
                  <c:v>86.051484592808904</c:v>
                </c:pt>
                <c:pt idx="161">
                  <c:v>87.224481127182301</c:v>
                </c:pt>
                <c:pt idx="162">
                  <c:v>88.418927415028904</c:v>
                </c:pt>
                <c:pt idx="163">
                  <c:v>89.607680225827494</c:v>
                </c:pt>
                <c:pt idx="164">
                  <c:v>90.778240098820802</c:v>
                </c:pt>
                <c:pt idx="165">
                  <c:v>91.942345894847705</c:v>
                </c:pt>
                <c:pt idx="166">
                  <c:v>93.102724229380996</c:v>
                </c:pt>
                <c:pt idx="167">
                  <c:v>94.255934165974807</c:v>
                </c:pt>
                <c:pt idx="168">
                  <c:v>95.4248986133491</c:v>
                </c:pt>
                <c:pt idx="169">
                  <c:v>96.607018343493493</c:v>
                </c:pt>
                <c:pt idx="170">
                  <c:v>97.832599662150997</c:v>
                </c:pt>
                <c:pt idx="171">
                  <c:v>99.030485918652005</c:v>
                </c:pt>
                <c:pt idx="172">
                  <c:v>100.219705096811</c:v>
                </c:pt>
                <c:pt idx="173">
                  <c:v>101.445086351245</c:v>
                </c:pt>
                <c:pt idx="174">
                  <c:v>102.70093639701901</c:v>
                </c:pt>
                <c:pt idx="175">
                  <c:v>103.988666598294</c:v>
                </c:pt>
                <c:pt idx="176">
                  <c:v>105.26472628578701</c:v>
                </c:pt>
                <c:pt idx="177">
                  <c:v>106.51493373571699</c:v>
                </c:pt>
                <c:pt idx="178">
                  <c:v>107.75488398113499</c:v>
                </c:pt>
                <c:pt idx="179">
                  <c:v>109.021500681172</c:v>
                </c:pt>
                <c:pt idx="180">
                  <c:v>110.247639091761</c:v>
                </c:pt>
                <c:pt idx="181">
                  <c:v>111.473043737777</c:v>
                </c:pt>
                <c:pt idx="182">
                  <c:v>112.70633529797701</c:v>
                </c:pt>
                <c:pt idx="183">
                  <c:v>113.913592480267</c:v>
                </c:pt>
                <c:pt idx="184">
                  <c:v>115.18422048959501</c:v>
                </c:pt>
                <c:pt idx="185">
                  <c:v>116.469579841372</c:v>
                </c:pt>
                <c:pt idx="186">
                  <c:v>117.68059672166601</c:v>
                </c:pt>
                <c:pt idx="187">
                  <c:v>118.91147763571099</c:v>
                </c:pt>
                <c:pt idx="188">
                  <c:v>120.18379007338901</c:v>
                </c:pt>
                <c:pt idx="189">
                  <c:v>121.441144200693</c:v>
                </c:pt>
                <c:pt idx="190">
                  <c:v>122.66204745639099</c:v>
                </c:pt>
                <c:pt idx="191">
                  <c:v>123.848851862781</c:v>
                </c:pt>
                <c:pt idx="192">
                  <c:v>125.03360314409301</c:v>
                </c:pt>
                <c:pt idx="193">
                  <c:v>126.263005629776</c:v>
                </c:pt>
                <c:pt idx="194">
                  <c:v>127.440421535619</c:v>
                </c:pt>
                <c:pt idx="195">
                  <c:v>128.58775608447201</c:v>
                </c:pt>
                <c:pt idx="196">
                  <c:v>129.71603813142201</c:v>
                </c:pt>
                <c:pt idx="197">
                  <c:v>130.87590670513899</c:v>
                </c:pt>
                <c:pt idx="198">
                  <c:v>132.05104532421799</c:v>
                </c:pt>
                <c:pt idx="199">
                  <c:v>133.24779503425401</c:v>
                </c:pt>
                <c:pt idx="200">
                  <c:v>134.38337943193699</c:v>
                </c:pt>
                <c:pt idx="201">
                  <c:v>135.546955732246</c:v>
                </c:pt>
                <c:pt idx="202">
                  <c:v>136.723711355327</c:v>
                </c:pt>
                <c:pt idx="203">
                  <c:v>137.95110394969799</c:v>
                </c:pt>
                <c:pt idx="204">
                  <c:v>139.11910028359</c:v>
                </c:pt>
                <c:pt idx="205">
                  <c:v>140.27575005924101</c:v>
                </c:pt>
                <c:pt idx="206">
                  <c:v>141.45333678466801</c:v>
                </c:pt>
                <c:pt idx="207">
                  <c:v>142.60222666604901</c:v>
                </c:pt>
                <c:pt idx="208">
                  <c:v>143.69969412932099</c:v>
                </c:pt>
                <c:pt idx="209">
                  <c:v>144.78849159023699</c:v>
                </c:pt>
                <c:pt idx="210">
                  <c:v>145.85604014422299</c:v>
                </c:pt>
                <c:pt idx="211">
                  <c:v>146.925947180892</c:v>
                </c:pt>
                <c:pt idx="212">
                  <c:v>148.00768785826099</c:v>
                </c:pt>
                <c:pt idx="213">
                  <c:v>149.046302416402</c:v>
                </c:pt>
                <c:pt idx="214">
                  <c:v>150.09327477327901</c:v>
                </c:pt>
                <c:pt idx="215">
                  <c:v>151.144139953229</c:v>
                </c:pt>
                <c:pt idx="216">
                  <c:v>152.15471886005</c:v>
                </c:pt>
                <c:pt idx="217">
                  <c:v>153.17487517847999</c:v>
                </c:pt>
                <c:pt idx="218">
                  <c:v>154.18606382413901</c:v>
                </c:pt>
                <c:pt idx="219">
                  <c:v>155.179711311831</c:v>
                </c:pt>
                <c:pt idx="220">
                  <c:v>156.142637789215</c:v>
                </c:pt>
                <c:pt idx="221">
                  <c:v>157.08705744986699</c:v>
                </c:pt>
                <c:pt idx="222">
                  <c:v>158.03906389947699</c:v>
                </c:pt>
                <c:pt idx="223">
                  <c:v>158.995751708547</c:v>
                </c:pt>
                <c:pt idx="224">
                  <c:v>159.91220309087601</c:v>
                </c:pt>
                <c:pt idx="225">
                  <c:v>160.79077902460401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44293</c:v>
                </c:pt>
                <c:pt idx="1">
                  <c:v>44294</c:v>
                </c:pt>
                <c:pt idx="2">
                  <c:v>44295</c:v>
                </c:pt>
                <c:pt idx="3">
                  <c:v>44296</c:v>
                </c:pt>
                <c:pt idx="4">
                  <c:v>44297</c:v>
                </c:pt>
                <c:pt idx="5">
                  <c:v>44298</c:v>
                </c:pt>
                <c:pt idx="6">
                  <c:v>44299</c:v>
                </c:pt>
                <c:pt idx="7">
                  <c:v>44300</c:v>
                </c:pt>
                <c:pt idx="8">
                  <c:v>44301</c:v>
                </c:pt>
                <c:pt idx="9">
                  <c:v>44302</c:v>
                </c:pt>
                <c:pt idx="10">
                  <c:v>44303</c:v>
                </c:pt>
                <c:pt idx="11">
                  <c:v>44304</c:v>
                </c:pt>
                <c:pt idx="12">
                  <c:v>44305</c:v>
                </c:pt>
                <c:pt idx="13">
                  <c:v>44306</c:v>
                </c:pt>
                <c:pt idx="14">
                  <c:v>44307</c:v>
                </c:pt>
                <c:pt idx="15">
                  <c:v>44308</c:v>
                </c:pt>
                <c:pt idx="16">
                  <c:v>44309</c:v>
                </c:pt>
                <c:pt idx="17">
                  <c:v>44310</c:v>
                </c:pt>
                <c:pt idx="18">
                  <c:v>44311</c:v>
                </c:pt>
                <c:pt idx="19">
                  <c:v>44312</c:v>
                </c:pt>
                <c:pt idx="20">
                  <c:v>44313</c:v>
                </c:pt>
                <c:pt idx="21">
                  <c:v>44314</c:v>
                </c:pt>
                <c:pt idx="22">
                  <c:v>44315</c:v>
                </c:pt>
                <c:pt idx="23">
                  <c:v>44316</c:v>
                </c:pt>
                <c:pt idx="24">
                  <c:v>44317</c:v>
                </c:pt>
                <c:pt idx="25">
                  <c:v>44318</c:v>
                </c:pt>
                <c:pt idx="26">
                  <c:v>44319</c:v>
                </c:pt>
                <c:pt idx="27">
                  <c:v>44320</c:v>
                </c:pt>
                <c:pt idx="28">
                  <c:v>44321</c:v>
                </c:pt>
                <c:pt idx="29">
                  <c:v>44322</c:v>
                </c:pt>
                <c:pt idx="30">
                  <c:v>44323</c:v>
                </c:pt>
                <c:pt idx="31">
                  <c:v>44324</c:v>
                </c:pt>
                <c:pt idx="32">
                  <c:v>44325</c:v>
                </c:pt>
                <c:pt idx="33">
                  <c:v>44326</c:v>
                </c:pt>
                <c:pt idx="34">
                  <c:v>44327</c:v>
                </c:pt>
                <c:pt idx="35">
                  <c:v>44328</c:v>
                </c:pt>
                <c:pt idx="36">
                  <c:v>44329</c:v>
                </c:pt>
                <c:pt idx="37">
                  <c:v>44330</c:v>
                </c:pt>
                <c:pt idx="38">
                  <c:v>44331</c:v>
                </c:pt>
                <c:pt idx="39">
                  <c:v>44332</c:v>
                </c:pt>
                <c:pt idx="40">
                  <c:v>44333</c:v>
                </c:pt>
                <c:pt idx="41">
                  <c:v>44334</c:v>
                </c:pt>
                <c:pt idx="42">
                  <c:v>44335</c:v>
                </c:pt>
                <c:pt idx="43">
                  <c:v>44336</c:v>
                </c:pt>
                <c:pt idx="44">
                  <c:v>44337</c:v>
                </c:pt>
                <c:pt idx="45">
                  <c:v>44338</c:v>
                </c:pt>
                <c:pt idx="46">
                  <c:v>44339</c:v>
                </c:pt>
                <c:pt idx="47">
                  <c:v>44340</c:v>
                </c:pt>
                <c:pt idx="48">
                  <c:v>44341</c:v>
                </c:pt>
                <c:pt idx="49">
                  <c:v>44342</c:v>
                </c:pt>
                <c:pt idx="50">
                  <c:v>44343</c:v>
                </c:pt>
                <c:pt idx="51">
                  <c:v>44344</c:v>
                </c:pt>
                <c:pt idx="52">
                  <c:v>44345</c:v>
                </c:pt>
                <c:pt idx="53">
                  <c:v>44346</c:v>
                </c:pt>
                <c:pt idx="54">
                  <c:v>44347</c:v>
                </c:pt>
                <c:pt idx="55">
                  <c:v>44348</c:v>
                </c:pt>
                <c:pt idx="56">
                  <c:v>44349</c:v>
                </c:pt>
                <c:pt idx="57">
                  <c:v>44350</c:v>
                </c:pt>
                <c:pt idx="58">
                  <c:v>44351</c:v>
                </c:pt>
                <c:pt idx="59">
                  <c:v>44352</c:v>
                </c:pt>
                <c:pt idx="60">
                  <c:v>44353</c:v>
                </c:pt>
                <c:pt idx="61">
                  <c:v>44354</c:v>
                </c:pt>
                <c:pt idx="62">
                  <c:v>44355</c:v>
                </c:pt>
                <c:pt idx="63">
                  <c:v>44356</c:v>
                </c:pt>
                <c:pt idx="64">
                  <c:v>44357</c:v>
                </c:pt>
                <c:pt idx="65">
                  <c:v>44358</c:v>
                </c:pt>
                <c:pt idx="66">
                  <c:v>44359</c:v>
                </c:pt>
                <c:pt idx="67">
                  <c:v>44360</c:v>
                </c:pt>
                <c:pt idx="68">
                  <c:v>44361</c:v>
                </c:pt>
                <c:pt idx="69">
                  <c:v>44362</c:v>
                </c:pt>
                <c:pt idx="70">
                  <c:v>44363</c:v>
                </c:pt>
                <c:pt idx="71">
                  <c:v>44364</c:v>
                </c:pt>
                <c:pt idx="72">
                  <c:v>44365</c:v>
                </c:pt>
                <c:pt idx="73">
                  <c:v>44366</c:v>
                </c:pt>
                <c:pt idx="74">
                  <c:v>44367</c:v>
                </c:pt>
                <c:pt idx="75">
                  <c:v>44368</c:v>
                </c:pt>
                <c:pt idx="76">
                  <c:v>44369</c:v>
                </c:pt>
                <c:pt idx="77">
                  <c:v>44370</c:v>
                </c:pt>
                <c:pt idx="78">
                  <c:v>44371</c:v>
                </c:pt>
                <c:pt idx="79">
                  <c:v>44372</c:v>
                </c:pt>
                <c:pt idx="80">
                  <c:v>44373</c:v>
                </c:pt>
                <c:pt idx="81">
                  <c:v>44374</c:v>
                </c:pt>
                <c:pt idx="82">
                  <c:v>44375</c:v>
                </c:pt>
                <c:pt idx="83">
                  <c:v>44376</c:v>
                </c:pt>
                <c:pt idx="84">
                  <c:v>44377</c:v>
                </c:pt>
                <c:pt idx="85">
                  <c:v>44378</c:v>
                </c:pt>
                <c:pt idx="86">
                  <c:v>44379</c:v>
                </c:pt>
                <c:pt idx="87">
                  <c:v>44380</c:v>
                </c:pt>
                <c:pt idx="88">
                  <c:v>44381</c:v>
                </c:pt>
                <c:pt idx="89">
                  <c:v>44382</c:v>
                </c:pt>
                <c:pt idx="90">
                  <c:v>44383</c:v>
                </c:pt>
                <c:pt idx="91">
                  <c:v>44384</c:v>
                </c:pt>
                <c:pt idx="92">
                  <c:v>44385</c:v>
                </c:pt>
                <c:pt idx="93">
                  <c:v>44386</c:v>
                </c:pt>
                <c:pt idx="94">
                  <c:v>44387</c:v>
                </c:pt>
                <c:pt idx="95">
                  <c:v>44388</c:v>
                </c:pt>
                <c:pt idx="96">
                  <c:v>44389</c:v>
                </c:pt>
                <c:pt idx="97">
                  <c:v>44390</c:v>
                </c:pt>
                <c:pt idx="98">
                  <c:v>44391</c:v>
                </c:pt>
                <c:pt idx="99">
                  <c:v>44392</c:v>
                </c:pt>
                <c:pt idx="100">
                  <c:v>44393</c:v>
                </c:pt>
                <c:pt idx="101">
                  <c:v>44394</c:v>
                </c:pt>
                <c:pt idx="102">
                  <c:v>44395</c:v>
                </c:pt>
                <c:pt idx="103">
                  <c:v>44396</c:v>
                </c:pt>
                <c:pt idx="104">
                  <c:v>44397</c:v>
                </c:pt>
                <c:pt idx="105">
                  <c:v>44398</c:v>
                </c:pt>
                <c:pt idx="106">
                  <c:v>44399</c:v>
                </c:pt>
                <c:pt idx="107">
                  <c:v>44400</c:v>
                </c:pt>
                <c:pt idx="108">
                  <c:v>44401</c:v>
                </c:pt>
                <c:pt idx="109">
                  <c:v>44402</c:v>
                </c:pt>
                <c:pt idx="110">
                  <c:v>44403</c:v>
                </c:pt>
                <c:pt idx="111">
                  <c:v>44404</c:v>
                </c:pt>
                <c:pt idx="112">
                  <c:v>44405</c:v>
                </c:pt>
                <c:pt idx="113">
                  <c:v>44406</c:v>
                </c:pt>
                <c:pt idx="114">
                  <c:v>44407</c:v>
                </c:pt>
                <c:pt idx="115">
                  <c:v>44408</c:v>
                </c:pt>
                <c:pt idx="116">
                  <c:v>44409</c:v>
                </c:pt>
                <c:pt idx="117">
                  <c:v>44410</c:v>
                </c:pt>
                <c:pt idx="118">
                  <c:v>44411</c:v>
                </c:pt>
                <c:pt idx="119">
                  <c:v>44412</c:v>
                </c:pt>
                <c:pt idx="120">
                  <c:v>44413</c:v>
                </c:pt>
                <c:pt idx="121">
                  <c:v>44414</c:v>
                </c:pt>
                <c:pt idx="122">
                  <c:v>44415</c:v>
                </c:pt>
                <c:pt idx="123">
                  <c:v>44416</c:v>
                </c:pt>
                <c:pt idx="124">
                  <c:v>44417</c:v>
                </c:pt>
                <c:pt idx="125">
                  <c:v>44418</c:v>
                </c:pt>
                <c:pt idx="126">
                  <c:v>44419</c:v>
                </c:pt>
                <c:pt idx="127">
                  <c:v>44420</c:v>
                </c:pt>
                <c:pt idx="128">
                  <c:v>44421</c:v>
                </c:pt>
                <c:pt idx="129">
                  <c:v>44422</c:v>
                </c:pt>
                <c:pt idx="130">
                  <c:v>44423</c:v>
                </c:pt>
                <c:pt idx="131">
                  <c:v>44424</c:v>
                </c:pt>
                <c:pt idx="132">
                  <c:v>44425</c:v>
                </c:pt>
                <c:pt idx="133">
                  <c:v>44426</c:v>
                </c:pt>
                <c:pt idx="134">
                  <c:v>44427</c:v>
                </c:pt>
                <c:pt idx="135">
                  <c:v>44428</c:v>
                </c:pt>
                <c:pt idx="136">
                  <c:v>44429</c:v>
                </c:pt>
                <c:pt idx="137">
                  <c:v>44430</c:v>
                </c:pt>
                <c:pt idx="138">
                  <c:v>44431</c:v>
                </c:pt>
                <c:pt idx="139">
                  <c:v>44432</c:v>
                </c:pt>
                <c:pt idx="140">
                  <c:v>44433</c:v>
                </c:pt>
                <c:pt idx="141">
                  <c:v>44434</c:v>
                </c:pt>
                <c:pt idx="142">
                  <c:v>44435</c:v>
                </c:pt>
                <c:pt idx="143">
                  <c:v>44436</c:v>
                </c:pt>
                <c:pt idx="144">
                  <c:v>44437</c:v>
                </c:pt>
                <c:pt idx="145">
                  <c:v>44438</c:v>
                </c:pt>
                <c:pt idx="146">
                  <c:v>44439</c:v>
                </c:pt>
                <c:pt idx="147">
                  <c:v>44440</c:v>
                </c:pt>
                <c:pt idx="148">
                  <c:v>44441</c:v>
                </c:pt>
                <c:pt idx="149">
                  <c:v>44442</c:v>
                </c:pt>
                <c:pt idx="150">
                  <c:v>44443</c:v>
                </c:pt>
                <c:pt idx="151">
                  <c:v>44444</c:v>
                </c:pt>
                <c:pt idx="152">
                  <c:v>44445</c:v>
                </c:pt>
                <c:pt idx="153">
                  <c:v>44446</c:v>
                </c:pt>
                <c:pt idx="154">
                  <c:v>44447</c:v>
                </c:pt>
                <c:pt idx="155">
                  <c:v>44448</c:v>
                </c:pt>
                <c:pt idx="156">
                  <c:v>44449</c:v>
                </c:pt>
                <c:pt idx="157">
                  <c:v>44450</c:v>
                </c:pt>
                <c:pt idx="158">
                  <c:v>44451</c:v>
                </c:pt>
                <c:pt idx="159">
                  <c:v>44452</c:v>
                </c:pt>
                <c:pt idx="160">
                  <c:v>44453</c:v>
                </c:pt>
                <c:pt idx="161">
                  <c:v>44454</c:v>
                </c:pt>
                <c:pt idx="162">
                  <c:v>44455</c:v>
                </c:pt>
                <c:pt idx="163">
                  <c:v>44456</c:v>
                </c:pt>
                <c:pt idx="164">
                  <c:v>44457</c:v>
                </c:pt>
                <c:pt idx="165">
                  <c:v>44458</c:v>
                </c:pt>
                <c:pt idx="166">
                  <c:v>44459</c:v>
                </c:pt>
                <c:pt idx="167">
                  <c:v>44460</c:v>
                </c:pt>
                <c:pt idx="168">
                  <c:v>44461</c:v>
                </c:pt>
                <c:pt idx="169">
                  <c:v>44462</c:v>
                </c:pt>
                <c:pt idx="170">
                  <c:v>44463</c:v>
                </c:pt>
                <c:pt idx="171">
                  <c:v>44464</c:v>
                </c:pt>
                <c:pt idx="172">
                  <c:v>44465</c:v>
                </c:pt>
                <c:pt idx="173">
                  <c:v>44466</c:v>
                </c:pt>
                <c:pt idx="174">
                  <c:v>44467</c:v>
                </c:pt>
                <c:pt idx="175">
                  <c:v>44468</c:v>
                </c:pt>
                <c:pt idx="176">
                  <c:v>44469</c:v>
                </c:pt>
                <c:pt idx="177">
                  <c:v>44470</c:v>
                </c:pt>
                <c:pt idx="178">
                  <c:v>44471</c:v>
                </c:pt>
                <c:pt idx="179">
                  <c:v>44472</c:v>
                </c:pt>
                <c:pt idx="180">
                  <c:v>44473</c:v>
                </c:pt>
                <c:pt idx="181">
                  <c:v>44474</c:v>
                </c:pt>
                <c:pt idx="182">
                  <c:v>44475</c:v>
                </c:pt>
                <c:pt idx="183">
                  <c:v>44476</c:v>
                </c:pt>
                <c:pt idx="184">
                  <c:v>44477</c:v>
                </c:pt>
                <c:pt idx="185">
                  <c:v>44478</c:v>
                </c:pt>
                <c:pt idx="186">
                  <c:v>44479</c:v>
                </c:pt>
                <c:pt idx="187">
                  <c:v>44480</c:v>
                </c:pt>
                <c:pt idx="188">
                  <c:v>44481</c:v>
                </c:pt>
                <c:pt idx="189">
                  <c:v>44482</c:v>
                </c:pt>
                <c:pt idx="190">
                  <c:v>44483</c:v>
                </c:pt>
                <c:pt idx="191">
                  <c:v>44484</c:v>
                </c:pt>
                <c:pt idx="192">
                  <c:v>44485</c:v>
                </c:pt>
                <c:pt idx="193">
                  <c:v>44486</c:v>
                </c:pt>
                <c:pt idx="194">
                  <c:v>44487</c:v>
                </c:pt>
                <c:pt idx="195">
                  <c:v>44488</c:v>
                </c:pt>
                <c:pt idx="196">
                  <c:v>44489</c:v>
                </c:pt>
                <c:pt idx="197">
                  <c:v>44490</c:v>
                </c:pt>
                <c:pt idx="198">
                  <c:v>44491</c:v>
                </c:pt>
                <c:pt idx="199">
                  <c:v>44492</c:v>
                </c:pt>
                <c:pt idx="200">
                  <c:v>44493</c:v>
                </c:pt>
                <c:pt idx="201">
                  <c:v>44494</c:v>
                </c:pt>
                <c:pt idx="202">
                  <c:v>44495</c:v>
                </c:pt>
                <c:pt idx="203">
                  <c:v>44496</c:v>
                </c:pt>
                <c:pt idx="204">
                  <c:v>44497</c:v>
                </c:pt>
                <c:pt idx="205">
                  <c:v>44498</c:v>
                </c:pt>
                <c:pt idx="206">
                  <c:v>44499</c:v>
                </c:pt>
                <c:pt idx="207">
                  <c:v>44500</c:v>
                </c:pt>
                <c:pt idx="208">
                  <c:v>44501</c:v>
                </c:pt>
                <c:pt idx="209">
                  <c:v>44502</c:v>
                </c:pt>
                <c:pt idx="210">
                  <c:v>44503</c:v>
                </c:pt>
                <c:pt idx="211">
                  <c:v>44504</c:v>
                </c:pt>
                <c:pt idx="212">
                  <c:v>44505</c:v>
                </c:pt>
                <c:pt idx="213">
                  <c:v>44506</c:v>
                </c:pt>
                <c:pt idx="214">
                  <c:v>44507</c:v>
                </c:pt>
                <c:pt idx="215">
                  <c:v>44508</c:v>
                </c:pt>
                <c:pt idx="216">
                  <c:v>44509</c:v>
                </c:pt>
                <c:pt idx="217">
                  <c:v>44510</c:v>
                </c:pt>
                <c:pt idx="218">
                  <c:v>44511</c:v>
                </c:pt>
                <c:pt idx="219">
                  <c:v>44512</c:v>
                </c:pt>
                <c:pt idx="220">
                  <c:v>44513</c:v>
                </c:pt>
                <c:pt idx="221">
                  <c:v>44514</c:v>
                </c:pt>
                <c:pt idx="222">
                  <c:v>44515</c:v>
                </c:pt>
                <c:pt idx="223">
                  <c:v>44516</c:v>
                </c:pt>
                <c:pt idx="224">
                  <c:v>44517</c:v>
                </c:pt>
                <c:pt idx="225">
                  <c:v>44518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24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18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80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44293</c:v>
                </c:pt>
                <c:pt idx="1">
                  <c:v>44294</c:v>
                </c:pt>
                <c:pt idx="2">
                  <c:v>44295</c:v>
                </c:pt>
                <c:pt idx="3">
                  <c:v>44296</c:v>
                </c:pt>
                <c:pt idx="4">
                  <c:v>44297</c:v>
                </c:pt>
                <c:pt idx="5">
                  <c:v>44298</c:v>
                </c:pt>
                <c:pt idx="6">
                  <c:v>44299</c:v>
                </c:pt>
                <c:pt idx="7">
                  <c:v>44300</c:v>
                </c:pt>
                <c:pt idx="8">
                  <c:v>44301</c:v>
                </c:pt>
                <c:pt idx="9">
                  <c:v>44302</c:v>
                </c:pt>
                <c:pt idx="10">
                  <c:v>44303</c:v>
                </c:pt>
                <c:pt idx="11">
                  <c:v>44304</c:v>
                </c:pt>
                <c:pt idx="12">
                  <c:v>44305</c:v>
                </c:pt>
                <c:pt idx="13">
                  <c:v>44306</c:v>
                </c:pt>
                <c:pt idx="14">
                  <c:v>44307</c:v>
                </c:pt>
                <c:pt idx="15">
                  <c:v>44308</c:v>
                </c:pt>
                <c:pt idx="16">
                  <c:v>44309</c:v>
                </c:pt>
                <c:pt idx="17">
                  <c:v>44310</c:v>
                </c:pt>
                <c:pt idx="18">
                  <c:v>44311</c:v>
                </c:pt>
                <c:pt idx="19">
                  <c:v>44312</c:v>
                </c:pt>
                <c:pt idx="20">
                  <c:v>44313</c:v>
                </c:pt>
                <c:pt idx="21">
                  <c:v>44314</c:v>
                </c:pt>
                <c:pt idx="22">
                  <c:v>44315</c:v>
                </c:pt>
                <c:pt idx="23">
                  <c:v>44316</c:v>
                </c:pt>
                <c:pt idx="24">
                  <c:v>44317</c:v>
                </c:pt>
                <c:pt idx="25">
                  <c:v>44318</c:v>
                </c:pt>
                <c:pt idx="26">
                  <c:v>44319</c:v>
                </c:pt>
                <c:pt idx="27">
                  <c:v>44320</c:v>
                </c:pt>
                <c:pt idx="28">
                  <c:v>44321</c:v>
                </c:pt>
                <c:pt idx="29">
                  <c:v>44322</c:v>
                </c:pt>
                <c:pt idx="30">
                  <c:v>44323</c:v>
                </c:pt>
                <c:pt idx="31">
                  <c:v>44324</c:v>
                </c:pt>
                <c:pt idx="32">
                  <c:v>44325</c:v>
                </c:pt>
                <c:pt idx="33">
                  <c:v>44326</c:v>
                </c:pt>
                <c:pt idx="34">
                  <c:v>44327</c:v>
                </c:pt>
                <c:pt idx="35">
                  <c:v>44328</c:v>
                </c:pt>
                <c:pt idx="36">
                  <c:v>44329</c:v>
                </c:pt>
                <c:pt idx="37">
                  <c:v>44330</c:v>
                </c:pt>
                <c:pt idx="38">
                  <c:v>44331</c:v>
                </c:pt>
                <c:pt idx="39">
                  <c:v>44332</c:v>
                </c:pt>
                <c:pt idx="40">
                  <c:v>44333</c:v>
                </c:pt>
                <c:pt idx="41">
                  <c:v>44334</c:v>
                </c:pt>
                <c:pt idx="42">
                  <c:v>44335</c:v>
                </c:pt>
                <c:pt idx="43">
                  <c:v>44336</c:v>
                </c:pt>
                <c:pt idx="44">
                  <c:v>44337</c:v>
                </c:pt>
                <c:pt idx="45">
                  <c:v>44338</c:v>
                </c:pt>
                <c:pt idx="46">
                  <c:v>44339</c:v>
                </c:pt>
                <c:pt idx="47">
                  <c:v>44340</c:v>
                </c:pt>
                <c:pt idx="48">
                  <c:v>44341</c:v>
                </c:pt>
                <c:pt idx="49">
                  <c:v>44342</c:v>
                </c:pt>
                <c:pt idx="50">
                  <c:v>44343</c:v>
                </c:pt>
                <c:pt idx="51">
                  <c:v>44344</c:v>
                </c:pt>
                <c:pt idx="52">
                  <c:v>44345</c:v>
                </c:pt>
                <c:pt idx="53">
                  <c:v>44346</c:v>
                </c:pt>
                <c:pt idx="54">
                  <c:v>44347</c:v>
                </c:pt>
                <c:pt idx="55">
                  <c:v>44348</c:v>
                </c:pt>
                <c:pt idx="56">
                  <c:v>44349</c:v>
                </c:pt>
                <c:pt idx="57">
                  <c:v>44350</c:v>
                </c:pt>
                <c:pt idx="58">
                  <c:v>44351</c:v>
                </c:pt>
                <c:pt idx="59">
                  <c:v>44352</c:v>
                </c:pt>
                <c:pt idx="60">
                  <c:v>44353</c:v>
                </c:pt>
                <c:pt idx="61">
                  <c:v>44354</c:v>
                </c:pt>
                <c:pt idx="62">
                  <c:v>44355</c:v>
                </c:pt>
                <c:pt idx="63">
                  <c:v>44356</c:v>
                </c:pt>
                <c:pt idx="64">
                  <c:v>44357</c:v>
                </c:pt>
                <c:pt idx="65">
                  <c:v>44358</c:v>
                </c:pt>
                <c:pt idx="66">
                  <c:v>44359</c:v>
                </c:pt>
                <c:pt idx="67">
                  <c:v>44360</c:v>
                </c:pt>
                <c:pt idx="68">
                  <c:v>44361</c:v>
                </c:pt>
                <c:pt idx="69">
                  <c:v>44362</c:v>
                </c:pt>
                <c:pt idx="70">
                  <c:v>44363</c:v>
                </c:pt>
                <c:pt idx="71">
                  <c:v>44364</c:v>
                </c:pt>
                <c:pt idx="72">
                  <c:v>44365</c:v>
                </c:pt>
                <c:pt idx="73">
                  <c:v>44366</c:v>
                </c:pt>
                <c:pt idx="74">
                  <c:v>44367</c:v>
                </c:pt>
                <c:pt idx="75">
                  <c:v>44368</c:v>
                </c:pt>
                <c:pt idx="76">
                  <c:v>44369</c:v>
                </c:pt>
                <c:pt idx="77">
                  <c:v>44370</c:v>
                </c:pt>
                <c:pt idx="78">
                  <c:v>44371</c:v>
                </c:pt>
                <c:pt idx="79">
                  <c:v>44372</c:v>
                </c:pt>
                <c:pt idx="80">
                  <c:v>44373</c:v>
                </c:pt>
                <c:pt idx="81">
                  <c:v>44374</c:v>
                </c:pt>
                <c:pt idx="82">
                  <c:v>44375</c:v>
                </c:pt>
                <c:pt idx="83">
                  <c:v>44376</c:v>
                </c:pt>
                <c:pt idx="84">
                  <c:v>44377</c:v>
                </c:pt>
                <c:pt idx="85">
                  <c:v>44378</c:v>
                </c:pt>
                <c:pt idx="86">
                  <c:v>44379</c:v>
                </c:pt>
                <c:pt idx="87">
                  <c:v>44380</c:v>
                </c:pt>
                <c:pt idx="88">
                  <c:v>44381</c:v>
                </c:pt>
                <c:pt idx="89">
                  <c:v>44382</c:v>
                </c:pt>
                <c:pt idx="90">
                  <c:v>44383</c:v>
                </c:pt>
                <c:pt idx="91">
                  <c:v>44384</c:v>
                </c:pt>
                <c:pt idx="92">
                  <c:v>44385</c:v>
                </c:pt>
                <c:pt idx="93">
                  <c:v>44386</c:v>
                </c:pt>
                <c:pt idx="94">
                  <c:v>44387</c:v>
                </c:pt>
                <c:pt idx="95">
                  <c:v>44388</c:v>
                </c:pt>
                <c:pt idx="96">
                  <c:v>44389</c:v>
                </c:pt>
                <c:pt idx="97">
                  <c:v>44390</c:v>
                </c:pt>
                <c:pt idx="98">
                  <c:v>44391</c:v>
                </c:pt>
                <c:pt idx="99">
                  <c:v>44392</c:v>
                </c:pt>
                <c:pt idx="100">
                  <c:v>44393</c:v>
                </c:pt>
                <c:pt idx="101">
                  <c:v>44394</c:v>
                </c:pt>
                <c:pt idx="102">
                  <c:v>44395</c:v>
                </c:pt>
                <c:pt idx="103">
                  <c:v>44396</c:v>
                </c:pt>
                <c:pt idx="104">
                  <c:v>44397</c:v>
                </c:pt>
                <c:pt idx="105">
                  <c:v>44398</c:v>
                </c:pt>
                <c:pt idx="106">
                  <c:v>44399</c:v>
                </c:pt>
                <c:pt idx="107">
                  <c:v>44400</c:v>
                </c:pt>
                <c:pt idx="108">
                  <c:v>44401</c:v>
                </c:pt>
                <c:pt idx="109">
                  <c:v>44402</c:v>
                </c:pt>
                <c:pt idx="110">
                  <c:v>44403</c:v>
                </c:pt>
                <c:pt idx="111">
                  <c:v>44404</c:v>
                </c:pt>
                <c:pt idx="112">
                  <c:v>44405</c:v>
                </c:pt>
                <c:pt idx="113">
                  <c:v>44406</c:v>
                </c:pt>
                <c:pt idx="114">
                  <c:v>44407</c:v>
                </c:pt>
                <c:pt idx="115">
                  <c:v>44408</c:v>
                </c:pt>
                <c:pt idx="116">
                  <c:v>44409</c:v>
                </c:pt>
                <c:pt idx="117">
                  <c:v>44410</c:v>
                </c:pt>
                <c:pt idx="118">
                  <c:v>44411</c:v>
                </c:pt>
                <c:pt idx="119">
                  <c:v>44412</c:v>
                </c:pt>
                <c:pt idx="120">
                  <c:v>44413</c:v>
                </c:pt>
                <c:pt idx="121">
                  <c:v>44414</c:v>
                </c:pt>
                <c:pt idx="122">
                  <c:v>44415</c:v>
                </c:pt>
                <c:pt idx="123">
                  <c:v>44416</c:v>
                </c:pt>
                <c:pt idx="124">
                  <c:v>44417</c:v>
                </c:pt>
                <c:pt idx="125">
                  <c:v>44418</c:v>
                </c:pt>
                <c:pt idx="126">
                  <c:v>44419</c:v>
                </c:pt>
                <c:pt idx="127">
                  <c:v>44420</c:v>
                </c:pt>
                <c:pt idx="128">
                  <c:v>44421</c:v>
                </c:pt>
                <c:pt idx="129">
                  <c:v>44422</c:v>
                </c:pt>
                <c:pt idx="130">
                  <c:v>44423</c:v>
                </c:pt>
                <c:pt idx="131">
                  <c:v>44424</c:v>
                </c:pt>
                <c:pt idx="132">
                  <c:v>44425</c:v>
                </c:pt>
                <c:pt idx="133">
                  <c:v>44426</c:v>
                </c:pt>
                <c:pt idx="134">
                  <c:v>44427</c:v>
                </c:pt>
                <c:pt idx="135">
                  <c:v>44428</c:v>
                </c:pt>
                <c:pt idx="136">
                  <c:v>44429</c:v>
                </c:pt>
                <c:pt idx="137">
                  <c:v>44430</c:v>
                </c:pt>
                <c:pt idx="138">
                  <c:v>44431</c:v>
                </c:pt>
                <c:pt idx="139">
                  <c:v>44432</c:v>
                </c:pt>
                <c:pt idx="140">
                  <c:v>44433</c:v>
                </c:pt>
                <c:pt idx="141">
                  <c:v>44434</c:v>
                </c:pt>
                <c:pt idx="142">
                  <c:v>44435</c:v>
                </c:pt>
                <c:pt idx="143">
                  <c:v>44436</c:v>
                </c:pt>
                <c:pt idx="144">
                  <c:v>44437</c:v>
                </c:pt>
                <c:pt idx="145">
                  <c:v>44438</c:v>
                </c:pt>
                <c:pt idx="146">
                  <c:v>44439</c:v>
                </c:pt>
                <c:pt idx="147">
                  <c:v>44440</c:v>
                </c:pt>
                <c:pt idx="148">
                  <c:v>44441</c:v>
                </c:pt>
                <c:pt idx="149">
                  <c:v>44442</c:v>
                </c:pt>
                <c:pt idx="150">
                  <c:v>44443</c:v>
                </c:pt>
                <c:pt idx="151">
                  <c:v>44444</c:v>
                </c:pt>
                <c:pt idx="152">
                  <c:v>44445</c:v>
                </c:pt>
                <c:pt idx="153">
                  <c:v>44446</c:v>
                </c:pt>
                <c:pt idx="154">
                  <c:v>44447</c:v>
                </c:pt>
                <c:pt idx="155">
                  <c:v>44448</c:v>
                </c:pt>
                <c:pt idx="156">
                  <c:v>44449</c:v>
                </c:pt>
                <c:pt idx="157">
                  <c:v>44450</c:v>
                </c:pt>
                <c:pt idx="158">
                  <c:v>44451</c:v>
                </c:pt>
                <c:pt idx="159">
                  <c:v>44452</c:v>
                </c:pt>
                <c:pt idx="160">
                  <c:v>44453</c:v>
                </c:pt>
                <c:pt idx="161">
                  <c:v>44454</c:v>
                </c:pt>
                <c:pt idx="162">
                  <c:v>44455</c:v>
                </c:pt>
                <c:pt idx="163">
                  <c:v>44456</c:v>
                </c:pt>
                <c:pt idx="164">
                  <c:v>44457</c:v>
                </c:pt>
                <c:pt idx="165">
                  <c:v>44458</c:v>
                </c:pt>
                <c:pt idx="166">
                  <c:v>44459</c:v>
                </c:pt>
                <c:pt idx="167">
                  <c:v>44460</c:v>
                </c:pt>
                <c:pt idx="168">
                  <c:v>44461</c:v>
                </c:pt>
                <c:pt idx="169">
                  <c:v>44462</c:v>
                </c:pt>
                <c:pt idx="170">
                  <c:v>44463</c:v>
                </c:pt>
                <c:pt idx="171">
                  <c:v>44464</c:v>
                </c:pt>
                <c:pt idx="172">
                  <c:v>44465</c:v>
                </c:pt>
                <c:pt idx="173">
                  <c:v>44466</c:v>
                </c:pt>
                <c:pt idx="174">
                  <c:v>44467</c:v>
                </c:pt>
                <c:pt idx="175">
                  <c:v>44468</c:v>
                </c:pt>
                <c:pt idx="176">
                  <c:v>44469</c:v>
                </c:pt>
                <c:pt idx="177">
                  <c:v>44470</c:v>
                </c:pt>
                <c:pt idx="178">
                  <c:v>44471</c:v>
                </c:pt>
                <c:pt idx="179">
                  <c:v>44472</c:v>
                </c:pt>
                <c:pt idx="180">
                  <c:v>44473</c:v>
                </c:pt>
                <c:pt idx="181">
                  <c:v>44474</c:v>
                </c:pt>
                <c:pt idx="182">
                  <c:v>44475</c:v>
                </c:pt>
                <c:pt idx="183">
                  <c:v>44476</c:v>
                </c:pt>
                <c:pt idx="184">
                  <c:v>44477</c:v>
                </c:pt>
                <c:pt idx="185">
                  <c:v>44478</c:v>
                </c:pt>
                <c:pt idx="186">
                  <c:v>44479</c:v>
                </c:pt>
                <c:pt idx="187">
                  <c:v>44480</c:v>
                </c:pt>
                <c:pt idx="188">
                  <c:v>44481</c:v>
                </c:pt>
                <c:pt idx="189">
                  <c:v>44482</c:v>
                </c:pt>
                <c:pt idx="190">
                  <c:v>44483</c:v>
                </c:pt>
                <c:pt idx="191">
                  <c:v>44484</c:v>
                </c:pt>
                <c:pt idx="192">
                  <c:v>44485</c:v>
                </c:pt>
                <c:pt idx="193">
                  <c:v>44486</c:v>
                </c:pt>
                <c:pt idx="194">
                  <c:v>44487</c:v>
                </c:pt>
                <c:pt idx="195">
                  <c:v>44488</c:v>
                </c:pt>
                <c:pt idx="196">
                  <c:v>44489</c:v>
                </c:pt>
                <c:pt idx="197">
                  <c:v>44490</c:v>
                </c:pt>
                <c:pt idx="198">
                  <c:v>44491</c:v>
                </c:pt>
                <c:pt idx="199">
                  <c:v>44492</c:v>
                </c:pt>
                <c:pt idx="200">
                  <c:v>44493</c:v>
                </c:pt>
                <c:pt idx="201">
                  <c:v>44494</c:v>
                </c:pt>
                <c:pt idx="202">
                  <c:v>44495</c:v>
                </c:pt>
                <c:pt idx="203">
                  <c:v>44496</c:v>
                </c:pt>
                <c:pt idx="204">
                  <c:v>44497</c:v>
                </c:pt>
                <c:pt idx="205">
                  <c:v>44498</c:v>
                </c:pt>
                <c:pt idx="206">
                  <c:v>44499</c:v>
                </c:pt>
                <c:pt idx="207">
                  <c:v>44500</c:v>
                </c:pt>
                <c:pt idx="208">
                  <c:v>44501</c:v>
                </c:pt>
                <c:pt idx="209">
                  <c:v>44502</c:v>
                </c:pt>
                <c:pt idx="210">
                  <c:v>44503</c:v>
                </c:pt>
                <c:pt idx="211">
                  <c:v>44504</c:v>
                </c:pt>
                <c:pt idx="212">
                  <c:v>44505</c:v>
                </c:pt>
                <c:pt idx="213">
                  <c:v>44506</c:v>
                </c:pt>
                <c:pt idx="214">
                  <c:v>44507</c:v>
                </c:pt>
                <c:pt idx="215">
                  <c:v>44508</c:v>
                </c:pt>
                <c:pt idx="216">
                  <c:v>44509</c:v>
                </c:pt>
                <c:pt idx="217">
                  <c:v>44510</c:v>
                </c:pt>
                <c:pt idx="218">
                  <c:v>44511</c:v>
                </c:pt>
                <c:pt idx="219">
                  <c:v>44512</c:v>
                </c:pt>
                <c:pt idx="220">
                  <c:v>44513</c:v>
                </c:pt>
                <c:pt idx="221">
                  <c:v>44514</c:v>
                </c:pt>
                <c:pt idx="222">
                  <c:v>44515</c:v>
                </c:pt>
                <c:pt idx="223">
                  <c:v>44516</c:v>
                </c:pt>
                <c:pt idx="224">
                  <c:v>44517</c:v>
                </c:pt>
                <c:pt idx="225">
                  <c:v>44518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68.499465290509065</c:v>
                </c:pt>
                <c:pt idx="1">
                  <c:v>68.702532657319537</c:v>
                </c:pt>
                <c:pt idx="2">
                  <c:v>68.908069647049885</c:v>
                </c:pt>
                <c:pt idx="3">
                  <c:v>69.112981096528628</c:v>
                </c:pt>
                <c:pt idx="4">
                  <c:v>69.313412222469566</c:v>
                </c:pt>
                <c:pt idx="5">
                  <c:v>69.520202427882396</c:v>
                </c:pt>
                <c:pt idx="6">
                  <c:v>69.7310474917047</c:v>
                </c:pt>
                <c:pt idx="7">
                  <c:v>69.939359262606132</c:v>
                </c:pt>
                <c:pt idx="8">
                  <c:v>70.144993029494955</c:v>
                </c:pt>
                <c:pt idx="9">
                  <c:v>70.364800085686937</c:v>
                </c:pt>
                <c:pt idx="10">
                  <c:v>70.580299390696069</c:v>
                </c:pt>
                <c:pt idx="11">
                  <c:v>70.797100477148206</c:v>
                </c:pt>
                <c:pt idx="12">
                  <c:v>71.008217071384536</c:v>
                </c:pt>
                <c:pt idx="13">
                  <c:v>24.200000000000003</c:v>
                </c:pt>
                <c:pt idx="14">
                  <c:v>24.413328646004615</c:v>
                </c:pt>
                <c:pt idx="15">
                  <c:v>24.615370949267785</c:v>
                </c:pt>
                <c:pt idx="16">
                  <c:v>24.818407607523639</c:v>
                </c:pt>
                <c:pt idx="17">
                  <c:v>25.023967200795809</c:v>
                </c:pt>
                <c:pt idx="18">
                  <c:v>25.251126515691467</c:v>
                </c:pt>
                <c:pt idx="19">
                  <c:v>25.484754475827813</c:v>
                </c:pt>
                <c:pt idx="20">
                  <c:v>25.72713476290059</c:v>
                </c:pt>
                <c:pt idx="21">
                  <c:v>25.979401701133938</c:v>
                </c:pt>
                <c:pt idx="22">
                  <c:v>26.212276829009767</c:v>
                </c:pt>
                <c:pt idx="23">
                  <c:v>26.444312408829603</c:v>
                </c:pt>
                <c:pt idx="24">
                  <c:v>26.679388172662527</c:v>
                </c:pt>
                <c:pt idx="25">
                  <c:v>26.929063495939843</c:v>
                </c:pt>
                <c:pt idx="26">
                  <c:v>27.174841586436727</c:v>
                </c:pt>
                <c:pt idx="27">
                  <c:v>27.411275557656936</c:v>
                </c:pt>
                <c:pt idx="28">
                  <c:v>27.647410331290757</c:v>
                </c:pt>
                <c:pt idx="29">
                  <c:v>27.881995649453998</c:v>
                </c:pt>
                <c:pt idx="30">
                  <c:v>28.103967404746456</c:v>
                </c:pt>
                <c:pt idx="31">
                  <c:v>28.31496654147044</c:v>
                </c:pt>
                <c:pt idx="32">
                  <c:v>28.512264001697844</c:v>
                </c:pt>
                <c:pt idx="33">
                  <c:v>28.707044522791762</c:v>
                </c:pt>
                <c:pt idx="34">
                  <c:v>28.902128064534821</c:v>
                </c:pt>
                <c:pt idx="35">
                  <c:v>29.097918708929797</c:v>
                </c:pt>
                <c:pt idx="36">
                  <c:v>29.286143479432496</c:v>
                </c:pt>
                <c:pt idx="37">
                  <c:v>29.462132849980748</c:v>
                </c:pt>
                <c:pt idx="38">
                  <c:v>29.630745662736345</c:v>
                </c:pt>
                <c:pt idx="39">
                  <c:v>29.793591316415686</c:v>
                </c:pt>
                <c:pt idx="40">
                  <c:v>29.943722384522374</c:v>
                </c:pt>
                <c:pt idx="41">
                  <c:v>30.085830338730688</c:v>
                </c:pt>
                <c:pt idx="42">
                  <c:v>30.229573285123493</c:v>
                </c:pt>
                <c:pt idx="43">
                  <c:v>30.366169471594063</c:v>
                </c:pt>
                <c:pt idx="44">
                  <c:v>30.500556724268208</c:v>
                </c:pt>
                <c:pt idx="45">
                  <c:v>30.620542479613533</c:v>
                </c:pt>
                <c:pt idx="46">
                  <c:v>30.730889553589861</c:v>
                </c:pt>
                <c:pt idx="47">
                  <c:v>30.833969785688453</c:v>
                </c:pt>
                <c:pt idx="48">
                  <c:v>30.933963370835656</c:v>
                </c:pt>
                <c:pt idx="49">
                  <c:v>31.031965207425714</c:v>
                </c:pt>
                <c:pt idx="50">
                  <c:v>31.115542739663709</c:v>
                </c:pt>
                <c:pt idx="51">
                  <c:v>31.185362950513365</c:v>
                </c:pt>
                <c:pt idx="52">
                  <c:v>31.246081415056523</c:v>
                </c:pt>
                <c:pt idx="53">
                  <c:v>31.303131380405361</c:v>
                </c:pt>
                <c:pt idx="54">
                  <c:v>31.351830926097932</c:v>
                </c:pt>
                <c:pt idx="55">
                  <c:v>31.394613934286468</c:v>
                </c:pt>
                <c:pt idx="56">
                  <c:v>31.430343904290822</c:v>
                </c:pt>
                <c:pt idx="57">
                  <c:v>31.457625756552758</c:v>
                </c:pt>
                <c:pt idx="58">
                  <c:v>31.479615893243036</c:v>
                </c:pt>
                <c:pt idx="59">
                  <c:v>31.496111013023921</c:v>
                </c:pt>
                <c:pt idx="60">
                  <c:v>31.506359764776732</c:v>
                </c:pt>
                <c:pt idx="61">
                  <c:v>31.510713107324733</c:v>
                </c:pt>
                <c:pt idx="62">
                  <c:v>31.509252817456087</c:v>
                </c:pt>
                <c:pt idx="63">
                  <c:v>31.501785179016238</c:v>
                </c:pt>
                <c:pt idx="64">
                  <c:v>31.487029465260122</c:v>
                </c:pt>
                <c:pt idx="65">
                  <c:v>31.464899650874784</c:v>
                </c:pt>
                <c:pt idx="66">
                  <c:v>31.435098255966011</c:v>
                </c:pt>
                <c:pt idx="67">
                  <c:v>31.397927306771763</c:v>
                </c:pt>
                <c:pt idx="68">
                  <c:v>31.354541753202241</c:v>
                </c:pt>
                <c:pt idx="69">
                  <c:v>31.304229673179833</c:v>
                </c:pt>
                <c:pt idx="70">
                  <c:v>31.249399696392217</c:v>
                </c:pt>
                <c:pt idx="71">
                  <c:v>31.187906257122378</c:v>
                </c:pt>
                <c:pt idx="72">
                  <c:v>15</c:v>
                </c:pt>
                <c:pt idx="73">
                  <c:v>14.924127171700547</c:v>
                </c:pt>
                <c:pt idx="74">
                  <c:v>14.840360378955978</c:v>
                </c:pt>
                <c:pt idx="75">
                  <c:v>14.748720342429777</c:v>
                </c:pt>
                <c:pt idx="76">
                  <c:v>14.652451534809032</c:v>
                </c:pt>
                <c:pt idx="77">
                  <c:v>14.551595385453197</c:v>
                </c:pt>
                <c:pt idx="78">
                  <c:v>14.442934721307239</c:v>
                </c:pt>
                <c:pt idx="79">
                  <c:v>14.32563359342322</c:v>
                </c:pt>
                <c:pt idx="80">
                  <c:v>14.205239044527616</c:v>
                </c:pt>
                <c:pt idx="81">
                  <c:v>14.076883794117961</c:v>
                </c:pt>
                <c:pt idx="82">
                  <c:v>13.943173738942619</c:v>
                </c:pt>
                <c:pt idx="83">
                  <c:v>13.801188873219431</c:v>
                </c:pt>
                <c:pt idx="84">
                  <c:v>13.651005084063925</c:v>
                </c:pt>
                <c:pt idx="85">
                  <c:v>13.502613764510357</c:v>
                </c:pt>
                <c:pt idx="86">
                  <c:v>13.35576890365283</c:v>
                </c:pt>
                <c:pt idx="87">
                  <c:v>13.200629546086205</c:v>
                </c:pt>
                <c:pt idx="88">
                  <c:v>13.030999995491143</c:v>
                </c:pt>
                <c:pt idx="89">
                  <c:v>12.845950526447737</c:v>
                </c:pt>
                <c:pt idx="90">
                  <c:v>12.654165686824086</c:v>
                </c:pt>
                <c:pt idx="91">
                  <c:v>31.655955803010826</c:v>
                </c:pt>
                <c:pt idx="92">
                  <c:v>31.456178347100575</c:v>
                </c:pt>
                <c:pt idx="93">
                  <c:v>31.246282763577938</c:v>
                </c:pt>
                <c:pt idx="94">
                  <c:v>31.042943923883101</c:v>
                </c:pt>
                <c:pt idx="95">
                  <c:v>30.841527780420094</c:v>
                </c:pt>
                <c:pt idx="96">
                  <c:v>30.62695737797273</c:v>
                </c:pt>
                <c:pt idx="97">
                  <c:v>30.401785959534124</c:v>
                </c:pt>
                <c:pt idx="98">
                  <c:v>30.179899205499339</c:v>
                </c:pt>
                <c:pt idx="99">
                  <c:v>29.929137669735596</c:v>
                </c:pt>
                <c:pt idx="100">
                  <c:v>29.656895584845614</c:v>
                </c:pt>
                <c:pt idx="101">
                  <c:v>29.38259917557923</c:v>
                </c:pt>
                <c:pt idx="102">
                  <c:v>29.109940268960784</c:v>
                </c:pt>
                <c:pt idx="103">
                  <c:v>28.83341819620702</c:v>
                </c:pt>
                <c:pt idx="104">
                  <c:v>28.536178788377555</c:v>
                </c:pt>
                <c:pt idx="105">
                  <c:v>28.244827380598821</c:v>
                </c:pt>
                <c:pt idx="106">
                  <c:v>27.929087237357933</c:v>
                </c:pt>
                <c:pt idx="107">
                  <c:v>27.609198651474671</c:v>
                </c:pt>
                <c:pt idx="108">
                  <c:v>27.280283114657095</c:v>
                </c:pt>
                <c:pt idx="109">
                  <c:v>26.961381438042693</c:v>
                </c:pt>
                <c:pt idx="110">
                  <c:v>26.638348532853428</c:v>
                </c:pt>
                <c:pt idx="111">
                  <c:v>26.294017447576735</c:v>
                </c:pt>
                <c:pt idx="112">
                  <c:v>25.939101467742262</c:v>
                </c:pt>
                <c:pt idx="113">
                  <c:v>25.569772872383055</c:v>
                </c:pt>
                <c:pt idx="114">
                  <c:v>25.192506632135675</c:v>
                </c:pt>
                <c:pt idx="115">
                  <c:v>24.803921864211375</c:v>
                </c:pt>
                <c:pt idx="116">
                  <c:v>24.405330593039906</c:v>
                </c:pt>
                <c:pt idx="117">
                  <c:v>23.985878531835723</c:v>
                </c:pt>
                <c:pt idx="118">
                  <c:v>23.56014208031489</c:v>
                </c:pt>
                <c:pt idx="119">
                  <c:v>37.529185289273599</c:v>
                </c:pt>
                <c:pt idx="120">
                  <c:v>37.101091921672136</c:v>
                </c:pt>
                <c:pt idx="121">
                  <c:v>36.667916510732582</c:v>
                </c:pt>
                <c:pt idx="122">
                  <c:v>36.222585216099304</c:v>
                </c:pt>
                <c:pt idx="123">
                  <c:v>35.769354295697127</c:v>
                </c:pt>
                <c:pt idx="124">
                  <c:v>35.302790058817607</c:v>
                </c:pt>
                <c:pt idx="125">
                  <c:v>34.837547763616485</c:v>
                </c:pt>
                <c:pt idx="126">
                  <c:v>34.353317087743704</c:v>
                </c:pt>
                <c:pt idx="127">
                  <c:v>33.873462459529065</c:v>
                </c:pt>
                <c:pt idx="128">
                  <c:v>33.375519694163273</c:v>
                </c:pt>
                <c:pt idx="129">
                  <c:v>32.876001720668512</c:v>
                </c:pt>
                <c:pt idx="130">
                  <c:v>32.394658493588551</c:v>
                </c:pt>
                <c:pt idx="131">
                  <c:v>31.90502527377464</c:v>
                </c:pt>
                <c:pt idx="132">
                  <c:v>31.414570707854111</c:v>
                </c:pt>
                <c:pt idx="133">
                  <c:v>30.917619087161285</c:v>
                </c:pt>
                <c:pt idx="134">
                  <c:v>30.411466296944525</c:v>
                </c:pt>
                <c:pt idx="135">
                  <c:v>93.884492732557291</c:v>
                </c:pt>
                <c:pt idx="136">
                  <c:v>93.33647945326004</c:v>
                </c:pt>
                <c:pt idx="137">
                  <c:v>92.775201938304605</c:v>
                </c:pt>
                <c:pt idx="138">
                  <c:v>92.194048177122767</c:v>
                </c:pt>
                <c:pt idx="139">
                  <c:v>91.605094357765893</c:v>
                </c:pt>
                <c:pt idx="140">
                  <c:v>90.998850418609692</c:v>
                </c:pt>
                <c:pt idx="141">
                  <c:v>90.393099585874893</c:v>
                </c:pt>
                <c:pt idx="142">
                  <c:v>89.781834049404921</c:v>
                </c:pt>
                <c:pt idx="143">
                  <c:v>89.182524056269529</c:v>
                </c:pt>
                <c:pt idx="144">
                  <c:v>88.578131975823482</c:v>
                </c:pt>
                <c:pt idx="145">
                  <c:v>87.960045440384562</c:v>
                </c:pt>
                <c:pt idx="146">
                  <c:v>87.332489884884851</c:v>
                </c:pt>
                <c:pt idx="147">
                  <c:v>86.707606286031279</c:v>
                </c:pt>
                <c:pt idx="148">
                  <c:v>86.073782126976766</c:v>
                </c:pt>
                <c:pt idx="149">
                  <c:v>85.401419067403253</c:v>
                </c:pt>
                <c:pt idx="150">
                  <c:v>84.717079927776368</c:v>
                </c:pt>
                <c:pt idx="151">
                  <c:v>84.016082416674664</c:v>
                </c:pt>
                <c:pt idx="152">
                  <c:v>83.312362480267495</c:v>
                </c:pt>
                <c:pt idx="153">
                  <c:v>82.620394562136624</c:v>
                </c:pt>
                <c:pt idx="154">
                  <c:v>81.897263129682244</c:v>
                </c:pt>
                <c:pt idx="155">
                  <c:v>81.190933476857069</c:v>
                </c:pt>
                <c:pt idx="156">
                  <c:v>80.470768222770232</c:v>
                </c:pt>
                <c:pt idx="157">
                  <c:v>79.737572547388339</c:v>
                </c:pt>
                <c:pt idx="158">
                  <c:v>78.976469455426638</c:v>
                </c:pt>
                <c:pt idx="159">
                  <c:v>78.226068482067191</c:v>
                </c:pt>
                <c:pt idx="160">
                  <c:v>77.461757856616387</c:v>
                </c:pt>
                <c:pt idx="161">
                  <c:v>76.674917950057619</c:v>
                </c:pt>
                <c:pt idx="162">
                  <c:v>75.873240928901993</c:v>
                </c:pt>
                <c:pt idx="163">
                  <c:v>75.073933857980691</c:v>
                </c:pt>
                <c:pt idx="164">
                  <c:v>74.285109294886936</c:v>
                </c:pt>
                <c:pt idx="165">
                  <c:v>73.499503389069432</c:v>
                </c:pt>
                <c:pt idx="166">
                  <c:v>72.715514478707618</c:v>
                </c:pt>
                <c:pt idx="167">
                  <c:v>71.935486896562651</c:v>
                </c:pt>
                <c:pt idx="168">
                  <c:v>71.144799838815501</c:v>
                </c:pt>
                <c:pt idx="169">
                  <c:v>70.345254956059591</c:v>
                </c:pt>
                <c:pt idx="170">
                  <c:v>69.517786308435134</c:v>
                </c:pt>
                <c:pt idx="171">
                  <c:v>68.707649179852737</c:v>
                </c:pt>
                <c:pt idx="172">
                  <c:v>67.902958869211744</c:v>
                </c:pt>
                <c:pt idx="173">
                  <c:v>67.075366965817096</c:v>
                </c:pt>
                <c:pt idx="174">
                  <c:v>66.228851734056676</c:v>
                </c:pt>
                <c:pt idx="175">
                  <c:v>65.362920385465031</c:v>
                </c:pt>
                <c:pt idx="176">
                  <c:v>64.504727935511795</c:v>
                </c:pt>
                <c:pt idx="177">
                  <c:v>63.663252070131229</c:v>
                </c:pt>
                <c:pt idx="178">
                  <c:v>62.828965477748092</c:v>
                </c:pt>
                <c:pt idx="179">
                  <c:v>61.979087237560051</c:v>
                </c:pt>
                <c:pt idx="180">
                  <c:v>61.155439356264999</c:v>
                </c:pt>
                <c:pt idx="181">
                  <c:v>60.33345067040009</c:v>
                </c:pt>
                <c:pt idx="182">
                  <c:v>59.507926669630855</c:v>
                </c:pt>
                <c:pt idx="183">
                  <c:v>58.700061725689253</c:v>
                </c:pt>
                <c:pt idx="184">
                  <c:v>57.854954496164545</c:v>
                </c:pt>
                <c:pt idx="185">
                  <c:v>57.003010160608589</c:v>
                </c:pt>
                <c:pt idx="186">
                  <c:v>56.198325723137323</c:v>
                </c:pt>
                <c:pt idx="187">
                  <c:v>55.383670045066047</c:v>
                </c:pt>
                <c:pt idx="188">
                  <c:v>54.546641766726957</c:v>
                </c:pt>
                <c:pt idx="189">
                  <c:v>53.721272839922065</c:v>
                </c:pt>
                <c:pt idx="190">
                  <c:v>52.920453497081333</c:v>
                </c:pt>
                <c:pt idx="191">
                  <c:v>52.142908991194908</c:v>
                </c:pt>
                <c:pt idx="192">
                  <c:v>51.369480816066215</c:v>
                </c:pt>
                <c:pt idx="193">
                  <c:v>50.572902981255972</c:v>
                </c:pt>
                <c:pt idx="194">
                  <c:v>49.81026308952103</c:v>
                </c:pt>
                <c:pt idx="195">
                  <c:v>49.068755113368404</c:v>
                </c:pt>
                <c:pt idx="196">
                  <c:v>48.341876657020869</c:v>
                </c:pt>
                <c:pt idx="197">
                  <c:v>47.600037932965535</c:v>
                </c:pt>
                <c:pt idx="198">
                  <c:v>46.85342431294513</c:v>
                </c:pt>
                <c:pt idx="199">
                  <c:v>46.099061084969463</c:v>
                </c:pt>
                <c:pt idx="200">
                  <c:v>45.383624039798491</c:v>
                </c:pt>
                <c:pt idx="201">
                  <c:v>44.657084635733078</c:v>
                </c:pt>
                <c:pt idx="202">
                  <c:v>43.926391189733685</c:v>
                </c:pt>
                <c:pt idx="203">
                  <c:v>43.17521500719495</c:v>
                </c:pt>
                <c:pt idx="204">
                  <c:v>42.462753472261419</c:v>
                </c:pt>
                <c:pt idx="205">
                  <c:v>41.762252044079865</c:v>
                </c:pt>
                <c:pt idx="206">
                  <c:v>41.052397298191117</c:v>
                </c:pt>
                <c:pt idx="207">
                  <c:v>40.354293877085773</c:v>
                </c:pt>
                <c:pt idx="208">
                  <c:v>39.682305867931284</c:v>
                </c:pt>
                <c:pt idx="209">
                  <c:v>39.008701510794673</c:v>
                </c:pt>
                <c:pt idx="210">
                  <c:v>38.349180557278316</c:v>
                </c:pt>
                <c:pt idx="211">
                  <c:v>37.694032554941792</c:v>
                </c:pt>
                <c:pt idx="212">
                  <c:v>37.052041606938694</c:v>
                </c:pt>
                <c:pt idx="213">
                  <c:v>36.441541644737775</c:v>
                </c:pt>
                <c:pt idx="214">
                  <c:v>35.83821576222541</c:v>
                </c:pt>
                <c:pt idx="215">
                  <c:v>35.240570717956238</c:v>
                </c:pt>
                <c:pt idx="216">
                  <c:v>34.669620377919721</c:v>
                </c:pt>
                <c:pt idx="217">
                  <c:v>34.097781781070843</c:v>
                </c:pt>
                <c:pt idx="218">
                  <c:v>33.529498388217505</c:v>
                </c:pt>
                <c:pt idx="219">
                  <c:v>32.978379960008915</c:v>
                </c:pt>
                <c:pt idx="220">
                  <c:v>32.446148466202906</c:v>
                </c:pt>
                <c:pt idx="221">
                  <c:v>31.927820540280038</c:v>
                </c:pt>
                <c:pt idx="222">
                  <c:v>31.406910138360892</c:v>
                </c:pt>
                <c:pt idx="223">
                  <c:v>30.896509190316984</c:v>
                </c:pt>
                <c:pt idx="224">
                  <c:v>30.405086765565251</c:v>
                </c:pt>
                <c:pt idx="225">
                  <c:v>29.931663770224525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44306</c:v>
                </c:pt>
                <c:pt idx="1">
                  <c:v>44365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24.2</c:v>
                </c:pt>
                <c:pt idx="1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44519</c:v>
                </c:pt>
                <c:pt idx="1">
                  <c:v>44520</c:v>
                </c:pt>
                <c:pt idx="2">
                  <c:v>44521</c:v>
                </c:pt>
                <c:pt idx="3">
                  <c:v>44522</c:v>
                </c:pt>
                <c:pt idx="4">
                  <c:v>44523</c:v>
                </c:pt>
                <c:pt idx="5">
                  <c:v>44524</c:v>
                </c:pt>
                <c:pt idx="6">
                  <c:v>44525</c:v>
                </c:pt>
                <c:pt idx="7">
                  <c:v>44526</c:v>
                </c:pt>
                <c:pt idx="8">
                  <c:v>44527</c:v>
                </c:pt>
                <c:pt idx="9">
                  <c:v>44528</c:v>
                </c:pt>
                <c:pt idx="10">
                  <c:v>44529</c:v>
                </c:pt>
                <c:pt idx="11">
                  <c:v>44530</c:v>
                </c:pt>
                <c:pt idx="12">
                  <c:v>44531</c:v>
                </c:pt>
                <c:pt idx="13">
                  <c:v>44532</c:v>
                </c:pt>
                <c:pt idx="14">
                  <c:v>44533</c:v>
                </c:pt>
                <c:pt idx="15">
                  <c:v>44534</c:v>
                </c:pt>
                <c:pt idx="16">
                  <c:v>44535</c:v>
                </c:pt>
                <c:pt idx="17">
                  <c:v>44536</c:v>
                </c:pt>
                <c:pt idx="18">
                  <c:v>44537</c:v>
                </c:pt>
                <c:pt idx="19">
                  <c:v>44538</c:v>
                </c:pt>
                <c:pt idx="20">
                  <c:v>44539</c:v>
                </c:pt>
                <c:pt idx="21">
                  <c:v>44540</c:v>
                </c:pt>
                <c:pt idx="22">
                  <c:v>44541</c:v>
                </c:pt>
                <c:pt idx="23">
                  <c:v>44542</c:v>
                </c:pt>
                <c:pt idx="24">
                  <c:v>44543</c:v>
                </c:pt>
                <c:pt idx="25">
                  <c:v>44544</c:v>
                </c:pt>
                <c:pt idx="26">
                  <c:v>44545</c:v>
                </c:pt>
                <c:pt idx="27">
                  <c:v>44546</c:v>
                </c:pt>
                <c:pt idx="28">
                  <c:v>44547</c:v>
                </c:pt>
                <c:pt idx="29">
                  <c:v>44548</c:v>
                </c:pt>
                <c:pt idx="30">
                  <c:v>44549</c:v>
                </c:pt>
                <c:pt idx="31">
                  <c:v>44550</c:v>
                </c:pt>
                <c:pt idx="32">
                  <c:v>44551</c:v>
                </c:pt>
                <c:pt idx="33">
                  <c:v>44552</c:v>
                </c:pt>
                <c:pt idx="34">
                  <c:v>44553</c:v>
                </c:pt>
                <c:pt idx="35">
                  <c:v>44554</c:v>
                </c:pt>
                <c:pt idx="36">
                  <c:v>44555</c:v>
                </c:pt>
                <c:pt idx="37">
                  <c:v>44556</c:v>
                </c:pt>
                <c:pt idx="38">
                  <c:v>44557</c:v>
                </c:pt>
                <c:pt idx="39">
                  <c:v>44558</c:v>
                </c:pt>
                <c:pt idx="40">
                  <c:v>44559</c:v>
                </c:pt>
                <c:pt idx="41">
                  <c:v>44560</c:v>
                </c:pt>
                <c:pt idx="42">
                  <c:v>44561</c:v>
                </c:pt>
                <c:pt idx="43">
                  <c:v>44562</c:v>
                </c:pt>
                <c:pt idx="44">
                  <c:v>44563</c:v>
                </c:pt>
                <c:pt idx="45">
                  <c:v>44564</c:v>
                </c:pt>
                <c:pt idx="46">
                  <c:v>44565</c:v>
                </c:pt>
                <c:pt idx="47">
                  <c:v>44566</c:v>
                </c:pt>
                <c:pt idx="48">
                  <c:v>44567</c:v>
                </c:pt>
                <c:pt idx="49">
                  <c:v>44568</c:v>
                </c:pt>
                <c:pt idx="50">
                  <c:v>44569</c:v>
                </c:pt>
                <c:pt idx="51">
                  <c:v>44570</c:v>
                </c:pt>
                <c:pt idx="52">
                  <c:v>44571</c:v>
                </c:pt>
                <c:pt idx="53">
                  <c:v>44572</c:v>
                </c:pt>
                <c:pt idx="54">
                  <c:v>44573</c:v>
                </c:pt>
                <c:pt idx="55">
                  <c:v>44574</c:v>
                </c:pt>
                <c:pt idx="56">
                  <c:v>44575</c:v>
                </c:pt>
                <c:pt idx="57">
                  <c:v>44576</c:v>
                </c:pt>
                <c:pt idx="58">
                  <c:v>44577</c:v>
                </c:pt>
                <c:pt idx="59">
                  <c:v>44578</c:v>
                </c:pt>
                <c:pt idx="60">
                  <c:v>44579</c:v>
                </c:pt>
                <c:pt idx="61">
                  <c:v>44580</c:v>
                </c:pt>
                <c:pt idx="62">
                  <c:v>44581</c:v>
                </c:pt>
                <c:pt idx="63">
                  <c:v>44582</c:v>
                </c:pt>
                <c:pt idx="64">
                  <c:v>44583</c:v>
                </c:pt>
                <c:pt idx="65">
                  <c:v>44584</c:v>
                </c:pt>
                <c:pt idx="66">
                  <c:v>44585</c:v>
                </c:pt>
                <c:pt idx="67">
                  <c:v>44586</c:v>
                </c:pt>
                <c:pt idx="68">
                  <c:v>44587</c:v>
                </c:pt>
                <c:pt idx="69">
                  <c:v>44588</c:v>
                </c:pt>
                <c:pt idx="70">
                  <c:v>44589</c:v>
                </c:pt>
                <c:pt idx="71">
                  <c:v>44590</c:v>
                </c:pt>
                <c:pt idx="72">
                  <c:v>44591</c:v>
                </c:pt>
                <c:pt idx="73">
                  <c:v>44592</c:v>
                </c:pt>
                <c:pt idx="74">
                  <c:v>44593</c:v>
                </c:pt>
                <c:pt idx="75">
                  <c:v>44594</c:v>
                </c:pt>
                <c:pt idx="76">
                  <c:v>44595</c:v>
                </c:pt>
                <c:pt idx="77">
                  <c:v>44596</c:v>
                </c:pt>
                <c:pt idx="78">
                  <c:v>44597</c:v>
                </c:pt>
                <c:pt idx="79">
                  <c:v>44598</c:v>
                </c:pt>
                <c:pt idx="80">
                  <c:v>44599</c:v>
                </c:pt>
                <c:pt idx="81">
                  <c:v>44600</c:v>
                </c:pt>
                <c:pt idx="82">
                  <c:v>44601</c:v>
                </c:pt>
                <c:pt idx="83">
                  <c:v>44602</c:v>
                </c:pt>
                <c:pt idx="84">
                  <c:v>44603</c:v>
                </c:pt>
                <c:pt idx="85">
                  <c:v>44604</c:v>
                </c:pt>
                <c:pt idx="86">
                  <c:v>44605</c:v>
                </c:pt>
                <c:pt idx="87">
                  <c:v>44606</c:v>
                </c:pt>
                <c:pt idx="88">
                  <c:v>44607</c:v>
                </c:pt>
                <c:pt idx="89">
                  <c:v>44608</c:v>
                </c:pt>
                <c:pt idx="90">
                  <c:v>44609</c:v>
                </c:pt>
                <c:pt idx="91">
                  <c:v>44610</c:v>
                </c:pt>
                <c:pt idx="92">
                  <c:v>44611</c:v>
                </c:pt>
                <c:pt idx="93">
                  <c:v>44612</c:v>
                </c:pt>
                <c:pt idx="94">
                  <c:v>44613</c:v>
                </c:pt>
                <c:pt idx="95">
                  <c:v>44614</c:v>
                </c:pt>
                <c:pt idx="96">
                  <c:v>44615</c:v>
                </c:pt>
                <c:pt idx="97">
                  <c:v>44616</c:v>
                </c:pt>
                <c:pt idx="98">
                  <c:v>44617</c:v>
                </c:pt>
                <c:pt idx="99">
                  <c:v>44618</c:v>
                </c:pt>
                <c:pt idx="100">
                  <c:v>44619</c:v>
                </c:pt>
                <c:pt idx="101">
                  <c:v>44620</c:v>
                </c:pt>
                <c:pt idx="102">
                  <c:v>44621</c:v>
                </c:pt>
                <c:pt idx="103">
                  <c:v>44622</c:v>
                </c:pt>
                <c:pt idx="104">
                  <c:v>44623</c:v>
                </c:pt>
                <c:pt idx="105">
                  <c:v>44624</c:v>
                </c:pt>
                <c:pt idx="106">
                  <c:v>44625</c:v>
                </c:pt>
                <c:pt idx="107">
                  <c:v>44626</c:v>
                </c:pt>
                <c:pt idx="108">
                  <c:v>44627</c:v>
                </c:pt>
                <c:pt idx="109">
                  <c:v>44628</c:v>
                </c:pt>
                <c:pt idx="110">
                  <c:v>44629</c:v>
                </c:pt>
                <c:pt idx="111">
                  <c:v>44630</c:v>
                </c:pt>
                <c:pt idx="112">
                  <c:v>44631</c:v>
                </c:pt>
                <c:pt idx="113">
                  <c:v>44632</c:v>
                </c:pt>
                <c:pt idx="114">
                  <c:v>44633</c:v>
                </c:pt>
                <c:pt idx="115">
                  <c:v>44634</c:v>
                </c:pt>
                <c:pt idx="116">
                  <c:v>44635</c:v>
                </c:pt>
                <c:pt idx="117">
                  <c:v>44636</c:v>
                </c:pt>
                <c:pt idx="118">
                  <c:v>44637</c:v>
                </c:pt>
                <c:pt idx="119">
                  <c:v>44638</c:v>
                </c:pt>
                <c:pt idx="120">
                  <c:v>44639</c:v>
                </c:pt>
                <c:pt idx="121">
                  <c:v>44640</c:v>
                </c:pt>
                <c:pt idx="122">
                  <c:v>44641</c:v>
                </c:pt>
                <c:pt idx="123">
                  <c:v>44642</c:v>
                </c:pt>
                <c:pt idx="124">
                  <c:v>44643</c:v>
                </c:pt>
                <c:pt idx="125">
                  <c:v>44644</c:v>
                </c:pt>
                <c:pt idx="126">
                  <c:v>44645</c:v>
                </c:pt>
                <c:pt idx="127">
                  <c:v>44646</c:v>
                </c:pt>
                <c:pt idx="128">
                  <c:v>44647</c:v>
                </c:pt>
                <c:pt idx="129">
                  <c:v>44648</c:v>
                </c:pt>
                <c:pt idx="130">
                  <c:v>44649</c:v>
                </c:pt>
                <c:pt idx="131">
                  <c:v>44650</c:v>
                </c:pt>
                <c:pt idx="132">
                  <c:v>44651</c:v>
                </c:pt>
                <c:pt idx="133">
                  <c:v>44652</c:v>
                </c:pt>
                <c:pt idx="134">
                  <c:v>44653</c:v>
                </c:pt>
                <c:pt idx="135">
                  <c:v>44654</c:v>
                </c:pt>
                <c:pt idx="136">
                  <c:v>44655</c:v>
                </c:pt>
                <c:pt idx="137">
                  <c:v>44656</c:v>
                </c:pt>
                <c:pt idx="138">
                  <c:v>44657</c:v>
                </c:pt>
                <c:pt idx="139">
                  <c:v>44658</c:v>
                </c:pt>
                <c:pt idx="140">
                  <c:v>44659</c:v>
                </c:pt>
                <c:pt idx="141">
                  <c:v>44660</c:v>
                </c:pt>
                <c:pt idx="142">
                  <c:v>44661</c:v>
                </c:pt>
                <c:pt idx="143">
                  <c:v>44662</c:v>
                </c:pt>
                <c:pt idx="144">
                  <c:v>44663</c:v>
                </c:pt>
                <c:pt idx="145">
                  <c:v>44664</c:v>
                </c:pt>
                <c:pt idx="146">
                  <c:v>44665</c:v>
                </c:pt>
                <c:pt idx="147">
                  <c:v>44666</c:v>
                </c:pt>
                <c:pt idx="148">
                  <c:v>44667</c:v>
                </c:pt>
                <c:pt idx="149">
                  <c:v>44668</c:v>
                </c:pt>
                <c:pt idx="150">
                  <c:v>44669</c:v>
                </c:pt>
                <c:pt idx="151">
                  <c:v>44670</c:v>
                </c:pt>
                <c:pt idx="152">
                  <c:v>44671</c:v>
                </c:pt>
                <c:pt idx="153">
                  <c:v>44672</c:v>
                </c:pt>
                <c:pt idx="154">
                  <c:v>44673</c:v>
                </c:pt>
                <c:pt idx="155">
                  <c:v>44674</c:v>
                </c:pt>
                <c:pt idx="156">
                  <c:v>44675</c:v>
                </c:pt>
                <c:pt idx="157">
                  <c:v>44676</c:v>
                </c:pt>
                <c:pt idx="158">
                  <c:v>44677</c:v>
                </c:pt>
                <c:pt idx="159">
                  <c:v>44678</c:v>
                </c:pt>
                <c:pt idx="160">
                  <c:v>44679</c:v>
                </c:pt>
                <c:pt idx="161">
                  <c:v>44680</c:v>
                </c:pt>
                <c:pt idx="162">
                  <c:v>44681</c:v>
                </c:pt>
                <c:pt idx="163">
                  <c:v>44682</c:v>
                </c:pt>
                <c:pt idx="164">
                  <c:v>44683</c:v>
                </c:pt>
                <c:pt idx="165">
                  <c:v>44684</c:v>
                </c:pt>
                <c:pt idx="166">
                  <c:v>44685</c:v>
                </c:pt>
                <c:pt idx="167">
                  <c:v>44686</c:v>
                </c:pt>
                <c:pt idx="168">
                  <c:v>44687</c:v>
                </c:pt>
                <c:pt idx="169">
                  <c:v>44688</c:v>
                </c:pt>
                <c:pt idx="170">
                  <c:v>44689</c:v>
                </c:pt>
                <c:pt idx="171">
                  <c:v>44690</c:v>
                </c:pt>
                <c:pt idx="172">
                  <c:v>44691</c:v>
                </c:pt>
                <c:pt idx="173">
                  <c:v>44692</c:v>
                </c:pt>
                <c:pt idx="174">
                  <c:v>44693</c:v>
                </c:pt>
                <c:pt idx="175">
                  <c:v>44694</c:v>
                </c:pt>
                <c:pt idx="176">
                  <c:v>44695</c:v>
                </c:pt>
                <c:pt idx="177">
                  <c:v>44696</c:v>
                </c:pt>
                <c:pt idx="178">
                  <c:v>44697</c:v>
                </c:pt>
                <c:pt idx="179">
                  <c:v>44698</c:v>
                </c:pt>
                <c:pt idx="180">
                  <c:v>44699</c:v>
                </c:pt>
                <c:pt idx="181">
                  <c:v>44700</c:v>
                </c:pt>
                <c:pt idx="182">
                  <c:v>44701</c:v>
                </c:pt>
                <c:pt idx="183">
                  <c:v>44702</c:v>
                </c:pt>
                <c:pt idx="184">
                  <c:v>44703</c:v>
                </c:pt>
                <c:pt idx="185">
                  <c:v>44704</c:v>
                </c:pt>
                <c:pt idx="186">
                  <c:v>44705</c:v>
                </c:pt>
                <c:pt idx="187">
                  <c:v>44706</c:v>
                </c:pt>
                <c:pt idx="188">
                  <c:v>44707</c:v>
                </c:pt>
                <c:pt idx="189">
                  <c:v>44708</c:v>
                </c:pt>
                <c:pt idx="190">
                  <c:v>44709</c:v>
                </c:pt>
                <c:pt idx="191">
                  <c:v>44710</c:v>
                </c:pt>
                <c:pt idx="192">
                  <c:v>44711</c:v>
                </c:pt>
                <c:pt idx="193">
                  <c:v>44712</c:v>
                </c:pt>
                <c:pt idx="194">
                  <c:v>44713</c:v>
                </c:pt>
                <c:pt idx="195">
                  <c:v>44714</c:v>
                </c:pt>
                <c:pt idx="196">
                  <c:v>44715</c:v>
                </c:pt>
                <c:pt idx="197">
                  <c:v>44716</c:v>
                </c:pt>
                <c:pt idx="198">
                  <c:v>44717</c:v>
                </c:pt>
                <c:pt idx="199">
                  <c:v>44718</c:v>
                </c:pt>
                <c:pt idx="200">
                  <c:v>44719</c:v>
                </c:pt>
                <c:pt idx="201">
                  <c:v>44720</c:v>
                </c:pt>
                <c:pt idx="202">
                  <c:v>44721</c:v>
                </c:pt>
                <c:pt idx="203">
                  <c:v>44722</c:v>
                </c:pt>
                <c:pt idx="204">
                  <c:v>44723</c:v>
                </c:pt>
                <c:pt idx="205">
                  <c:v>44724</c:v>
                </c:pt>
                <c:pt idx="206">
                  <c:v>44725</c:v>
                </c:pt>
                <c:pt idx="207">
                  <c:v>44726</c:v>
                </c:pt>
                <c:pt idx="208">
                  <c:v>44727</c:v>
                </c:pt>
                <c:pt idx="209">
                  <c:v>44728</c:v>
                </c:pt>
                <c:pt idx="210">
                  <c:v>44729</c:v>
                </c:pt>
                <c:pt idx="211">
                  <c:v>44730</c:v>
                </c:pt>
                <c:pt idx="212">
                  <c:v>44731</c:v>
                </c:pt>
                <c:pt idx="213">
                  <c:v>44732</c:v>
                </c:pt>
                <c:pt idx="214">
                  <c:v>44733</c:v>
                </c:pt>
                <c:pt idx="215">
                  <c:v>44734</c:v>
                </c:pt>
                <c:pt idx="216">
                  <c:v>44735</c:v>
                </c:pt>
                <c:pt idx="217">
                  <c:v>44736</c:v>
                </c:pt>
                <c:pt idx="218">
                  <c:v>44737</c:v>
                </c:pt>
                <c:pt idx="219">
                  <c:v>44738</c:v>
                </c:pt>
                <c:pt idx="220">
                  <c:v>44739</c:v>
                </c:pt>
                <c:pt idx="221">
                  <c:v>44740</c:v>
                </c:pt>
                <c:pt idx="222">
                  <c:v>44741</c:v>
                </c:pt>
                <c:pt idx="223">
                  <c:v>44742</c:v>
                </c:pt>
                <c:pt idx="224">
                  <c:v>44743</c:v>
                </c:pt>
                <c:pt idx="225">
                  <c:v>44744</c:v>
                </c:pt>
                <c:pt idx="226">
                  <c:v>44745</c:v>
                </c:pt>
                <c:pt idx="227">
                  <c:v>44746</c:v>
                </c:pt>
                <c:pt idx="228">
                  <c:v>44747</c:v>
                </c:pt>
                <c:pt idx="229">
                  <c:v>44748</c:v>
                </c:pt>
                <c:pt idx="230">
                  <c:v>44749</c:v>
                </c:pt>
                <c:pt idx="231">
                  <c:v>44750</c:v>
                </c:pt>
                <c:pt idx="232">
                  <c:v>44751</c:v>
                </c:pt>
                <c:pt idx="233">
                  <c:v>44752</c:v>
                </c:pt>
                <c:pt idx="234">
                  <c:v>44753</c:v>
                </c:pt>
                <c:pt idx="235">
                  <c:v>44754</c:v>
                </c:pt>
                <c:pt idx="236">
                  <c:v>44755</c:v>
                </c:pt>
                <c:pt idx="237">
                  <c:v>44756</c:v>
                </c:pt>
                <c:pt idx="238">
                  <c:v>44757</c:v>
                </c:pt>
                <c:pt idx="239">
                  <c:v>44758</c:v>
                </c:pt>
                <c:pt idx="240">
                  <c:v>44759</c:v>
                </c:pt>
                <c:pt idx="241">
                  <c:v>44760</c:v>
                </c:pt>
                <c:pt idx="242">
                  <c:v>44761</c:v>
                </c:pt>
                <c:pt idx="243">
                  <c:v>44762</c:v>
                </c:pt>
                <c:pt idx="244">
                  <c:v>44763</c:v>
                </c:pt>
                <c:pt idx="245">
                  <c:v>44764</c:v>
                </c:pt>
                <c:pt idx="246">
                  <c:v>44765</c:v>
                </c:pt>
                <c:pt idx="247">
                  <c:v>44766</c:v>
                </c:pt>
                <c:pt idx="248">
                  <c:v>44767</c:v>
                </c:pt>
                <c:pt idx="249">
                  <c:v>44768</c:v>
                </c:pt>
                <c:pt idx="250">
                  <c:v>44769</c:v>
                </c:pt>
                <c:pt idx="251">
                  <c:v>44770</c:v>
                </c:pt>
                <c:pt idx="252">
                  <c:v>44771</c:v>
                </c:pt>
                <c:pt idx="253">
                  <c:v>44772</c:v>
                </c:pt>
                <c:pt idx="254">
                  <c:v>44773</c:v>
                </c:pt>
                <c:pt idx="255">
                  <c:v>44774</c:v>
                </c:pt>
                <c:pt idx="256">
                  <c:v>44775</c:v>
                </c:pt>
                <c:pt idx="257">
                  <c:v>44776</c:v>
                </c:pt>
                <c:pt idx="258">
                  <c:v>44777</c:v>
                </c:pt>
                <c:pt idx="259">
                  <c:v>44778</c:v>
                </c:pt>
                <c:pt idx="260">
                  <c:v>44779</c:v>
                </c:pt>
                <c:pt idx="261">
                  <c:v>44780</c:v>
                </c:pt>
                <c:pt idx="262">
                  <c:v>44781</c:v>
                </c:pt>
                <c:pt idx="263">
                  <c:v>44782</c:v>
                </c:pt>
                <c:pt idx="264">
                  <c:v>44783</c:v>
                </c:pt>
                <c:pt idx="265">
                  <c:v>44784</c:v>
                </c:pt>
                <c:pt idx="266">
                  <c:v>44785</c:v>
                </c:pt>
                <c:pt idx="267">
                  <c:v>44786</c:v>
                </c:pt>
                <c:pt idx="268">
                  <c:v>44787</c:v>
                </c:pt>
                <c:pt idx="269">
                  <c:v>44788</c:v>
                </c:pt>
                <c:pt idx="270">
                  <c:v>44789</c:v>
                </c:pt>
                <c:pt idx="271">
                  <c:v>44790</c:v>
                </c:pt>
                <c:pt idx="272">
                  <c:v>44791</c:v>
                </c:pt>
                <c:pt idx="273">
                  <c:v>44792</c:v>
                </c:pt>
                <c:pt idx="274">
                  <c:v>44793</c:v>
                </c:pt>
                <c:pt idx="275">
                  <c:v>44794</c:v>
                </c:pt>
                <c:pt idx="276">
                  <c:v>44795</c:v>
                </c:pt>
                <c:pt idx="277">
                  <c:v>44796</c:v>
                </c:pt>
                <c:pt idx="278">
                  <c:v>44797</c:v>
                </c:pt>
                <c:pt idx="279">
                  <c:v>44798</c:v>
                </c:pt>
                <c:pt idx="280">
                  <c:v>44799</c:v>
                </c:pt>
                <c:pt idx="281">
                  <c:v>44800</c:v>
                </c:pt>
                <c:pt idx="282">
                  <c:v>44801</c:v>
                </c:pt>
                <c:pt idx="283">
                  <c:v>44802</c:v>
                </c:pt>
                <c:pt idx="284">
                  <c:v>44803</c:v>
                </c:pt>
                <c:pt idx="285">
                  <c:v>44804</c:v>
                </c:pt>
                <c:pt idx="286">
                  <c:v>44805</c:v>
                </c:pt>
                <c:pt idx="287">
                  <c:v>44806</c:v>
                </c:pt>
                <c:pt idx="288">
                  <c:v>44807</c:v>
                </c:pt>
                <c:pt idx="289">
                  <c:v>44808</c:v>
                </c:pt>
                <c:pt idx="290">
                  <c:v>44809</c:v>
                </c:pt>
                <c:pt idx="291">
                  <c:v>44810</c:v>
                </c:pt>
                <c:pt idx="292">
                  <c:v>44811</c:v>
                </c:pt>
                <c:pt idx="293">
                  <c:v>44812</c:v>
                </c:pt>
                <c:pt idx="294">
                  <c:v>44813</c:v>
                </c:pt>
                <c:pt idx="295">
                  <c:v>44814</c:v>
                </c:pt>
                <c:pt idx="296">
                  <c:v>44815</c:v>
                </c:pt>
                <c:pt idx="297">
                  <c:v>44816</c:v>
                </c:pt>
                <c:pt idx="298">
                  <c:v>44817</c:v>
                </c:pt>
                <c:pt idx="299">
                  <c:v>44818</c:v>
                </c:pt>
                <c:pt idx="300">
                  <c:v>44819</c:v>
                </c:pt>
                <c:pt idx="301">
                  <c:v>44820</c:v>
                </c:pt>
                <c:pt idx="302">
                  <c:v>44821</c:v>
                </c:pt>
                <c:pt idx="303">
                  <c:v>44822</c:v>
                </c:pt>
                <c:pt idx="304">
                  <c:v>44823</c:v>
                </c:pt>
                <c:pt idx="305">
                  <c:v>44824</c:v>
                </c:pt>
                <c:pt idx="306">
                  <c:v>44825</c:v>
                </c:pt>
                <c:pt idx="307">
                  <c:v>44826</c:v>
                </c:pt>
                <c:pt idx="308">
                  <c:v>44827</c:v>
                </c:pt>
                <c:pt idx="309">
                  <c:v>44828</c:v>
                </c:pt>
                <c:pt idx="310">
                  <c:v>44829</c:v>
                </c:pt>
                <c:pt idx="311">
                  <c:v>44830</c:v>
                </c:pt>
                <c:pt idx="312">
                  <c:v>44831</c:v>
                </c:pt>
                <c:pt idx="313">
                  <c:v>44832</c:v>
                </c:pt>
                <c:pt idx="314">
                  <c:v>44833</c:v>
                </c:pt>
                <c:pt idx="315">
                  <c:v>44834</c:v>
                </c:pt>
                <c:pt idx="316">
                  <c:v>44835</c:v>
                </c:pt>
                <c:pt idx="317">
                  <c:v>44836</c:v>
                </c:pt>
                <c:pt idx="318">
                  <c:v>44837</c:v>
                </c:pt>
                <c:pt idx="319">
                  <c:v>44838</c:v>
                </c:pt>
                <c:pt idx="320">
                  <c:v>44839</c:v>
                </c:pt>
                <c:pt idx="321">
                  <c:v>44840</c:v>
                </c:pt>
                <c:pt idx="322">
                  <c:v>44841</c:v>
                </c:pt>
                <c:pt idx="323">
                  <c:v>44842</c:v>
                </c:pt>
                <c:pt idx="324">
                  <c:v>44843</c:v>
                </c:pt>
                <c:pt idx="325">
                  <c:v>44844</c:v>
                </c:pt>
                <c:pt idx="326">
                  <c:v>44845</c:v>
                </c:pt>
                <c:pt idx="327">
                  <c:v>44846</c:v>
                </c:pt>
                <c:pt idx="328">
                  <c:v>44847</c:v>
                </c:pt>
                <c:pt idx="329">
                  <c:v>44848</c:v>
                </c:pt>
                <c:pt idx="330">
                  <c:v>44849</c:v>
                </c:pt>
                <c:pt idx="331">
                  <c:v>44850</c:v>
                </c:pt>
                <c:pt idx="332">
                  <c:v>44851</c:v>
                </c:pt>
                <c:pt idx="333">
                  <c:v>44852</c:v>
                </c:pt>
                <c:pt idx="334">
                  <c:v>44853</c:v>
                </c:pt>
                <c:pt idx="335">
                  <c:v>44854</c:v>
                </c:pt>
                <c:pt idx="336">
                  <c:v>44855</c:v>
                </c:pt>
                <c:pt idx="337">
                  <c:v>44856</c:v>
                </c:pt>
                <c:pt idx="338">
                  <c:v>44857</c:v>
                </c:pt>
                <c:pt idx="339">
                  <c:v>44858</c:v>
                </c:pt>
                <c:pt idx="340">
                  <c:v>44859</c:v>
                </c:pt>
                <c:pt idx="341">
                  <c:v>44860</c:v>
                </c:pt>
                <c:pt idx="342">
                  <c:v>44861</c:v>
                </c:pt>
                <c:pt idx="343">
                  <c:v>44862</c:v>
                </c:pt>
                <c:pt idx="344">
                  <c:v>44863</c:v>
                </c:pt>
                <c:pt idx="345">
                  <c:v>44864</c:v>
                </c:pt>
                <c:pt idx="346">
                  <c:v>44865</c:v>
                </c:pt>
                <c:pt idx="347">
                  <c:v>44866</c:v>
                </c:pt>
                <c:pt idx="348">
                  <c:v>44867</c:v>
                </c:pt>
                <c:pt idx="349">
                  <c:v>44868</c:v>
                </c:pt>
                <c:pt idx="350">
                  <c:v>44869</c:v>
                </c:pt>
                <c:pt idx="351">
                  <c:v>44870</c:v>
                </c:pt>
                <c:pt idx="352">
                  <c:v>44871</c:v>
                </c:pt>
                <c:pt idx="353">
                  <c:v>44872</c:v>
                </c:pt>
                <c:pt idx="354">
                  <c:v>44873</c:v>
                </c:pt>
                <c:pt idx="355">
                  <c:v>44874</c:v>
                </c:pt>
                <c:pt idx="356">
                  <c:v>44875</c:v>
                </c:pt>
                <c:pt idx="357">
                  <c:v>44876</c:v>
                </c:pt>
                <c:pt idx="358">
                  <c:v>44877</c:v>
                </c:pt>
                <c:pt idx="359">
                  <c:v>44878</c:v>
                </c:pt>
                <c:pt idx="360">
                  <c:v>44879</c:v>
                </c:pt>
                <c:pt idx="361">
                  <c:v>44880</c:v>
                </c:pt>
                <c:pt idx="362">
                  <c:v>44881</c:v>
                </c:pt>
                <c:pt idx="363">
                  <c:v>44882</c:v>
                </c:pt>
                <c:pt idx="364">
                  <c:v>44883</c:v>
                </c:pt>
                <c:pt idx="365">
                  <c:v>44884</c:v>
                </c:pt>
                <c:pt idx="366">
                  <c:v>44885</c:v>
                </c:pt>
                <c:pt idx="367">
                  <c:v>44886</c:v>
                </c:pt>
                <c:pt idx="368">
                  <c:v>44887</c:v>
                </c:pt>
                <c:pt idx="369">
                  <c:v>44888</c:v>
                </c:pt>
                <c:pt idx="370">
                  <c:v>44889</c:v>
                </c:pt>
                <c:pt idx="371">
                  <c:v>44890</c:v>
                </c:pt>
                <c:pt idx="372">
                  <c:v>44891</c:v>
                </c:pt>
                <c:pt idx="373">
                  <c:v>44892</c:v>
                </c:pt>
                <c:pt idx="374">
                  <c:v>44893</c:v>
                </c:pt>
                <c:pt idx="375">
                  <c:v>44894</c:v>
                </c:pt>
                <c:pt idx="376">
                  <c:v>44895</c:v>
                </c:pt>
                <c:pt idx="377">
                  <c:v>44896</c:v>
                </c:pt>
              </c:numCache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2.08795730046899</c:v>
                </c:pt>
                <c:pt idx="228">
                  <c:v>2.16531377890312</c:v>
                </c:pt>
                <c:pt idx="229">
                  <c:v>2.2451365185809999</c:v>
                </c:pt>
                <c:pt idx="230">
                  <c:v>2.3273729945040298</c:v>
                </c:pt>
                <c:pt idx="231">
                  <c:v>2.41007284785357</c:v>
                </c:pt>
                <c:pt idx="232">
                  <c:v>2.49690058530128</c:v>
                </c:pt>
                <c:pt idx="233">
                  <c:v>2.58111524972569</c:v>
                </c:pt>
                <c:pt idx="234">
                  <c:v>2.6648043106861898</c:v>
                </c:pt>
                <c:pt idx="235">
                  <c:v>2.7539175236625999</c:v>
                </c:pt>
                <c:pt idx="236">
                  <c:v>2.8475842066125598</c:v>
                </c:pt>
                <c:pt idx="237">
                  <c:v>2.9403520454162302</c:v>
                </c:pt>
                <c:pt idx="238">
                  <c:v>3.0453066030343399</c:v>
                </c:pt>
                <c:pt idx="239">
                  <c:v>3.1599703041263001</c:v>
                </c:pt>
                <c:pt idx="240">
                  <c:v>3.2760231844623</c:v>
                </c:pt>
                <c:pt idx="241">
                  <c:v>3.3920065630221199</c:v>
                </c:pt>
                <c:pt idx="242">
                  <c:v>3.51039515256375</c:v>
                </c:pt>
                <c:pt idx="243">
                  <c:v>3.6386271718819501</c:v>
                </c:pt>
                <c:pt idx="244">
                  <c:v>3.7652243220809001</c:v>
                </c:pt>
                <c:pt idx="245">
                  <c:v>3.9036519865700798</c:v>
                </c:pt>
                <c:pt idx="246">
                  <c:v>4.0451047354271301</c:v>
                </c:pt>
                <c:pt idx="247">
                  <c:v>4.1919285070759198</c:v>
                </c:pt>
                <c:pt idx="248">
                  <c:v>4.3356070372073701</c:v>
                </c:pt>
                <c:pt idx="249">
                  <c:v>4.4825852098808996</c:v>
                </c:pt>
                <c:pt idx="250">
                  <c:v>4.6408437763605503</c:v>
                </c:pt>
                <c:pt idx="251">
                  <c:v>4.8057716833636404</c:v>
                </c:pt>
                <c:pt idx="252">
                  <c:v>4.9794290876483904</c:v>
                </c:pt>
                <c:pt idx="253">
                  <c:v>5.1589460001833798</c:v>
                </c:pt>
                <c:pt idx="254">
                  <c:v>5.3461841716626699</c:v>
                </c:pt>
                <c:pt idx="255">
                  <c:v>5.5407397261155804</c:v>
                </c:pt>
                <c:pt idx="256">
                  <c:v>5.7484641407496202</c:v>
                </c:pt>
                <c:pt idx="257">
                  <c:v>5.96219245417198</c:v>
                </c:pt>
                <c:pt idx="258">
                  <c:v>6.1815510114529797</c:v>
                </c:pt>
                <c:pt idx="259">
                  <c:v>6.4024055359773504</c:v>
                </c:pt>
                <c:pt idx="260">
                  <c:v>6.6290612779792397</c:v>
                </c:pt>
                <c:pt idx="261">
                  <c:v>6.8655358444903696</c:v>
                </c:pt>
                <c:pt idx="262">
                  <c:v>7.10981104721757</c:v>
                </c:pt>
                <c:pt idx="263">
                  <c:v>7.3651969509346102</c:v>
                </c:pt>
                <c:pt idx="264">
                  <c:v>7.6236992276945603</c:v>
                </c:pt>
                <c:pt idx="265">
                  <c:v>7.8971336441877202</c:v>
                </c:pt>
                <c:pt idx="266">
                  <c:v>8.1722789512292096</c:v>
                </c:pt>
                <c:pt idx="267">
                  <c:v>8.4625269851957192</c:v>
                </c:pt>
                <c:pt idx="268">
                  <c:v>8.7583951418533807</c:v>
                </c:pt>
                <c:pt idx="269">
                  <c:v>9.0479764935743106</c:v>
                </c:pt>
                <c:pt idx="270">
                  <c:v>9.3472091082624704</c:v>
                </c:pt>
                <c:pt idx="271">
                  <c:v>9.6517332588311504</c:v>
                </c:pt>
                <c:pt idx="272">
                  <c:v>9.9652166175660604</c:v>
                </c:pt>
                <c:pt idx="273">
                  <c:v>10.2896449179639</c:v>
                </c:pt>
                <c:pt idx="274">
                  <c:v>10.6330061064487</c:v>
                </c:pt>
                <c:pt idx="275">
                  <c:v>10.996289228582199</c:v>
                </c:pt>
                <c:pt idx="276">
                  <c:v>11.374971841427</c:v>
                </c:pt>
                <c:pt idx="277">
                  <c:v>11.774326516558</c:v>
                </c:pt>
                <c:pt idx="278">
                  <c:v>12.1864461951621</c:v>
                </c:pt>
                <c:pt idx="279">
                  <c:v>12.6187617019937</c:v>
                </c:pt>
                <c:pt idx="280">
                  <c:v>13.0585962077975</c:v>
                </c:pt>
                <c:pt idx="281">
                  <c:v>13.510647750481599</c:v>
                </c:pt>
                <c:pt idx="282">
                  <c:v>13.961658364963199</c:v>
                </c:pt>
                <c:pt idx="283">
                  <c:v>14.4246941351138</c:v>
                </c:pt>
                <c:pt idx="284">
                  <c:v>14.9069472029</c:v>
                </c:pt>
                <c:pt idx="285">
                  <c:v>15.405646423072801</c:v>
                </c:pt>
                <c:pt idx="286">
                  <c:v>15.9111764856956</c:v>
                </c:pt>
                <c:pt idx="287">
                  <c:v>16.4333386122061</c:v>
                </c:pt>
                <c:pt idx="288">
                  <c:v>16.998443026723599</c:v>
                </c:pt>
                <c:pt idx="289">
                  <c:v>17.584915229358799</c:v>
                </c:pt>
                <c:pt idx="290">
                  <c:v>18.197793953468999</c:v>
                </c:pt>
                <c:pt idx="291">
                  <c:v>18.824964457446502</c:v>
                </c:pt>
                <c:pt idx="292">
                  <c:v>19.4528939945396</c:v>
                </c:pt>
                <c:pt idx="293">
                  <c:v>20.122758379595201</c:v>
                </c:pt>
                <c:pt idx="294">
                  <c:v>20.788765859987201</c:v>
                </c:pt>
                <c:pt idx="295">
                  <c:v>21.481020664610099</c:v>
                </c:pt>
                <c:pt idx="296">
                  <c:v>22.199590231288798</c:v>
                </c:pt>
                <c:pt idx="297">
                  <c:v>22.9611586420233</c:v>
                </c:pt>
                <c:pt idx="298">
                  <c:v>23.725706861263799</c:v>
                </c:pt>
                <c:pt idx="299">
                  <c:v>24.519804885240699</c:v>
                </c:pt>
                <c:pt idx="300">
                  <c:v>25.354214807180401</c:v>
                </c:pt>
                <c:pt idx="301">
                  <c:v>26.221665761085799</c:v>
                </c:pt>
                <c:pt idx="302">
                  <c:v>27.102782374420901</c:v>
                </c:pt>
                <c:pt idx="303">
                  <c:v>27.987731254901799</c:v>
                </c:pt>
                <c:pt idx="304">
                  <c:v>28.8847873312885</c:v>
                </c:pt>
                <c:pt idx="305">
                  <c:v>29.7957538687835</c:v>
                </c:pt>
                <c:pt idx="306">
                  <c:v>30.717598029235301</c:v>
                </c:pt>
                <c:pt idx="307">
                  <c:v>31.668708515276599</c:v>
                </c:pt>
                <c:pt idx="308">
                  <c:v>32.647444590442198</c:v>
                </c:pt>
                <c:pt idx="309">
                  <c:v>33.679943183036301</c:v>
                </c:pt>
                <c:pt idx="310">
                  <c:v>34.706385365827799</c:v>
                </c:pt>
                <c:pt idx="311">
                  <c:v>35.742054500182903</c:v>
                </c:pt>
                <c:pt idx="312">
                  <c:v>36.826293327999501</c:v>
                </c:pt>
                <c:pt idx="313">
                  <c:v>37.955140977051101</c:v>
                </c:pt>
                <c:pt idx="314">
                  <c:v>39.130797024284298</c:v>
                </c:pt>
                <c:pt idx="315">
                  <c:v>40.313483409110603</c:v>
                </c:pt>
                <c:pt idx="316">
                  <c:v>41.488813101336802</c:v>
                </c:pt>
                <c:pt idx="317">
                  <c:v>42.670240044325503</c:v>
                </c:pt>
                <c:pt idx="318">
                  <c:v>43.892714447497298</c:v>
                </c:pt>
                <c:pt idx="319">
                  <c:v>45.090617963781497</c:v>
                </c:pt>
                <c:pt idx="320">
                  <c:v>46.301467649944101</c:v>
                </c:pt>
                <c:pt idx="321">
                  <c:v>47.5332785012301</c:v>
                </c:pt>
                <c:pt idx="322">
                  <c:v>48.751242933378201</c:v>
                </c:pt>
                <c:pt idx="323">
                  <c:v>50.045401792173301</c:v>
                </c:pt>
                <c:pt idx="324">
                  <c:v>51.366547112160703</c:v>
                </c:pt>
                <c:pt idx="325">
                  <c:v>52.621520867876797</c:v>
                </c:pt>
                <c:pt idx="326">
                  <c:v>53.906452818835</c:v>
                </c:pt>
                <c:pt idx="327">
                  <c:v>55.243677027740397</c:v>
                </c:pt>
                <c:pt idx="328">
                  <c:v>56.573272953337799</c:v>
                </c:pt>
                <c:pt idx="329">
                  <c:v>57.871101189507101</c:v>
                </c:pt>
                <c:pt idx="330">
                  <c:v>59.1382035861444</c:v>
                </c:pt>
                <c:pt idx="331">
                  <c:v>60.407669743056701</c:v>
                </c:pt>
                <c:pt idx="332">
                  <c:v>61.72884173021</c:v>
                </c:pt>
                <c:pt idx="333">
                  <c:v>62.996905891483202</c:v>
                </c:pt>
                <c:pt idx="334">
                  <c:v>64.234286039134204</c:v>
                </c:pt>
                <c:pt idx="335">
                  <c:v>65.451924510949297</c:v>
                </c:pt>
                <c:pt idx="336">
                  <c:v>66.703602158012799</c:v>
                </c:pt>
                <c:pt idx="337">
                  <c:v>67.970774581133497</c:v>
                </c:pt>
                <c:pt idx="338">
                  <c:v>69.259235170518295</c:v>
                </c:pt>
                <c:pt idx="339">
                  <c:v>70.479028160457602</c:v>
                </c:pt>
                <c:pt idx="340">
                  <c:v>71.725096570458206</c:v>
                </c:pt>
                <c:pt idx="341">
                  <c:v>72.980397447165501</c:v>
                </c:pt>
                <c:pt idx="342">
                  <c:v>74.2834058133664</c:v>
                </c:pt>
                <c:pt idx="343">
                  <c:v>75.516350131042799</c:v>
                </c:pt>
                <c:pt idx="344">
                  <c:v>76.729601125844994</c:v>
                </c:pt>
                <c:pt idx="345">
                  <c:v>77.955940524950293</c:v>
                </c:pt>
                <c:pt idx="346">
                  <c:v>79.142819152627993</c:v>
                </c:pt>
                <c:pt idx="347">
                  <c:v>80.266889906499898</c:v>
                </c:pt>
                <c:pt idx="348">
                  <c:v>81.371934467432695</c:v>
                </c:pt>
                <c:pt idx="349">
                  <c:v>82.444860336313994</c:v>
                </c:pt>
                <c:pt idx="350">
                  <c:v>83.508953374760296</c:v>
                </c:pt>
                <c:pt idx="351">
                  <c:v>84.572693903733807</c:v>
                </c:pt>
                <c:pt idx="352">
                  <c:v>85.581893884080401</c:v>
                </c:pt>
                <c:pt idx="353">
                  <c:v>86.5865463656191</c:v>
                </c:pt>
                <c:pt idx="354">
                  <c:v>87.581518664078203</c:v>
                </c:pt>
                <c:pt idx="355">
                  <c:v>88.525098269012304</c:v>
                </c:pt>
                <c:pt idx="356">
                  <c:v>89.463895984323102</c:v>
                </c:pt>
                <c:pt idx="357">
                  <c:v>90.380311329392597</c:v>
                </c:pt>
                <c:pt idx="358">
                  <c:v>91.266637588066899</c:v>
                </c:pt>
                <c:pt idx="359">
                  <c:v>92.111700190522996</c:v>
                </c:pt>
                <c:pt idx="360">
                  <c:v>92.926872864024006</c:v>
                </c:pt>
                <c:pt idx="361">
                  <c:v>93.734537512894605</c:v>
                </c:pt>
                <c:pt idx="362">
                  <c:v>94.531590357107305</c:v>
                </c:pt>
                <c:pt idx="363">
                  <c:v>95.281083494251604</c:v>
                </c:pt>
                <c:pt idx="364">
                  <c:v>95.986424653350596</c:v>
                </c:pt>
                <c:pt idx="365">
                  <c:v>96.665943299792104</c:v>
                </c:pt>
                <c:pt idx="366">
                  <c:v>97.339706263575806</c:v>
                </c:pt>
                <c:pt idx="367">
                  <c:v>97.991548034842197</c:v>
                </c:pt>
                <c:pt idx="368">
                  <c:v>98.627924794673802</c:v>
                </c:pt>
                <c:pt idx="369">
                  <c:v>99.248660240958699</c:v>
                </c:pt>
                <c:pt idx="370">
                  <c:v>99.838585202160502</c:v>
                </c:pt>
                <c:pt idx="371">
                  <c:v>100.427602858062</c:v>
                </c:pt>
                <c:pt idx="372">
                  <c:v>100.993004028732</c:v>
                </c:pt>
                <c:pt idx="373">
                  <c:v>101.522071453371</c:v>
                </c:pt>
                <c:pt idx="374">
                  <c:v>102.025903709692</c:v>
                </c:pt>
                <c:pt idx="375">
                  <c:v>102.51152846358799</c:v>
                </c:pt>
                <c:pt idx="376">
                  <c:v>102.984099067271</c:v>
                </c:pt>
                <c:pt idx="377">
                  <c:v>103.442371550007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44519</c:v>
                </c:pt>
                <c:pt idx="1">
                  <c:v>44520</c:v>
                </c:pt>
                <c:pt idx="2">
                  <c:v>44521</c:v>
                </c:pt>
                <c:pt idx="3">
                  <c:v>44522</c:v>
                </c:pt>
                <c:pt idx="4">
                  <c:v>44523</c:v>
                </c:pt>
                <c:pt idx="5">
                  <c:v>44524</c:v>
                </c:pt>
                <c:pt idx="6">
                  <c:v>44525</c:v>
                </c:pt>
                <c:pt idx="7">
                  <c:v>44526</c:v>
                </c:pt>
                <c:pt idx="8">
                  <c:v>44527</c:v>
                </c:pt>
                <c:pt idx="9">
                  <c:v>44528</c:v>
                </c:pt>
                <c:pt idx="10">
                  <c:v>44529</c:v>
                </c:pt>
                <c:pt idx="11">
                  <c:v>44530</c:v>
                </c:pt>
                <c:pt idx="12">
                  <c:v>44531</c:v>
                </c:pt>
                <c:pt idx="13">
                  <c:v>44532</c:v>
                </c:pt>
                <c:pt idx="14">
                  <c:v>44533</c:v>
                </c:pt>
                <c:pt idx="15">
                  <c:v>44534</c:v>
                </c:pt>
                <c:pt idx="16">
                  <c:v>44535</c:v>
                </c:pt>
                <c:pt idx="17">
                  <c:v>44536</c:v>
                </c:pt>
                <c:pt idx="18">
                  <c:v>44537</c:v>
                </c:pt>
                <c:pt idx="19">
                  <c:v>44538</c:v>
                </c:pt>
                <c:pt idx="20">
                  <c:v>44539</c:v>
                </c:pt>
                <c:pt idx="21">
                  <c:v>44540</c:v>
                </c:pt>
                <c:pt idx="22">
                  <c:v>44541</c:v>
                </c:pt>
                <c:pt idx="23">
                  <c:v>44542</c:v>
                </c:pt>
                <c:pt idx="24">
                  <c:v>44543</c:v>
                </c:pt>
                <c:pt idx="25">
                  <c:v>44544</c:v>
                </c:pt>
                <c:pt idx="26">
                  <c:v>44545</c:v>
                </c:pt>
                <c:pt idx="27">
                  <c:v>44546</c:v>
                </c:pt>
                <c:pt idx="28">
                  <c:v>44547</c:v>
                </c:pt>
                <c:pt idx="29">
                  <c:v>44548</c:v>
                </c:pt>
                <c:pt idx="30">
                  <c:v>44549</c:v>
                </c:pt>
                <c:pt idx="31">
                  <c:v>44550</c:v>
                </c:pt>
                <c:pt idx="32">
                  <c:v>44551</c:v>
                </c:pt>
                <c:pt idx="33">
                  <c:v>44552</c:v>
                </c:pt>
                <c:pt idx="34">
                  <c:v>44553</c:v>
                </c:pt>
                <c:pt idx="35">
                  <c:v>44554</c:v>
                </c:pt>
                <c:pt idx="36">
                  <c:v>44555</c:v>
                </c:pt>
                <c:pt idx="37">
                  <c:v>44556</c:v>
                </c:pt>
                <c:pt idx="38">
                  <c:v>44557</c:v>
                </c:pt>
                <c:pt idx="39">
                  <c:v>44558</c:v>
                </c:pt>
                <c:pt idx="40">
                  <c:v>44559</c:v>
                </c:pt>
                <c:pt idx="41">
                  <c:v>44560</c:v>
                </c:pt>
                <c:pt idx="42">
                  <c:v>44561</c:v>
                </c:pt>
                <c:pt idx="43">
                  <c:v>44562</c:v>
                </c:pt>
                <c:pt idx="44">
                  <c:v>44563</c:v>
                </c:pt>
                <c:pt idx="45">
                  <c:v>44564</c:v>
                </c:pt>
                <c:pt idx="46">
                  <c:v>44565</c:v>
                </c:pt>
                <c:pt idx="47">
                  <c:v>44566</c:v>
                </c:pt>
                <c:pt idx="48">
                  <c:v>44567</c:v>
                </c:pt>
                <c:pt idx="49">
                  <c:v>44568</c:v>
                </c:pt>
                <c:pt idx="50">
                  <c:v>44569</c:v>
                </c:pt>
                <c:pt idx="51">
                  <c:v>44570</c:v>
                </c:pt>
                <c:pt idx="52">
                  <c:v>44571</c:v>
                </c:pt>
                <c:pt idx="53">
                  <c:v>44572</c:v>
                </c:pt>
                <c:pt idx="54">
                  <c:v>44573</c:v>
                </c:pt>
                <c:pt idx="55">
                  <c:v>44574</c:v>
                </c:pt>
                <c:pt idx="56">
                  <c:v>44575</c:v>
                </c:pt>
                <c:pt idx="57">
                  <c:v>44576</c:v>
                </c:pt>
                <c:pt idx="58">
                  <c:v>44577</c:v>
                </c:pt>
                <c:pt idx="59">
                  <c:v>44578</c:v>
                </c:pt>
                <c:pt idx="60">
                  <c:v>44579</c:v>
                </c:pt>
                <c:pt idx="61">
                  <c:v>44580</c:v>
                </c:pt>
                <c:pt idx="62">
                  <c:v>44581</c:v>
                </c:pt>
                <c:pt idx="63">
                  <c:v>44582</c:v>
                </c:pt>
                <c:pt idx="64">
                  <c:v>44583</c:v>
                </c:pt>
                <c:pt idx="65">
                  <c:v>44584</c:v>
                </c:pt>
                <c:pt idx="66">
                  <c:v>44585</c:v>
                </c:pt>
                <c:pt idx="67">
                  <c:v>44586</c:v>
                </c:pt>
                <c:pt idx="68">
                  <c:v>44587</c:v>
                </c:pt>
                <c:pt idx="69">
                  <c:v>44588</c:v>
                </c:pt>
                <c:pt idx="70">
                  <c:v>44589</c:v>
                </c:pt>
                <c:pt idx="71">
                  <c:v>44590</c:v>
                </c:pt>
                <c:pt idx="72">
                  <c:v>44591</c:v>
                </c:pt>
                <c:pt idx="73">
                  <c:v>44592</c:v>
                </c:pt>
                <c:pt idx="74">
                  <c:v>44593</c:v>
                </c:pt>
                <c:pt idx="75">
                  <c:v>44594</c:v>
                </c:pt>
                <c:pt idx="76">
                  <c:v>44595</c:v>
                </c:pt>
                <c:pt idx="77">
                  <c:v>44596</c:v>
                </c:pt>
                <c:pt idx="78">
                  <c:v>44597</c:v>
                </c:pt>
                <c:pt idx="79">
                  <c:v>44598</c:v>
                </c:pt>
                <c:pt idx="80">
                  <c:v>44599</c:v>
                </c:pt>
                <c:pt idx="81">
                  <c:v>44600</c:v>
                </c:pt>
                <c:pt idx="82">
                  <c:v>44601</c:v>
                </c:pt>
                <c:pt idx="83">
                  <c:v>44602</c:v>
                </c:pt>
                <c:pt idx="84">
                  <c:v>44603</c:v>
                </c:pt>
                <c:pt idx="85">
                  <c:v>44604</c:v>
                </c:pt>
                <c:pt idx="86">
                  <c:v>44605</c:v>
                </c:pt>
                <c:pt idx="87">
                  <c:v>44606</c:v>
                </c:pt>
                <c:pt idx="88">
                  <c:v>44607</c:v>
                </c:pt>
                <c:pt idx="89">
                  <c:v>44608</c:v>
                </c:pt>
                <c:pt idx="90">
                  <c:v>44609</c:v>
                </c:pt>
                <c:pt idx="91">
                  <c:v>44610</c:v>
                </c:pt>
                <c:pt idx="92">
                  <c:v>44611</c:v>
                </c:pt>
                <c:pt idx="93">
                  <c:v>44612</c:v>
                </c:pt>
                <c:pt idx="94">
                  <c:v>44613</c:v>
                </c:pt>
                <c:pt idx="95">
                  <c:v>44614</c:v>
                </c:pt>
                <c:pt idx="96">
                  <c:v>44615</c:v>
                </c:pt>
                <c:pt idx="97">
                  <c:v>44616</c:v>
                </c:pt>
                <c:pt idx="98">
                  <c:v>44617</c:v>
                </c:pt>
                <c:pt idx="99">
                  <c:v>44618</c:v>
                </c:pt>
                <c:pt idx="100">
                  <c:v>44619</c:v>
                </c:pt>
                <c:pt idx="101">
                  <c:v>44620</c:v>
                </c:pt>
                <c:pt idx="102">
                  <c:v>44621</c:v>
                </c:pt>
                <c:pt idx="103">
                  <c:v>44622</c:v>
                </c:pt>
                <c:pt idx="104">
                  <c:v>44623</c:v>
                </c:pt>
                <c:pt idx="105">
                  <c:v>44624</c:v>
                </c:pt>
                <c:pt idx="106">
                  <c:v>44625</c:v>
                </c:pt>
                <c:pt idx="107">
                  <c:v>44626</c:v>
                </c:pt>
                <c:pt idx="108">
                  <c:v>44627</c:v>
                </c:pt>
                <c:pt idx="109">
                  <c:v>44628</c:v>
                </c:pt>
                <c:pt idx="110">
                  <c:v>44629</c:v>
                </c:pt>
                <c:pt idx="111">
                  <c:v>44630</c:v>
                </c:pt>
                <c:pt idx="112">
                  <c:v>44631</c:v>
                </c:pt>
                <c:pt idx="113">
                  <c:v>44632</c:v>
                </c:pt>
                <c:pt idx="114">
                  <c:v>44633</c:v>
                </c:pt>
                <c:pt idx="115">
                  <c:v>44634</c:v>
                </c:pt>
                <c:pt idx="116">
                  <c:v>44635</c:v>
                </c:pt>
                <c:pt idx="117">
                  <c:v>44636</c:v>
                </c:pt>
                <c:pt idx="118">
                  <c:v>44637</c:v>
                </c:pt>
                <c:pt idx="119">
                  <c:v>44638</c:v>
                </c:pt>
                <c:pt idx="120">
                  <c:v>44639</c:v>
                </c:pt>
                <c:pt idx="121">
                  <c:v>44640</c:v>
                </c:pt>
                <c:pt idx="122">
                  <c:v>44641</c:v>
                </c:pt>
                <c:pt idx="123">
                  <c:v>44642</c:v>
                </c:pt>
                <c:pt idx="124">
                  <c:v>44643</c:v>
                </c:pt>
                <c:pt idx="125">
                  <c:v>44644</c:v>
                </c:pt>
                <c:pt idx="126">
                  <c:v>44645</c:v>
                </c:pt>
                <c:pt idx="127">
                  <c:v>44646</c:v>
                </c:pt>
                <c:pt idx="128">
                  <c:v>44647</c:v>
                </c:pt>
                <c:pt idx="129">
                  <c:v>44648</c:v>
                </c:pt>
                <c:pt idx="130">
                  <c:v>44649</c:v>
                </c:pt>
                <c:pt idx="131">
                  <c:v>44650</c:v>
                </c:pt>
                <c:pt idx="132">
                  <c:v>44651</c:v>
                </c:pt>
                <c:pt idx="133">
                  <c:v>44652</c:v>
                </c:pt>
                <c:pt idx="134">
                  <c:v>44653</c:v>
                </c:pt>
                <c:pt idx="135">
                  <c:v>44654</c:v>
                </c:pt>
                <c:pt idx="136">
                  <c:v>44655</c:v>
                </c:pt>
                <c:pt idx="137">
                  <c:v>44656</c:v>
                </c:pt>
                <c:pt idx="138">
                  <c:v>44657</c:v>
                </c:pt>
                <c:pt idx="139">
                  <c:v>44658</c:v>
                </c:pt>
                <c:pt idx="140">
                  <c:v>44659</c:v>
                </c:pt>
                <c:pt idx="141">
                  <c:v>44660</c:v>
                </c:pt>
                <c:pt idx="142">
                  <c:v>44661</c:v>
                </c:pt>
                <c:pt idx="143">
                  <c:v>44662</c:v>
                </c:pt>
                <c:pt idx="144">
                  <c:v>44663</c:v>
                </c:pt>
                <c:pt idx="145">
                  <c:v>44664</c:v>
                </c:pt>
                <c:pt idx="146">
                  <c:v>44665</c:v>
                </c:pt>
                <c:pt idx="147">
                  <c:v>44666</c:v>
                </c:pt>
                <c:pt idx="148">
                  <c:v>44667</c:v>
                </c:pt>
                <c:pt idx="149">
                  <c:v>44668</c:v>
                </c:pt>
                <c:pt idx="150">
                  <c:v>44669</c:v>
                </c:pt>
                <c:pt idx="151">
                  <c:v>44670</c:v>
                </c:pt>
                <c:pt idx="152">
                  <c:v>44671</c:v>
                </c:pt>
                <c:pt idx="153">
                  <c:v>44672</c:v>
                </c:pt>
                <c:pt idx="154">
                  <c:v>44673</c:v>
                </c:pt>
                <c:pt idx="155">
                  <c:v>44674</c:v>
                </c:pt>
                <c:pt idx="156">
                  <c:v>44675</c:v>
                </c:pt>
                <c:pt idx="157">
                  <c:v>44676</c:v>
                </c:pt>
                <c:pt idx="158">
                  <c:v>44677</c:v>
                </c:pt>
                <c:pt idx="159">
                  <c:v>44678</c:v>
                </c:pt>
                <c:pt idx="160">
                  <c:v>44679</c:v>
                </c:pt>
                <c:pt idx="161">
                  <c:v>44680</c:v>
                </c:pt>
                <c:pt idx="162">
                  <c:v>44681</c:v>
                </c:pt>
                <c:pt idx="163">
                  <c:v>44682</c:v>
                </c:pt>
                <c:pt idx="164">
                  <c:v>44683</c:v>
                </c:pt>
                <c:pt idx="165">
                  <c:v>44684</c:v>
                </c:pt>
                <c:pt idx="166">
                  <c:v>44685</c:v>
                </c:pt>
                <c:pt idx="167">
                  <c:v>44686</c:v>
                </c:pt>
                <c:pt idx="168">
                  <c:v>44687</c:v>
                </c:pt>
                <c:pt idx="169">
                  <c:v>44688</c:v>
                </c:pt>
                <c:pt idx="170">
                  <c:v>44689</c:v>
                </c:pt>
                <c:pt idx="171">
                  <c:v>44690</c:v>
                </c:pt>
                <c:pt idx="172">
                  <c:v>44691</c:v>
                </c:pt>
                <c:pt idx="173">
                  <c:v>44692</c:v>
                </c:pt>
                <c:pt idx="174">
                  <c:v>44693</c:v>
                </c:pt>
                <c:pt idx="175">
                  <c:v>44694</c:v>
                </c:pt>
                <c:pt idx="176">
                  <c:v>44695</c:v>
                </c:pt>
                <c:pt idx="177">
                  <c:v>44696</c:v>
                </c:pt>
                <c:pt idx="178">
                  <c:v>44697</c:v>
                </c:pt>
                <c:pt idx="179">
                  <c:v>44698</c:v>
                </c:pt>
                <c:pt idx="180">
                  <c:v>44699</c:v>
                </c:pt>
                <c:pt idx="181">
                  <c:v>44700</c:v>
                </c:pt>
                <c:pt idx="182">
                  <c:v>44701</c:v>
                </c:pt>
                <c:pt idx="183">
                  <c:v>44702</c:v>
                </c:pt>
                <c:pt idx="184">
                  <c:v>44703</c:v>
                </c:pt>
                <c:pt idx="185">
                  <c:v>44704</c:v>
                </c:pt>
                <c:pt idx="186">
                  <c:v>44705</c:v>
                </c:pt>
                <c:pt idx="187">
                  <c:v>44706</c:v>
                </c:pt>
                <c:pt idx="188">
                  <c:v>44707</c:v>
                </c:pt>
                <c:pt idx="189">
                  <c:v>44708</c:v>
                </c:pt>
                <c:pt idx="190">
                  <c:v>44709</c:v>
                </c:pt>
                <c:pt idx="191">
                  <c:v>44710</c:v>
                </c:pt>
                <c:pt idx="192">
                  <c:v>44711</c:v>
                </c:pt>
                <c:pt idx="193">
                  <c:v>44712</c:v>
                </c:pt>
                <c:pt idx="194">
                  <c:v>44713</c:v>
                </c:pt>
                <c:pt idx="195">
                  <c:v>44714</c:v>
                </c:pt>
                <c:pt idx="196">
                  <c:v>44715</c:v>
                </c:pt>
                <c:pt idx="197">
                  <c:v>44716</c:v>
                </c:pt>
                <c:pt idx="198">
                  <c:v>44717</c:v>
                </c:pt>
                <c:pt idx="199">
                  <c:v>44718</c:v>
                </c:pt>
                <c:pt idx="200">
                  <c:v>44719</c:v>
                </c:pt>
                <c:pt idx="201">
                  <c:v>44720</c:v>
                </c:pt>
                <c:pt idx="202">
                  <c:v>44721</c:v>
                </c:pt>
                <c:pt idx="203">
                  <c:v>44722</c:v>
                </c:pt>
                <c:pt idx="204">
                  <c:v>44723</c:v>
                </c:pt>
                <c:pt idx="205">
                  <c:v>44724</c:v>
                </c:pt>
                <c:pt idx="206">
                  <c:v>44725</c:v>
                </c:pt>
                <c:pt idx="207">
                  <c:v>44726</c:v>
                </c:pt>
                <c:pt idx="208">
                  <c:v>44727</c:v>
                </c:pt>
                <c:pt idx="209">
                  <c:v>44728</c:v>
                </c:pt>
                <c:pt idx="210">
                  <c:v>44729</c:v>
                </c:pt>
                <c:pt idx="211">
                  <c:v>44730</c:v>
                </c:pt>
                <c:pt idx="212">
                  <c:v>44731</c:v>
                </c:pt>
                <c:pt idx="213">
                  <c:v>44732</c:v>
                </c:pt>
                <c:pt idx="214">
                  <c:v>44733</c:v>
                </c:pt>
                <c:pt idx="215">
                  <c:v>44734</c:v>
                </c:pt>
                <c:pt idx="216">
                  <c:v>44735</c:v>
                </c:pt>
                <c:pt idx="217">
                  <c:v>44736</c:v>
                </c:pt>
                <c:pt idx="218">
                  <c:v>44737</c:v>
                </c:pt>
                <c:pt idx="219">
                  <c:v>44738</c:v>
                </c:pt>
                <c:pt idx="220">
                  <c:v>44739</c:v>
                </c:pt>
                <c:pt idx="221">
                  <c:v>44740</c:v>
                </c:pt>
                <c:pt idx="222">
                  <c:v>44741</c:v>
                </c:pt>
                <c:pt idx="223">
                  <c:v>44742</c:v>
                </c:pt>
                <c:pt idx="224">
                  <c:v>44743</c:v>
                </c:pt>
                <c:pt idx="225">
                  <c:v>44744</c:v>
                </c:pt>
                <c:pt idx="226">
                  <c:v>44745</c:v>
                </c:pt>
                <c:pt idx="227">
                  <c:v>44746</c:v>
                </c:pt>
                <c:pt idx="228">
                  <c:v>44747</c:v>
                </c:pt>
                <c:pt idx="229">
                  <c:v>44748</c:v>
                </c:pt>
                <c:pt idx="230">
                  <c:v>44749</c:v>
                </c:pt>
                <c:pt idx="231">
                  <c:v>44750</c:v>
                </c:pt>
                <c:pt idx="232">
                  <c:v>44751</c:v>
                </c:pt>
                <c:pt idx="233">
                  <c:v>44752</c:v>
                </c:pt>
                <c:pt idx="234">
                  <c:v>44753</c:v>
                </c:pt>
                <c:pt idx="235">
                  <c:v>44754</c:v>
                </c:pt>
                <c:pt idx="236">
                  <c:v>44755</c:v>
                </c:pt>
                <c:pt idx="237">
                  <c:v>44756</c:v>
                </c:pt>
                <c:pt idx="238">
                  <c:v>44757</c:v>
                </c:pt>
                <c:pt idx="239">
                  <c:v>44758</c:v>
                </c:pt>
                <c:pt idx="240">
                  <c:v>44759</c:v>
                </c:pt>
                <c:pt idx="241">
                  <c:v>44760</c:v>
                </c:pt>
                <c:pt idx="242">
                  <c:v>44761</c:v>
                </c:pt>
                <c:pt idx="243">
                  <c:v>44762</c:v>
                </c:pt>
                <c:pt idx="244">
                  <c:v>44763</c:v>
                </c:pt>
                <c:pt idx="245">
                  <c:v>44764</c:v>
                </c:pt>
                <c:pt idx="246">
                  <c:v>44765</c:v>
                </c:pt>
                <c:pt idx="247">
                  <c:v>44766</c:v>
                </c:pt>
                <c:pt idx="248">
                  <c:v>44767</c:v>
                </c:pt>
                <c:pt idx="249">
                  <c:v>44768</c:v>
                </c:pt>
                <c:pt idx="250">
                  <c:v>44769</c:v>
                </c:pt>
                <c:pt idx="251">
                  <c:v>44770</c:v>
                </c:pt>
                <c:pt idx="252">
                  <c:v>44771</c:v>
                </c:pt>
                <c:pt idx="253">
                  <c:v>44772</c:v>
                </c:pt>
                <c:pt idx="254">
                  <c:v>44773</c:v>
                </c:pt>
                <c:pt idx="255">
                  <c:v>44774</c:v>
                </c:pt>
                <c:pt idx="256">
                  <c:v>44775</c:v>
                </c:pt>
                <c:pt idx="257">
                  <c:v>44776</c:v>
                </c:pt>
                <c:pt idx="258">
                  <c:v>44777</c:v>
                </c:pt>
                <c:pt idx="259">
                  <c:v>44778</c:v>
                </c:pt>
                <c:pt idx="260">
                  <c:v>44779</c:v>
                </c:pt>
                <c:pt idx="261">
                  <c:v>44780</c:v>
                </c:pt>
                <c:pt idx="262">
                  <c:v>44781</c:v>
                </c:pt>
                <c:pt idx="263">
                  <c:v>44782</c:v>
                </c:pt>
                <c:pt idx="264">
                  <c:v>44783</c:v>
                </c:pt>
                <c:pt idx="265">
                  <c:v>44784</c:v>
                </c:pt>
                <c:pt idx="266">
                  <c:v>44785</c:v>
                </c:pt>
                <c:pt idx="267">
                  <c:v>44786</c:v>
                </c:pt>
                <c:pt idx="268">
                  <c:v>44787</c:v>
                </c:pt>
                <c:pt idx="269">
                  <c:v>44788</c:v>
                </c:pt>
                <c:pt idx="270">
                  <c:v>44789</c:v>
                </c:pt>
                <c:pt idx="271">
                  <c:v>44790</c:v>
                </c:pt>
                <c:pt idx="272">
                  <c:v>44791</c:v>
                </c:pt>
                <c:pt idx="273">
                  <c:v>44792</c:v>
                </c:pt>
                <c:pt idx="274">
                  <c:v>44793</c:v>
                </c:pt>
                <c:pt idx="275">
                  <c:v>44794</c:v>
                </c:pt>
                <c:pt idx="276">
                  <c:v>44795</c:v>
                </c:pt>
                <c:pt idx="277">
                  <c:v>44796</c:v>
                </c:pt>
                <c:pt idx="278">
                  <c:v>44797</c:v>
                </c:pt>
                <c:pt idx="279">
                  <c:v>44798</c:v>
                </c:pt>
                <c:pt idx="280">
                  <c:v>44799</c:v>
                </c:pt>
                <c:pt idx="281">
                  <c:v>44800</c:v>
                </c:pt>
                <c:pt idx="282">
                  <c:v>44801</c:v>
                </c:pt>
                <c:pt idx="283">
                  <c:v>44802</c:v>
                </c:pt>
                <c:pt idx="284">
                  <c:v>44803</c:v>
                </c:pt>
                <c:pt idx="285">
                  <c:v>44804</c:v>
                </c:pt>
                <c:pt idx="286">
                  <c:v>44805</c:v>
                </c:pt>
                <c:pt idx="287">
                  <c:v>44806</c:v>
                </c:pt>
                <c:pt idx="288">
                  <c:v>44807</c:v>
                </c:pt>
                <c:pt idx="289">
                  <c:v>44808</c:v>
                </c:pt>
                <c:pt idx="290">
                  <c:v>44809</c:v>
                </c:pt>
                <c:pt idx="291">
                  <c:v>44810</c:v>
                </c:pt>
                <c:pt idx="292">
                  <c:v>44811</c:v>
                </c:pt>
                <c:pt idx="293">
                  <c:v>44812</c:v>
                </c:pt>
                <c:pt idx="294">
                  <c:v>44813</c:v>
                </c:pt>
                <c:pt idx="295">
                  <c:v>44814</c:v>
                </c:pt>
                <c:pt idx="296">
                  <c:v>44815</c:v>
                </c:pt>
                <c:pt idx="297">
                  <c:v>44816</c:v>
                </c:pt>
                <c:pt idx="298">
                  <c:v>44817</c:v>
                </c:pt>
                <c:pt idx="299">
                  <c:v>44818</c:v>
                </c:pt>
                <c:pt idx="300">
                  <c:v>44819</c:v>
                </c:pt>
                <c:pt idx="301">
                  <c:v>44820</c:v>
                </c:pt>
                <c:pt idx="302">
                  <c:v>44821</c:v>
                </c:pt>
                <c:pt idx="303">
                  <c:v>44822</c:v>
                </c:pt>
                <c:pt idx="304">
                  <c:v>44823</c:v>
                </c:pt>
                <c:pt idx="305">
                  <c:v>44824</c:v>
                </c:pt>
                <c:pt idx="306">
                  <c:v>44825</c:v>
                </c:pt>
                <c:pt idx="307">
                  <c:v>44826</c:v>
                </c:pt>
                <c:pt idx="308">
                  <c:v>44827</c:v>
                </c:pt>
                <c:pt idx="309">
                  <c:v>44828</c:v>
                </c:pt>
                <c:pt idx="310">
                  <c:v>44829</c:v>
                </c:pt>
                <c:pt idx="311">
                  <c:v>44830</c:v>
                </c:pt>
                <c:pt idx="312">
                  <c:v>44831</c:v>
                </c:pt>
                <c:pt idx="313">
                  <c:v>44832</c:v>
                </c:pt>
                <c:pt idx="314">
                  <c:v>44833</c:v>
                </c:pt>
                <c:pt idx="315">
                  <c:v>44834</c:v>
                </c:pt>
                <c:pt idx="316">
                  <c:v>44835</c:v>
                </c:pt>
                <c:pt idx="317">
                  <c:v>44836</c:v>
                </c:pt>
                <c:pt idx="318">
                  <c:v>44837</c:v>
                </c:pt>
                <c:pt idx="319">
                  <c:v>44838</c:v>
                </c:pt>
                <c:pt idx="320">
                  <c:v>44839</c:v>
                </c:pt>
                <c:pt idx="321">
                  <c:v>44840</c:v>
                </c:pt>
                <c:pt idx="322">
                  <c:v>44841</c:v>
                </c:pt>
                <c:pt idx="323">
                  <c:v>44842</c:v>
                </c:pt>
                <c:pt idx="324">
                  <c:v>44843</c:v>
                </c:pt>
                <c:pt idx="325">
                  <c:v>44844</c:v>
                </c:pt>
                <c:pt idx="326">
                  <c:v>44845</c:v>
                </c:pt>
                <c:pt idx="327">
                  <c:v>44846</c:v>
                </c:pt>
                <c:pt idx="328">
                  <c:v>44847</c:v>
                </c:pt>
                <c:pt idx="329">
                  <c:v>44848</c:v>
                </c:pt>
                <c:pt idx="330">
                  <c:v>44849</c:v>
                </c:pt>
                <c:pt idx="331">
                  <c:v>44850</c:v>
                </c:pt>
                <c:pt idx="332">
                  <c:v>44851</c:v>
                </c:pt>
                <c:pt idx="333">
                  <c:v>44852</c:v>
                </c:pt>
                <c:pt idx="334">
                  <c:v>44853</c:v>
                </c:pt>
                <c:pt idx="335">
                  <c:v>44854</c:v>
                </c:pt>
                <c:pt idx="336">
                  <c:v>44855</c:v>
                </c:pt>
                <c:pt idx="337">
                  <c:v>44856</c:v>
                </c:pt>
                <c:pt idx="338">
                  <c:v>44857</c:v>
                </c:pt>
                <c:pt idx="339">
                  <c:v>44858</c:v>
                </c:pt>
                <c:pt idx="340">
                  <c:v>44859</c:v>
                </c:pt>
                <c:pt idx="341">
                  <c:v>44860</c:v>
                </c:pt>
                <c:pt idx="342">
                  <c:v>44861</c:v>
                </c:pt>
                <c:pt idx="343">
                  <c:v>44862</c:v>
                </c:pt>
                <c:pt idx="344">
                  <c:v>44863</c:v>
                </c:pt>
                <c:pt idx="345">
                  <c:v>44864</c:v>
                </c:pt>
                <c:pt idx="346">
                  <c:v>44865</c:v>
                </c:pt>
                <c:pt idx="347">
                  <c:v>44866</c:v>
                </c:pt>
                <c:pt idx="348">
                  <c:v>44867</c:v>
                </c:pt>
                <c:pt idx="349">
                  <c:v>44868</c:v>
                </c:pt>
                <c:pt idx="350">
                  <c:v>44869</c:v>
                </c:pt>
                <c:pt idx="351">
                  <c:v>44870</c:v>
                </c:pt>
                <c:pt idx="352">
                  <c:v>44871</c:v>
                </c:pt>
                <c:pt idx="353">
                  <c:v>44872</c:v>
                </c:pt>
                <c:pt idx="354">
                  <c:v>44873</c:v>
                </c:pt>
                <c:pt idx="355">
                  <c:v>44874</c:v>
                </c:pt>
                <c:pt idx="356">
                  <c:v>44875</c:v>
                </c:pt>
                <c:pt idx="357">
                  <c:v>44876</c:v>
                </c:pt>
                <c:pt idx="358">
                  <c:v>44877</c:v>
                </c:pt>
                <c:pt idx="359">
                  <c:v>44878</c:v>
                </c:pt>
                <c:pt idx="360">
                  <c:v>44879</c:v>
                </c:pt>
                <c:pt idx="361">
                  <c:v>44880</c:v>
                </c:pt>
                <c:pt idx="362">
                  <c:v>44881</c:v>
                </c:pt>
                <c:pt idx="363">
                  <c:v>44882</c:v>
                </c:pt>
                <c:pt idx="364">
                  <c:v>44883</c:v>
                </c:pt>
                <c:pt idx="365">
                  <c:v>44884</c:v>
                </c:pt>
                <c:pt idx="366">
                  <c:v>44885</c:v>
                </c:pt>
                <c:pt idx="367">
                  <c:v>44886</c:v>
                </c:pt>
                <c:pt idx="368">
                  <c:v>44887</c:v>
                </c:pt>
                <c:pt idx="369">
                  <c:v>44888</c:v>
                </c:pt>
                <c:pt idx="370">
                  <c:v>44889</c:v>
                </c:pt>
                <c:pt idx="371">
                  <c:v>44890</c:v>
                </c:pt>
                <c:pt idx="372">
                  <c:v>44891</c:v>
                </c:pt>
                <c:pt idx="373">
                  <c:v>44892</c:v>
                </c:pt>
                <c:pt idx="374">
                  <c:v>44893</c:v>
                </c:pt>
                <c:pt idx="375">
                  <c:v>44894</c:v>
                </c:pt>
                <c:pt idx="376">
                  <c:v>44895</c:v>
                </c:pt>
                <c:pt idx="377">
                  <c:v>44896</c:v>
                </c:pt>
              </c:numCache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34.976763746716621</c:v>
                </c:pt>
                <c:pt idx="1">
                  <c:v>39.438475309200165</c:v>
                </c:pt>
                <c:pt idx="2">
                  <c:v>43.311097429396767</c:v>
                </c:pt>
                <c:pt idx="3">
                  <c:v>46.75309907000765</c:v>
                </c:pt>
                <c:pt idx="4">
                  <c:v>49.771422775169754</c:v>
                </c:pt>
                <c:pt idx="5">
                  <c:v>52.343045578459332</c:v>
                </c:pt>
                <c:pt idx="6">
                  <c:v>54.668962924810167</c:v>
                </c:pt>
                <c:pt idx="7">
                  <c:v>56.679603406318542</c:v>
                </c:pt>
                <c:pt idx="8">
                  <c:v>58.404522646020901</c:v>
                </c:pt>
                <c:pt idx="9">
                  <c:v>59.944736721201714</c:v>
                </c:pt>
                <c:pt idx="10">
                  <c:v>61.314880590029034</c:v>
                </c:pt>
                <c:pt idx="11">
                  <c:v>62.558070459195172</c:v>
                </c:pt>
                <c:pt idx="12">
                  <c:v>63.675773142252304</c:v>
                </c:pt>
                <c:pt idx="13">
                  <c:v>64.740874033170996</c:v>
                </c:pt>
                <c:pt idx="14">
                  <c:v>65.710849977996546</c:v>
                </c:pt>
                <c:pt idx="15">
                  <c:v>66.629639488159683</c:v>
                </c:pt>
                <c:pt idx="16">
                  <c:v>67.478552935250406</c:v>
                </c:pt>
                <c:pt idx="17">
                  <c:v>68.269375993677286</c:v>
                </c:pt>
                <c:pt idx="18">
                  <c:v>68.98444843287858</c:v>
                </c:pt>
                <c:pt idx="19">
                  <c:v>69.648477025045793</c:v>
                </c:pt>
                <c:pt idx="20">
                  <c:v>70.28702685093991</c:v>
                </c:pt>
                <c:pt idx="21">
                  <c:v>70.891154122815593</c:v>
                </c:pt>
                <c:pt idx="22">
                  <c:v>71.481024909618725</c:v>
                </c:pt>
                <c:pt idx="23">
                  <c:v>72.063657570808715</c:v>
                </c:pt>
                <c:pt idx="24">
                  <c:v>72.610510421652862</c:v>
                </c:pt>
                <c:pt idx="25">
                  <c:v>73.146572562748389</c:v>
                </c:pt>
                <c:pt idx="26">
                  <c:v>73.660785119865793</c:v>
                </c:pt>
                <c:pt idx="27">
                  <c:v>74.182076154975789</c:v>
                </c:pt>
                <c:pt idx="28">
                  <c:v>74.705371844918943</c:v>
                </c:pt>
                <c:pt idx="29">
                  <c:v>75.216870141114981</c:v>
                </c:pt>
                <c:pt idx="30">
                  <c:v>75.734405379275785</c:v>
                </c:pt>
                <c:pt idx="31">
                  <c:v>76.245978131383609</c:v>
                </c:pt>
                <c:pt idx="32">
                  <c:v>76.756042828196613</c:v>
                </c:pt>
                <c:pt idx="33">
                  <c:v>77.259510751825303</c:v>
                </c:pt>
                <c:pt idx="34">
                  <c:v>77.739899403881381</c:v>
                </c:pt>
                <c:pt idx="35">
                  <c:v>78.223431312974938</c:v>
                </c:pt>
                <c:pt idx="36">
                  <c:v>78.721964063856333</c:v>
                </c:pt>
                <c:pt idx="37">
                  <c:v>79.195557300052144</c:v>
                </c:pt>
                <c:pt idx="38">
                  <c:v>79.663021791875536</c:v>
                </c:pt>
                <c:pt idx="39">
                  <c:v>80.145067336176098</c:v>
                </c:pt>
                <c:pt idx="40">
                  <c:v>80.636838785271692</c:v>
                </c:pt>
                <c:pt idx="41">
                  <c:v>81.12772192490678</c:v>
                </c:pt>
                <c:pt idx="42">
                  <c:v>81.636592445993216</c:v>
                </c:pt>
                <c:pt idx="43">
                  <c:v>82.133611237917307</c:v>
                </c:pt>
                <c:pt idx="44">
                  <c:v>82.6314015329461</c:v>
                </c:pt>
                <c:pt idx="45">
                  <c:v>83.109714323420718</c:v>
                </c:pt>
                <c:pt idx="46">
                  <c:v>83.584639408083433</c:v>
                </c:pt>
                <c:pt idx="47">
                  <c:v>84.035119201123052</c:v>
                </c:pt>
                <c:pt idx="48">
                  <c:v>84.480645341630577</c:v>
                </c:pt>
                <c:pt idx="49">
                  <c:v>84.933509585656111</c:v>
                </c:pt>
                <c:pt idx="50">
                  <c:v>85.392547134912121</c:v>
                </c:pt>
                <c:pt idx="51">
                  <c:v>85.859180297644542</c:v>
                </c:pt>
                <c:pt idx="52">
                  <c:v>86.310510261981193</c:v>
                </c:pt>
                <c:pt idx="53">
                  <c:v>86.744086424893197</c:v>
                </c:pt>
                <c:pt idx="54">
                  <c:v>87.172941678757638</c:v>
                </c:pt>
                <c:pt idx="55">
                  <c:v>87.610801455922157</c:v>
                </c:pt>
                <c:pt idx="56">
                  <c:v>88.051691610866186</c:v>
                </c:pt>
                <c:pt idx="57">
                  <c:v>88.483302383145997</c:v>
                </c:pt>
                <c:pt idx="58">
                  <c:v>88.914680353353432</c:v>
                </c:pt>
                <c:pt idx="59">
                  <c:v>89.339782976737283</c:v>
                </c:pt>
                <c:pt idx="60">
                  <c:v>89.7628604326691</c:v>
                </c:pt>
                <c:pt idx="61">
                  <c:v>90.19153097553108</c:v>
                </c:pt>
                <c:pt idx="62">
                  <c:v>90.610313467844321</c:v>
                </c:pt>
                <c:pt idx="63">
                  <c:v>91.064034701213075</c:v>
                </c:pt>
                <c:pt idx="64">
                  <c:v>91.526170497759466</c:v>
                </c:pt>
                <c:pt idx="65">
                  <c:v>91.985989960213232</c:v>
                </c:pt>
                <c:pt idx="66">
                  <c:v>92.450070856251216</c:v>
                </c:pt>
                <c:pt idx="67">
                  <c:v>92.924848489183148</c:v>
                </c:pt>
                <c:pt idx="68">
                  <c:v>93.394213845600348</c:v>
                </c:pt>
                <c:pt idx="69">
                  <c:v>93.849860443310746</c:v>
                </c:pt>
                <c:pt idx="70">
                  <c:v>94.303767986274096</c:v>
                </c:pt>
                <c:pt idx="71">
                  <c:v>94.760158783960378</c:v>
                </c:pt>
                <c:pt idx="72">
                  <c:v>95.225489447769704</c:v>
                </c:pt>
                <c:pt idx="73">
                  <c:v>95.68914662972378</c:v>
                </c:pt>
                <c:pt idx="74">
                  <c:v>96.146531469278301</c:v>
                </c:pt>
                <c:pt idx="75">
                  <c:v>96.60228789415379</c:v>
                </c:pt>
                <c:pt idx="76">
                  <c:v>97.042222256846856</c:v>
                </c:pt>
                <c:pt idx="77">
                  <c:v>97.474491615866398</c:v>
                </c:pt>
                <c:pt idx="78">
                  <c:v>97.920068762462122</c:v>
                </c:pt>
                <c:pt idx="79">
                  <c:v>98.349273292466151</c:v>
                </c:pt>
                <c:pt idx="80">
                  <c:v>98.772756348390686</c:v>
                </c:pt>
                <c:pt idx="81">
                  <c:v>99.193834075508008</c:v>
                </c:pt>
                <c:pt idx="82">
                  <c:v>99.612191916946827</c:v>
                </c:pt>
                <c:pt idx="83">
                  <c:v>100.03831925147202</c:v>
                </c:pt>
                <c:pt idx="84">
                  <c:v>100.47112841411946</c:v>
                </c:pt>
                <c:pt idx="85">
                  <c:v>100.90363411594562</c:v>
                </c:pt>
                <c:pt idx="86">
                  <c:v>101.32142708641921</c:v>
                </c:pt>
                <c:pt idx="87">
                  <c:v>101.73769673113908</c:v>
                </c:pt>
                <c:pt idx="88">
                  <c:v>102.14889435970569</c:v>
                </c:pt>
                <c:pt idx="89">
                  <c:v>102.5553444904353</c:v>
                </c:pt>
                <c:pt idx="90">
                  <c:v>102.97331479283257</c:v>
                </c:pt>
                <c:pt idx="91">
                  <c:v>103.39108403231275</c:v>
                </c:pt>
                <c:pt idx="92">
                  <c:v>103.80595336623837</c:v>
                </c:pt>
                <c:pt idx="93">
                  <c:v>104.23164532954186</c:v>
                </c:pt>
                <c:pt idx="94">
                  <c:v>104.65902670083797</c:v>
                </c:pt>
                <c:pt idx="95">
                  <c:v>105.07695450959748</c:v>
                </c:pt>
                <c:pt idx="96">
                  <c:v>105.49876780280881</c:v>
                </c:pt>
                <c:pt idx="97">
                  <c:v>105.90458770780855</c:v>
                </c:pt>
                <c:pt idx="98">
                  <c:v>106.29091050378668</c:v>
                </c:pt>
                <c:pt idx="99">
                  <c:v>106.67883268587426</c:v>
                </c:pt>
                <c:pt idx="100">
                  <c:v>107.06685154715956</c:v>
                </c:pt>
                <c:pt idx="101">
                  <c:v>107.45357406975565</c:v>
                </c:pt>
                <c:pt idx="102">
                  <c:v>107.85073537842305</c:v>
                </c:pt>
                <c:pt idx="103">
                  <c:v>108.26014969319901</c:v>
                </c:pt>
                <c:pt idx="104">
                  <c:v>108.67736577115451</c:v>
                </c:pt>
                <c:pt idx="105">
                  <c:v>109.08634296009016</c:v>
                </c:pt>
                <c:pt idx="106">
                  <c:v>109.49366233342658</c:v>
                </c:pt>
                <c:pt idx="107">
                  <c:v>109.91286958879748</c:v>
                </c:pt>
                <c:pt idx="108">
                  <c:v>110.31730527096423</c:v>
                </c:pt>
                <c:pt idx="109">
                  <c:v>110.7259769596201</c:v>
                </c:pt>
                <c:pt idx="110">
                  <c:v>111.14653018215148</c:v>
                </c:pt>
                <c:pt idx="111">
                  <c:v>111.55472670735929</c:v>
                </c:pt>
                <c:pt idx="112">
                  <c:v>111.97950821851482</c:v>
                </c:pt>
                <c:pt idx="113">
                  <c:v>112.41310946333385</c:v>
                </c:pt>
                <c:pt idx="114">
                  <c:v>112.83188941562682</c:v>
                </c:pt>
                <c:pt idx="115">
                  <c:v>113.24868230441827</c:v>
                </c:pt>
                <c:pt idx="116">
                  <c:v>113.66511457407394</c:v>
                </c:pt>
                <c:pt idx="117">
                  <c:v>114.08980928467112</c:v>
                </c:pt>
                <c:pt idx="118">
                  <c:v>114.51488977727303</c:v>
                </c:pt>
                <c:pt idx="119">
                  <c:v>114.93504244721588</c:v>
                </c:pt>
                <c:pt idx="120">
                  <c:v>115.33728366485269</c:v>
                </c:pt>
                <c:pt idx="121">
                  <c:v>115.74738769971034</c:v>
                </c:pt>
                <c:pt idx="122">
                  <c:v>116.15935084164464</c:v>
                </c:pt>
                <c:pt idx="123">
                  <c:v>116.57055981457657</c:v>
                </c:pt>
                <c:pt idx="124">
                  <c:v>116.97485875319474</c:v>
                </c:pt>
                <c:pt idx="125">
                  <c:v>117.37516567311854</c:v>
                </c:pt>
                <c:pt idx="126">
                  <c:v>117.77448879900551</c:v>
                </c:pt>
                <c:pt idx="127">
                  <c:v>118.18198863833923</c:v>
                </c:pt>
                <c:pt idx="128">
                  <c:v>118.58854260660618</c:v>
                </c:pt>
                <c:pt idx="129">
                  <c:v>118.99571105283287</c:v>
                </c:pt>
                <c:pt idx="130">
                  <c:v>119.41318778614007</c:v>
                </c:pt>
                <c:pt idx="131">
                  <c:v>119.81938621783704</c:v>
                </c:pt>
                <c:pt idx="132">
                  <c:v>120.22336807295707</c:v>
                </c:pt>
                <c:pt idx="133">
                  <c:v>120.61712053635961</c:v>
                </c:pt>
                <c:pt idx="134">
                  <c:v>121.01475317369966</c:v>
                </c:pt>
                <c:pt idx="135">
                  <c:v>121.42074431461023</c:v>
                </c:pt>
                <c:pt idx="136">
                  <c:v>121.81081471251159</c:v>
                </c:pt>
                <c:pt idx="137">
                  <c:v>122.19874771897796</c:v>
                </c:pt>
                <c:pt idx="138">
                  <c:v>122.59167049390361</c:v>
                </c:pt>
                <c:pt idx="139">
                  <c:v>122.98467644621509</c:v>
                </c:pt>
                <c:pt idx="140">
                  <c:v>123.37505713852646</c:v>
                </c:pt>
                <c:pt idx="141">
                  <c:v>123.76857374179072</c:v>
                </c:pt>
                <c:pt idx="142">
                  <c:v>124.16317513913798</c:v>
                </c:pt>
                <c:pt idx="143">
                  <c:v>124.55258102833315</c:v>
                </c:pt>
                <c:pt idx="144">
                  <c:v>124.95293727341202</c:v>
                </c:pt>
                <c:pt idx="145">
                  <c:v>125.36370487106666</c:v>
                </c:pt>
                <c:pt idx="146">
                  <c:v>125.77131164946736</c:v>
                </c:pt>
                <c:pt idx="147">
                  <c:v>126.17697399987735</c:v>
                </c:pt>
                <c:pt idx="148">
                  <c:v>126.60806466231024</c:v>
                </c:pt>
                <c:pt idx="149">
                  <c:v>127.0348679110582</c:v>
                </c:pt>
                <c:pt idx="150">
                  <c:v>127.46692260604564</c:v>
                </c:pt>
                <c:pt idx="151">
                  <c:v>127.89321719706508</c:v>
                </c:pt>
                <c:pt idx="152">
                  <c:v>128.32605264512188</c:v>
                </c:pt>
                <c:pt idx="153">
                  <c:v>128.763137702297</c:v>
                </c:pt>
                <c:pt idx="154">
                  <c:v>129.18149913146718</c:v>
                </c:pt>
                <c:pt idx="155">
                  <c:v>129.60663332326206</c:v>
                </c:pt>
                <c:pt idx="156">
                  <c:v>130.0358152902931</c:v>
                </c:pt>
                <c:pt idx="157">
                  <c:v>130.49722539964321</c:v>
                </c:pt>
                <c:pt idx="158">
                  <c:v>130.97325096054988</c:v>
                </c:pt>
                <c:pt idx="159">
                  <c:v>131.46935230543477</c:v>
                </c:pt>
                <c:pt idx="160">
                  <c:v>131.97962544242588</c:v>
                </c:pt>
                <c:pt idx="161">
                  <c:v>132.45310301883865</c:v>
                </c:pt>
                <c:pt idx="162">
                  <c:v>132.91090778571052</c:v>
                </c:pt>
                <c:pt idx="163">
                  <c:v>133.37125770927022</c:v>
                </c:pt>
                <c:pt idx="164">
                  <c:v>133.82766407511076</c:v>
                </c:pt>
                <c:pt idx="165">
                  <c:v>134.27982449857257</c:v>
                </c:pt>
                <c:pt idx="166">
                  <c:v>134.72146149781892</c:v>
                </c:pt>
                <c:pt idx="167">
                  <c:v>135.16634494543257</c:v>
                </c:pt>
                <c:pt idx="168">
                  <c:v>135.61746729205618</c:v>
                </c:pt>
                <c:pt idx="169">
                  <c:v>136.05641679045294</c:v>
                </c:pt>
                <c:pt idx="170">
                  <c:v>136.48549769530578</c:v>
                </c:pt>
                <c:pt idx="171">
                  <c:v>136.89923900922963</c:v>
                </c:pt>
                <c:pt idx="172">
                  <c:v>137.31775926229602</c:v>
                </c:pt>
                <c:pt idx="173">
                  <c:v>137.74684016714744</c:v>
                </c:pt>
                <c:pt idx="174">
                  <c:v>138.18798778336827</c:v>
                </c:pt>
                <c:pt idx="175">
                  <c:v>138.62614516767235</c:v>
                </c:pt>
                <c:pt idx="176">
                  <c:v>139.05197506083101</c:v>
                </c:pt>
                <c:pt idx="177">
                  <c:v>139.47477165757897</c:v>
                </c:pt>
                <c:pt idx="178">
                  <c:v>139.89798543671114</c:v>
                </c:pt>
                <c:pt idx="179">
                  <c:v>140.30651477051165</c:v>
                </c:pt>
                <c:pt idx="180">
                  <c:v>140.70998861372939</c:v>
                </c:pt>
                <c:pt idx="181">
                  <c:v>141.13111900992814</c:v>
                </c:pt>
                <c:pt idx="182">
                  <c:v>141.5504686799955</c:v>
                </c:pt>
                <c:pt idx="183">
                  <c:v>141.98033160556594</c:v>
                </c:pt>
                <c:pt idx="184">
                  <c:v>142.39090573210802</c:v>
                </c:pt>
                <c:pt idx="185">
                  <c:v>142.79281853441026</c:v>
                </c:pt>
                <c:pt idx="186">
                  <c:v>143.19213791480627</c:v>
                </c:pt>
                <c:pt idx="187">
                  <c:v>143.60147272881972</c:v>
                </c:pt>
                <c:pt idx="188">
                  <c:v>144.02545000992711</c:v>
                </c:pt>
                <c:pt idx="189">
                  <c:v>144.4268067538795</c:v>
                </c:pt>
                <c:pt idx="190">
                  <c:v>144.80257370235961</c:v>
                </c:pt>
                <c:pt idx="191">
                  <c:v>145.16580343349568</c:v>
                </c:pt>
                <c:pt idx="192">
                  <c:v>145.53937194021688</c:v>
                </c:pt>
                <c:pt idx="193">
                  <c:v>145.90281860483876</c:v>
                </c:pt>
                <c:pt idx="194">
                  <c:v>146.26729681045515</c:v>
                </c:pt>
                <c:pt idx="195">
                  <c:v>146.62663918105278</c:v>
                </c:pt>
                <c:pt idx="196">
                  <c:v>146.96801666476449</c:v>
                </c:pt>
                <c:pt idx="197">
                  <c:v>147.31317956870726</c:v>
                </c:pt>
                <c:pt idx="198">
                  <c:v>147.66253682065479</c:v>
                </c:pt>
                <c:pt idx="199">
                  <c:v>148.00992911298835</c:v>
                </c:pt>
                <c:pt idx="200">
                  <c:v>148.36098399866239</c:v>
                </c:pt>
                <c:pt idx="201">
                  <c:v>148.72149630406275</c:v>
                </c:pt>
                <c:pt idx="202">
                  <c:v>149.09537759272206</c:v>
                </c:pt>
                <c:pt idx="203">
                  <c:v>149.4697725656506</c:v>
                </c:pt>
                <c:pt idx="204">
                  <c:v>149.84611209421689</c:v>
                </c:pt>
                <c:pt idx="205">
                  <c:v>150.21646661578347</c:v>
                </c:pt>
                <c:pt idx="206">
                  <c:v>150.58022255066123</c:v>
                </c:pt>
                <c:pt idx="207">
                  <c:v>150.92516843662025</c:v>
                </c:pt>
                <c:pt idx="208">
                  <c:v>151.27212501726325</c:v>
                </c:pt>
                <c:pt idx="209">
                  <c:v>151.60078470859025</c:v>
                </c:pt>
                <c:pt idx="210">
                  <c:v>151.93173539207865</c:v>
                </c:pt>
                <c:pt idx="211">
                  <c:v>152.27973863476612</c:v>
                </c:pt>
                <c:pt idx="212">
                  <c:v>152.6162951005669</c:v>
                </c:pt>
                <c:pt idx="213">
                  <c:v>152.9581819886094</c:v>
                </c:pt>
                <c:pt idx="214">
                  <c:v>153.30370802838371</c:v>
                </c:pt>
                <c:pt idx="215">
                  <c:v>153.6381250896477</c:v>
                </c:pt>
                <c:pt idx="216">
                  <c:v>153.96425644695728</c:v>
                </c:pt>
                <c:pt idx="217">
                  <c:v>154.29399804016418</c:v>
                </c:pt>
                <c:pt idx="218">
                  <c:v>154.62919078207506</c:v>
                </c:pt>
                <c:pt idx="219">
                  <c:v>154.9526439757546</c:v>
                </c:pt>
                <c:pt idx="220">
                  <c:v>155.27923178784008</c:v>
                </c:pt>
                <c:pt idx="221">
                  <c:v>155.60183131174347</c:v>
                </c:pt>
                <c:pt idx="222">
                  <c:v>155.92777674547136</c:v>
                </c:pt>
                <c:pt idx="223">
                  <c:v>156.25633342326003</c:v>
                </c:pt>
                <c:pt idx="224">
                  <c:v>156.56618860607227</c:v>
                </c:pt>
                <c:pt idx="225">
                  <c:v>156.86154959558581</c:v>
                </c:pt>
                <c:pt idx="226">
                  <c:v>157.16093069922138</c:v>
                </c:pt>
                <c:pt idx="227">
                  <c:v>157.47465665483944</c:v>
                </c:pt>
                <c:pt idx="228">
                  <c:v>157.72647718767439</c:v>
                </c:pt>
                <c:pt idx="229">
                  <c:v>157.97442268079075</c:v>
                </c:pt>
                <c:pt idx="230">
                  <c:v>158.21810070082626</c:v>
                </c:pt>
                <c:pt idx="231">
                  <c:v>158.45189144363593</c:v>
                </c:pt>
                <c:pt idx="232">
                  <c:v>158.68614146290969</c:v>
                </c:pt>
                <c:pt idx="233">
                  <c:v>158.90329938179826</c:v>
                </c:pt>
                <c:pt idx="234">
                  <c:v>159.11021542315652</c:v>
                </c:pt>
                <c:pt idx="235">
                  <c:v>159.32048724900974</c:v>
                </c:pt>
                <c:pt idx="236">
                  <c:v>159.53132943706191</c:v>
                </c:pt>
                <c:pt idx="237">
                  <c:v>159.73113962946206</c:v>
                </c:pt>
                <c:pt idx="238">
                  <c:v>159.94591305550574</c:v>
                </c:pt>
                <c:pt idx="239">
                  <c:v>160.16895942849425</c:v>
                </c:pt>
                <c:pt idx="240">
                  <c:v>160.38254686095831</c:v>
                </c:pt>
                <c:pt idx="241">
                  <c:v>160.58471800837049</c:v>
                </c:pt>
                <c:pt idx="242">
                  <c:v>160.78039521521498</c:v>
                </c:pt>
                <c:pt idx="243">
                  <c:v>160.98112958676262</c:v>
                </c:pt>
                <c:pt idx="244">
                  <c:v>161.16835327232491</c:v>
                </c:pt>
                <c:pt idx="245">
                  <c:v>161.3618484474872</c:v>
                </c:pt>
                <c:pt idx="246">
                  <c:v>161.54794263158274</c:v>
                </c:pt>
                <c:pt idx="247">
                  <c:v>161.72966426578313</c:v>
                </c:pt>
                <c:pt idx="248">
                  <c:v>161.8968519971578</c:v>
                </c:pt>
                <c:pt idx="249">
                  <c:v>162.05785375805957</c:v>
                </c:pt>
                <c:pt idx="250">
                  <c:v>162.22051744828784</c:v>
                </c:pt>
                <c:pt idx="251">
                  <c:v>162.37910970464799</c:v>
                </c:pt>
                <c:pt idx="252">
                  <c:v>162.53494540213001</c:v>
                </c:pt>
                <c:pt idx="253">
                  <c:v>162.68471084304321</c:v>
                </c:pt>
                <c:pt idx="254">
                  <c:v>162.82957262655907</c:v>
                </c:pt>
                <c:pt idx="255">
                  <c:v>162.968636823559</c:v>
                </c:pt>
                <c:pt idx="256">
                  <c:v>163.10553292895167</c:v>
                </c:pt>
                <c:pt idx="257">
                  <c:v>163.23419393949081</c:v>
                </c:pt>
                <c:pt idx="258">
                  <c:v>163.35427260441094</c:v>
                </c:pt>
                <c:pt idx="259">
                  <c:v>163.46358813331284</c:v>
                </c:pt>
                <c:pt idx="260">
                  <c:v>163.56477630939713</c:v>
                </c:pt>
                <c:pt idx="261">
                  <c:v>163.65941645385902</c:v>
                </c:pt>
                <c:pt idx="262">
                  <c:v>163.7461648293816</c:v>
                </c:pt>
                <c:pt idx="263">
                  <c:v>163.8258347003042</c:v>
                </c:pt>
                <c:pt idx="264">
                  <c:v>163.89545718537209</c:v>
                </c:pt>
                <c:pt idx="265">
                  <c:v>163.95830489549934</c:v>
                </c:pt>
                <c:pt idx="266">
                  <c:v>164.01060153085137</c:v>
                </c:pt>
                <c:pt idx="267">
                  <c:v>164.05514304743605</c:v>
                </c:pt>
                <c:pt idx="268">
                  <c:v>164.08973380005102</c:v>
                </c:pt>
                <c:pt idx="269">
                  <c:v>164.1136668139668</c:v>
                </c:pt>
                <c:pt idx="270">
                  <c:v>164.12891970680323</c:v>
                </c:pt>
                <c:pt idx="271">
                  <c:v>164.13521103264708</c:v>
                </c:pt>
                <c:pt idx="272">
                  <c:v>164.13254315032469</c:v>
                </c:pt>
                <c:pt idx="273">
                  <c:v>164.12060902306911</c:v>
                </c:pt>
                <c:pt idx="274">
                  <c:v>164.09848113909493</c:v>
                </c:pt>
                <c:pt idx="275">
                  <c:v>164.06527111639525</c:v>
                </c:pt>
                <c:pt idx="276">
                  <c:v>164.02058018334259</c:v>
                </c:pt>
                <c:pt idx="277">
                  <c:v>163.96325005468071</c:v>
                </c:pt>
                <c:pt idx="278">
                  <c:v>163.89353273233553</c:v>
                </c:pt>
                <c:pt idx="279">
                  <c:v>163.80997333387302</c:v>
                </c:pt>
                <c:pt idx="280">
                  <c:v>163.71416334572262</c:v>
                </c:pt>
                <c:pt idx="281">
                  <c:v>163.60532463652868</c:v>
                </c:pt>
                <c:pt idx="282">
                  <c:v>163.48657836426889</c:v>
                </c:pt>
                <c:pt idx="283">
                  <c:v>163.35520443447177</c:v>
                </c:pt>
                <c:pt idx="284">
                  <c:v>163.20901081166386</c:v>
                </c:pt>
                <c:pt idx="285">
                  <c:v>163.04836190173569</c:v>
                </c:pt>
                <c:pt idx="286">
                  <c:v>162.87607992393089</c:v>
                </c:pt>
                <c:pt idx="287">
                  <c:v>162.68903968977867</c:v>
                </c:pt>
                <c:pt idx="288">
                  <c:v>162.47778099322278</c:v>
                </c:pt>
                <c:pt idx="289">
                  <c:v>162.24870082376293</c:v>
                </c:pt>
                <c:pt idx="290">
                  <c:v>161.99956063020096</c:v>
                </c:pt>
                <c:pt idx="291">
                  <c:v>161.73439085432966</c:v>
                </c:pt>
                <c:pt idx="292">
                  <c:v>161.45871274101552</c:v>
                </c:pt>
                <c:pt idx="293">
                  <c:v>161.15596141442671</c:v>
                </c:pt>
                <c:pt idx="294">
                  <c:v>160.84469557345261</c:v>
                </c:pt>
                <c:pt idx="295">
                  <c:v>160.51233995415723</c:v>
                </c:pt>
                <c:pt idx="296">
                  <c:v>160.15848048889316</c:v>
                </c:pt>
                <c:pt idx="297">
                  <c:v>159.77508751558639</c:v>
                </c:pt>
                <c:pt idx="298">
                  <c:v>159.38015697905348</c:v>
                </c:pt>
                <c:pt idx="299">
                  <c:v>158.96136823070441</c:v>
                </c:pt>
                <c:pt idx="300">
                  <c:v>158.51311493657897</c:v>
                </c:pt>
                <c:pt idx="301">
                  <c:v>158.03843324936423</c:v>
                </c:pt>
                <c:pt idx="302">
                  <c:v>157.54676237590618</c:v>
                </c:pt>
                <c:pt idx="303">
                  <c:v>157.04354880532463</c:v>
                </c:pt>
                <c:pt idx="304">
                  <c:v>156.52499261914727</c:v>
                </c:pt>
                <c:pt idx="305">
                  <c:v>155.99041550582348</c:v>
                </c:pt>
                <c:pt idx="306">
                  <c:v>155.44175369982037</c:v>
                </c:pt>
                <c:pt idx="307">
                  <c:v>154.86892060340608</c:v>
                </c:pt>
                <c:pt idx="308">
                  <c:v>154.27275937562885</c:v>
                </c:pt>
                <c:pt idx="309">
                  <c:v>153.63837345406773</c:v>
                </c:pt>
                <c:pt idx="310">
                  <c:v>152.99968039919474</c:v>
                </c:pt>
                <c:pt idx="311">
                  <c:v>152.34854013235787</c:v>
                </c:pt>
                <c:pt idx="312">
                  <c:v>151.66209065558058</c:v>
                </c:pt>
                <c:pt idx="313">
                  <c:v>150.94257782054223</c:v>
                </c:pt>
                <c:pt idx="314">
                  <c:v>150.18872062599206</c:v>
                </c:pt>
                <c:pt idx="315">
                  <c:v>149.42390147870555</c:v>
                </c:pt>
                <c:pt idx="316">
                  <c:v>148.65730337102957</c:v>
                </c:pt>
                <c:pt idx="317">
                  <c:v>147.88154008107546</c:v>
                </c:pt>
                <c:pt idx="318">
                  <c:v>147.07580413775275</c:v>
                </c:pt>
                <c:pt idx="319">
                  <c:v>146.28039115076172</c:v>
                </c:pt>
                <c:pt idx="320">
                  <c:v>145.47295742475023</c:v>
                </c:pt>
                <c:pt idx="321">
                  <c:v>144.64891413289553</c:v>
                </c:pt>
                <c:pt idx="322">
                  <c:v>143.83034193909515</c:v>
                </c:pt>
                <c:pt idx="323">
                  <c:v>142.96170386010328</c:v>
                </c:pt>
                <c:pt idx="324">
                  <c:v>142.07397355633717</c:v>
                </c:pt>
                <c:pt idx="325">
                  <c:v>141.22533224344414</c:v>
                </c:pt>
                <c:pt idx="326">
                  <c:v>140.35662552845957</c:v>
                </c:pt>
                <c:pt idx="327">
                  <c:v>139.45468547889303</c:v>
                </c:pt>
                <c:pt idx="328">
                  <c:v>138.55707475379515</c:v>
                </c:pt>
                <c:pt idx="329">
                  <c:v>137.67933043048302</c:v>
                </c:pt>
                <c:pt idx="330">
                  <c:v>136.82148793434885</c:v>
                </c:pt>
                <c:pt idx="331">
                  <c:v>135.96334488361961</c:v>
                </c:pt>
                <c:pt idx="332">
                  <c:v>135.07499754733976</c:v>
                </c:pt>
                <c:pt idx="333">
                  <c:v>134.22170940017415</c:v>
                </c:pt>
                <c:pt idx="334">
                  <c:v>133.39015582522345</c:v>
                </c:pt>
                <c:pt idx="335">
                  <c:v>132.57392094401106</c:v>
                </c:pt>
                <c:pt idx="336">
                  <c:v>131.74027314660958</c:v>
                </c:pt>
                <c:pt idx="337">
                  <c:v>130.90162572254701</c:v>
                </c:pt>
                <c:pt idx="338">
                  <c:v>130.05555161522267</c:v>
                </c:pt>
                <c:pt idx="339">
                  <c:v>129.25590597779498</c:v>
                </c:pt>
                <c:pt idx="340">
                  <c:v>128.44687446403879</c:v>
                </c:pt>
                <c:pt idx="341">
                  <c:v>127.6378352164343</c:v>
                </c:pt>
                <c:pt idx="342">
                  <c:v>126.81133549422987</c:v>
                </c:pt>
                <c:pt idx="343">
                  <c:v>126.03392597551218</c:v>
                </c:pt>
                <c:pt idx="344">
                  <c:v>125.27682332817932</c:v>
                </c:pt>
                <c:pt idx="345">
                  <c:v>124.51868665476643</c:v>
                </c:pt>
                <c:pt idx="346">
                  <c:v>123.78314188581584</c:v>
                </c:pt>
                <c:pt idx="347">
                  <c:v>123.08518373009723</c:v>
                </c:pt>
                <c:pt idx="348">
                  <c:v>122.39608949755633</c:v>
                </c:pt>
                <c:pt idx="349">
                  <c:v>121.73208544564446</c:v>
                </c:pt>
                <c:pt idx="350">
                  <c:v>121.08382708014614</c:v>
                </c:pt>
                <c:pt idx="351">
                  <c:v>120.46114908860915</c:v>
                </c:pt>
                <c:pt idx="352">
                  <c:v>119.88148006449866</c:v>
                </c:pt>
                <c:pt idx="353">
                  <c:v>119.32206142774272</c:v>
                </c:pt>
                <c:pt idx="354">
                  <c:v>118.78205174498622</c:v>
                </c:pt>
                <c:pt idx="355">
                  <c:v>118.27990871056598</c:v>
                </c:pt>
                <c:pt idx="356">
                  <c:v>117.79140603461559</c:v>
                </c:pt>
                <c:pt idx="357">
                  <c:v>117.3199857217413</c:v>
                </c:pt>
                <c:pt idx="358">
                  <c:v>116.87842883828797</c:v>
                </c:pt>
                <c:pt idx="359">
                  <c:v>116.46640607365296</c:v>
                </c:pt>
                <c:pt idx="360">
                  <c:v>116.07982113475828</c:v>
                </c:pt>
                <c:pt idx="361">
                  <c:v>115.70596621326621</c:v>
                </c:pt>
                <c:pt idx="362">
                  <c:v>115.35819404761222</c:v>
                </c:pt>
                <c:pt idx="363">
                  <c:v>115.03677449952801</c:v>
                </c:pt>
                <c:pt idx="364">
                  <c:v>114.7397033348534</c:v>
                </c:pt>
                <c:pt idx="365">
                  <c:v>114.45839029428001</c:v>
                </c:pt>
                <c:pt idx="366">
                  <c:v>114.19149857046672</c:v>
                </c:pt>
                <c:pt idx="367">
                  <c:v>113.94640550575757</c:v>
                </c:pt>
                <c:pt idx="368">
                  <c:v>113.72678077018944</c:v>
                </c:pt>
                <c:pt idx="369">
                  <c:v>113.52735272459135</c:v>
                </c:pt>
                <c:pt idx="370">
                  <c:v>113.34832395923993</c:v>
                </c:pt>
                <c:pt idx="371">
                  <c:v>113.18640575522528</c:v>
                </c:pt>
                <c:pt idx="372">
                  <c:v>113.04197426441235</c:v>
                </c:pt>
                <c:pt idx="373">
                  <c:v>112.9201342535347</c:v>
                </c:pt>
                <c:pt idx="374">
                  <c:v>112.82527324543805</c:v>
                </c:pt>
                <c:pt idx="375">
                  <c:v>112.74764600176408</c:v>
                </c:pt>
                <c:pt idx="376">
                  <c:v>112.68876401654155</c:v>
                </c:pt>
                <c:pt idx="377">
                  <c:v>112.64336169373193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44293</c:v>
                </c:pt>
                <c:pt idx="1">
                  <c:v>44294</c:v>
                </c:pt>
                <c:pt idx="2">
                  <c:v>44295</c:v>
                </c:pt>
                <c:pt idx="3">
                  <c:v>44296</c:v>
                </c:pt>
                <c:pt idx="4">
                  <c:v>44297</c:v>
                </c:pt>
                <c:pt idx="5">
                  <c:v>44298</c:v>
                </c:pt>
                <c:pt idx="6">
                  <c:v>44299</c:v>
                </c:pt>
                <c:pt idx="7">
                  <c:v>44300</c:v>
                </c:pt>
                <c:pt idx="8">
                  <c:v>44301</c:v>
                </c:pt>
                <c:pt idx="9">
                  <c:v>44302</c:v>
                </c:pt>
                <c:pt idx="10">
                  <c:v>44303</c:v>
                </c:pt>
                <c:pt idx="11">
                  <c:v>44304</c:v>
                </c:pt>
                <c:pt idx="12">
                  <c:v>44305</c:v>
                </c:pt>
                <c:pt idx="13">
                  <c:v>44306</c:v>
                </c:pt>
                <c:pt idx="14">
                  <c:v>44307</c:v>
                </c:pt>
                <c:pt idx="15">
                  <c:v>44308</c:v>
                </c:pt>
                <c:pt idx="16">
                  <c:v>44309</c:v>
                </c:pt>
                <c:pt idx="17">
                  <c:v>44310</c:v>
                </c:pt>
                <c:pt idx="18">
                  <c:v>44311</c:v>
                </c:pt>
                <c:pt idx="19">
                  <c:v>44312</c:v>
                </c:pt>
                <c:pt idx="20">
                  <c:v>44313</c:v>
                </c:pt>
                <c:pt idx="21">
                  <c:v>44314</c:v>
                </c:pt>
                <c:pt idx="22">
                  <c:v>44315</c:v>
                </c:pt>
                <c:pt idx="23">
                  <c:v>44316</c:v>
                </c:pt>
                <c:pt idx="24">
                  <c:v>44317</c:v>
                </c:pt>
                <c:pt idx="25">
                  <c:v>44318</c:v>
                </c:pt>
                <c:pt idx="26">
                  <c:v>44319</c:v>
                </c:pt>
                <c:pt idx="27">
                  <c:v>44320</c:v>
                </c:pt>
                <c:pt idx="28">
                  <c:v>44321</c:v>
                </c:pt>
                <c:pt idx="29">
                  <c:v>44322</c:v>
                </c:pt>
                <c:pt idx="30">
                  <c:v>44323</c:v>
                </c:pt>
                <c:pt idx="31">
                  <c:v>44324</c:v>
                </c:pt>
                <c:pt idx="32">
                  <c:v>44325</c:v>
                </c:pt>
                <c:pt idx="33">
                  <c:v>44326</c:v>
                </c:pt>
                <c:pt idx="34">
                  <c:v>44327</c:v>
                </c:pt>
                <c:pt idx="35">
                  <c:v>44328</c:v>
                </c:pt>
                <c:pt idx="36">
                  <c:v>44329</c:v>
                </c:pt>
                <c:pt idx="37">
                  <c:v>44330</c:v>
                </c:pt>
                <c:pt idx="38">
                  <c:v>44331</c:v>
                </c:pt>
                <c:pt idx="39">
                  <c:v>44332</c:v>
                </c:pt>
                <c:pt idx="40">
                  <c:v>44333</c:v>
                </c:pt>
                <c:pt idx="41">
                  <c:v>44334</c:v>
                </c:pt>
                <c:pt idx="42">
                  <c:v>44335</c:v>
                </c:pt>
                <c:pt idx="43">
                  <c:v>44336</c:v>
                </c:pt>
                <c:pt idx="44">
                  <c:v>44337</c:v>
                </c:pt>
                <c:pt idx="45">
                  <c:v>44338</c:v>
                </c:pt>
                <c:pt idx="46">
                  <c:v>44339</c:v>
                </c:pt>
                <c:pt idx="47">
                  <c:v>44340</c:v>
                </c:pt>
                <c:pt idx="48">
                  <c:v>44341</c:v>
                </c:pt>
                <c:pt idx="49">
                  <c:v>44342</c:v>
                </c:pt>
                <c:pt idx="50">
                  <c:v>44343</c:v>
                </c:pt>
                <c:pt idx="51">
                  <c:v>44344</c:v>
                </c:pt>
                <c:pt idx="52">
                  <c:v>44345</c:v>
                </c:pt>
                <c:pt idx="53">
                  <c:v>44346</c:v>
                </c:pt>
                <c:pt idx="54">
                  <c:v>44347</c:v>
                </c:pt>
                <c:pt idx="55">
                  <c:v>44348</c:v>
                </c:pt>
                <c:pt idx="56">
                  <c:v>44349</c:v>
                </c:pt>
                <c:pt idx="57">
                  <c:v>44350</c:v>
                </c:pt>
                <c:pt idx="58">
                  <c:v>44351</c:v>
                </c:pt>
                <c:pt idx="59">
                  <c:v>44352</c:v>
                </c:pt>
                <c:pt idx="60">
                  <c:v>44353</c:v>
                </c:pt>
                <c:pt idx="61">
                  <c:v>44354</c:v>
                </c:pt>
                <c:pt idx="62">
                  <c:v>44355</c:v>
                </c:pt>
                <c:pt idx="63">
                  <c:v>44356</c:v>
                </c:pt>
                <c:pt idx="64">
                  <c:v>44357</c:v>
                </c:pt>
                <c:pt idx="65">
                  <c:v>44358</c:v>
                </c:pt>
                <c:pt idx="66">
                  <c:v>44359</c:v>
                </c:pt>
                <c:pt idx="67">
                  <c:v>44360</c:v>
                </c:pt>
                <c:pt idx="68">
                  <c:v>44361</c:v>
                </c:pt>
                <c:pt idx="69">
                  <c:v>44362</c:v>
                </c:pt>
                <c:pt idx="70">
                  <c:v>44363</c:v>
                </c:pt>
                <c:pt idx="71">
                  <c:v>44364</c:v>
                </c:pt>
                <c:pt idx="72">
                  <c:v>44365</c:v>
                </c:pt>
                <c:pt idx="73">
                  <c:v>44366</c:v>
                </c:pt>
                <c:pt idx="74">
                  <c:v>44367</c:v>
                </c:pt>
                <c:pt idx="75">
                  <c:v>44368</c:v>
                </c:pt>
                <c:pt idx="76">
                  <c:v>44369</c:v>
                </c:pt>
                <c:pt idx="77">
                  <c:v>44370</c:v>
                </c:pt>
                <c:pt idx="78">
                  <c:v>44371</c:v>
                </c:pt>
                <c:pt idx="79">
                  <c:v>44372</c:v>
                </c:pt>
                <c:pt idx="80">
                  <c:v>44373</c:v>
                </c:pt>
                <c:pt idx="81">
                  <c:v>44374</c:v>
                </c:pt>
                <c:pt idx="82">
                  <c:v>44375</c:v>
                </c:pt>
                <c:pt idx="83">
                  <c:v>44376</c:v>
                </c:pt>
                <c:pt idx="84">
                  <c:v>44377</c:v>
                </c:pt>
                <c:pt idx="85">
                  <c:v>44378</c:v>
                </c:pt>
                <c:pt idx="86">
                  <c:v>44379</c:v>
                </c:pt>
                <c:pt idx="87">
                  <c:v>44380</c:v>
                </c:pt>
                <c:pt idx="88">
                  <c:v>44381</c:v>
                </c:pt>
                <c:pt idx="89">
                  <c:v>44382</c:v>
                </c:pt>
                <c:pt idx="90">
                  <c:v>44383</c:v>
                </c:pt>
                <c:pt idx="91">
                  <c:v>44384</c:v>
                </c:pt>
                <c:pt idx="92">
                  <c:v>44385</c:v>
                </c:pt>
                <c:pt idx="93">
                  <c:v>44386</c:v>
                </c:pt>
                <c:pt idx="94">
                  <c:v>44387</c:v>
                </c:pt>
                <c:pt idx="95">
                  <c:v>44388</c:v>
                </c:pt>
                <c:pt idx="96">
                  <c:v>44389</c:v>
                </c:pt>
                <c:pt idx="97">
                  <c:v>44390</c:v>
                </c:pt>
                <c:pt idx="98">
                  <c:v>44391</c:v>
                </c:pt>
                <c:pt idx="99">
                  <c:v>44392</c:v>
                </c:pt>
                <c:pt idx="100">
                  <c:v>44393</c:v>
                </c:pt>
                <c:pt idx="101">
                  <c:v>44394</c:v>
                </c:pt>
                <c:pt idx="102">
                  <c:v>44395</c:v>
                </c:pt>
                <c:pt idx="103">
                  <c:v>44396</c:v>
                </c:pt>
                <c:pt idx="104">
                  <c:v>44397</c:v>
                </c:pt>
                <c:pt idx="105">
                  <c:v>44398</c:v>
                </c:pt>
                <c:pt idx="106">
                  <c:v>44399</c:v>
                </c:pt>
                <c:pt idx="107">
                  <c:v>44400</c:v>
                </c:pt>
                <c:pt idx="108">
                  <c:v>44401</c:v>
                </c:pt>
                <c:pt idx="109">
                  <c:v>44402</c:v>
                </c:pt>
                <c:pt idx="110">
                  <c:v>44403</c:v>
                </c:pt>
                <c:pt idx="111">
                  <c:v>44404</c:v>
                </c:pt>
                <c:pt idx="112">
                  <c:v>44405</c:v>
                </c:pt>
                <c:pt idx="113">
                  <c:v>44406</c:v>
                </c:pt>
                <c:pt idx="114">
                  <c:v>44407</c:v>
                </c:pt>
                <c:pt idx="115">
                  <c:v>44408</c:v>
                </c:pt>
                <c:pt idx="116">
                  <c:v>44409</c:v>
                </c:pt>
                <c:pt idx="117">
                  <c:v>44410</c:v>
                </c:pt>
                <c:pt idx="118">
                  <c:v>44411</c:v>
                </c:pt>
                <c:pt idx="119">
                  <c:v>44412</c:v>
                </c:pt>
                <c:pt idx="120">
                  <c:v>44413</c:v>
                </c:pt>
                <c:pt idx="121">
                  <c:v>44414</c:v>
                </c:pt>
                <c:pt idx="122">
                  <c:v>44415</c:v>
                </c:pt>
                <c:pt idx="123">
                  <c:v>44416</c:v>
                </c:pt>
                <c:pt idx="124">
                  <c:v>44417</c:v>
                </c:pt>
                <c:pt idx="125">
                  <c:v>44418</c:v>
                </c:pt>
                <c:pt idx="126">
                  <c:v>44419</c:v>
                </c:pt>
                <c:pt idx="127">
                  <c:v>44420</c:v>
                </c:pt>
                <c:pt idx="128">
                  <c:v>44421</c:v>
                </c:pt>
                <c:pt idx="129">
                  <c:v>44422</c:v>
                </c:pt>
                <c:pt idx="130">
                  <c:v>44423</c:v>
                </c:pt>
                <c:pt idx="131">
                  <c:v>44424</c:v>
                </c:pt>
                <c:pt idx="132">
                  <c:v>44425</c:v>
                </c:pt>
                <c:pt idx="133">
                  <c:v>44426</c:v>
                </c:pt>
                <c:pt idx="134">
                  <c:v>44427</c:v>
                </c:pt>
                <c:pt idx="135">
                  <c:v>44428</c:v>
                </c:pt>
                <c:pt idx="136">
                  <c:v>44429</c:v>
                </c:pt>
                <c:pt idx="137">
                  <c:v>44430</c:v>
                </c:pt>
                <c:pt idx="138">
                  <c:v>44431</c:v>
                </c:pt>
                <c:pt idx="139">
                  <c:v>44432</c:v>
                </c:pt>
                <c:pt idx="140">
                  <c:v>44433</c:v>
                </c:pt>
                <c:pt idx="141">
                  <c:v>44434</c:v>
                </c:pt>
                <c:pt idx="142">
                  <c:v>44435</c:v>
                </c:pt>
                <c:pt idx="143">
                  <c:v>44436</c:v>
                </c:pt>
                <c:pt idx="144">
                  <c:v>44437</c:v>
                </c:pt>
                <c:pt idx="145">
                  <c:v>44438</c:v>
                </c:pt>
                <c:pt idx="146">
                  <c:v>44439</c:v>
                </c:pt>
                <c:pt idx="147">
                  <c:v>44440</c:v>
                </c:pt>
                <c:pt idx="148">
                  <c:v>44441</c:v>
                </c:pt>
                <c:pt idx="149">
                  <c:v>44442</c:v>
                </c:pt>
                <c:pt idx="150">
                  <c:v>44443</c:v>
                </c:pt>
                <c:pt idx="151">
                  <c:v>44444</c:v>
                </c:pt>
                <c:pt idx="152">
                  <c:v>44445</c:v>
                </c:pt>
                <c:pt idx="153">
                  <c:v>44446</c:v>
                </c:pt>
                <c:pt idx="154">
                  <c:v>44447</c:v>
                </c:pt>
                <c:pt idx="155">
                  <c:v>44448</c:v>
                </c:pt>
                <c:pt idx="156">
                  <c:v>44449</c:v>
                </c:pt>
                <c:pt idx="157">
                  <c:v>44450</c:v>
                </c:pt>
                <c:pt idx="158">
                  <c:v>44451</c:v>
                </c:pt>
                <c:pt idx="159">
                  <c:v>44452</c:v>
                </c:pt>
                <c:pt idx="160">
                  <c:v>44453</c:v>
                </c:pt>
                <c:pt idx="161">
                  <c:v>44454</c:v>
                </c:pt>
                <c:pt idx="162">
                  <c:v>44455</c:v>
                </c:pt>
                <c:pt idx="163">
                  <c:v>44456</c:v>
                </c:pt>
                <c:pt idx="164">
                  <c:v>44457</c:v>
                </c:pt>
                <c:pt idx="165">
                  <c:v>44458</c:v>
                </c:pt>
                <c:pt idx="166">
                  <c:v>44459</c:v>
                </c:pt>
                <c:pt idx="167">
                  <c:v>44460</c:v>
                </c:pt>
                <c:pt idx="168">
                  <c:v>44461</c:v>
                </c:pt>
                <c:pt idx="169">
                  <c:v>44462</c:v>
                </c:pt>
                <c:pt idx="170">
                  <c:v>44463</c:v>
                </c:pt>
                <c:pt idx="171">
                  <c:v>44464</c:v>
                </c:pt>
                <c:pt idx="172">
                  <c:v>44465</c:v>
                </c:pt>
                <c:pt idx="173">
                  <c:v>44466</c:v>
                </c:pt>
                <c:pt idx="174">
                  <c:v>44467</c:v>
                </c:pt>
                <c:pt idx="175">
                  <c:v>44468</c:v>
                </c:pt>
                <c:pt idx="176">
                  <c:v>44469</c:v>
                </c:pt>
                <c:pt idx="177">
                  <c:v>44470</c:v>
                </c:pt>
                <c:pt idx="178">
                  <c:v>44471</c:v>
                </c:pt>
                <c:pt idx="179">
                  <c:v>44472</c:v>
                </c:pt>
                <c:pt idx="180">
                  <c:v>44473</c:v>
                </c:pt>
                <c:pt idx="181">
                  <c:v>44474</c:v>
                </c:pt>
                <c:pt idx="182">
                  <c:v>44475</c:v>
                </c:pt>
                <c:pt idx="183">
                  <c:v>44476</c:v>
                </c:pt>
                <c:pt idx="184">
                  <c:v>44477</c:v>
                </c:pt>
                <c:pt idx="185">
                  <c:v>44478</c:v>
                </c:pt>
                <c:pt idx="186">
                  <c:v>44479</c:v>
                </c:pt>
                <c:pt idx="187">
                  <c:v>44480</c:v>
                </c:pt>
                <c:pt idx="188">
                  <c:v>44481</c:v>
                </c:pt>
                <c:pt idx="189">
                  <c:v>44482</c:v>
                </c:pt>
                <c:pt idx="190">
                  <c:v>44483</c:v>
                </c:pt>
                <c:pt idx="191">
                  <c:v>44484</c:v>
                </c:pt>
                <c:pt idx="192">
                  <c:v>44485</c:v>
                </c:pt>
                <c:pt idx="193">
                  <c:v>44486</c:v>
                </c:pt>
                <c:pt idx="194">
                  <c:v>44487</c:v>
                </c:pt>
                <c:pt idx="195">
                  <c:v>44488</c:v>
                </c:pt>
                <c:pt idx="196">
                  <c:v>44489</c:v>
                </c:pt>
                <c:pt idx="197">
                  <c:v>44490</c:v>
                </c:pt>
                <c:pt idx="198">
                  <c:v>44491</c:v>
                </c:pt>
                <c:pt idx="199">
                  <c:v>44492</c:v>
                </c:pt>
                <c:pt idx="200">
                  <c:v>44493</c:v>
                </c:pt>
                <c:pt idx="201">
                  <c:v>44494</c:v>
                </c:pt>
                <c:pt idx="202">
                  <c:v>44495</c:v>
                </c:pt>
                <c:pt idx="203">
                  <c:v>44496</c:v>
                </c:pt>
                <c:pt idx="204">
                  <c:v>44497</c:v>
                </c:pt>
                <c:pt idx="205">
                  <c:v>44498</c:v>
                </c:pt>
                <c:pt idx="206">
                  <c:v>44499</c:v>
                </c:pt>
                <c:pt idx="207">
                  <c:v>44500</c:v>
                </c:pt>
                <c:pt idx="208">
                  <c:v>44501</c:v>
                </c:pt>
                <c:pt idx="209">
                  <c:v>44502</c:v>
                </c:pt>
                <c:pt idx="210">
                  <c:v>44503</c:v>
                </c:pt>
                <c:pt idx="211">
                  <c:v>44504</c:v>
                </c:pt>
                <c:pt idx="212">
                  <c:v>44505</c:v>
                </c:pt>
                <c:pt idx="213">
                  <c:v>44506</c:v>
                </c:pt>
                <c:pt idx="214">
                  <c:v>44507</c:v>
                </c:pt>
                <c:pt idx="215">
                  <c:v>44508</c:v>
                </c:pt>
                <c:pt idx="216">
                  <c:v>44509</c:v>
                </c:pt>
                <c:pt idx="217">
                  <c:v>44510</c:v>
                </c:pt>
                <c:pt idx="218">
                  <c:v>44511</c:v>
                </c:pt>
                <c:pt idx="219">
                  <c:v>44512</c:v>
                </c:pt>
                <c:pt idx="220">
                  <c:v>44513</c:v>
                </c:pt>
                <c:pt idx="221">
                  <c:v>44514</c:v>
                </c:pt>
                <c:pt idx="222">
                  <c:v>44515</c:v>
                </c:pt>
                <c:pt idx="223">
                  <c:v>44516</c:v>
                </c:pt>
                <c:pt idx="224">
                  <c:v>44517</c:v>
                </c:pt>
                <c:pt idx="225">
                  <c:v>44518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66.200133415602977</c:v>
                </c:pt>
                <c:pt idx="1">
                  <c:v>67.857212405612046</c:v>
                </c:pt>
                <c:pt idx="2">
                  <c:v>71.125694170702403</c:v>
                </c:pt>
                <c:pt idx="3">
                  <c:v>72.481244390927031</c:v>
                </c:pt>
                <c:pt idx="4">
                  <c:v>73.675768139699144</c:v>
                </c:pt>
                <c:pt idx="5">
                  <c:v>76.176730268872291</c:v>
                </c:pt>
                <c:pt idx="6">
                  <c:v>77.00955429723129</c:v>
                </c:pt>
                <c:pt idx="7">
                  <c:v>78.928983151861971</c:v>
                </c:pt>
                <c:pt idx="8">
                  <c:v>80.188368544315892</c:v>
                </c:pt>
                <c:pt idx="9">
                  <c:v>82.380667468484944</c:v>
                </c:pt>
                <c:pt idx="10">
                  <c:v>83.626857895805173</c:v>
                </c:pt>
                <c:pt idx="11">
                  <c:v>84.956449452030867</c:v>
                </c:pt>
                <c:pt idx="12">
                  <c:v>85.745992040936869</c:v>
                </c:pt>
                <c:pt idx="13">
                  <c:v>85.81098099400991</c:v>
                </c:pt>
                <c:pt idx="14">
                  <c:v>88.148841209892538</c:v>
                </c:pt>
                <c:pt idx="15">
                  <c:v>90.035071852808713</c:v>
                </c:pt>
                <c:pt idx="16">
                  <c:v>90.620864666868542</c:v>
                </c:pt>
                <c:pt idx="17">
                  <c:v>93.257794793358102</c:v>
                </c:pt>
                <c:pt idx="18">
                  <c:v>98.143907093752929</c:v>
                </c:pt>
                <c:pt idx="19">
                  <c:v>99.584217313860165</c:v>
                </c:pt>
                <c:pt idx="20">
                  <c:v>100.65685234840345</c:v>
                </c:pt>
                <c:pt idx="21">
                  <c:v>102.68244129130035</c:v>
                </c:pt>
                <c:pt idx="22">
                  <c:v>104.17335269307398</c:v>
                </c:pt>
                <c:pt idx="23">
                  <c:v>107.10007896057556</c:v>
                </c:pt>
                <c:pt idx="24">
                  <c:v>108.5507698659723</c:v>
                </c:pt>
                <c:pt idx="25">
                  <c:v>113.342814738925</c:v>
                </c:pt>
                <c:pt idx="26">
                  <c:v>114.1679812988279</c:v>
                </c:pt>
                <c:pt idx="27">
                  <c:v>114.64704845862838</c:v>
                </c:pt>
                <c:pt idx="28">
                  <c:v>116.00563962533485</c:v>
                </c:pt>
                <c:pt idx="29">
                  <c:v>117.72343158418312</c:v>
                </c:pt>
                <c:pt idx="30">
                  <c:v>117.71847511650208</c:v>
                </c:pt>
                <c:pt idx="31">
                  <c:v>119.30879445287569</c:v>
                </c:pt>
                <c:pt idx="32">
                  <c:v>119.91228465923872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119.62717240052467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119.15131970049866</c:v>
                </c:pt>
                <c:pt idx="157">
                  <c:v>120</c:v>
                </c:pt>
                <c:pt idx="158">
                  <c:v>120</c:v>
                </c:pt>
                <c:pt idx="159">
                  <c:v>120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120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120</c:v>
                </c:pt>
                <c:pt idx="172">
                  <c:v>120</c:v>
                </c:pt>
                <c:pt idx="173">
                  <c:v>120</c:v>
                </c:pt>
                <c:pt idx="174">
                  <c:v>120</c:v>
                </c:pt>
                <c:pt idx="175">
                  <c:v>120</c:v>
                </c:pt>
                <c:pt idx="176">
                  <c:v>120</c:v>
                </c:pt>
                <c:pt idx="177">
                  <c:v>120</c:v>
                </c:pt>
                <c:pt idx="178">
                  <c:v>120</c:v>
                </c:pt>
                <c:pt idx="179">
                  <c:v>120</c:v>
                </c:pt>
                <c:pt idx="180">
                  <c:v>119.72252655499973</c:v>
                </c:pt>
                <c:pt idx="181">
                  <c:v>120</c:v>
                </c:pt>
                <c:pt idx="182">
                  <c:v>119.80096352466261</c:v>
                </c:pt>
                <c:pt idx="183">
                  <c:v>119.58946897640496</c:v>
                </c:pt>
                <c:pt idx="184">
                  <c:v>120</c:v>
                </c:pt>
                <c:pt idx="185">
                  <c:v>120</c:v>
                </c:pt>
                <c:pt idx="186">
                  <c:v>120</c:v>
                </c:pt>
                <c:pt idx="187">
                  <c:v>119.48106941127644</c:v>
                </c:pt>
                <c:pt idx="188">
                  <c:v>120</c:v>
                </c:pt>
                <c:pt idx="189">
                  <c:v>120</c:v>
                </c:pt>
                <c:pt idx="190">
                  <c:v>120</c:v>
                </c:pt>
                <c:pt idx="191">
                  <c:v>120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119.00149964715715</c:v>
                </c:pt>
                <c:pt idx="196">
                  <c:v>117.31692446977156</c:v>
                </c:pt>
                <c:pt idx="197">
                  <c:v>117.30803299579354</c:v>
                </c:pt>
                <c:pt idx="198">
                  <c:v>117.75366783620026</c:v>
                </c:pt>
                <c:pt idx="199">
                  <c:v>118.8424960203191</c:v>
                </c:pt>
                <c:pt idx="200">
                  <c:v>118.89480731521215</c:v>
                </c:pt>
                <c:pt idx="201">
                  <c:v>117.30516458425326</c:v>
                </c:pt>
                <c:pt idx="202">
                  <c:v>114.82601904570897</c:v>
                </c:pt>
                <c:pt idx="203">
                  <c:v>114.96255490776984</c:v>
                </c:pt>
                <c:pt idx="204">
                  <c:v>116.1979342063006</c:v>
                </c:pt>
                <c:pt idx="205">
                  <c:v>115.5223330405249</c:v>
                </c:pt>
                <c:pt idx="206">
                  <c:v>114.23416746927154</c:v>
                </c:pt>
                <c:pt idx="207">
                  <c:v>112.21183725560894</c:v>
                </c:pt>
                <c:pt idx="208">
                  <c:v>110.62594586003458</c:v>
                </c:pt>
                <c:pt idx="209">
                  <c:v>107.8451749820242</c:v>
                </c:pt>
                <c:pt idx="210">
                  <c:v>107.04921755462445</c:v>
                </c:pt>
                <c:pt idx="211">
                  <c:v>106.91490986465976</c:v>
                </c:pt>
                <c:pt idx="212">
                  <c:v>109.67646879256424</c:v>
                </c:pt>
                <c:pt idx="213">
                  <c:v>110.27925598403222</c:v>
                </c:pt>
                <c:pt idx="214">
                  <c:v>111.17030947682343</c:v>
                </c:pt>
                <c:pt idx="215">
                  <c:v>111.11089509407793</c:v>
                </c:pt>
                <c:pt idx="216">
                  <c:v>111.08145779181928</c:v>
                </c:pt>
                <c:pt idx="217">
                  <c:v>110.12865257021132</c:v>
                </c:pt>
                <c:pt idx="218">
                  <c:v>108.22432878429619</c:v>
                </c:pt>
                <c:pt idx="219">
                  <c:v>108.36755397469062</c:v>
                </c:pt>
                <c:pt idx="220">
                  <c:v>107.62618135915628</c:v>
                </c:pt>
                <c:pt idx="221">
                  <c:v>107.02223850210737</c:v>
                </c:pt>
                <c:pt idx="222">
                  <c:v>105.31005987265125</c:v>
                </c:pt>
                <c:pt idx="223">
                  <c:v>106.01018311414438</c:v>
                </c:pt>
                <c:pt idx="224">
                  <c:v>104.43607105531495</c:v>
                </c:pt>
                <c:pt idx="225">
                  <c:v>102.84662833606198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44293</c:v>
                </c:pt>
                <c:pt idx="1">
                  <c:v>44294</c:v>
                </c:pt>
                <c:pt idx="2">
                  <c:v>44295</c:v>
                </c:pt>
                <c:pt idx="3">
                  <c:v>44296</c:v>
                </c:pt>
                <c:pt idx="4">
                  <c:v>44297</c:v>
                </c:pt>
                <c:pt idx="5">
                  <c:v>44298</c:v>
                </c:pt>
                <c:pt idx="6">
                  <c:v>44299</c:v>
                </c:pt>
                <c:pt idx="7">
                  <c:v>44300</c:v>
                </c:pt>
                <c:pt idx="8">
                  <c:v>44301</c:v>
                </c:pt>
                <c:pt idx="9">
                  <c:v>44302</c:v>
                </c:pt>
                <c:pt idx="10">
                  <c:v>44303</c:v>
                </c:pt>
                <c:pt idx="11">
                  <c:v>44304</c:v>
                </c:pt>
                <c:pt idx="12">
                  <c:v>44305</c:v>
                </c:pt>
                <c:pt idx="13">
                  <c:v>44306</c:v>
                </c:pt>
                <c:pt idx="14">
                  <c:v>44307</c:v>
                </c:pt>
                <c:pt idx="15">
                  <c:v>44308</c:v>
                </c:pt>
                <c:pt idx="16">
                  <c:v>44309</c:v>
                </c:pt>
                <c:pt idx="17">
                  <c:v>44310</c:v>
                </c:pt>
                <c:pt idx="18">
                  <c:v>44311</c:v>
                </c:pt>
                <c:pt idx="19">
                  <c:v>44312</c:v>
                </c:pt>
                <c:pt idx="20">
                  <c:v>44313</c:v>
                </c:pt>
                <c:pt idx="21">
                  <c:v>44314</c:v>
                </c:pt>
                <c:pt idx="22">
                  <c:v>44315</c:v>
                </c:pt>
                <c:pt idx="23">
                  <c:v>44316</c:v>
                </c:pt>
                <c:pt idx="24">
                  <c:v>44317</c:v>
                </c:pt>
                <c:pt idx="25">
                  <c:v>44318</c:v>
                </c:pt>
                <c:pt idx="26">
                  <c:v>44319</c:v>
                </c:pt>
                <c:pt idx="27">
                  <c:v>44320</c:v>
                </c:pt>
                <c:pt idx="28">
                  <c:v>44321</c:v>
                </c:pt>
                <c:pt idx="29">
                  <c:v>44322</c:v>
                </c:pt>
                <c:pt idx="30">
                  <c:v>44323</c:v>
                </c:pt>
                <c:pt idx="31">
                  <c:v>44324</c:v>
                </c:pt>
                <c:pt idx="32">
                  <c:v>44325</c:v>
                </c:pt>
                <c:pt idx="33">
                  <c:v>44326</c:v>
                </c:pt>
                <c:pt idx="34">
                  <c:v>44327</c:v>
                </c:pt>
                <c:pt idx="35">
                  <c:v>44328</c:v>
                </c:pt>
                <c:pt idx="36">
                  <c:v>44329</c:v>
                </c:pt>
                <c:pt idx="37">
                  <c:v>44330</c:v>
                </c:pt>
                <c:pt idx="38">
                  <c:v>44331</c:v>
                </c:pt>
                <c:pt idx="39">
                  <c:v>44332</c:v>
                </c:pt>
                <c:pt idx="40">
                  <c:v>44333</c:v>
                </c:pt>
                <c:pt idx="41">
                  <c:v>44334</c:v>
                </c:pt>
                <c:pt idx="42">
                  <c:v>44335</c:v>
                </c:pt>
                <c:pt idx="43">
                  <c:v>44336</c:v>
                </c:pt>
                <c:pt idx="44">
                  <c:v>44337</c:v>
                </c:pt>
                <c:pt idx="45">
                  <c:v>44338</c:v>
                </c:pt>
                <c:pt idx="46">
                  <c:v>44339</c:v>
                </c:pt>
                <c:pt idx="47">
                  <c:v>44340</c:v>
                </c:pt>
                <c:pt idx="48">
                  <c:v>44341</c:v>
                </c:pt>
                <c:pt idx="49">
                  <c:v>44342</c:v>
                </c:pt>
                <c:pt idx="50">
                  <c:v>44343</c:v>
                </c:pt>
                <c:pt idx="51">
                  <c:v>44344</c:v>
                </c:pt>
                <c:pt idx="52">
                  <c:v>44345</c:v>
                </c:pt>
                <c:pt idx="53">
                  <c:v>44346</c:v>
                </c:pt>
                <c:pt idx="54">
                  <c:v>44347</c:v>
                </c:pt>
                <c:pt idx="55">
                  <c:v>44348</c:v>
                </c:pt>
                <c:pt idx="56">
                  <c:v>44349</c:v>
                </c:pt>
                <c:pt idx="57">
                  <c:v>44350</c:v>
                </c:pt>
                <c:pt idx="58">
                  <c:v>44351</c:v>
                </c:pt>
                <c:pt idx="59">
                  <c:v>44352</c:v>
                </c:pt>
                <c:pt idx="60">
                  <c:v>44353</c:v>
                </c:pt>
                <c:pt idx="61">
                  <c:v>44354</c:v>
                </c:pt>
                <c:pt idx="62">
                  <c:v>44355</c:v>
                </c:pt>
                <c:pt idx="63">
                  <c:v>44356</c:v>
                </c:pt>
                <c:pt idx="64">
                  <c:v>44357</c:v>
                </c:pt>
                <c:pt idx="65">
                  <c:v>44358</c:v>
                </c:pt>
                <c:pt idx="66">
                  <c:v>44359</c:v>
                </c:pt>
                <c:pt idx="67">
                  <c:v>44360</c:v>
                </c:pt>
                <c:pt idx="68">
                  <c:v>44361</c:v>
                </c:pt>
                <c:pt idx="69">
                  <c:v>44362</c:v>
                </c:pt>
                <c:pt idx="70">
                  <c:v>44363</c:v>
                </c:pt>
                <c:pt idx="71">
                  <c:v>44364</c:v>
                </c:pt>
                <c:pt idx="72">
                  <c:v>44365</c:v>
                </c:pt>
                <c:pt idx="73">
                  <c:v>44366</c:v>
                </c:pt>
                <c:pt idx="74">
                  <c:v>44367</c:v>
                </c:pt>
                <c:pt idx="75">
                  <c:v>44368</c:v>
                </c:pt>
                <c:pt idx="76">
                  <c:v>44369</c:v>
                </c:pt>
                <c:pt idx="77">
                  <c:v>44370</c:v>
                </c:pt>
                <c:pt idx="78">
                  <c:v>44371</c:v>
                </c:pt>
                <c:pt idx="79">
                  <c:v>44372</c:v>
                </c:pt>
                <c:pt idx="80">
                  <c:v>44373</c:v>
                </c:pt>
                <c:pt idx="81">
                  <c:v>44374</c:v>
                </c:pt>
                <c:pt idx="82">
                  <c:v>44375</c:v>
                </c:pt>
                <c:pt idx="83">
                  <c:v>44376</c:v>
                </c:pt>
                <c:pt idx="84">
                  <c:v>44377</c:v>
                </c:pt>
                <c:pt idx="85">
                  <c:v>44378</c:v>
                </c:pt>
                <c:pt idx="86">
                  <c:v>44379</c:v>
                </c:pt>
                <c:pt idx="87">
                  <c:v>44380</c:v>
                </c:pt>
                <c:pt idx="88">
                  <c:v>44381</c:v>
                </c:pt>
                <c:pt idx="89">
                  <c:v>44382</c:v>
                </c:pt>
                <c:pt idx="90">
                  <c:v>44383</c:v>
                </c:pt>
                <c:pt idx="91">
                  <c:v>44384</c:v>
                </c:pt>
                <c:pt idx="92">
                  <c:v>44385</c:v>
                </c:pt>
                <c:pt idx="93">
                  <c:v>44386</c:v>
                </c:pt>
                <c:pt idx="94">
                  <c:v>44387</c:v>
                </c:pt>
                <c:pt idx="95">
                  <c:v>44388</c:v>
                </c:pt>
                <c:pt idx="96">
                  <c:v>44389</c:v>
                </c:pt>
                <c:pt idx="97">
                  <c:v>44390</c:v>
                </c:pt>
                <c:pt idx="98">
                  <c:v>44391</c:v>
                </c:pt>
                <c:pt idx="99">
                  <c:v>44392</c:v>
                </c:pt>
                <c:pt idx="100">
                  <c:v>44393</c:v>
                </c:pt>
                <c:pt idx="101">
                  <c:v>44394</c:v>
                </c:pt>
                <c:pt idx="102">
                  <c:v>44395</c:v>
                </c:pt>
                <c:pt idx="103">
                  <c:v>44396</c:v>
                </c:pt>
                <c:pt idx="104">
                  <c:v>44397</c:v>
                </c:pt>
                <c:pt idx="105">
                  <c:v>44398</c:v>
                </c:pt>
                <c:pt idx="106">
                  <c:v>44399</c:v>
                </c:pt>
                <c:pt idx="107">
                  <c:v>44400</c:v>
                </c:pt>
                <c:pt idx="108">
                  <c:v>44401</c:v>
                </c:pt>
                <c:pt idx="109">
                  <c:v>44402</c:v>
                </c:pt>
                <c:pt idx="110">
                  <c:v>44403</c:v>
                </c:pt>
                <c:pt idx="111">
                  <c:v>44404</c:v>
                </c:pt>
                <c:pt idx="112">
                  <c:v>44405</c:v>
                </c:pt>
                <c:pt idx="113">
                  <c:v>44406</c:v>
                </c:pt>
                <c:pt idx="114">
                  <c:v>44407</c:v>
                </c:pt>
                <c:pt idx="115">
                  <c:v>44408</c:v>
                </c:pt>
                <c:pt idx="116">
                  <c:v>44409</c:v>
                </c:pt>
                <c:pt idx="117">
                  <c:v>44410</c:v>
                </c:pt>
                <c:pt idx="118">
                  <c:v>44411</c:v>
                </c:pt>
                <c:pt idx="119">
                  <c:v>44412</c:v>
                </c:pt>
                <c:pt idx="120">
                  <c:v>44413</c:v>
                </c:pt>
                <c:pt idx="121">
                  <c:v>44414</c:v>
                </c:pt>
                <c:pt idx="122">
                  <c:v>44415</c:v>
                </c:pt>
                <c:pt idx="123">
                  <c:v>44416</c:v>
                </c:pt>
                <c:pt idx="124">
                  <c:v>44417</c:v>
                </c:pt>
                <c:pt idx="125">
                  <c:v>44418</c:v>
                </c:pt>
                <c:pt idx="126">
                  <c:v>44419</c:v>
                </c:pt>
                <c:pt idx="127">
                  <c:v>44420</c:v>
                </c:pt>
                <c:pt idx="128">
                  <c:v>44421</c:v>
                </c:pt>
                <c:pt idx="129">
                  <c:v>44422</c:v>
                </c:pt>
                <c:pt idx="130">
                  <c:v>44423</c:v>
                </c:pt>
                <c:pt idx="131">
                  <c:v>44424</c:v>
                </c:pt>
                <c:pt idx="132">
                  <c:v>44425</c:v>
                </c:pt>
                <c:pt idx="133">
                  <c:v>44426</c:v>
                </c:pt>
                <c:pt idx="134">
                  <c:v>44427</c:v>
                </c:pt>
                <c:pt idx="135">
                  <c:v>44428</c:v>
                </c:pt>
                <c:pt idx="136">
                  <c:v>44429</c:v>
                </c:pt>
                <c:pt idx="137">
                  <c:v>44430</c:v>
                </c:pt>
                <c:pt idx="138">
                  <c:v>44431</c:v>
                </c:pt>
                <c:pt idx="139">
                  <c:v>44432</c:v>
                </c:pt>
                <c:pt idx="140">
                  <c:v>44433</c:v>
                </c:pt>
                <c:pt idx="141">
                  <c:v>44434</c:v>
                </c:pt>
                <c:pt idx="142">
                  <c:v>44435</c:v>
                </c:pt>
                <c:pt idx="143">
                  <c:v>44436</c:v>
                </c:pt>
                <c:pt idx="144">
                  <c:v>44437</c:v>
                </c:pt>
                <c:pt idx="145">
                  <c:v>44438</c:v>
                </c:pt>
                <c:pt idx="146">
                  <c:v>44439</c:v>
                </c:pt>
                <c:pt idx="147">
                  <c:v>44440</c:v>
                </c:pt>
                <c:pt idx="148">
                  <c:v>44441</c:v>
                </c:pt>
                <c:pt idx="149">
                  <c:v>44442</c:v>
                </c:pt>
                <c:pt idx="150">
                  <c:v>44443</c:v>
                </c:pt>
                <c:pt idx="151">
                  <c:v>44444</c:v>
                </c:pt>
                <c:pt idx="152">
                  <c:v>44445</c:v>
                </c:pt>
                <c:pt idx="153">
                  <c:v>44446</c:v>
                </c:pt>
                <c:pt idx="154">
                  <c:v>44447</c:v>
                </c:pt>
                <c:pt idx="155">
                  <c:v>44448</c:v>
                </c:pt>
                <c:pt idx="156">
                  <c:v>44449</c:v>
                </c:pt>
                <c:pt idx="157">
                  <c:v>44450</c:v>
                </c:pt>
                <c:pt idx="158">
                  <c:v>44451</c:v>
                </c:pt>
                <c:pt idx="159">
                  <c:v>44452</c:v>
                </c:pt>
                <c:pt idx="160">
                  <c:v>44453</c:v>
                </c:pt>
                <c:pt idx="161">
                  <c:v>44454</c:v>
                </c:pt>
                <c:pt idx="162">
                  <c:v>44455</c:v>
                </c:pt>
                <c:pt idx="163">
                  <c:v>44456</c:v>
                </c:pt>
                <c:pt idx="164">
                  <c:v>44457</c:v>
                </c:pt>
                <c:pt idx="165">
                  <c:v>44458</c:v>
                </c:pt>
                <c:pt idx="166">
                  <c:v>44459</c:v>
                </c:pt>
                <c:pt idx="167">
                  <c:v>44460</c:v>
                </c:pt>
                <c:pt idx="168">
                  <c:v>44461</c:v>
                </c:pt>
                <c:pt idx="169">
                  <c:v>44462</c:v>
                </c:pt>
                <c:pt idx="170">
                  <c:v>44463</c:v>
                </c:pt>
                <c:pt idx="171">
                  <c:v>44464</c:v>
                </c:pt>
                <c:pt idx="172">
                  <c:v>44465</c:v>
                </c:pt>
                <c:pt idx="173">
                  <c:v>44466</c:v>
                </c:pt>
                <c:pt idx="174">
                  <c:v>44467</c:v>
                </c:pt>
                <c:pt idx="175">
                  <c:v>44468</c:v>
                </c:pt>
                <c:pt idx="176">
                  <c:v>44469</c:v>
                </c:pt>
                <c:pt idx="177">
                  <c:v>44470</c:v>
                </c:pt>
                <c:pt idx="178">
                  <c:v>44471</c:v>
                </c:pt>
                <c:pt idx="179">
                  <c:v>44472</c:v>
                </c:pt>
                <c:pt idx="180">
                  <c:v>44473</c:v>
                </c:pt>
                <c:pt idx="181">
                  <c:v>44474</c:v>
                </c:pt>
                <c:pt idx="182">
                  <c:v>44475</c:v>
                </c:pt>
                <c:pt idx="183">
                  <c:v>44476</c:v>
                </c:pt>
                <c:pt idx="184">
                  <c:v>44477</c:v>
                </c:pt>
                <c:pt idx="185">
                  <c:v>44478</c:v>
                </c:pt>
                <c:pt idx="186">
                  <c:v>44479</c:v>
                </c:pt>
                <c:pt idx="187">
                  <c:v>44480</c:v>
                </c:pt>
                <c:pt idx="188">
                  <c:v>44481</c:v>
                </c:pt>
                <c:pt idx="189">
                  <c:v>44482</c:v>
                </c:pt>
                <c:pt idx="190">
                  <c:v>44483</c:v>
                </c:pt>
                <c:pt idx="191">
                  <c:v>44484</c:v>
                </c:pt>
                <c:pt idx="192">
                  <c:v>44485</c:v>
                </c:pt>
                <c:pt idx="193">
                  <c:v>44486</c:v>
                </c:pt>
                <c:pt idx="194">
                  <c:v>44487</c:v>
                </c:pt>
                <c:pt idx="195">
                  <c:v>44488</c:v>
                </c:pt>
                <c:pt idx="196">
                  <c:v>44489</c:v>
                </c:pt>
                <c:pt idx="197">
                  <c:v>44490</c:v>
                </c:pt>
                <c:pt idx="198">
                  <c:v>44491</c:v>
                </c:pt>
                <c:pt idx="199">
                  <c:v>44492</c:v>
                </c:pt>
                <c:pt idx="200">
                  <c:v>44493</c:v>
                </c:pt>
                <c:pt idx="201">
                  <c:v>44494</c:v>
                </c:pt>
                <c:pt idx="202">
                  <c:v>44495</c:v>
                </c:pt>
                <c:pt idx="203">
                  <c:v>44496</c:v>
                </c:pt>
                <c:pt idx="204">
                  <c:v>44497</c:v>
                </c:pt>
                <c:pt idx="205">
                  <c:v>44498</c:v>
                </c:pt>
                <c:pt idx="206">
                  <c:v>44499</c:v>
                </c:pt>
                <c:pt idx="207">
                  <c:v>44500</c:v>
                </c:pt>
                <c:pt idx="208">
                  <c:v>44501</c:v>
                </c:pt>
                <c:pt idx="209">
                  <c:v>44502</c:v>
                </c:pt>
                <c:pt idx="210">
                  <c:v>44503</c:v>
                </c:pt>
                <c:pt idx="211">
                  <c:v>44504</c:v>
                </c:pt>
                <c:pt idx="212">
                  <c:v>44505</c:v>
                </c:pt>
                <c:pt idx="213">
                  <c:v>44506</c:v>
                </c:pt>
                <c:pt idx="214">
                  <c:v>44507</c:v>
                </c:pt>
                <c:pt idx="215">
                  <c:v>44508</c:v>
                </c:pt>
                <c:pt idx="216">
                  <c:v>44509</c:v>
                </c:pt>
                <c:pt idx="217">
                  <c:v>44510</c:v>
                </c:pt>
                <c:pt idx="218">
                  <c:v>44511</c:v>
                </c:pt>
                <c:pt idx="219">
                  <c:v>44512</c:v>
                </c:pt>
                <c:pt idx="220">
                  <c:v>44513</c:v>
                </c:pt>
                <c:pt idx="221">
                  <c:v>44514</c:v>
                </c:pt>
                <c:pt idx="222">
                  <c:v>44515</c:v>
                </c:pt>
                <c:pt idx="223">
                  <c:v>44516</c:v>
                </c:pt>
                <c:pt idx="224">
                  <c:v>44517</c:v>
                </c:pt>
                <c:pt idx="225">
                  <c:v>44518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44293</c:v>
                </c:pt>
                <c:pt idx="1">
                  <c:v>44294</c:v>
                </c:pt>
                <c:pt idx="2">
                  <c:v>44295</c:v>
                </c:pt>
                <c:pt idx="3">
                  <c:v>44296</c:v>
                </c:pt>
                <c:pt idx="4">
                  <c:v>44297</c:v>
                </c:pt>
                <c:pt idx="5">
                  <c:v>44298</c:v>
                </c:pt>
                <c:pt idx="6">
                  <c:v>44299</c:v>
                </c:pt>
                <c:pt idx="7">
                  <c:v>44300</c:v>
                </c:pt>
                <c:pt idx="8">
                  <c:v>44301</c:v>
                </c:pt>
                <c:pt idx="9">
                  <c:v>44302</c:v>
                </c:pt>
                <c:pt idx="10">
                  <c:v>44303</c:v>
                </c:pt>
                <c:pt idx="11">
                  <c:v>44304</c:v>
                </c:pt>
                <c:pt idx="12">
                  <c:v>44305</c:v>
                </c:pt>
                <c:pt idx="13">
                  <c:v>44306</c:v>
                </c:pt>
                <c:pt idx="14">
                  <c:v>44307</c:v>
                </c:pt>
                <c:pt idx="15">
                  <c:v>44308</c:v>
                </c:pt>
                <c:pt idx="16">
                  <c:v>44309</c:v>
                </c:pt>
                <c:pt idx="17">
                  <c:v>44310</c:v>
                </c:pt>
                <c:pt idx="18">
                  <c:v>44311</c:v>
                </c:pt>
                <c:pt idx="19">
                  <c:v>44312</c:v>
                </c:pt>
                <c:pt idx="20">
                  <c:v>44313</c:v>
                </c:pt>
                <c:pt idx="21">
                  <c:v>44314</c:v>
                </c:pt>
                <c:pt idx="22">
                  <c:v>44315</c:v>
                </c:pt>
                <c:pt idx="23">
                  <c:v>44316</c:v>
                </c:pt>
                <c:pt idx="24">
                  <c:v>44317</c:v>
                </c:pt>
                <c:pt idx="25">
                  <c:v>44318</c:v>
                </c:pt>
                <c:pt idx="26">
                  <c:v>44319</c:v>
                </c:pt>
                <c:pt idx="27">
                  <c:v>44320</c:v>
                </c:pt>
                <c:pt idx="28">
                  <c:v>44321</c:v>
                </c:pt>
                <c:pt idx="29">
                  <c:v>44322</c:v>
                </c:pt>
                <c:pt idx="30">
                  <c:v>44323</c:v>
                </c:pt>
                <c:pt idx="31">
                  <c:v>44324</c:v>
                </c:pt>
                <c:pt idx="32">
                  <c:v>44325</c:v>
                </c:pt>
                <c:pt idx="33">
                  <c:v>44326</c:v>
                </c:pt>
                <c:pt idx="34">
                  <c:v>44327</c:v>
                </c:pt>
                <c:pt idx="35">
                  <c:v>44328</c:v>
                </c:pt>
                <c:pt idx="36">
                  <c:v>44329</c:v>
                </c:pt>
                <c:pt idx="37">
                  <c:v>44330</c:v>
                </c:pt>
                <c:pt idx="38">
                  <c:v>44331</c:v>
                </c:pt>
                <c:pt idx="39">
                  <c:v>44332</c:v>
                </c:pt>
                <c:pt idx="40">
                  <c:v>44333</c:v>
                </c:pt>
                <c:pt idx="41">
                  <c:v>44334</c:v>
                </c:pt>
                <c:pt idx="42">
                  <c:v>44335</c:v>
                </c:pt>
                <c:pt idx="43">
                  <c:v>44336</c:v>
                </c:pt>
                <c:pt idx="44">
                  <c:v>44337</c:v>
                </c:pt>
                <c:pt idx="45">
                  <c:v>44338</c:v>
                </c:pt>
                <c:pt idx="46">
                  <c:v>44339</c:v>
                </c:pt>
                <c:pt idx="47">
                  <c:v>44340</c:v>
                </c:pt>
                <c:pt idx="48">
                  <c:v>44341</c:v>
                </c:pt>
                <c:pt idx="49">
                  <c:v>44342</c:v>
                </c:pt>
                <c:pt idx="50">
                  <c:v>44343</c:v>
                </c:pt>
                <c:pt idx="51">
                  <c:v>44344</c:v>
                </c:pt>
                <c:pt idx="52">
                  <c:v>44345</c:v>
                </c:pt>
                <c:pt idx="53">
                  <c:v>44346</c:v>
                </c:pt>
                <c:pt idx="54">
                  <c:v>44347</c:v>
                </c:pt>
                <c:pt idx="55">
                  <c:v>44348</c:v>
                </c:pt>
                <c:pt idx="56">
                  <c:v>44349</c:v>
                </c:pt>
                <c:pt idx="57">
                  <c:v>44350</c:v>
                </c:pt>
                <c:pt idx="58">
                  <c:v>44351</c:v>
                </c:pt>
                <c:pt idx="59">
                  <c:v>44352</c:v>
                </c:pt>
                <c:pt idx="60">
                  <c:v>44353</c:v>
                </c:pt>
                <c:pt idx="61">
                  <c:v>44354</c:v>
                </c:pt>
                <c:pt idx="62">
                  <c:v>44355</c:v>
                </c:pt>
                <c:pt idx="63">
                  <c:v>44356</c:v>
                </c:pt>
                <c:pt idx="64">
                  <c:v>44357</c:v>
                </c:pt>
                <c:pt idx="65">
                  <c:v>44358</c:v>
                </c:pt>
                <c:pt idx="66">
                  <c:v>44359</c:v>
                </c:pt>
                <c:pt idx="67">
                  <c:v>44360</c:v>
                </c:pt>
                <c:pt idx="68">
                  <c:v>44361</c:v>
                </c:pt>
                <c:pt idx="69">
                  <c:v>44362</c:v>
                </c:pt>
                <c:pt idx="70">
                  <c:v>44363</c:v>
                </c:pt>
                <c:pt idx="71">
                  <c:v>44364</c:v>
                </c:pt>
                <c:pt idx="72">
                  <c:v>44365</c:v>
                </c:pt>
                <c:pt idx="73">
                  <c:v>44366</c:v>
                </c:pt>
                <c:pt idx="74">
                  <c:v>44367</c:v>
                </c:pt>
                <c:pt idx="75">
                  <c:v>44368</c:v>
                </c:pt>
                <c:pt idx="76">
                  <c:v>44369</c:v>
                </c:pt>
                <c:pt idx="77">
                  <c:v>44370</c:v>
                </c:pt>
                <c:pt idx="78">
                  <c:v>44371</c:v>
                </c:pt>
                <c:pt idx="79">
                  <c:v>44372</c:v>
                </c:pt>
                <c:pt idx="80">
                  <c:v>44373</c:v>
                </c:pt>
                <c:pt idx="81">
                  <c:v>44374</c:v>
                </c:pt>
                <c:pt idx="82">
                  <c:v>44375</c:v>
                </c:pt>
                <c:pt idx="83">
                  <c:v>44376</c:v>
                </c:pt>
                <c:pt idx="84">
                  <c:v>44377</c:v>
                </c:pt>
                <c:pt idx="85">
                  <c:v>44378</c:v>
                </c:pt>
                <c:pt idx="86">
                  <c:v>44379</c:v>
                </c:pt>
                <c:pt idx="87">
                  <c:v>44380</c:v>
                </c:pt>
                <c:pt idx="88">
                  <c:v>44381</c:v>
                </c:pt>
                <c:pt idx="89">
                  <c:v>44382</c:v>
                </c:pt>
                <c:pt idx="90">
                  <c:v>44383</c:v>
                </c:pt>
                <c:pt idx="91">
                  <c:v>44384</c:v>
                </c:pt>
                <c:pt idx="92">
                  <c:v>44385</c:v>
                </c:pt>
                <c:pt idx="93">
                  <c:v>44386</c:v>
                </c:pt>
                <c:pt idx="94">
                  <c:v>44387</c:v>
                </c:pt>
                <c:pt idx="95">
                  <c:v>44388</c:v>
                </c:pt>
                <c:pt idx="96">
                  <c:v>44389</c:v>
                </c:pt>
                <c:pt idx="97">
                  <c:v>44390</c:v>
                </c:pt>
                <c:pt idx="98">
                  <c:v>44391</c:v>
                </c:pt>
                <c:pt idx="99">
                  <c:v>44392</c:v>
                </c:pt>
                <c:pt idx="100">
                  <c:v>44393</c:v>
                </c:pt>
                <c:pt idx="101">
                  <c:v>44394</c:v>
                </c:pt>
                <c:pt idx="102">
                  <c:v>44395</c:v>
                </c:pt>
                <c:pt idx="103">
                  <c:v>44396</c:v>
                </c:pt>
                <c:pt idx="104">
                  <c:v>44397</c:v>
                </c:pt>
                <c:pt idx="105">
                  <c:v>44398</c:v>
                </c:pt>
                <c:pt idx="106">
                  <c:v>44399</c:v>
                </c:pt>
                <c:pt idx="107">
                  <c:v>44400</c:v>
                </c:pt>
                <c:pt idx="108">
                  <c:v>44401</c:v>
                </c:pt>
                <c:pt idx="109">
                  <c:v>44402</c:v>
                </c:pt>
                <c:pt idx="110">
                  <c:v>44403</c:v>
                </c:pt>
                <c:pt idx="111">
                  <c:v>44404</c:v>
                </c:pt>
                <c:pt idx="112">
                  <c:v>44405</c:v>
                </c:pt>
                <c:pt idx="113">
                  <c:v>44406</c:v>
                </c:pt>
                <c:pt idx="114">
                  <c:v>44407</c:v>
                </c:pt>
                <c:pt idx="115">
                  <c:v>44408</c:v>
                </c:pt>
                <c:pt idx="116">
                  <c:v>44409</c:v>
                </c:pt>
                <c:pt idx="117">
                  <c:v>44410</c:v>
                </c:pt>
                <c:pt idx="118">
                  <c:v>44411</c:v>
                </c:pt>
                <c:pt idx="119">
                  <c:v>44412</c:v>
                </c:pt>
                <c:pt idx="120">
                  <c:v>44413</c:v>
                </c:pt>
                <c:pt idx="121">
                  <c:v>44414</c:v>
                </c:pt>
                <c:pt idx="122">
                  <c:v>44415</c:v>
                </c:pt>
                <c:pt idx="123">
                  <c:v>44416</c:v>
                </c:pt>
                <c:pt idx="124">
                  <c:v>44417</c:v>
                </c:pt>
                <c:pt idx="125">
                  <c:v>44418</c:v>
                </c:pt>
                <c:pt idx="126">
                  <c:v>44419</c:v>
                </c:pt>
                <c:pt idx="127">
                  <c:v>44420</c:v>
                </c:pt>
                <c:pt idx="128">
                  <c:v>44421</c:v>
                </c:pt>
                <c:pt idx="129">
                  <c:v>44422</c:v>
                </c:pt>
                <c:pt idx="130">
                  <c:v>44423</c:v>
                </c:pt>
                <c:pt idx="131">
                  <c:v>44424</c:v>
                </c:pt>
                <c:pt idx="132">
                  <c:v>44425</c:v>
                </c:pt>
                <c:pt idx="133">
                  <c:v>44426</c:v>
                </c:pt>
                <c:pt idx="134">
                  <c:v>44427</c:v>
                </c:pt>
                <c:pt idx="135">
                  <c:v>44428</c:v>
                </c:pt>
                <c:pt idx="136">
                  <c:v>44429</c:v>
                </c:pt>
                <c:pt idx="137">
                  <c:v>44430</c:v>
                </c:pt>
                <c:pt idx="138">
                  <c:v>44431</c:v>
                </c:pt>
                <c:pt idx="139">
                  <c:v>44432</c:v>
                </c:pt>
                <c:pt idx="140">
                  <c:v>44433</c:v>
                </c:pt>
                <c:pt idx="141">
                  <c:v>44434</c:v>
                </c:pt>
                <c:pt idx="142">
                  <c:v>44435</c:v>
                </c:pt>
                <c:pt idx="143">
                  <c:v>44436</c:v>
                </c:pt>
                <c:pt idx="144">
                  <c:v>44437</c:v>
                </c:pt>
                <c:pt idx="145">
                  <c:v>44438</c:v>
                </c:pt>
                <c:pt idx="146">
                  <c:v>44439</c:v>
                </c:pt>
                <c:pt idx="147">
                  <c:v>44440</c:v>
                </c:pt>
                <c:pt idx="148">
                  <c:v>44441</c:v>
                </c:pt>
                <c:pt idx="149">
                  <c:v>44442</c:v>
                </c:pt>
                <c:pt idx="150">
                  <c:v>44443</c:v>
                </c:pt>
                <c:pt idx="151">
                  <c:v>44444</c:v>
                </c:pt>
                <c:pt idx="152">
                  <c:v>44445</c:v>
                </c:pt>
                <c:pt idx="153">
                  <c:v>44446</c:v>
                </c:pt>
                <c:pt idx="154">
                  <c:v>44447</c:v>
                </c:pt>
                <c:pt idx="155">
                  <c:v>44448</c:v>
                </c:pt>
                <c:pt idx="156">
                  <c:v>44449</c:v>
                </c:pt>
                <c:pt idx="157">
                  <c:v>44450</c:v>
                </c:pt>
                <c:pt idx="158">
                  <c:v>44451</c:v>
                </c:pt>
                <c:pt idx="159">
                  <c:v>44452</c:v>
                </c:pt>
                <c:pt idx="160">
                  <c:v>44453</c:v>
                </c:pt>
                <c:pt idx="161">
                  <c:v>44454</c:v>
                </c:pt>
                <c:pt idx="162">
                  <c:v>44455</c:v>
                </c:pt>
                <c:pt idx="163">
                  <c:v>44456</c:v>
                </c:pt>
                <c:pt idx="164">
                  <c:v>44457</c:v>
                </c:pt>
                <c:pt idx="165">
                  <c:v>44458</c:v>
                </c:pt>
                <c:pt idx="166">
                  <c:v>44459</c:v>
                </c:pt>
                <c:pt idx="167">
                  <c:v>44460</c:v>
                </c:pt>
                <c:pt idx="168">
                  <c:v>44461</c:v>
                </c:pt>
                <c:pt idx="169">
                  <c:v>44462</c:v>
                </c:pt>
                <c:pt idx="170">
                  <c:v>44463</c:v>
                </c:pt>
                <c:pt idx="171">
                  <c:v>44464</c:v>
                </c:pt>
                <c:pt idx="172">
                  <c:v>44465</c:v>
                </c:pt>
                <c:pt idx="173">
                  <c:v>44466</c:v>
                </c:pt>
                <c:pt idx="174">
                  <c:v>44467</c:v>
                </c:pt>
                <c:pt idx="175">
                  <c:v>44468</c:v>
                </c:pt>
                <c:pt idx="176">
                  <c:v>44469</c:v>
                </c:pt>
                <c:pt idx="177">
                  <c:v>44470</c:v>
                </c:pt>
                <c:pt idx="178">
                  <c:v>44471</c:v>
                </c:pt>
                <c:pt idx="179">
                  <c:v>44472</c:v>
                </c:pt>
                <c:pt idx="180">
                  <c:v>44473</c:v>
                </c:pt>
                <c:pt idx="181">
                  <c:v>44474</c:v>
                </c:pt>
                <c:pt idx="182">
                  <c:v>44475</c:v>
                </c:pt>
                <c:pt idx="183">
                  <c:v>44476</c:v>
                </c:pt>
                <c:pt idx="184">
                  <c:v>44477</c:v>
                </c:pt>
                <c:pt idx="185">
                  <c:v>44478</c:v>
                </c:pt>
                <c:pt idx="186">
                  <c:v>44479</c:v>
                </c:pt>
                <c:pt idx="187">
                  <c:v>44480</c:v>
                </c:pt>
                <c:pt idx="188">
                  <c:v>44481</c:v>
                </c:pt>
                <c:pt idx="189">
                  <c:v>44482</c:v>
                </c:pt>
                <c:pt idx="190">
                  <c:v>44483</c:v>
                </c:pt>
                <c:pt idx="191">
                  <c:v>44484</c:v>
                </c:pt>
                <c:pt idx="192">
                  <c:v>44485</c:v>
                </c:pt>
                <c:pt idx="193">
                  <c:v>44486</c:v>
                </c:pt>
                <c:pt idx="194">
                  <c:v>44487</c:v>
                </c:pt>
                <c:pt idx="195">
                  <c:v>44488</c:v>
                </c:pt>
                <c:pt idx="196">
                  <c:v>44489</c:v>
                </c:pt>
                <c:pt idx="197">
                  <c:v>44490</c:v>
                </c:pt>
                <c:pt idx="198">
                  <c:v>44491</c:v>
                </c:pt>
                <c:pt idx="199">
                  <c:v>44492</c:v>
                </c:pt>
                <c:pt idx="200">
                  <c:v>44493</c:v>
                </c:pt>
                <c:pt idx="201">
                  <c:v>44494</c:v>
                </c:pt>
                <c:pt idx="202">
                  <c:v>44495</c:v>
                </c:pt>
                <c:pt idx="203">
                  <c:v>44496</c:v>
                </c:pt>
                <c:pt idx="204">
                  <c:v>44497</c:v>
                </c:pt>
                <c:pt idx="205">
                  <c:v>44498</c:v>
                </c:pt>
                <c:pt idx="206">
                  <c:v>44499</c:v>
                </c:pt>
                <c:pt idx="207">
                  <c:v>44500</c:v>
                </c:pt>
                <c:pt idx="208">
                  <c:v>44501</c:v>
                </c:pt>
                <c:pt idx="209">
                  <c:v>44502</c:v>
                </c:pt>
                <c:pt idx="210">
                  <c:v>44503</c:v>
                </c:pt>
                <c:pt idx="211">
                  <c:v>44504</c:v>
                </c:pt>
                <c:pt idx="212">
                  <c:v>44505</c:v>
                </c:pt>
                <c:pt idx="213">
                  <c:v>44506</c:v>
                </c:pt>
                <c:pt idx="214">
                  <c:v>44507</c:v>
                </c:pt>
                <c:pt idx="215">
                  <c:v>44508</c:v>
                </c:pt>
                <c:pt idx="216">
                  <c:v>44509</c:v>
                </c:pt>
                <c:pt idx="217">
                  <c:v>44510</c:v>
                </c:pt>
                <c:pt idx="218">
                  <c:v>44511</c:v>
                </c:pt>
                <c:pt idx="219">
                  <c:v>44512</c:v>
                </c:pt>
                <c:pt idx="220">
                  <c:v>44513</c:v>
                </c:pt>
                <c:pt idx="221">
                  <c:v>44514</c:v>
                </c:pt>
                <c:pt idx="222">
                  <c:v>44515</c:v>
                </c:pt>
                <c:pt idx="223">
                  <c:v>44516</c:v>
                </c:pt>
                <c:pt idx="224">
                  <c:v>44517</c:v>
                </c:pt>
                <c:pt idx="225">
                  <c:v>44518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1.4212392037154729</c:v>
                </c:pt>
                <c:pt idx="34">
                  <c:v>2.0204127877320843</c:v>
                </c:pt>
                <c:pt idx="35">
                  <c:v>3.9992426238881933</c:v>
                </c:pt>
                <c:pt idx="36">
                  <c:v>5.624993268038736</c:v>
                </c:pt>
                <c:pt idx="37">
                  <c:v>6.8369719500909554</c:v>
                </c:pt>
                <c:pt idx="38">
                  <c:v>9.1739532375832766</c:v>
                </c:pt>
                <c:pt idx="39">
                  <c:v>11.51522217961616</c:v>
                </c:pt>
                <c:pt idx="40">
                  <c:v>13.700412376478027</c:v>
                </c:pt>
                <c:pt idx="41">
                  <c:v>15.732476313343525</c:v>
                </c:pt>
                <c:pt idx="42">
                  <c:v>15.732476313343525</c:v>
                </c:pt>
                <c:pt idx="43">
                  <c:v>19.123257309871803</c:v>
                </c:pt>
                <c:pt idx="44">
                  <c:v>22.780609018817017</c:v>
                </c:pt>
                <c:pt idx="45">
                  <c:v>26.105748714552519</c:v>
                </c:pt>
                <c:pt idx="46">
                  <c:v>32.465756634838698</c:v>
                </c:pt>
                <c:pt idx="47">
                  <c:v>36.294568068861665</c:v>
                </c:pt>
                <c:pt idx="48">
                  <c:v>40.766524245910489</c:v>
                </c:pt>
                <c:pt idx="49">
                  <c:v>46.223972127911466</c:v>
                </c:pt>
                <c:pt idx="50">
                  <c:v>49.050927203231439</c:v>
                </c:pt>
                <c:pt idx="51">
                  <c:v>51.375909558229168</c:v>
                </c:pt>
                <c:pt idx="52">
                  <c:v>54.887698255123098</c:v>
                </c:pt>
                <c:pt idx="53">
                  <c:v>58.961897953979545</c:v>
                </c:pt>
                <c:pt idx="54">
                  <c:v>63.199538394505836</c:v>
                </c:pt>
                <c:pt idx="55">
                  <c:v>66.073435002098535</c:v>
                </c:pt>
                <c:pt idx="56">
                  <c:v>69.886264429873776</c:v>
                </c:pt>
                <c:pt idx="57">
                  <c:v>71.178830410616825</c:v>
                </c:pt>
                <c:pt idx="58">
                  <c:v>74.214281853121818</c:v>
                </c:pt>
                <c:pt idx="59">
                  <c:v>76.25426993808982</c:v>
                </c:pt>
                <c:pt idx="60">
                  <c:v>78.409246428784044</c:v>
                </c:pt>
                <c:pt idx="61">
                  <c:v>80.155130218408033</c:v>
                </c:pt>
                <c:pt idx="62">
                  <c:v>81.579984144352665</c:v>
                </c:pt>
                <c:pt idx="63">
                  <c:v>85.392611940807285</c:v>
                </c:pt>
                <c:pt idx="64">
                  <c:v>91.278874733673149</c:v>
                </c:pt>
                <c:pt idx="65">
                  <c:v>94.813981542472021</c:v>
                </c:pt>
                <c:pt idx="66">
                  <c:v>97.652649462487688</c:v>
                </c:pt>
                <c:pt idx="67">
                  <c:v>99.779228991361975</c:v>
                </c:pt>
                <c:pt idx="68">
                  <c:v>101.73130760299553</c:v>
                </c:pt>
                <c:pt idx="69">
                  <c:v>106.8237828090011</c:v>
                </c:pt>
                <c:pt idx="70">
                  <c:v>109.71548939193228</c:v>
                </c:pt>
                <c:pt idx="71">
                  <c:v>113.10900507105669</c:v>
                </c:pt>
                <c:pt idx="72">
                  <c:v>116.72752146108706</c:v>
                </c:pt>
                <c:pt idx="73">
                  <c:v>119.66280652419744</c:v>
                </c:pt>
                <c:pt idx="74">
                  <c:v>124.29942439384963</c:v>
                </c:pt>
                <c:pt idx="75">
                  <c:v>125.21036337074868</c:v>
                </c:pt>
                <c:pt idx="76">
                  <c:v>126.09663186745011</c:v>
                </c:pt>
                <c:pt idx="77">
                  <c:v>129.79667397448287</c:v>
                </c:pt>
                <c:pt idx="78">
                  <c:v>135.08023066447541</c:v>
                </c:pt>
                <c:pt idx="79">
                  <c:v>142.50682564985902</c:v>
                </c:pt>
                <c:pt idx="80">
                  <c:v>144.96290301737957</c:v>
                </c:pt>
                <c:pt idx="81">
                  <c:v>146.30163681695706</c:v>
                </c:pt>
                <c:pt idx="82">
                  <c:v>150.65431886988608</c:v>
                </c:pt>
                <c:pt idx="83">
                  <c:v>154.62209160380843</c:v>
                </c:pt>
                <c:pt idx="84">
                  <c:v>160.78519391141015</c:v>
                </c:pt>
                <c:pt idx="85">
                  <c:v>162.8762745736862</c:v>
                </c:pt>
                <c:pt idx="86">
                  <c:v>165.81912324527354</c:v>
                </c:pt>
                <c:pt idx="87">
                  <c:v>167.81270742134953</c:v>
                </c:pt>
                <c:pt idx="88">
                  <c:v>171.77857403036393</c:v>
                </c:pt>
                <c:pt idx="89">
                  <c:v>173.30184055364526</c:v>
                </c:pt>
                <c:pt idx="90">
                  <c:v>176.4363296984132</c:v>
                </c:pt>
                <c:pt idx="91">
                  <c:v>177.89550172573024</c:v>
                </c:pt>
                <c:pt idx="92">
                  <c:v>180.34777930628786</c:v>
                </c:pt>
                <c:pt idx="93">
                  <c:v>183.49695452701371</c:v>
                </c:pt>
                <c:pt idx="94">
                  <c:v>184.34520624212149</c:v>
                </c:pt>
                <c:pt idx="95">
                  <c:v>187.05285750133862</c:v>
                </c:pt>
                <c:pt idx="96">
                  <c:v>192.85612692335195</c:v>
                </c:pt>
                <c:pt idx="97">
                  <c:v>194.06859889401551</c:v>
                </c:pt>
                <c:pt idx="98">
                  <c:v>197.3459402847071</c:v>
                </c:pt>
                <c:pt idx="99">
                  <c:v>202.42751341596318</c:v>
                </c:pt>
                <c:pt idx="100">
                  <c:v>206.33827460417712</c:v>
                </c:pt>
                <c:pt idx="101">
                  <c:v>212.76322935718332</c:v>
                </c:pt>
                <c:pt idx="102">
                  <c:v>219.28079822323934</c:v>
                </c:pt>
                <c:pt idx="103">
                  <c:v>222.24373680853878</c:v>
                </c:pt>
                <c:pt idx="104">
                  <c:v>223.69577366880591</c:v>
                </c:pt>
                <c:pt idx="105">
                  <c:v>227.10658977766641</c:v>
                </c:pt>
                <c:pt idx="106">
                  <c:v>231.28266933689821</c:v>
                </c:pt>
                <c:pt idx="107">
                  <c:v>238.01078213208896</c:v>
                </c:pt>
                <c:pt idx="108">
                  <c:v>240.88152161739492</c:v>
                </c:pt>
                <c:pt idx="109">
                  <c:v>244.40589761391672</c:v>
                </c:pt>
                <c:pt idx="110">
                  <c:v>246.55325881830379</c:v>
                </c:pt>
                <c:pt idx="111">
                  <c:v>250.40237352916995</c:v>
                </c:pt>
                <c:pt idx="112">
                  <c:v>252.42210148037148</c:v>
                </c:pt>
                <c:pt idx="113">
                  <c:v>256.65014662854139</c:v>
                </c:pt>
                <c:pt idx="114">
                  <c:v>258.02239523293406</c:v>
                </c:pt>
                <c:pt idx="115">
                  <c:v>260.97452005057937</c:v>
                </c:pt>
                <c:pt idx="116">
                  <c:v>263.41170990268051</c:v>
                </c:pt>
                <c:pt idx="117">
                  <c:v>267.75674016391878</c:v>
                </c:pt>
                <c:pt idx="118">
                  <c:v>269.56067027163738</c:v>
                </c:pt>
                <c:pt idx="119">
                  <c:v>273.181556774863</c:v>
                </c:pt>
                <c:pt idx="120">
                  <c:v>276.73647612677615</c:v>
                </c:pt>
                <c:pt idx="121">
                  <c:v>279.43337537860668</c:v>
                </c:pt>
                <c:pt idx="122">
                  <c:v>281.21426839063037</c:v>
                </c:pt>
                <c:pt idx="123">
                  <c:v>281.83278034183206</c:v>
                </c:pt>
                <c:pt idx="124">
                  <c:v>284.7706314477557</c:v>
                </c:pt>
                <c:pt idx="125">
                  <c:v>287.51931769915865</c:v>
                </c:pt>
                <c:pt idx="126">
                  <c:v>291.46153822687296</c:v>
                </c:pt>
                <c:pt idx="127">
                  <c:v>293.61784860269171</c:v>
                </c:pt>
                <c:pt idx="128">
                  <c:v>296.29162147925484</c:v>
                </c:pt>
                <c:pt idx="129">
                  <c:v>299.58069531965117</c:v>
                </c:pt>
                <c:pt idx="130">
                  <c:v>302.9235963674617</c:v>
                </c:pt>
                <c:pt idx="131">
                  <c:v>305.53998885143193</c:v>
                </c:pt>
                <c:pt idx="132">
                  <c:v>308.88220451721156</c:v>
                </c:pt>
                <c:pt idx="133">
                  <c:v>310.93657771832289</c:v>
                </c:pt>
                <c:pt idx="134">
                  <c:v>312.67631767918027</c:v>
                </c:pt>
                <c:pt idx="135">
                  <c:v>315.70082733066982</c:v>
                </c:pt>
                <c:pt idx="136">
                  <c:v>317.89624079365092</c:v>
                </c:pt>
                <c:pt idx="137">
                  <c:v>319.93782979934969</c:v>
                </c:pt>
                <c:pt idx="138">
                  <c:v>321.17855810560212</c:v>
                </c:pt>
                <c:pt idx="139">
                  <c:v>322.44921743631573</c:v>
                </c:pt>
                <c:pt idx="140">
                  <c:v>327.74627051484833</c:v>
                </c:pt>
                <c:pt idx="141">
                  <c:v>330.28173875660036</c:v>
                </c:pt>
                <c:pt idx="142">
                  <c:v>331.16788370186214</c:v>
                </c:pt>
                <c:pt idx="143">
                  <c:v>331.45600913803713</c:v>
                </c:pt>
                <c:pt idx="144">
                  <c:v>331.68057883387502</c:v>
                </c:pt>
                <c:pt idx="145">
                  <c:v>332.84289509570675</c:v>
                </c:pt>
                <c:pt idx="146">
                  <c:v>335.5792910616359</c:v>
                </c:pt>
                <c:pt idx="147">
                  <c:v>336.51458842202231</c:v>
                </c:pt>
                <c:pt idx="148">
                  <c:v>337.26979633698426</c:v>
                </c:pt>
                <c:pt idx="149">
                  <c:v>337.37283421435922</c:v>
                </c:pt>
                <c:pt idx="150">
                  <c:v>339.05956580121119</c:v>
                </c:pt>
                <c:pt idx="151">
                  <c:v>342.72265343654033</c:v>
                </c:pt>
                <c:pt idx="152">
                  <c:v>344.43015014304427</c:v>
                </c:pt>
                <c:pt idx="153">
                  <c:v>344.9690636647224</c:v>
                </c:pt>
                <c:pt idx="154">
                  <c:v>346.98216673790836</c:v>
                </c:pt>
                <c:pt idx="155">
                  <c:v>348.42863443645496</c:v>
                </c:pt>
                <c:pt idx="156">
                  <c:v>348.42863443645496</c:v>
                </c:pt>
                <c:pt idx="157">
                  <c:v>348.55052493911796</c:v>
                </c:pt>
                <c:pt idx="158">
                  <c:v>350.06108586622827</c:v>
                </c:pt>
                <c:pt idx="159">
                  <c:v>352.91746102732577</c:v>
                </c:pt>
                <c:pt idx="160">
                  <c:v>354.04440425388259</c:v>
                </c:pt>
                <c:pt idx="161">
                  <c:v>354.98861114809824</c:v>
                </c:pt>
                <c:pt idx="162">
                  <c:v>356.29912271937235</c:v>
                </c:pt>
                <c:pt idx="163">
                  <c:v>356.61461531543921</c:v>
                </c:pt>
                <c:pt idx="164">
                  <c:v>356.72947037746144</c:v>
                </c:pt>
                <c:pt idx="165">
                  <c:v>358.01858384104548</c:v>
                </c:pt>
                <c:pt idx="166">
                  <c:v>358.03033173626176</c:v>
                </c:pt>
                <c:pt idx="167">
                  <c:v>358.18560283868482</c:v>
                </c:pt>
                <c:pt idx="168">
                  <c:v>359.93860091555808</c:v>
                </c:pt>
                <c:pt idx="169">
                  <c:v>360.87877992501086</c:v>
                </c:pt>
                <c:pt idx="170">
                  <c:v>362.90993996505267</c:v>
                </c:pt>
                <c:pt idx="171">
                  <c:v>363.71243269740955</c:v>
                </c:pt>
                <c:pt idx="172">
                  <c:v>365.51926972790585</c:v>
                </c:pt>
                <c:pt idx="173">
                  <c:v>365.71209899802153</c:v>
                </c:pt>
                <c:pt idx="174">
                  <c:v>367.52871694277394</c:v>
                </c:pt>
                <c:pt idx="175">
                  <c:v>368.57419106057853</c:v>
                </c:pt>
                <c:pt idx="176">
                  <c:v>371.40388008146624</c:v>
                </c:pt>
                <c:pt idx="177">
                  <c:v>375.89512613059429</c:v>
                </c:pt>
                <c:pt idx="178">
                  <c:v>377.73004986247145</c:v>
                </c:pt>
                <c:pt idx="179">
                  <c:v>379.97857851126594</c:v>
                </c:pt>
                <c:pt idx="180">
                  <c:v>379.97857851126594</c:v>
                </c:pt>
                <c:pt idx="181">
                  <c:v>380.76009433432432</c:v>
                </c:pt>
                <c:pt idx="182">
                  <c:v>380.76009433432432</c:v>
                </c:pt>
                <c:pt idx="183">
                  <c:v>380.76009433432432</c:v>
                </c:pt>
                <c:pt idx="184">
                  <c:v>381.73175443549184</c:v>
                </c:pt>
                <c:pt idx="185">
                  <c:v>383.25479537063563</c:v>
                </c:pt>
                <c:pt idx="186">
                  <c:v>384.94736344557714</c:v>
                </c:pt>
                <c:pt idx="187">
                  <c:v>384.94736344557714</c:v>
                </c:pt>
                <c:pt idx="188">
                  <c:v>386.90419226189931</c:v>
                </c:pt>
                <c:pt idx="189">
                  <c:v>388.86838136408744</c:v>
                </c:pt>
                <c:pt idx="190">
                  <c:v>391.62223744965092</c:v>
                </c:pt>
                <c:pt idx="191">
                  <c:v>394.37547077974511</c:v>
                </c:pt>
                <c:pt idx="192">
                  <c:v>394.4770314091229</c:v>
                </c:pt>
                <c:pt idx="193">
                  <c:v>394.67110907100334</c:v>
                </c:pt>
                <c:pt idx="194">
                  <c:v>395.34299614115378</c:v>
                </c:pt>
                <c:pt idx="195">
                  <c:v>395.34299614115378</c:v>
                </c:pt>
                <c:pt idx="196">
                  <c:v>395.34299614115378</c:v>
                </c:pt>
                <c:pt idx="197">
                  <c:v>395.34299614115378</c:v>
                </c:pt>
                <c:pt idx="198">
                  <c:v>395.34299614115378</c:v>
                </c:pt>
                <c:pt idx="199">
                  <c:v>395.34299614115378</c:v>
                </c:pt>
                <c:pt idx="200">
                  <c:v>395.34299614115378</c:v>
                </c:pt>
                <c:pt idx="201">
                  <c:v>395.34299614115378</c:v>
                </c:pt>
                <c:pt idx="202">
                  <c:v>395.34299614115378</c:v>
                </c:pt>
                <c:pt idx="203">
                  <c:v>395.34299614115378</c:v>
                </c:pt>
                <c:pt idx="204">
                  <c:v>395.34299614115378</c:v>
                </c:pt>
                <c:pt idx="205">
                  <c:v>395.34299614115378</c:v>
                </c:pt>
                <c:pt idx="206">
                  <c:v>395.34299614115378</c:v>
                </c:pt>
                <c:pt idx="207">
                  <c:v>395.34299614115378</c:v>
                </c:pt>
                <c:pt idx="208">
                  <c:v>395.34299614115378</c:v>
                </c:pt>
                <c:pt idx="209">
                  <c:v>395.34299614115378</c:v>
                </c:pt>
                <c:pt idx="210">
                  <c:v>395.34299614115378</c:v>
                </c:pt>
                <c:pt idx="211">
                  <c:v>395.34299614115378</c:v>
                </c:pt>
                <c:pt idx="212">
                  <c:v>395.34299614115378</c:v>
                </c:pt>
                <c:pt idx="213">
                  <c:v>395.34299614115378</c:v>
                </c:pt>
                <c:pt idx="214">
                  <c:v>395.34299614115378</c:v>
                </c:pt>
                <c:pt idx="215">
                  <c:v>395.34299614115378</c:v>
                </c:pt>
                <c:pt idx="216">
                  <c:v>395.34299614115378</c:v>
                </c:pt>
                <c:pt idx="217">
                  <c:v>395.34299614115378</c:v>
                </c:pt>
                <c:pt idx="218">
                  <c:v>395.34299614115378</c:v>
                </c:pt>
                <c:pt idx="219">
                  <c:v>395.34299614115378</c:v>
                </c:pt>
                <c:pt idx="220">
                  <c:v>395.34299614115378</c:v>
                </c:pt>
                <c:pt idx="221">
                  <c:v>395.34299614115378</c:v>
                </c:pt>
                <c:pt idx="222">
                  <c:v>395.34299614115378</c:v>
                </c:pt>
                <c:pt idx="223">
                  <c:v>395.34299614115378</c:v>
                </c:pt>
                <c:pt idx="224">
                  <c:v>395.34299614115378</c:v>
                </c:pt>
                <c:pt idx="225">
                  <c:v>395.34299614115378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44293</c:v>
                </c:pt>
                <c:pt idx="1">
                  <c:v>44294</c:v>
                </c:pt>
                <c:pt idx="2">
                  <c:v>44295</c:v>
                </c:pt>
                <c:pt idx="3">
                  <c:v>44296</c:v>
                </c:pt>
                <c:pt idx="4">
                  <c:v>44297</c:v>
                </c:pt>
                <c:pt idx="5">
                  <c:v>44298</c:v>
                </c:pt>
                <c:pt idx="6">
                  <c:v>44299</c:v>
                </c:pt>
                <c:pt idx="7">
                  <c:v>44300</c:v>
                </c:pt>
                <c:pt idx="8">
                  <c:v>44301</c:v>
                </c:pt>
                <c:pt idx="9">
                  <c:v>44302</c:v>
                </c:pt>
                <c:pt idx="10">
                  <c:v>44303</c:v>
                </c:pt>
                <c:pt idx="11">
                  <c:v>44304</c:v>
                </c:pt>
                <c:pt idx="12">
                  <c:v>44305</c:v>
                </c:pt>
                <c:pt idx="13">
                  <c:v>44306</c:v>
                </c:pt>
                <c:pt idx="14">
                  <c:v>44307</c:v>
                </c:pt>
                <c:pt idx="15">
                  <c:v>44308</c:v>
                </c:pt>
                <c:pt idx="16">
                  <c:v>44309</c:v>
                </c:pt>
                <c:pt idx="17">
                  <c:v>44310</c:v>
                </c:pt>
                <c:pt idx="18">
                  <c:v>44311</c:v>
                </c:pt>
                <c:pt idx="19">
                  <c:v>44312</c:v>
                </c:pt>
                <c:pt idx="20">
                  <c:v>44313</c:v>
                </c:pt>
                <c:pt idx="21">
                  <c:v>44314</c:v>
                </c:pt>
                <c:pt idx="22">
                  <c:v>44315</c:v>
                </c:pt>
                <c:pt idx="23">
                  <c:v>44316</c:v>
                </c:pt>
                <c:pt idx="24">
                  <c:v>44317</c:v>
                </c:pt>
                <c:pt idx="25">
                  <c:v>44318</c:v>
                </c:pt>
                <c:pt idx="26">
                  <c:v>44319</c:v>
                </c:pt>
                <c:pt idx="27">
                  <c:v>44320</c:v>
                </c:pt>
                <c:pt idx="28">
                  <c:v>44321</c:v>
                </c:pt>
                <c:pt idx="29">
                  <c:v>44322</c:v>
                </c:pt>
                <c:pt idx="30">
                  <c:v>44323</c:v>
                </c:pt>
                <c:pt idx="31">
                  <c:v>44324</c:v>
                </c:pt>
                <c:pt idx="32">
                  <c:v>44325</c:v>
                </c:pt>
                <c:pt idx="33">
                  <c:v>44326</c:v>
                </c:pt>
                <c:pt idx="34">
                  <c:v>44327</c:v>
                </c:pt>
                <c:pt idx="35">
                  <c:v>44328</c:v>
                </c:pt>
                <c:pt idx="36">
                  <c:v>44329</c:v>
                </c:pt>
                <c:pt idx="37">
                  <c:v>44330</c:v>
                </c:pt>
                <c:pt idx="38">
                  <c:v>44331</c:v>
                </c:pt>
                <c:pt idx="39">
                  <c:v>44332</c:v>
                </c:pt>
                <c:pt idx="40">
                  <c:v>44333</c:v>
                </c:pt>
                <c:pt idx="41">
                  <c:v>44334</c:v>
                </c:pt>
                <c:pt idx="42">
                  <c:v>44335</c:v>
                </c:pt>
                <c:pt idx="43">
                  <c:v>44336</c:v>
                </c:pt>
                <c:pt idx="44">
                  <c:v>44337</c:v>
                </c:pt>
                <c:pt idx="45">
                  <c:v>44338</c:v>
                </c:pt>
                <c:pt idx="46">
                  <c:v>44339</c:v>
                </c:pt>
                <c:pt idx="47">
                  <c:v>44340</c:v>
                </c:pt>
                <c:pt idx="48">
                  <c:v>44341</c:v>
                </c:pt>
                <c:pt idx="49">
                  <c:v>44342</c:v>
                </c:pt>
                <c:pt idx="50">
                  <c:v>44343</c:v>
                </c:pt>
                <c:pt idx="51">
                  <c:v>44344</c:v>
                </c:pt>
                <c:pt idx="52">
                  <c:v>44345</c:v>
                </c:pt>
                <c:pt idx="53">
                  <c:v>44346</c:v>
                </c:pt>
                <c:pt idx="54">
                  <c:v>44347</c:v>
                </c:pt>
                <c:pt idx="55">
                  <c:v>44348</c:v>
                </c:pt>
                <c:pt idx="56">
                  <c:v>44349</c:v>
                </c:pt>
                <c:pt idx="57">
                  <c:v>44350</c:v>
                </c:pt>
                <c:pt idx="58">
                  <c:v>44351</c:v>
                </c:pt>
                <c:pt idx="59">
                  <c:v>44352</c:v>
                </c:pt>
                <c:pt idx="60">
                  <c:v>44353</c:v>
                </c:pt>
                <c:pt idx="61">
                  <c:v>44354</c:v>
                </c:pt>
                <c:pt idx="62">
                  <c:v>44355</c:v>
                </c:pt>
                <c:pt idx="63">
                  <c:v>44356</c:v>
                </c:pt>
                <c:pt idx="64">
                  <c:v>44357</c:v>
                </c:pt>
                <c:pt idx="65">
                  <c:v>44358</c:v>
                </c:pt>
                <c:pt idx="66">
                  <c:v>44359</c:v>
                </c:pt>
                <c:pt idx="67">
                  <c:v>44360</c:v>
                </c:pt>
                <c:pt idx="68">
                  <c:v>44361</c:v>
                </c:pt>
                <c:pt idx="69">
                  <c:v>44362</c:v>
                </c:pt>
                <c:pt idx="70">
                  <c:v>44363</c:v>
                </c:pt>
                <c:pt idx="71">
                  <c:v>44364</c:v>
                </c:pt>
                <c:pt idx="72">
                  <c:v>44365</c:v>
                </c:pt>
                <c:pt idx="73">
                  <c:v>44366</c:v>
                </c:pt>
                <c:pt idx="74">
                  <c:v>44367</c:v>
                </c:pt>
                <c:pt idx="75">
                  <c:v>44368</c:v>
                </c:pt>
                <c:pt idx="76">
                  <c:v>44369</c:v>
                </c:pt>
                <c:pt idx="77">
                  <c:v>44370</c:v>
                </c:pt>
                <c:pt idx="78">
                  <c:v>44371</c:v>
                </c:pt>
                <c:pt idx="79">
                  <c:v>44372</c:v>
                </c:pt>
                <c:pt idx="80">
                  <c:v>44373</c:v>
                </c:pt>
                <c:pt idx="81">
                  <c:v>44374</c:v>
                </c:pt>
                <c:pt idx="82">
                  <c:v>44375</c:v>
                </c:pt>
                <c:pt idx="83">
                  <c:v>44376</c:v>
                </c:pt>
                <c:pt idx="84">
                  <c:v>44377</c:v>
                </c:pt>
                <c:pt idx="85">
                  <c:v>44378</c:v>
                </c:pt>
                <c:pt idx="86">
                  <c:v>44379</c:v>
                </c:pt>
                <c:pt idx="87">
                  <c:v>44380</c:v>
                </c:pt>
                <c:pt idx="88">
                  <c:v>44381</c:v>
                </c:pt>
                <c:pt idx="89">
                  <c:v>44382</c:v>
                </c:pt>
                <c:pt idx="90">
                  <c:v>44383</c:v>
                </c:pt>
                <c:pt idx="91">
                  <c:v>44384</c:v>
                </c:pt>
                <c:pt idx="92">
                  <c:v>44385</c:v>
                </c:pt>
                <c:pt idx="93">
                  <c:v>44386</c:v>
                </c:pt>
                <c:pt idx="94">
                  <c:v>44387</c:v>
                </c:pt>
                <c:pt idx="95">
                  <c:v>44388</c:v>
                </c:pt>
                <c:pt idx="96">
                  <c:v>44389</c:v>
                </c:pt>
                <c:pt idx="97">
                  <c:v>44390</c:v>
                </c:pt>
                <c:pt idx="98">
                  <c:v>44391</c:v>
                </c:pt>
                <c:pt idx="99">
                  <c:v>44392</c:v>
                </c:pt>
                <c:pt idx="100">
                  <c:v>44393</c:v>
                </c:pt>
                <c:pt idx="101">
                  <c:v>44394</c:v>
                </c:pt>
                <c:pt idx="102">
                  <c:v>44395</c:v>
                </c:pt>
                <c:pt idx="103">
                  <c:v>44396</c:v>
                </c:pt>
                <c:pt idx="104">
                  <c:v>44397</c:v>
                </c:pt>
                <c:pt idx="105">
                  <c:v>44398</c:v>
                </c:pt>
                <c:pt idx="106">
                  <c:v>44399</c:v>
                </c:pt>
                <c:pt idx="107">
                  <c:v>44400</c:v>
                </c:pt>
                <c:pt idx="108">
                  <c:v>44401</c:v>
                </c:pt>
                <c:pt idx="109">
                  <c:v>44402</c:v>
                </c:pt>
                <c:pt idx="110">
                  <c:v>44403</c:v>
                </c:pt>
                <c:pt idx="111">
                  <c:v>44404</c:v>
                </c:pt>
                <c:pt idx="112">
                  <c:v>44405</c:v>
                </c:pt>
                <c:pt idx="113">
                  <c:v>44406</c:v>
                </c:pt>
                <c:pt idx="114">
                  <c:v>44407</c:v>
                </c:pt>
                <c:pt idx="115">
                  <c:v>44408</c:v>
                </c:pt>
                <c:pt idx="116">
                  <c:v>44409</c:v>
                </c:pt>
                <c:pt idx="117">
                  <c:v>44410</c:v>
                </c:pt>
                <c:pt idx="118">
                  <c:v>44411</c:v>
                </c:pt>
                <c:pt idx="119">
                  <c:v>44412</c:v>
                </c:pt>
                <c:pt idx="120">
                  <c:v>44413</c:v>
                </c:pt>
                <c:pt idx="121">
                  <c:v>44414</c:v>
                </c:pt>
                <c:pt idx="122">
                  <c:v>44415</c:v>
                </c:pt>
                <c:pt idx="123">
                  <c:v>44416</c:v>
                </c:pt>
                <c:pt idx="124">
                  <c:v>44417</c:v>
                </c:pt>
                <c:pt idx="125">
                  <c:v>44418</c:v>
                </c:pt>
                <c:pt idx="126">
                  <c:v>44419</c:v>
                </c:pt>
                <c:pt idx="127">
                  <c:v>44420</c:v>
                </c:pt>
                <c:pt idx="128">
                  <c:v>44421</c:v>
                </c:pt>
                <c:pt idx="129">
                  <c:v>44422</c:v>
                </c:pt>
                <c:pt idx="130">
                  <c:v>44423</c:v>
                </c:pt>
                <c:pt idx="131">
                  <c:v>44424</c:v>
                </c:pt>
                <c:pt idx="132">
                  <c:v>44425</c:v>
                </c:pt>
                <c:pt idx="133">
                  <c:v>44426</c:v>
                </c:pt>
                <c:pt idx="134">
                  <c:v>44427</c:v>
                </c:pt>
                <c:pt idx="135">
                  <c:v>44428</c:v>
                </c:pt>
                <c:pt idx="136">
                  <c:v>44429</c:v>
                </c:pt>
                <c:pt idx="137">
                  <c:v>44430</c:v>
                </c:pt>
                <c:pt idx="138">
                  <c:v>44431</c:v>
                </c:pt>
                <c:pt idx="139">
                  <c:v>44432</c:v>
                </c:pt>
                <c:pt idx="140">
                  <c:v>44433</c:v>
                </c:pt>
                <c:pt idx="141">
                  <c:v>44434</c:v>
                </c:pt>
                <c:pt idx="142">
                  <c:v>44435</c:v>
                </c:pt>
                <c:pt idx="143">
                  <c:v>44436</c:v>
                </c:pt>
                <c:pt idx="144">
                  <c:v>44437</c:v>
                </c:pt>
                <c:pt idx="145">
                  <c:v>44438</c:v>
                </c:pt>
                <c:pt idx="146">
                  <c:v>44439</c:v>
                </c:pt>
                <c:pt idx="147">
                  <c:v>44440</c:v>
                </c:pt>
                <c:pt idx="148">
                  <c:v>44441</c:v>
                </c:pt>
                <c:pt idx="149">
                  <c:v>44442</c:v>
                </c:pt>
                <c:pt idx="150">
                  <c:v>44443</c:v>
                </c:pt>
                <c:pt idx="151">
                  <c:v>44444</c:v>
                </c:pt>
                <c:pt idx="152">
                  <c:v>44445</c:v>
                </c:pt>
                <c:pt idx="153">
                  <c:v>44446</c:v>
                </c:pt>
                <c:pt idx="154">
                  <c:v>44447</c:v>
                </c:pt>
                <c:pt idx="155">
                  <c:v>44448</c:v>
                </c:pt>
                <c:pt idx="156">
                  <c:v>44449</c:v>
                </c:pt>
                <c:pt idx="157">
                  <c:v>44450</c:v>
                </c:pt>
                <c:pt idx="158">
                  <c:v>44451</c:v>
                </c:pt>
                <c:pt idx="159">
                  <c:v>44452</c:v>
                </c:pt>
                <c:pt idx="160">
                  <c:v>44453</c:v>
                </c:pt>
                <c:pt idx="161">
                  <c:v>44454</c:v>
                </c:pt>
                <c:pt idx="162">
                  <c:v>44455</c:v>
                </c:pt>
                <c:pt idx="163">
                  <c:v>44456</c:v>
                </c:pt>
                <c:pt idx="164">
                  <c:v>44457</c:v>
                </c:pt>
                <c:pt idx="165">
                  <c:v>44458</c:v>
                </c:pt>
                <c:pt idx="166">
                  <c:v>44459</c:v>
                </c:pt>
                <c:pt idx="167">
                  <c:v>44460</c:v>
                </c:pt>
                <c:pt idx="168">
                  <c:v>44461</c:v>
                </c:pt>
                <c:pt idx="169">
                  <c:v>44462</c:v>
                </c:pt>
                <c:pt idx="170">
                  <c:v>44463</c:v>
                </c:pt>
                <c:pt idx="171">
                  <c:v>44464</c:v>
                </c:pt>
                <c:pt idx="172">
                  <c:v>44465</c:v>
                </c:pt>
                <c:pt idx="173">
                  <c:v>44466</c:v>
                </c:pt>
                <c:pt idx="174">
                  <c:v>44467</c:v>
                </c:pt>
                <c:pt idx="175">
                  <c:v>44468</c:v>
                </c:pt>
                <c:pt idx="176">
                  <c:v>44469</c:v>
                </c:pt>
                <c:pt idx="177">
                  <c:v>44470</c:v>
                </c:pt>
                <c:pt idx="178">
                  <c:v>44471</c:v>
                </c:pt>
                <c:pt idx="179">
                  <c:v>44472</c:v>
                </c:pt>
                <c:pt idx="180">
                  <c:v>44473</c:v>
                </c:pt>
                <c:pt idx="181">
                  <c:v>44474</c:v>
                </c:pt>
                <c:pt idx="182">
                  <c:v>44475</c:v>
                </c:pt>
                <c:pt idx="183">
                  <c:v>44476</c:v>
                </c:pt>
                <c:pt idx="184">
                  <c:v>44477</c:v>
                </c:pt>
                <c:pt idx="185">
                  <c:v>44478</c:v>
                </c:pt>
                <c:pt idx="186">
                  <c:v>44479</c:v>
                </c:pt>
                <c:pt idx="187">
                  <c:v>44480</c:v>
                </c:pt>
                <c:pt idx="188">
                  <c:v>44481</c:v>
                </c:pt>
                <c:pt idx="189">
                  <c:v>44482</c:v>
                </c:pt>
                <c:pt idx="190">
                  <c:v>44483</c:v>
                </c:pt>
                <c:pt idx="191">
                  <c:v>44484</c:v>
                </c:pt>
                <c:pt idx="192">
                  <c:v>44485</c:v>
                </c:pt>
                <c:pt idx="193">
                  <c:v>44486</c:v>
                </c:pt>
                <c:pt idx="194">
                  <c:v>44487</c:v>
                </c:pt>
                <c:pt idx="195">
                  <c:v>44488</c:v>
                </c:pt>
                <c:pt idx="196">
                  <c:v>44489</c:v>
                </c:pt>
                <c:pt idx="197">
                  <c:v>44490</c:v>
                </c:pt>
                <c:pt idx="198">
                  <c:v>44491</c:v>
                </c:pt>
                <c:pt idx="199">
                  <c:v>44492</c:v>
                </c:pt>
                <c:pt idx="200">
                  <c:v>44493</c:v>
                </c:pt>
                <c:pt idx="201">
                  <c:v>44494</c:v>
                </c:pt>
                <c:pt idx="202">
                  <c:v>44495</c:v>
                </c:pt>
                <c:pt idx="203">
                  <c:v>44496</c:v>
                </c:pt>
                <c:pt idx="204">
                  <c:v>44497</c:v>
                </c:pt>
                <c:pt idx="205">
                  <c:v>44498</c:v>
                </c:pt>
                <c:pt idx="206">
                  <c:v>44499</c:v>
                </c:pt>
                <c:pt idx="207">
                  <c:v>44500</c:v>
                </c:pt>
                <c:pt idx="208">
                  <c:v>44501</c:v>
                </c:pt>
                <c:pt idx="209">
                  <c:v>44502</c:v>
                </c:pt>
                <c:pt idx="210">
                  <c:v>44503</c:v>
                </c:pt>
                <c:pt idx="211">
                  <c:v>44504</c:v>
                </c:pt>
                <c:pt idx="212">
                  <c:v>44505</c:v>
                </c:pt>
                <c:pt idx="213">
                  <c:v>44506</c:v>
                </c:pt>
                <c:pt idx="214">
                  <c:v>44507</c:v>
                </c:pt>
                <c:pt idx="215">
                  <c:v>44508</c:v>
                </c:pt>
                <c:pt idx="216">
                  <c:v>44509</c:v>
                </c:pt>
                <c:pt idx="217">
                  <c:v>44510</c:v>
                </c:pt>
                <c:pt idx="218">
                  <c:v>44511</c:v>
                </c:pt>
                <c:pt idx="219">
                  <c:v>44512</c:v>
                </c:pt>
                <c:pt idx="220">
                  <c:v>44513</c:v>
                </c:pt>
                <c:pt idx="221">
                  <c:v>44514</c:v>
                </c:pt>
                <c:pt idx="222">
                  <c:v>44515</c:v>
                </c:pt>
                <c:pt idx="223">
                  <c:v>44516</c:v>
                </c:pt>
                <c:pt idx="224">
                  <c:v>44517</c:v>
                </c:pt>
                <c:pt idx="225">
                  <c:v>44518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6.4484940328594503E-3</c:v>
                </c:pt>
                <c:pt idx="1">
                  <c:v>6.8957746132373102E-3</c:v>
                </c:pt>
                <c:pt idx="2">
                  <c:v>7.3648087702172802E-3</c:v>
                </c:pt>
                <c:pt idx="3">
                  <c:v>7.8623907742991894E-3</c:v>
                </c:pt>
                <c:pt idx="4">
                  <c:v>8.3837362767752999E-3</c:v>
                </c:pt>
                <c:pt idx="5">
                  <c:v>8.9414242834893205E-3</c:v>
                </c:pt>
                <c:pt idx="6">
                  <c:v>9.5459226981221904E-3</c:v>
                </c:pt>
                <c:pt idx="7">
                  <c:v>1.01779910348109E-2</c:v>
                </c:pt>
                <c:pt idx="8">
                  <c:v>1.0843148972378E-2</c:v>
                </c:pt>
                <c:pt idx="9">
                  <c:v>1.15751691466103E-2</c:v>
                </c:pt>
                <c:pt idx="10">
                  <c:v>1.23430566292609E-2</c:v>
                </c:pt>
                <c:pt idx="11">
                  <c:v>1.3161837502597201E-2</c:v>
                </c:pt>
                <c:pt idx="12">
                  <c:v>1.4020806208592499E-2</c:v>
                </c:pt>
                <c:pt idx="13">
                  <c:v>1.4948305672073199E-2</c:v>
                </c:pt>
                <c:pt idx="14">
                  <c:v>1.5926271459322499E-2</c:v>
                </c:pt>
                <c:pt idx="15">
                  <c:v>1.69154930753306E-2</c:v>
                </c:pt>
                <c:pt idx="16">
                  <c:v>1.7976194171586302E-2</c:v>
                </c:pt>
                <c:pt idx="17">
                  <c:v>1.9087229637925099E-2</c:v>
                </c:pt>
                <c:pt idx="18">
                  <c:v>2.0288802252282499E-2</c:v>
                </c:pt>
                <c:pt idx="19">
                  <c:v>2.15841806337164E-2</c:v>
                </c:pt>
                <c:pt idx="20">
                  <c:v>2.29976321302779E-2</c:v>
                </c:pt>
                <c:pt idx="21">
                  <c:v>2.4525883749929599E-2</c:v>
                </c:pt>
                <c:pt idx="22">
                  <c:v>2.6055362883660001E-2</c:v>
                </c:pt>
                <c:pt idx="23">
                  <c:v>2.76319096676115E-2</c:v>
                </c:pt>
                <c:pt idx="24">
                  <c:v>2.9308498574353001E-2</c:v>
                </c:pt>
                <c:pt idx="25">
                  <c:v>3.1070311257238799E-2</c:v>
                </c:pt>
                <c:pt idx="26">
                  <c:v>3.2919283125920101E-2</c:v>
                </c:pt>
                <c:pt idx="27">
                  <c:v>3.4834890306977603E-2</c:v>
                </c:pt>
                <c:pt idx="28">
                  <c:v>3.6869982359494201E-2</c:v>
                </c:pt>
                <c:pt idx="29">
                  <c:v>3.9044319503998302E-2</c:v>
                </c:pt>
                <c:pt idx="30">
                  <c:v>4.1287559599666603E-2</c:v>
                </c:pt>
                <c:pt idx="31">
                  <c:v>4.36070359713501E-2</c:v>
                </c:pt>
                <c:pt idx="32">
                  <c:v>4.5973073694949698E-2</c:v>
                </c:pt>
                <c:pt idx="33">
                  <c:v>4.8485537585833398E-2</c:v>
                </c:pt>
                <c:pt idx="34">
                  <c:v>5.1185282706039503E-2</c:v>
                </c:pt>
                <c:pt idx="35">
                  <c:v>5.4094719778392301E-2</c:v>
                </c:pt>
                <c:pt idx="36">
                  <c:v>5.7140526402338403E-2</c:v>
                </c:pt>
                <c:pt idx="37">
                  <c:v>6.0267301931348598E-2</c:v>
                </c:pt>
                <c:pt idx="38">
                  <c:v>6.3531833190759501E-2</c:v>
                </c:pt>
                <c:pt idx="39">
                  <c:v>6.6962052113499093E-2</c:v>
                </c:pt>
                <c:pt idx="40">
                  <c:v>7.0451593100273699E-2</c:v>
                </c:pt>
                <c:pt idx="41">
                  <c:v>7.4066498948259799E-2</c:v>
                </c:pt>
                <c:pt idx="42">
                  <c:v>7.7995467959550993E-2</c:v>
                </c:pt>
                <c:pt idx="43">
                  <c:v>8.2096881534035507E-2</c:v>
                </c:pt>
                <c:pt idx="44">
                  <c:v>8.6485011240795301E-2</c:v>
                </c:pt>
                <c:pt idx="45">
                  <c:v>9.09004325337497E-2</c:v>
                </c:pt>
                <c:pt idx="46">
                  <c:v>9.5428161107773204E-2</c:v>
                </c:pt>
                <c:pt idx="47">
                  <c:v>0.10012620817722501</c:v>
                </c:pt>
                <c:pt idx="48">
                  <c:v>0.105134639202145</c:v>
                </c:pt>
                <c:pt idx="49">
                  <c:v>0.110522766604686</c:v>
                </c:pt>
                <c:pt idx="50">
                  <c:v>0.115881259967707</c:v>
                </c:pt>
                <c:pt idx="51">
                  <c:v>0.12113590394556099</c:v>
                </c:pt>
                <c:pt idx="52">
                  <c:v>0.12642086718262899</c:v>
                </c:pt>
                <c:pt idx="53">
                  <c:v>0.132042398075784</c:v>
                </c:pt>
                <c:pt idx="54">
                  <c:v>0.13772223647050799</c:v>
                </c:pt>
                <c:pt idx="55">
                  <c:v>0.14361633536369101</c:v>
                </c:pt>
                <c:pt idx="56">
                  <c:v>0.149632420781248</c:v>
                </c:pt>
                <c:pt idx="57">
                  <c:v>0.15555120567412201</c:v>
                </c:pt>
                <c:pt idx="58">
                  <c:v>0.16171905099676501</c:v>
                </c:pt>
                <c:pt idx="59">
                  <c:v>0.16815036742421199</c:v>
                </c:pt>
                <c:pt idx="60">
                  <c:v>0.17474120167076701</c:v>
                </c:pt>
                <c:pt idx="61">
                  <c:v>0.18159466938167701</c:v>
                </c:pt>
                <c:pt idx="62">
                  <c:v>0.18882661378152099</c:v>
                </c:pt>
                <c:pt idx="63">
                  <c:v>0.19652410958017499</c:v>
                </c:pt>
                <c:pt idx="64">
                  <c:v>0.20445519976130599</c:v>
                </c:pt>
                <c:pt idx="65">
                  <c:v>0.21264850681771699</c:v>
                </c:pt>
                <c:pt idx="66">
                  <c:v>0.22094252168714201</c:v>
                </c:pt>
                <c:pt idx="67">
                  <c:v>0.22931123211980101</c:v>
                </c:pt>
                <c:pt idx="68">
                  <c:v>0.23746590647697499</c:v>
                </c:pt>
                <c:pt idx="69">
                  <c:v>0.245850844908752</c:v>
                </c:pt>
                <c:pt idx="70">
                  <c:v>0.25397913329491401</c:v>
                </c:pt>
                <c:pt idx="71">
                  <c:v>0.26232527225108399</c:v>
                </c:pt>
                <c:pt idx="72">
                  <c:v>0.271254275842369</c:v>
                </c:pt>
                <c:pt idx="73">
                  <c:v>0.280065433732609</c:v>
                </c:pt>
                <c:pt idx="74">
                  <c:v>0.28916845673299602</c:v>
                </c:pt>
                <c:pt idx="75">
                  <c:v>0.29851937896882003</c:v>
                </c:pt>
                <c:pt idx="76">
                  <c:v>0.30772540960714401</c:v>
                </c:pt>
                <c:pt idx="77">
                  <c:v>0.316838694443627</c:v>
                </c:pt>
                <c:pt idx="78">
                  <c:v>0.32617389751277298</c:v>
                </c:pt>
                <c:pt idx="79">
                  <c:v>0.33577829496395101</c:v>
                </c:pt>
                <c:pt idx="80">
                  <c:v>0.34516125359990502</c:v>
                </c:pt>
                <c:pt idx="81">
                  <c:v>0.35473239887970398</c:v>
                </c:pt>
                <c:pt idx="82">
                  <c:v>0.36427798111954701</c:v>
                </c:pt>
                <c:pt idx="83">
                  <c:v>0.37400300121003399</c:v>
                </c:pt>
                <c:pt idx="84">
                  <c:v>0.38387878643887002</c:v>
                </c:pt>
                <c:pt idx="85">
                  <c:v>0.39325538979216401</c:v>
                </c:pt>
                <c:pt idx="86">
                  <c:v>0.40222745357890399</c:v>
                </c:pt>
                <c:pt idx="87">
                  <c:v>0.41136615023601503</c:v>
                </c:pt>
                <c:pt idx="88">
                  <c:v>0.42098668429854103</c:v>
                </c:pt>
                <c:pt idx="89">
                  <c:v>0.431104968157278</c:v>
                </c:pt>
                <c:pt idx="90">
                  <c:v>0.44120000730505299</c:v>
                </c:pt>
                <c:pt idx="91">
                  <c:v>0.45124789893641298</c:v>
                </c:pt>
                <c:pt idx="92">
                  <c:v>0.46100678214658602</c:v>
                </c:pt>
                <c:pt idx="93">
                  <c:v>0.47089584260421302</c:v>
                </c:pt>
                <c:pt idx="94">
                  <c:v>0.48015317493210202</c:v>
                </c:pt>
                <c:pt idx="95">
                  <c:v>0.48904098947246899</c:v>
                </c:pt>
                <c:pt idx="96">
                  <c:v>0.49817820350390901</c:v>
                </c:pt>
                <c:pt idx="97">
                  <c:v>0.507435592170148</c:v>
                </c:pt>
                <c:pt idx="98">
                  <c:v>0.51627022340289797</c:v>
                </c:pt>
                <c:pt idx="99">
                  <c:v>0.52588440480048204</c:v>
                </c:pt>
                <c:pt idx="100">
                  <c:v>0.53594966587454396</c:v>
                </c:pt>
                <c:pt idx="101">
                  <c:v>0.54569667688511903</c:v>
                </c:pt>
                <c:pt idx="102">
                  <c:v>0.55502052017153303</c:v>
                </c:pt>
                <c:pt idx="103">
                  <c:v>0.56413189160381605</c:v>
                </c:pt>
                <c:pt idx="104">
                  <c:v>0.573565167695963</c:v>
                </c:pt>
                <c:pt idx="105">
                  <c:v>0.58246002776958195</c:v>
                </c:pt>
                <c:pt idx="106">
                  <c:v>0.59173981856390401</c:v>
                </c:pt>
                <c:pt idx="107">
                  <c:v>0.60077095855335405</c:v>
                </c:pt>
                <c:pt idx="108">
                  <c:v>0.60969364090623002</c:v>
                </c:pt>
                <c:pt idx="109">
                  <c:v>0.61800884313889504</c:v>
                </c:pt>
                <c:pt idx="110">
                  <c:v>0.62611636721128205</c:v>
                </c:pt>
                <c:pt idx="111">
                  <c:v>0.63442471329678696</c:v>
                </c:pt>
                <c:pt idx="112">
                  <c:v>0.64264934452709599</c:v>
                </c:pt>
                <c:pt idx="113">
                  <c:v>0.65086399920962201</c:v>
                </c:pt>
                <c:pt idx="114">
                  <c:v>0.65890983713531504</c:v>
                </c:pt>
                <c:pt idx="115">
                  <c:v>0.66685383224356698</c:v>
                </c:pt>
                <c:pt idx="116">
                  <c:v>0.67465968692001399</c:v>
                </c:pt>
                <c:pt idx="117">
                  <c:v>0.68252767128041503</c:v>
                </c:pt>
                <c:pt idx="118">
                  <c:v>0.69015963886326603</c:v>
                </c:pt>
                <c:pt idx="119">
                  <c:v>0.697542622649028</c:v>
                </c:pt>
                <c:pt idx="120">
                  <c:v>0.70455184180080699</c:v>
                </c:pt>
                <c:pt idx="121">
                  <c:v>0.71133762753368401</c:v>
                </c:pt>
                <c:pt idx="122">
                  <c:v>0.71801215606060997</c:v>
                </c:pt>
                <c:pt idx="123">
                  <c:v>0.72450709222874399</c:v>
                </c:pt>
                <c:pt idx="124">
                  <c:v>0.73089834956517097</c:v>
                </c:pt>
                <c:pt idx="125">
                  <c:v>0.73698608114563102</c:v>
                </c:pt>
                <c:pt idx="126">
                  <c:v>0.74304232505520795</c:v>
                </c:pt>
                <c:pt idx="127">
                  <c:v>0.74877180224750495</c:v>
                </c:pt>
                <c:pt idx="128">
                  <c:v>0.75445259166636403</c:v>
                </c:pt>
                <c:pt idx="129">
                  <c:v>0.75989186497771499</c:v>
                </c:pt>
                <c:pt idx="130">
                  <c:v>0.76490059013335399</c:v>
                </c:pt>
                <c:pt idx="131">
                  <c:v>0.76977584920406406</c:v>
                </c:pt>
                <c:pt idx="132">
                  <c:v>0.77444928017050296</c:v>
                </c:pt>
                <c:pt idx="133">
                  <c:v>0.77898136041029398</c:v>
                </c:pt>
                <c:pt idx="134">
                  <c:v>0.78339806571221904</c:v>
                </c:pt>
                <c:pt idx="135">
                  <c:v>0.787794442342025</c:v>
                </c:pt>
                <c:pt idx="136">
                  <c:v>0.79216090133842698</c:v>
                </c:pt>
                <c:pt idx="137">
                  <c:v>0.79642755673857002</c:v>
                </c:pt>
                <c:pt idx="138">
                  <c:v>0.80063999238342798</c:v>
                </c:pt>
                <c:pt idx="139">
                  <c:v>0.80470580251883805</c:v>
                </c:pt>
                <c:pt idx="140">
                  <c:v>0.80869184133698502</c:v>
                </c:pt>
                <c:pt idx="141">
                  <c:v>0.81248088411101005</c:v>
                </c:pt>
                <c:pt idx="142">
                  <c:v>0.81612096566181502</c:v>
                </c:pt>
                <c:pt idx="143">
                  <c:v>0.81951913656215702</c:v>
                </c:pt>
                <c:pt idx="144">
                  <c:v>0.82278700630614798</c:v>
                </c:pt>
                <c:pt idx="145">
                  <c:v>0.82597377759058299</c:v>
                </c:pt>
                <c:pt idx="146">
                  <c:v>0.82905750485591301</c:v>
                </c:pt>
                <c:pt idx="147">
                  <c:v>0.83198347880750001</c:v>
                </c:pt>
                <c:pt idx="148">
                  <c:v>0.83481326979768</c:v>
                </c:pt>
                <c:pt idx="149">
                  <c:v>0.83767544588314002</c:v>
                </c:pt>
                <c:pt idx="150">
                  <c:v>0.84044604113575205</c:v>
                </c:pt>
                <c:pt idx="151">
                  <c:v>0.84314453023601899</c:v>
                </c:pt>
                <c:pt idx="152">
                  <c:v>0.84571749646368199</c:v>
                </c:pt>
                <c:pt idx="153">
                  <c:v>0.84812067435638805</c:v>
                </c:pt>
                <c:pt idx="154">
                  <c:v>0.85051165989522304</c:v>
                </c:pt>
                <c:pt idx="155">
                  <c:v>0.85272871810148498</c:v>
                </c:pt>
                <c:pt idx="156">
                  <c:v>0.85487979917747703</c:v>
                </c:pt>
                <c:pt idx="157">
                  <c:v>0.85696276038677699</c:v>
                </c:pt>
                <c:pt idx="158">
                  <c:v>0.85901950306115404</c:v>
                </c:pt>
                <c:pt idx="159">
                  <c:v>0.860942986649469</c:v>
                </c:pt>
                <c:pt idx="160">
                  <c:v>0.86280521618733097</c:v>
                </c:pt>
                <c:pt idx="161">
                  <c:v>0.86462732024975597</c:v>
                </c:pt>
                <c:pt idx="162">
                  <c:v>0.86638939643830004</c:v>
                </c:pt>
                <c:pt idx="163">
                  <c:v>0.86805465020570605</c:v>
                </c:pt>
                <c:pt idx="164">
                  <c:v>0.86961289122480101</c:v>
                </c:pt>
                <c:pt idx="165">
                  <c:v>0.87108659645692998</c:v>
                </c:pt>
                <c:pt idx="166">
                  <c:v>0.87248418497112701</c:v>
                </c:pt>
                <c:pt idx="167">
                  <c:v>0.87380619955356198</c:v>
                </c:pt>
                <c:pt idx="168">
                  <c:v>0.87508170573349797</c:v>
                </c:pt>
                <c:pt idx="169">
                  <c:v>0.87630889240921295</c:v>
                </c:pt>
                <c:pt idx="170">
                  <c:v>0.87751816108775405</c:v>
                </c:pt>
                <c:pt idx="171">
                  <c:v>0.87864136270885695</c:v>
                </c:pt>
                <c:pt idx="172">
                  <c:v>0.87970201902497902</c:v>
                </c:pt>
                <c:pt idx="173">
                  <c:v>0.88074117461272405</c:v>
                </c:pt>
                <c:pt idx="174">
                  <c:v>0.88175254659776503</c:v>
                </c:pt>
                <c:pt idx="175">
                  <c:v>0.88273626268511196</c:v>
                </c:pt>
                <c:pt idx="176">
                  <c:v>0.88366068555000599</c:v>
                </c:pt>
                <c:pt idx="177">
                  <c:v>0.88452036349047303</c:v>
                </c:pt>
                <c:pt idx="178">
                  <c:v>0.88533037965899397</c:v>
                </c:pt>
                <c:pt idx="179">
                  <c:v>0.88611630068356195</c:v>
                </c:pt>
                <c:pt idx="180">
                  <c:v>0.88683920820109496</c:v>
                </c:pt>
                <c:pt idx="181">
                  <c:v>0.88752634590614099</c:v>
                </c:pt>
                <c:pt idx="182">
                  <c:v>0.888184041363692</c:v>
                </c:pt>
                <c:pt idx="183">
                  <c:v>0.88879659451079596</c:v>
                </c:pt>
                <c:pt idx="184">
                  <c:v>0.88940958092424205</c:v>
                </c:pt>
                <c:pt idx="185">
                  <c:v>0.88999825452461001</c:v>
                </c:pt>
                <c:pt idx="186">
                  <c:v>0.89052543032668496</c:v>
                </c:pt>
                <c:pt idx="187">
                  <c:v>0.89103532016814602</c:v>
                </c:pt>
                <c:pt idx="188">
                  <c:v>0.89153624950366706</c:v>
                </c:pt>
                <c:pt idx="189">
                  <c:v>0.89200649625974804</c:v>
                </c:pt>
                <c:pt idx="190">
                  <c:v>0.89244068831966294</c:v>
                </c:pt>
                <c:pt idx="191">
                  <c:v>0.89284259435042301</c:v>
                </c:pt>
                <c:pt idx="192">
                  <c:v>0.89322491100428503</c:v>
                </c:pt>
                <c:pt idx="193">
                  <c:v>0.89360261039125299</c:v>
                </c:pt>
                <c:pt idx="194">
                  <c:v>0.89394701488051398</c:v>
                </c:pt>
                <c:pt idx="195">
                  <c:v>0.89426706066585504</c:v>
                </c:pt>
                <c:pt idx="196">
                  <c:v>0.89456747697335903</c:v>
                </c:pt>
                <c:pt idx="197">
                  <c:v>0.894862155875222</c:v>
                </c:pt>
                <c:pt idx="198">
                  <c:v>0.89514673095074704</c:v>
                </c:pt>
                <c:pt idx="199">
                  <c:v>0.89542272071540996</c:v>
                </c:pt>
                <c:pt idx="200">
                  <c:v>0.89567228156866097</c:v>
                </c:pt>
                <c:pt idx="201">
                  <c:v>0.89591609369882697</c:v>
                </c:pt>
                <c:pt idx="202">
                  <c:v>0.89615095008721202</c:v>
                </c:pt>
                <c:pt idx="203">
                  <c:v>0.89638391655096705</c:v>
                </c:pt>
                <c:pt idx="204">
                  <c:v>0.89659474053271304</c:v>
                </c:pt>
                <c:pt idx="205">
                  <c:v>0.89679353119945704</c:v>
                </c:pt>
                <c:pt idx="206">
                  <c:v>0.89698615422210803</c:v>
                </c:pt>
                <c:pt idx="207">
                  <c:v>0.89716499456139898</c:v>
                </c:pt>
                <c:pt idx="208">
                  <c:v>0.89732780052698602</c:v>
                </c:pt>
                <c:pt idx="209">
                  <c:v>0.89748188451283495</c:v>
                </c:pt>
                <c:pt idx="210">
                  <c:v>0.89762605714063504</c:v>
                </c:pt>
                <c:pt idx="211">
                  <c:v>0.89776395993087899</c:v>
                </c:pt>
                <c:pt idx="212">
                  <c:v>0.89789694589746805</c:v>
                </c:pt>
                <c:pt idx="213">
                  <c:v>0.89801877163465904</c:v>
                </c:pt>
                <c:pt idx="214">
                  <c:v>0.89813599272705602</c:v>
                </c:pt>
                <c:pt idx="215">
                  <c:v>0.89824822574445096</c:v>
                </c:pt>
                <c:pt idx="216">
                  <c:v>0.89835122391364397</c:v>
                </c:pt>
                <c:pt idx="217">
                  <c:v>0.89845047651994503</c:v>
                </c:pt>
                <c:pt idx="218">
                  <c:v>0.898544347436394</c:v>
                </c:pt>
                <c:pt idx="219">
                  <c:v>0.89863237681049002</c:v>
                </c:pt>
                <c:pt idx="220">
                  <c:v>0.89871384291710998</c:v>
                </c:pt>
                <c:pt idx="221">
                  <c:v>0.89879019911644398</c:v>
                </c:pt>
                <c:pt idx="222">
                  <c:v>0.89886373926119101</c:v>
                </c:pt>
                <c:pt idx="223">
                  <c:v>0.89893429199515895</c:v>
                </c:pt>
                <c:pt idx="224">
                  <c:v>0.89899883649354795</c:v>
                </c:pt>
                <c:pt idx="225">
                  <c:v>0.89905801275835695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662"/>
  <sheetViews>
    <sheetView tabSelected="1" topLeftCell="C1" zoomScale="110" zoomScaleNormal="110" workbookViewId="0">
      <selection activeCell="H11" sqref="H11"/>
    </sheetView>
  </sheetViews>
  <sheetFormatPr defaultRowHeight="15" x14ac:dyDescent="0.25"/>
  <cols>
    <col min="1" max="1" width="9.140625" style="60" hidden="1" customWidth="1"/>
    <col min="2" max="2" width="10.28515625" style="60" hidden="1" customWidth="1"/>
    <col min="3" max="3" width="30.140625" style="62" customWidth="1"/>
    <col min="4" max="4" width="26.42578125" style="62" bestFit="1" customWidth="1"/>
    <col min="5" max="5" width="18.42578125" style="62" customWidth="1"/>
    <col min="6" max="6" width="20.42578125" style="62" bestFit="1" customWidth="1"/>
    <col min="7" max="8" width="17.42578125" style="62" bestFit="1" customWidth="1"/>
    <col min="9" max="10" width="22.5703125" style="121" bestFit="1" customWidth="1"/>
    <col min="11" max="15" width="9.140625" style="121"/>
    <col min="16" max="16" width="4.42578125" style="121" customWidth="1"/>
    <col min="17" max="17" width="92.140625" style="62" customWidth="1"/>
    <col min="18" max="18" width="10.7109375" style="62" customWidth="1"/>
    <col min="19" max="22" width="9.140625" style="62" customWidth="1"/>
    <col min="23" max="26" width="9.140625" style="60" customWidth="1"/>
    <col min="27" max="27" width="10.85546875" style="60" bestFit="1" customWidth="1"/>
    <col min="28" max="16384" width="9.140625" style="60"/>
  </cols>
  <sheetData>
    <row r="1" spans="2:31" s="62" customFormat="1" ht="20.25" customHeight="1" x14ac:dyDescent="0.3">
      <c r="B1" s="62">
        <f>VLOOKUP(C1,ListMembers!U8:V10,2,FALSE)</f>
        <v>3</v>
      </c>
      <c r="C1" s="127" t="s">
        <v>193</v>
      </c>
      <c r="D1" s="148" t="s">
        <v>162</v>
      </c>
      <c r="E1" s="149"/>
      <c r="F1" s="149"/>
      <c r="G1" s="149"/>
      <c r="H1" s="150"/>
      <c r="I1" s="121"/>
      <c r="J1" s="121"/>
      <c r="K1" s="121"/>
      <c r="L1" s="121"/>
      <c r="M1" s="121"/>
      <c r="N1" s="121"/>
      <c r="O1" s="121"/>
      <c r="P1" s="121"/>
      <c r="W1" s="60"/>
      <c r="X1" s="60"/>
      <c r="Y1" s="60"/>
      <c r="Z1" s="60"/>
    </row>
    <row r="2" spans="2:31" s="62" customFormat="1" ht="47.25" customHeight="1" x14ac:dyDescent="0.25">
      <c r="C2" s="116"/>
      <c r="D2" s="151" t="s">
        <v>163</v>
      </c>
      <c r="E2" s="152"/>
      <c r="F2" s="152"/>
      <c r="G2" s="152"/>
      <c r="H2" s="153"/>
      <c r="I2" s="121"/>
      <c r="J2" s="121"/>
      <c r="K2" s="121"/>
      <c r="L2" s="121"/>
      <c r="M2" s="121"/>
      <c r="N2" s="121"/>
      <c r="O2" s="121"/>
      <c r="P2" s="121"/>
      <c r="W2" s="60"/>
      <c r="X2" s="60"/>
      <c r="Y2" s="60"/>
      <c r="Z2" s="60"/>
    </row>
    <row r="3" spans="2:31" s="61" customFormat="1" ht="15.75" thickBot="1" x14ac:dyDescent="0.3">
      <c r="B3" s="62"/>
      <c r="C3" s="138" t="s">
        <v>194</v>
      </c>
      <c r="D3" s="138"/>
      <c r="E3" s="138"/>
      <c r="F3" s="138"/>
      <c r="G3" s="139"/>
      <c r="H3" s="139"/>
      <c r="I3" s="121"/>
      <c r="J3" s="121"/>
      <c r="K3" s="121"/>
      <c r="L3" s="121"/>
      <c r="M3" s="121"/>
      <c r="N3" s="121"/>
      <c r="O3" s="121"/>
      <c r="P3" s="121"/>
      <c r="Q3" s="62"/>
      <c r="R3" s="62"/>
      <c r="S3" s="62"/>
      <c r="T3" s="62"/>
      <c r="U3" s="62"/>
      <c r="V3" s="62"/>
      <c r="W3" s="60"/>
      <c r="X3" s="60"/>
      <c r="Y3" s="60"/>
      <c r="Z3" s="60"/>
    </row>
    <row r="4" spans="2:31" s="62" customFormat="1" ht="15.75" x14ac:dyDescent="0.25">
      <c r="C4" s="118" t="s">
        <v>182</v>
      </c>
      <c r="D4" s="119" t="s">
        <v>9</v>
      </c>
      <c r="E4" s="65"/>
      <c r="F4" s="118" t="s">
        <v>202</v>
      </c>
      <c r="G4" s="95" t="str">
        <f>IF(H4="","Typical",H4)</f>
        <v>Dry</v>
      </c>
      <c r="H4" s="136" t="s">
        <v>206</v>
      </c>
      <c r="I4" s="121"/>
      <c r="J4" s="121"/>
      <c r="K4" s="121"/>
      <c r="L4" s="121"/>
      <c r="M4" s="121"/>
      <c r="N4" s="121"/>
      <c r="O4" s="121"/>
      <c r="P4" s="121"/>
      <c r="W4" s="60"/>
      <c r="X4" s="60"/>
      <c r="Y4" s="60"/>
      <c r="Z4" s="60"/>
    </row>
    <row r="5" spans="2:31" s="62" customFormat="1" ht="15.75" x14ac:dyDescent="0.25">
      <c r="C5" s="118" t="s">
        <v>30</v>
      </c>
      <c r="D5" s="120" t="s">
        <v>69</v>
      </c>
      <c r="E5" s="65"/>
      <c r="F5" s="118" t="s">
        <v>203</v>
      </c>
      <c r="G5" s="95" t="str">
        <f>IF(H5="","Typical",H5)</f>
        <v>Typical</v>
      </c>
      <c r="H5" s="136"/>
      <c r="I5" s="121"/>
      <c r="J5" s="121"/>
      <c r="K5" s="121"/>
      <c r="L5" s="121"/>
      <c r="M5" s="121"/>
      <c r="N5" s="121"/>
      <c r="O5" s="121"/>
      <c r="P5" s="121"/>
      <c r="W5" s="60"/>
      <c r="X5" s="60"/>
      <c r="Y5" s="60"/>
      <c r="Z5" s="60"/>
    </row>
    <row r="6" spans="2:31" s="62" customFormat="1" ht="15.75" x14ac:dyDescent="0.25">
      <c r="C6" s="118" t="s">
        <v>99</v>
      </c>
      <c r="D6" s="120" t="s">
        <v>64</v>
      </c>
      <c r="F6" s="118" t="s">
        <v>198</v>
      </c>
      <c r="G6" s="95" t="str">
        <f>IF(H6="","None",H6)</f>
        <v>None</v>
      </c>
      <c r="H6" s="129"/>
      <c r="I6" s="121"/>
      <c r="J6" s="121"/>
      <c r="K6" s="121"/>
      <c r="L6" s="121"/>
      <c r="M6" s="121"/>
      <c r="N6" s="121"/>
      <c r="O6" s="121"/>
      <c r="P6" s="121"/>
      <c r="W6" s="60"/>
      <c r="X6" s="60"/>
      <c r="Y6" s="60"/>
      <c r="Z6" s="60"/>
    </row>
    <row r="7" spans="2:31" s="62" customFormat="1" x14ac:dyDescent="0.25">
      <c r="C7" s="64" t="s">
        <v>100</v>
      </c>
      <c r="D7" s="94" t="str">
        <f>IF(E7="","General",E7)</f>
        <v>General</v>
      </c>
      <c r="E7" s="101"/>
      <c r="I7" s="121"/>
      <c r="J7" s="121"/>
      <c r="K7" s="121"/>
      <c r="L7" s="121"/>
      <c r="M7" s="121"/>
      <c r="N7" s="121"/>
      <c r="O7" s="121"/>
      <c r="P7" s="121"/>
      <c r="W7" s="60"/>
      <c r="X7" s="60"/>
      <c r="Y7" s="60"/>
      <c r="Z7" s="60"/>
    </row>
    <row r="8" spans="2:31" s="62" customFormat="1" x14ac:dyDescent="0.25">
      <c r="C8" s="73" t="s">
        <v>158</v>
      </c>
      <c r="D8" s="74" t="str">
        <f>CurrentCropName&amp;" "&amp;CurrentCropType&amp;" "&amp;CurrentCropVariety</f>
        <v>Carrot Vegetable General</v>
      </c>
      <c r="I8" s="121"/>
      <c r="J8" s="121"/>
      <c r="K8" s="121"/>
      <c r="L8" s="121"/>
      <c r="M8" s="121"/>
      <c r="N8" s="121"/>
      <c r="O8" s="121"/>
      <c r="P8" s="121"/>
      <c r="W8" s="60"/>
      <c r="X8" s="60"/>
      <c r="Y8" s="60"/>
      <c r="Z8" s="60"/>
    </row>
    <row r="9" spans="2:31" s="62" customFormat="1" x14ac:dyDescent="0.25">
      <c r="C9" s="64" t="s">
        <v>4</v>
      </c>
      <c r="D9" s="100">
        <f ca="1">IF(E9="",TODAY(),E9)</f>
        <v>44293</v>
      </c>
      <c r="E9" s="76">
        <v>44293</v>
      </c>
      <c r="F9" s="64" t="s">
        <v>153</v>
      </c>
      <c r="G9" s="94" t="str">
        <f>IF(H9="",VLOOKUP(CurrentCropNameFull,CropCoefficients,13,FALSE),H9)</f>
        <v>Seed</v>
      </c>
      <c r="H9" s="81"/>
      <c r="I9" s="121"/>
      <c r="J9" s="121"/>
      <c r="K9" s="121"/>
      <c r="L9" s="121"/>
      <c r="M9" s="121"/>
      <c r="N9" s="121"/>
      <c r="O9" s="121"/>
      <c r="P9" s="121"/>
      <c r="W9" s="60"/>
      <c r="X9" s="60"/>
      <c r="Y9" s="60"/>
      <c r="Z9" s="60"/>
    </row>
    <row r="10" spans="2:31" s="62" customFormat="1" x14ac:dyDescent="0.25">
      <c r="C10" s="64" t="s">
        <v>5</v>
      </c>
      <c r="D10" s="100">
        <f>IF(E10="",CurrentEstablishDate+125,E10)</f>
        <v>44518</v>
      </c>
      <c r="E10" s="76">
        <v>44518</v>
      </c>
      <c r="F10" s="64" t="s">
        <v>154</v>
      </c>
      <c r="G10" s="94" t="str">
        <f>IF(H10="",VLOOKUP(CurrentCropNameFull,CropCoefficients,15,FALSE),H10)</f>
        <v>EarlyReproductive</v>
      </c>
      <c r="H10" s="81"/>
      <c r="I10" s="121"/>
      <c r="J10" s="121"/>
      <c r="K10" s="121"/>
      <c r="L10" s="121"/>
      <c r="M10" s="121"/>
      <c r="N10" s="121"/>
      <c r="O10" s="121"/>
      <c r="P10" s="121"/>
      <c r="W10" s="60"/>
      <c r="X10" s="60"/>
      <c r="Y10" s="60"/>
      <c r="Z10" s="60"/>
    </row>
    <row r="11" spans="2:31" s="62" customFormat="1" x14ac:dyDescent="0.25">
      <c r="C11" s="64" t="s">
        <v>144</v>
      </c>
      <c r="D11" s="94" t="str">
        <f>IF(CurrentUnits="kg/head",IF(E11="",VLOOKUP(CurrentCropNameFull,CropCoefficients,20,FALSE),E11),"  -")</f>
        <v xml:space="preserve">  -</v>
      </c>
      <c r="E11" s="81"/>
      <c r="F11" s="64" t="s">
        <v>141</v>
      </c>
      <c r="G11" s="94">
        <f>IF(H11="",VLOOKUP(CurrentCropNameFull,CropCoefficients,23,FALSE),H11)</f>
        <v>0</v>
      </c>
      <c r="H11" s="81"/>
      <c r="I11" s="121"/>
      <c r="J11" s="121"/>
      <c r="K11" s="121"/>
      <c r="L11" s="121"/>
      <c r="M11" s="121"/>
      <c r="N11" s="121"/>
      <c r="O11" s="121"/>
      <c r="P11" s="121"/>
      <c r="W11" s="60"/>
      <c r="X11" s="60"/>
      <c r="Y11" s="60"/>
      <c r="Z11" s="60"/>
    </row>
    <row r="12" spans="2:31" s="62" customFormat="1" x14ac:dyDescent="0.25">
      <c r="C12" s="64" t="str">
        <f>"Yield ("&amp;CurrentUnits&amp;")"</f>
        <v>Yield (t/ha)</v>
      </c>
      <c r="D12" s="94">
        <f>IF(E12="",VLOOKUP(CurrentCropNameFull,CropCoefficients,17,FALSE),E12)</f>
        <v>100</v>
      </c>
      <c r="E12" s="78">
        <v>100</v>
      </c>
      <c r="F12" s="64" t="s">
        <v>143</v>
      </c>
      <c r="G12" s="94">
        <f>IF(H12="",VLOOKUP(CurrentCropNameFull,CropCoefficients,22,FALSE),H12)</f>
        <v>0</v>
      </c>
      <c r="H12" s="81"/>
      <c r="I12" s="121"/>
      <c r="J12" s="121"/>
      <c r="K12" s="121"/>
      <c r="L12" s="121"/>
      <c r="M12" s="121"/>
      <c r="N12" s="121"/>
      <c r="O12" s="121"/>
      <c r="P12" s="121"/>
      <c r="W12" s="60"/>
      <c r="X12" s="60"/>
      <c r="Y12" s="60"/>
      <c r="Z12" s="60"/>
    </row>
    <row r="13" spans="2:31" s="62" customFormat="1" x14ac:dyDescent="0.25">
      <c r="C13" s="64" t="s">
        <v>15</v>
      </c>
      <c r="D13" s="95" t="str">
        <f>IF(E13="",VLOOKUP(CurrentCropNameFull,CropCoefficients,18,FALSE),E13)</f>
        <v>t/ha</v>
      </c>
      <c r="E13" s="80"/>
      <c r="F13" s="64" t="s">
        <v>142</v>
      </c>
      <c r="G13" s="108">
        <f>IF(H13="",VLOOKUP(CurrentCropNameFull,CropCoefficients,26,FALSE),H13)</f>
        <v>88</v>
      </c>
      <c r="H13" s="81"/>
      <c r="I13" s="121"/>
      <c r="J13" s="121"/>
      <c r="K13" s="121"/>
      <c r="L13" s="121"/>
      <c r="M13" s="121"/>
      <c r="N13" s="121"/>
      <c r="O13" s="121"/>
      <c r="P13" s="121"/>
      <c r="W13" s="60"/>
      <c r="X13" s="60"/>
      <c r="Y13" s="60"/>
      <c r="Z13" s="60"/>
    </row>
    <row r="14" spans="2:31" s="62" customFormat="1" x14ac:dyDescent="0.25">
      <c r="B14" s="99">
        <f>IF(CurrentUnits="kg/head",CurrentYield*CurrentPopulation/1000,IF(CurrentUnits="kg/ha",CurrentYield/1000,CurrentYield))</f>
        <v>100</v>
      </c>
      <c r="C14" s="73" t="str">
        <f>"Yield "&amp;CurrentYield_tperHa&amp;" (t/ha)"</f>
        <v>Yield 100 (t/ha)</v>
      </c>
      <c r="D14" s="99" t="str">
        <f ca="1">"requires "&amp;ROUND(SUM('Model Interface'!V3:W3),0)&amp;" kg N/ha from all sources"</f>
        <v>requires 157 kg N/ha from all sources</v>
      </c>
      <c r="F14" s="64" t="s">
        <v>168</v>
      </c>
      <c r="G14" s="94" t="str">
        <f>IF(H14="","None removed",H14)</f>
        <v>None removed</v>
      </c>
      <c r="H14" s="81"/>
      <c r="I14" s="121"/>
      <c r="J14" s="121"/>
      <c r="K14" s="121"/>
      <c r="L14" s="121"/>
      <c r="M14" s="121"/>
      <c r="N14" s="121"/>
      <c r="O14" s="121"/>
      <c r="P14" s="121"/>
      <c r="R14" s="92">
        <f ca="1">MAX(PriorHarvestDate,MIN(C38,CurrentEstablishDate))</f>
        <v>44293</v>
      </c>
      <c r="W14" s="60"/>
      <c r="X14" s="60"/>
      <c r="Y14" s="60"/>
      <c r="Z14" s="60"/>
    </row>
    <row r="15" spans="2:31" s="62" customFormat="1" ht="16.5" thickBot="1" x14ac:dyDescent="0.3">
      <c r="B15" s="62">
        <f ca="1">SUMIF(B29:B43,1,G29:G43)</f>
        <v>80</v>
      </c>
      <c r="C15" s="122" t="s">
        <v>240</v>
      </c>
      <c r="D15" s="123" t="str">
        <f ca="1">SUMIF(B29:B43,1,G29:G43)&amp;" Kg/ha"</f>
        <v>80 Kg/ha</v>
      </c>
      <c r="E15" s="124" t="s">
        <v>197</v>
      </c>
      <c r="F15" s="64" t="s">
        <v>169</v>
      </c>
      <c r="G15" s="94" t="str">
        <f>IF(H15="","Full (Plough)",H15)</f>
        <v>Part (Cultivate)</v>
      </c>
      <c r="H15" s="81" t="s">
        <v>181</v>
      </c>
      <c r="I15" s="121"/>
      <c r="J15" s="121"/>
      <c r="K15" s="121"/>
      <c r="L15" s="121"/>
      <c r="M15" s="121"/>
      <c r="N15" s="121"/>
      <c r="O15" s="121"/>
      <c r="P15" s="121"/>
      <c r="R15" s="147" t="s">
        <v>243</v>
      </c>
      <c r="S15" s="147"/>
      <c r="T15" s="147"/>
      <c r="U15" s="147"/>
      <c r="V15" s="147"/>
      <c r="W15" s="145" t="s">
        <v>242</v>
      </c>
      <c r="X15" s="145"/>
      <c r="Y15" s="145"/>
      <c r="Z15" s="145"/>
      <c r="AA15" s="146" t="s">
        <v>244</v>
      </c>
      <c r="AB15" s="146"/>
      <c r="AC15" s="146"/>
      <c r="AD15" s="146"/>
      <c r="AE15" s="146"/>
    </row>
    <row r="16" spans="2:31" s="62" customFormat="1" ht="5.25" customHeight="1" x14ac:dyDescent="0.25">
      <c r="C16" s="68"/>
      <c r="D16" s="115"/>
      <c r="E16" s="68"/>
      <c r="I16" s="121"/>
      <c r="J16" s="121"/>
      <c r="K16" s="121"/>
      <c r="L16" s="121"/>
      <c r="M16" s="121"/>
      <c r="N16" s="121"/>
      <c r="O16" s="121"/>
      <c r="P16" s="121"/>
      <c r="W16" s="60"/>
      <c r="X16" s="60"/>
      <c r="Y16" s="60"/>
      <c r="Z16" s="60"/>
    </row>
    <row r="17" spans="1:31" s="61" customFormat="1" ht="15.75" thickBot="1" x14ac:dyDescent="0.3">
      <c r="A17" s="62"/>
      <c r="B17" s="62"/>
      <c r="C17" s="138" t="s">
        <v>195</v>
      </c>
      <c r="D17" s="138"/>
      <c r="E17" s="138"/>
      <c r="F17" s="138"/>
      <c r="G17" s="138"/>
      <c r="H17" s="138"/>
      <c r="I17" s="121"/>
      <c r="J17" s="121"/>
      <c r="K17" s="121"/>
      <c r="L17" s="121"/>
      <c r="M17" s="121"/>
      <c r="N17" s="121"/>
      <c r="O17" s="121"/>
      <c r="P17" s="121"/>
      <c r="Q17" s="62"/>
      <c r="R17" s="62" t="str">
        <f ca="1">'Model Interface'!P5</f>
        <v>Date</v>
      </c>
      <c r="S17" s="62"/>
      <c r="T17" s="62" t="s">
        <v>167</v>
      </c>
      <c r="U17" s="62" t="s">
        <v>166</v>
      </c>
      <c r="V17" s="62" t="s">
        <v>13</v>
      </c>
      <c r="W17" s="62" t="s">
        <v>215</v>
      </c>
      <c r="X17" s="62" t="s">
        <v>216</v>
      </c>
      <c r="Y17" s="62" t="s">
        <v>198</v>
      </c>
      <c r="Z17" s="62" t="s">
        <v>219</v>
      </c>
      <c r="AA17" s="62" t="s">
        <v>14</v>
      </c>
      <c r="AB17" s="62"/>
      <c r="AC17" s="62" t="s">
        <v>167</v>
      </c>
      <c r="AD17" s="62" t="s">
        <v>166</v>
      </c>
      <c r="AE17" s="62" t="s">
        <v>13</v>
      </c>
    </row>
    <row r="18" spans="1:31" s="62" customFormat="1" ht="5.25" customHeight="1" x14ac:dyDescent="0.25">
      <c r="F18" s="66"/>
      <c r="G18" s="66"/>
      <c r="H18" s="66"/>
      <c r="I18" s="121"/>
      <c r="J18" s="121"/>
      <c r="K18" s="121"/>
      <c r="L18" s="121"/>
      <c r="M18" s="121"/>
      <c r="N18" s="121"/>
      <c r="O18" s="121"/>
      <c r="P18" s="121"/>
      <c r="R18" s="92">
        <f t="array" aca="1" ref="R18:R662" ca="1">_xlfn._xlws.FILTER('Model Interface'!AD6:AD495,('Model Interface'!AD6:AD495&gt;=StartGraphDate)*('Model Interface'!AD6:AD495&lt;=CurrentHarvestDate),"")</f>
        <v>44293</v>
      </c>
      <c r="S18" s="62">
        <f ca="1">IF(R18&gt;1,R18,"")</f>
        <v>44293</v>
      </c>
      <c r="T18" s="62">
        <f t="shared" ref="T18:T81" ca="1" si="0">VLOOKUP(S18,ModelOutputs,2,FALSE)</f>
        <v>68.499465290509065</v>
      </c>
      <c r="U18" s="62">
        <f t="shared" ref="U18:U81" ca="1" si="1">VLOOKUP(S18,ModelOutputs,7,FALSE)</f>
        <v>3.7018063245480501</v>
      </c>
      <c r="V18" s="62">
        <f t="shared" ref="V18:V81" ca="1" si="2">VLOOKUP(S18,ModelOutputs,6,FALSE)</f>
        <v>0</v>
      </c>
      <c r="W18" s="60">
        <f t="shared" ref="W18:W81" ca="1" si="3">VLOOKUP(S18,ModelOutputs,10,FALSE)*AWC</f>
        <v>66.200133415602977</v>
      </c>
      <c r="X18" s="60">
        <f ca="1">VLOOKUP(S18,ModelOutputs,11,FALSE)</f>
        <v>0</v>
      </c>
      <c r="Y18" s="60">
        <f t="shared" ref="Y18:Y81" ca="1" si="4">VLOOKUP(S18,ModelOutputs,12,FALSE)</f>
        <v>0</v>
      </c>
      <c r="Z18" s="60">
        <f t="shared" ref="Z18:Z81" ca="1" si="5">VLOOKUP(S18,ModelOutputs,13,FALSE)</f>
        <v>6.4484940328594503E-3</v>
      </c>
      <c r="AA18" s="92">
        <f t="array" aca="1" ref="AA18:AA662" ca="1">_xlfn._xlws.FILTER('Model Interface'!AD6:AD999,('Model Interface'!AD6:AD999&gt;=CurrentHarvestDate+1)*('Model Interface'!AD6:AD999&lt;=FollowingHarvestDate),"")</f>
        <v>44519</v>
      </c>
      <c r="AB18" s="62">
        <f ca="1">IF(AA18&gt;1,AA18,"")</f>
        <v>44519</v>
      </c>
      <c r="AC18" s="62">
        <f t="shared" ref="AC18:AC20" ca="1" si="6">VLOOKUP(AB18,ModelOutputs,2,FALSE)</f>
        <v>34.976763746716621</v>
      </c>
      <c r="AD18" s="62">
        <f t="shared" ref="AD18:AD20" ca="1" si="7">VLOOKUP(AB18,ModelOutputs,7,FALSE)</f>
        <v>0</v>
      </c>
      <c r="AE18" s="62">
        <f t="shared" ref="AE18:AE20" ca="1" si="8">VLOOKUP(AB18,ModelOutputs,6,FALSE)</f>
        <v>0</v>
      </c>
    </row>
    <row r="19" spans="1:31" s="62" customFormat="1" x14ac:dyDescent="0.25">
      <c r="C19" s="64" t="s">
        <v>237</v>
      </c>
      <c r="D19" s="94">
        <f>IF(E19="",60,E19)</f>
        <v>38</v>
      </c>
      <c r="E19" s="18">
        <v>38</v>
      </c>
      <c r="F19" s="109" t="str">
        <f ca="1">ROUND('Model Interface'!T2,0)&amp;" kg N/ha available from SOM mineralisation"</f>
        <v>84 kg N/ha available from SOM mineralisation</v>
      </c>
      <c r="I19" s="121"/>
      <c r="J19" s="121"/>
      <c r="K19" s="121"/>
      <c r="L19" s="121"/>
      <c r="M19" s="121"/>
      <c r="N19" s="121"/>
      <c r="O19" s="121"/>
      <c r="P19" s="121"/>
      <c r="R19" s="92">
        <f ca="1"/>
        <v>44294</v>
      </c>
      <c r="S19" s="62">
        <f t="shared" ref="S19:S82" ca="1" si="9">IF(R19&gt;1,R19,"")</f>
        <v>44294</v>
      </c>
      <c r="T19" s="62">
        <f t="shared" ca="1" si="0"/>
        <v>68.702532657319537</v>
      </c>
      <c r="U19" s="62">
        <f t="shared" ca="1" si="1"/>
        <v>3.8157038080205701</v>
      </c>
      <c r="V19" s="62">
        <f t="shared" ca="1" si="2"/>
        <v>0</v>
      </c>
      <c r="W19" s="60">
        <f t="shared" ca="1" si="3"/>
        <v>67.857212405612046</v>
      </c>
      <c r="X19" s="60">
        <f t="shared" ref="X19:X82" ca="1" si="10">VLOOKUP(S19,ModelOutputs,11,FALSE)+X18</f>
        <v>0</v>
      </c>
      <c r="Y19" s="60">
        <f t="shared" ca="1" si="4"/>
        <v>0</v>
      </c>
      <c r="Z19" s="60">
        <f t="shared" ca="1" si="5"/>
        <v>6.8957746132373102E-3</v>
      </c>
      <c r="AA19" s="92">
        <f ca="1"/>
        <v>44520</v>
      </c>
      <c r="AB19" s="62">
        <f t="shared" ref="AB19:AB20" ca="1" si="11">IF(AA19&gt;1,AA19,"")</f>
        <v>44520</v>
      </c>
      <c r="AC19" s="62">
        <f t="shared" ca="1" si="6"/>
        <v>39.438475309200165</v>
      </c>
      <c r="AD19" s="62">
        <f t="shared" ca="1" si="7"/>
        <v>0</v>
      </c>
      <c r="AE19" s="62">
        <f t="shared" ca="1" si="8"/>
        <v>0</v>
      </c>
    </row>
    <row r="20" spans="1:31" s="62" customFormat="1" x14ac:dyDescent="0.25">
      <c r="C20" s="64" t="s">
        <v>227</v>
      </c>
      <c r="D20" s="94" t="str">
        <f>IF(E20="","PMN",E20)</f>
        <v>HWEON</v>
      </c>
      <c r="E20" s="18" t="s">
        <v>228</v>
      </c>
      <c r="F20" s="109"/>
      <c r="I20" s="121"/>
      <c r="J20" s="121"/>
      <c r="K20" s="121"/>
      <c r="L20" s="121"/>
      <c r="M20" s="121"/>
      <c r="N20" s="121"/>
      <c r="O20" s="121"/>
      <c r="P20" s="121"/>
      <c r="R20" s="92">
        <f ca="1"/>
        <v>44295</v>
      </c>
      <c r="S20" s="62">
        <f t="shared" ca="1" si="9"/>
        <v>44295</v>
      </c>
      <c r="T20" s="62">
        <f t="shared" ca="1" si="0"/>
        <v>68.908069647049885</v>
      </c>
      <c r="U20" s="62">
        <f t="shared" ca="1" si="1"/>
        <v>3.9308620680621198</v>
      </c>
      <c r="V20" s="62">
        <f t="shared" ca="1" si="2"/>
        <v>0</v>
      </c>
      <c r="W20" s="60">
        <f t="shared" ca="1" si="3"/>
        <v>71.125694170702403</v>
      </c>
      <c r="X20" s="60">
        <f t="shared" ca="1" si="10"/>
        <v>0</v>
      </c>
      <c r="Y20" s="60">
        <f t="shared" ca="1" si="4"/>
        <v>0</v>
      </c>
      <c r="Z20" s="60">
        <f t="shared" ca="1" si="5"/>
        <v>7.3648087702172802E-3</v>
      </c>
      <c r="AA20" s="92">
        <f ca="1"/>
        <v>44521</v>
      </c>
      <c r="AB20" s="62">
        <f t="shared" ca="1" si="11"/>
        <v>44521</v>
      </c>
      <c r="AC20" s="62">
        <f t="shared" ca="1" si="6"/>
        <v>43.311097429396767</v>
      </c>
      <c r="AD20" s="62">
        <f t="shared" ca="1" si="7"/>
        <v>0</v>
      </c>
      <c r="AE20" s="62">
        <f t="shared" ca="1" si="8"/>
        <v>0</v>
      </c>
    </row>
    <row r="21" spans="1:31" s="62" customFormat="1" ht="15.75" customHeight="1" x14ac:dyDescent="0.25">
      <c r="B21" s="62">
        <f>VLOOKUP(SampleDepth,depths,2,FALSE)</f>
        <v>3</v>
      </c>
      <c r="C21" s="64" t="s">
        <v>225</v>
      </c>
      <c r="D21" s="94" t="str">
        <f>IF(E21="","0-30cm",E21)</f>
        <v>0-30cm</v>
      </c>
      <c r="E21" s="18"/>
      <c r="F21" s="109"/>
      <c r="I21" s="121"/>
      <c r="J21" s="121"/>
      <c r="K21" s="121"/>
      <c r="L21" s="121"/>
      <c r="M21" s="121"/>
      <c r="N21" s="121"/>
      <c r="O21" s="121"/>
      <c r="P21" s="121"/>
      <c r="R21" s="92">
        <f ca="1"/>
        <v>44296</v>
      </c>
      <c r="S21" s="62">
        <f t="shared" ca="1" si="9"/>
        <v>44296</v>
      </c>
      <c r="T21" s="62">
        <f t="shared" ca="1" si="0"/>
        <v>69.112981096528628</v>
      </c>
      <c r="U21" s="62">
        <f t="shared" ca="1" si="1"/>
        <v>4.0487088484767702</v>
      </c>
      <c r="V21" s="62">
        <f t="shared" ca="1" si="2"/>
        <v>0</v>
      </c>
      <c r="W21" s="60">
        <f t="shared" ca="1" si="3"/>
        <v>72.481244390927031</v>
      </c>
      <c r="X21" s="60">
        <f t="shared" ca="1" si="10"/>
        <v>0</v>
      </c>
      <c r="Y21" s="60">
        <f t="shared" ca="1" si="4"/>
        <v>0</v>
      </c>
      <c r="Z21" s="60">
        <f t="shared" ca="1" si="5"/>
        <v>7.8623907742991894E-3</v>
      </c>
      <c r="AA21" s="92">
        <f ca="1"/>
        <v>44522</v>
      </c>
      <c r="AB21" s="62">
        <f t="shared" ref="AB21:AB84" ca="1" si="12">IF(AA21&gt;1,AA21,"")</f>
        <v>44522</v>
      </c>
      <c r="AC21" s="62">
        <f t="shared" ref="AC21:AC84" ca="1" si="13">VLOOKUP(AB21,ModelOutputs,2,FALSE)</f>
        <v>46.75309907000765</v>
      </c>
      <c r="AD21" s="62">
        <f t="shared" ref="AD21:AD84" ca="1" si="14">VLOOKUP(AB21,ModelOutputs,7,FALSE)</f>
        <v>0</v>
      </c>
      <c r="AE21" s="62">
        <f t="shared" ref="AE21:AE84" ca="1" si="15">VLOOKUP(AB21,ModelOutputs,6,FALSE)</f>
        <v>0</v>
      </c>
    </row>
    <row r="22" spans="1:31" s="62" customFormat="1" ht="15" customHeight="1" x14ac:dyDescent="0.25">
      <c r="C22" s="64" t="s">
        <v>226</v>
      </c>
      <c r="D22" s="94" t="str">
        <f>IF(E22="","Brown",E22)</f>
        <v>Granular</v>
      </c>
      <c r="E22" s="18" t="s">
        <v>233</v>
      </c>
      <c r="F22" s="109"/>
      <c r="I22" s="121"/>
      <c r="J22" s="121"/>
      <c r="K22" s="121"/>
      <c r="L22" s="121"/>
      <c r="M22" s="121"/>
      <c r="N22" s="121"/>
      <c r="O22" s="121"/>
      <c r="P22" s="121"/>
      <c r="R22" s="92">
        <f ca="1"/>
        <v>44297</v>
      </c>
      <c r="S22" s="62">
        <f t="shared" ca="1" si="9"/>
        <v>44297</v>
      </c>
      <c r="T22" s="62">
        <f t="shared" ca="1" si="0"/>
        <v>69.313412222469566</v>
      </c>
      <c r="U22" s="62">
        <f t="shared" ca="1" si="1"/>
        <v>4.1678716821863597</v>
      </c>
      <c r="V22" s="62">
        <f t="shared" ca="1" si="2"/>
        <v>0</v>
      </c>
      <c r="W22" s="60">
        <f t="shared" ca="1" si="3"/>
        <v>73.675768139699144</v>
      </c>
      <c r="X22" s="60">
        <f t="shared" ca="1" si="10"/>
        <v>0</v>
      </c>
      <c r="Y22" s="60">
        <f t="shared" ca="1" si="4"/>
        <v>0</v>
      </c>
      <c r="Z22" s="60">
        <f t="shared" ca="1" si="5"/>
        <v>8.3837362767752999E-3</v>
      </c>
      <c r="AA22" s="92">
        <f ca="1"/>
        <v>44523</v>
      </c>
      <c r="AB22" s="62">
        <f t="shared" ca="1" si="12"/>
        <v>44523</v>
      </c>
      <c r="AC22" s="62">
        <f t="shared" ca="1" si="13"/>
        <v>49.771422775169754</v>
      </c>
      <c r="AD22" s="62">
        <f t="shared" ca="1" si="14"/>
        <v>0</v>
      </c>
      <c r="AE22" s="62">
        <f t="shared" ca="1" si="15"/>
        <v>0</v>
      </c>
    </row>
    <row r="23" spans="1:31" s="62" customFormat="1" x14ac:dyDescent="0.25">
      <c r="C23" s="64" t="s">
        <v>223</v>
      </c>
      <c r="D23" s="94">
        <f>IF(E23="",VLOOKUP(SoilOrder,SoilOrders,B21,FALSE),E23)</f>
        <v>0.88</v>
      </c>
      <c r="E23" s="135">
        <v>0.88</v>
      </c>
      <c r="F23" s="109"/>
      <c r="I23" s="121"/>
      <c r="J23" s="121"/>
      <c r="K23" s="121"/>
      <c r="L23" s="121"/>
      <c r="M23" s="121"/>
      <c r="N23" s="121"/>
      <c r="O23" s="121"/>
      <c r="P23" s="121"/>
      <c r="R23" s="92">
        <f ca="1"/>
        <v>44298</v>
      </c>
      <c r="S23" s="62">
        <f t="shared" ca="1" si="9"/>
        <v>44298</v>
      </c>
      <c r="T23" s="62">
        <f t="shared" ca="1" si="0"/>
        <v>69.520202427882396</v>
      </c>
      <c r="U23" s="62">
        <f t="shared" ca="1" si="1"/>
        <v>4.2909242803341501</v>
      </c>
      <c r="V23" s="62">
        <f t="shared" ca="1" si="2"/>
        <v>0</v>
      </c>
      <c r="W23" s="60">
        <f t="shared" ca="1" si="3"/>
        <v>76.176730268872291</v>
      </c>
      <c r="X23" s="60">
        <f t="shared" ca="1" si="10"/>
        <v>0</v>
      </c>
      <c r="Y23" s="60">
        <f t="shared" ca="1" si="4"/>
        <v>0</v>
      </c>
      <c r="Z23" s="60">
        <f t="shared" ca="1" si="5"/>
        <v>8.9414242834893205E-3</v>
      </c>
      <c r="AA23" s="92">
        <f ca="1"/>
        <v>44524</v>
      </c>
      <c r="AB23" s="62">
        <f t="shared" ca="1" si="12"/>
        <v>44524</v>
      </c>
      <c r="AC23" s="62">
        <f t="shared" ca="1" si="13"/>
        <v>52.343045578459332</v>
      </c>
      <c r="AD23" s="62">
        <f t="shared" ca="1" si="14"/>
        <v>0</v>
      </c>
      <c r="AE23" s="62">
        <f t="shared" ca="1" si="15"/>
        <v>0</v>
      </c>
    </row>
    <row r="24" spans="1:31" s="62" customFormat="1" x14ac:dyDescent="0.25">
      <c r="D24" s="134"/>
      <c r="F24" s="109"/>
      <c r="I24" s="121"/>
      <c r="J24" s="121"/>
      <c r="K24" s="121"/>
      <c r="L24" s="121"/>
      <c r="M24" s="121"/>
      <c r="N24" s="121"/>
      <c r="O24" s="121"/>
      <c r="P24" s="121"/>
      <c r="R24" s="92">
        <f ca="1"/>
        <v>44299</v>
      </c>
      <c r="S24" s="62">
        <f t="shared" ca="1" si="9"/>
        <v>44299</v>
      </c>
      <c r="T24" s="62">
        <f t="shared" ca="1" si="0"/>
        <v>69.7310474917047</v>
      </c>
      <c r="U24" s="62">
        <f t="shared" ca="1" si="1"/>
        <v>4.4196431378050196</v>
      </c>
      <c r="V24" s="62">
        <f t="shared" ca="1" si="2"/>
        <v>0</v>
      </c>
      <c r="W24" s="60">
        <f t="shared" ca="1" si="3"/>
        <v>77.00955429723129</v>
      </c>
      <c r="X24" s="60">
        <f t="shared" ca="1" si="10"/>
        <v>0</v>
      </c>
      <c r="Y24" s="60">
        <f t="shared" ca="1" si="4"/>
        <v>0</v>
      </c>
      <c r="Z24" s="60">
        <f t="shared" ca="1" si="5"/>
        <v>9.5459226981221904E-3</v>
      </c>
      <c r="AA24" s="92">
        <f ca="1"/>
        <v>44525</v>
      </c>
      <c r="AB24" s="62">
        <f t="shared" ca="1" si="12"/>
        <v>44525</v>
      </c>
      <c r="AC24" s="62">
        <f t="shared" ca="1" si="13"/>
        <v>54.668962924810167</v>
      </c>
      <c r="AD24" s="62">
        <f t="shared" ca="1" si="14"/>
        <v>0</v>
      </c>
      <c r="AE24" s="62">
        <f t="shared" ca="1" si="15"/>
        <v>0</v>
      </c>
    </row>
    <row r="25" spans="1:31" s="62" customFormat="1" x14ac:dyDescent="0.25">
      <c r="C25" s="69" t="str">
        <f>IF(COUNT(C29:C34)&gt;0,"Side dressings remaining","Side dressings")</f>
        <v>Side dressings remaining</v>
      </c>
      <c r="D25" s="94">
        <f>IF(E25="",1,E25)</f>
        <v>1</v>
      </c>
      <c r="E25" s="113"/>
      <c r="I25" s="121"/>
      <c r="J25" s="121"/>
      <c r="K25" s="121"/>
      <c r="L25" s="121"/>
      <c r="M25" s="121"/>
      <c r="N25" s="121"/>
      <c r="O25" s="121"/>
      <c r="P25" s="121"/>
      <c r="R25" s="92">
        <f ca="1"/>
        <v>44300</v>
      </c>
      <c r="S25" s="62">
        <f t="shared" ca="1" si="9"/>
        <v>44300</v>
      </c>
      <c r="T25" s="62">
        <f t="shared" ca="1" si="0"/>
        <v>69.939359262606132</v>
      </c>
      <c r="U25" s="62">
        <f t="shared" ca="1" si="1"/>
        <v>4.54954279023422</v>
      </c>
      <c r="V25" s="62">
        <f t="shared" ca="1" si="2"/>
        <v>0</v>
      </c>
      <c r="W25" s="60">
        <f t="shared" ca="1" si="3"/>
        <v>78.928983151861971</v>
      </c>
      <c r="X25" s="60">
        <f t="shared" ca="1" si="10"/>
        <v>0</v>
      </c>
      <c r="Y25" s="60">
        <f t="shared" ca="1" si="4"/>
        <v>0</v>
      </c>
      <c r="Z25" s="60">
        <f t="shared" ca="1" si="5"/>
        <v>1.01779910348109E-2</v>
      </c>
      <c r="AA25" s="92">
        <f ca="1"/>
        <v>44526</v>
      </c>
      <c r="AB25" s="62">
        <f t="shared" ca="1" si="12"/>
        <v>44526</v>
      </c>
      <c r="AC25" s="62">
        <f t="shared" ca="1" si="13"/>
        <v>56.679603406318542</v>
      </c>
      <c r="AD25" s="62">
        <f t="shared" ca="1" si="14"/>
        <v>0</v>
      </c>
      <c r="AE25" s="62">
        <f t="shared" ca="1" si="15"/>
        <v>0</v>
      </c>
    </row>
    <row r="26" spans="1:31" s="62" customFormat="1" ht="15.75" thickBot="1" x14ac:dyDescent="0.3">
      <c r="C26" s="63"/>
      <c r="D26" s="63"/>
      <c r="E26" s="63"/>
      <c r="F26" s="63"/>
      <c r="I26" s="121"/>
      <c r="J26" s="121"/>
      <c r="K26" s="121"/>
      <c r="L26" s="121"/>
      <c r="M26" s="121"/>
      <c r="N26" s="121"/>
      <c r="O26" s="121"/>
      <c r="P26" s="121"/>
      <c r="R26" s="92">
        <f ca="1"/>
        <v>44301</v>
      </c>
      <c r="S26" s="62">
        <f t="shared" ca="1" si="9"/>
        <v>44301</v>
      </c>
      <c r="T26" s="62">
        <f t="shared" ca="1" si="0"/>
        <v>70.144993029494955</v>
      </c>
      <c r="U26" s="62">
        <f t="shared" ca="1" si="1"/>
        <v>4.6815592234797396</v>
      </c>
      <c r="V26" s="62">
        <f t="shared" ca="1" si="2"/>
        <v>0</v>
      </c>
      <c r="W26" s="60">
        <f t="shared" ca="1" si="3"/>
        <v>80.188368544315892</v>
      </c>
      <c r="X26" s="60">
        <f t="shared" ca="1" si="10"/>
        <v>0</v>
      </c>
      <c r="Y26" s="60">
        <f t="shared" ca="1" si="4"/>
        <v>0</v>
      </c>
      <c r="Z26" s="60">
        <f t="shared" ca="1" si="5"/>
        <v>1.0843148972378E-2</v>
      </c>
      <c r="AA26" s="92">
        <f ca="1"/>
        <v>44527</v>
      </c>
      <c r="AB26" s="62">
        <f t="shared" ca="1" si="12"/>
        <v>44527</v>
      </c>
      <c r="AC26" s="62">
        <f t="shared" ca="1" si="13"/>
        <v>58.404522646020901</v>
      </c>
      <c r="AD26" s="62">
        <f t="shared" ca="1" si="14"/>
        <v>0</v>
      </c>
      <c r="AE26" s="62">
        <f t="shared" ca="1" si="15"/>
        <v>0</v>
      </c>
    </row>
    <row r="27" spans="1:31" s="62" customFormat="1" ht="15.75" thickBot="1" x14ac:dyDescent="0.3">
      <c r="C27" s="141" t="s">
        <v>145</v>
      </c>
      <c r="D27" s="142"/>
      <c r="E27" s="67"/>
      <c r="F27" s="143" t="s">
        <v>152</v>
      </c>
      <c r="G27" s="144"/>
      <c r="I27" s="121"/>
      <c r="J27" s="121"/>
      <c r="K27" s="121"/>
      <c r="L27" s="121"/>
      <c r="M27" s="121"/>
      <c r="N27" s="121"/>
      <c r="O27" s="121"/>
      <c r="P27" s="121"/>
      <c r="R27" s="92">
        <f ca="1"/>
        <v>44302</v>
      </c>
      <c r="S27" s="62">
        <f t="shared" ca="1" si="9"/>
        <v>44302</v>
      </c>
      <c r="T27" s="62">
        <f t="shared" ca="1" si="0"/>
        <v>70.364800085686937</v>
      </c>
      <c r="U27" s="62">
        <f t="shared" ca="1" si="1"/>
        <v>4.8218242399990396</v>
      </c>
      <c r="V27" s="62">
        <f t="shared" ca="1" si="2"/>
        <v>0</v>
      </c>
      <c r="W27" s="60">
        <f t="shared" ca="1" si="3"/>
        <v>82.380667468484944</v>
      </c>
      <c r="X27" s="60">
        <f t="shared" ca="1" si="10"/>
        <v>0</v>
      </c>
      <c r="Y27" s="60">
        <f t="shared" ca="1" si="4"/>
        <v>0</v>
      </c>
      <c r="Z27" s="60">
        <f t="shared" ca="1" si="5"/>
        <v>1.15751691466103E-2</v>
      </c>
      <c r="AA27" s="92">
        <f ca="1"/>
        <v>44528</v>
      </c>
      <c r="AB27" s="62">
        <f t="shared" ca="1" si="12"/>
        <v>44528</v>
      </c>
      <c r="AC27" s="62">
        <f t="shared" ca="1" si="13"/>
        <v>59.944736721201714</v>
      </c>
      <c r="AD27" s="62">
        <f t="shared" ca="1" si="14"/>
        <v>0</v>
      </c>
      <c r="AE27" s="62">
        <f t="shared" ca="1" si="15"/>
        <v>0</v>
      </c>
    </row>
    <row r="28" spans="1:31" s="62" customFormat="1" ht="15.75" thickBot="1" x14ac:dyDescent="0.3">
      <c r="C28" s="125" t="s">
        <v>14</v>
      </c>
      <c r="D28" s="126" t="s">
        <v>116</v>
      </c>
      <c r="E28" s="68"/>
      <c r="F28" s="70" t="s">
        <v>14</v>
      </c>
      <c r="G28" s="71" t="s">
        <v>116</v>
      </c>
      <c r="I28" s="121"/>
      <c r="J28" s="121"/>
      <c r="K28" s="121"/>
      <c r="L28" s="121"/>
      <c r="M28" s="121"/>
      <c r="N28" s="121"/>
      <c r="O28" s="121"/>
      <c r="P28" s="121"/>
      <c r="R28" s="92">
        <f ca="1"/>
        <v>44303</v>
      </c>
      <c r="S28" s="62">
        <f t="shared" ca="1" si="9"/>
        <v>44303</v>
      </c>
      <c r="T28" s="62">
        <f t="shared" ca="1" si="0"/>
        <v>70.580299390696069</v>
      </c>
      <c r="U28" s="62">
        <f t="shared" ca="1" si="1"/>
        <v>4.9638470266789003</v>
      </c>
      <c r="V28" s="62">
        <f t="shared" ca="1" si="2"/>
        <v>0</v>
      </c>
      <c r="W28" s="60">
        <f t="shared" ca="1" si="3"/>
        <v>83.626857895805173</v>
      </c>
      <c r="X28" s="60">
        <f t="shared" ca="1" si="10"/>
        <v>0</v>
      </c>
      <c r="Y28" s="60">
        <f t="shared" ca="1" si="4"/>
        <v>0</v>
      </c>
      <c r="Z28" s="60">
        <f t="shared" ca="1" si="5"/>
        <v>1.23430566292609E-2</v>
      </c>
      <c r="AA28" s="92">
        <f ca="1"/>
        <v>44529</v>
      </c>
      <c r="AB28" s="62">
        <f t="shared" ca="1" si="12"/>
        <v>44529</v>
      </c>
      <c r="AC28" s="62">
        <f t="shared" ca="1" si="13"/>
        <v>61.314880590029034</v>
      </c>
      <c r="AD28" s="62">
        <f t="shared" ca="1" si="14"/>
        <v>0</v>
      </c>
      <c r="AE28" s="62">
        <f t="shared" ca="1" si="15"/>
        <v>0</v>
      </c>
    </row>
    <row r="29" spans="1:31" s="62" customFormat="1" x14ac:dyDescent="0.25">
      <c r="A29" s="92">
        <f t="array" aca="1" ref="A29:A43" ca="1">_xlfn._xlws.FILTER('Model Interface'!AD6:AD495,'Model Interface'!AE6:AE495&gt;0,"")</f>
        <v>44384</v>
      </c>
      <c r="B29" s="62">
        <f t="shared" ref="B29:B43" ca="1" si="16">IF(AND(NOT(F29=""),F29&gt;=StartSchedullingDate),1,0)</f>
        <v>0</v>
      </c>
      <c r="C29" s="87">
        <v>44384</v>
      </c>
      <c r="D29" s="89">
        <v>24</v>
      </c>
      <c r="E29" s="68"/>
      <c r="F29" s="83">
        <f ca="1">A29</f>
        <v>44384</v>
      </c>
      <c r="G29" s="85">
        <f ca="1">IFERROR(VLOOKUP(F29,'Model Interface'!$P$6:$U$495,6,FALSE),"")</f>
        <v>24</v>
      </c>
      <c r="H29" s="62" t="str">
        <f ca="1">IF(B29=1,"Suggested","Applied or Planned")</f>
        <v>Applied or Planned</v>
      </c>
      <c r="I29" s="121"/>
      <c r="J29" s="121"/>
      <c r="K29" s="121"/>
      <c r="L29" s="121"/>
      <c r="M29" s="121"/>
      <c r="N29" s="121"/>
      <c r="O29" s="121"/>
      <c r="P29" s="121"/>
      <c r="R29" s="92">
        <f ca="1"/>
        <v>44304</v>
      </c>
      <c r="S29" s="62">
        <f t="shared" ca="1" si="9"/>
        <v>44304</v>
      </c>
      <c r="T29" s="62">
        <f t="shared" ca="1" si="0"/>
        <v>70.797100477148206</v>
      </c>
      <c r="U29" s="62">
        <f t="shared" ca="1" si="1"/>
        <v>5.1100672979550898</v>
      </c>
      <c r="V29" s="62">
        <f t="shared" ca="1" si="2"/>
        <v>0</v>
      </c>
      <c r="W29" s="60">
        <f t="shared" ca="1" si="3"/>
        <v>84.956449452030867</v>
      </c>
      <c r="X29" s="60">
        <f t="shared" ca="1" si="10"/>
        <v>0</v>
      </c>
      <c r="Y29" s="60">
        <f t="shared" ca="1" si="4"/>
        <v>0</v>
      </c>
      <c r="Z29" s="60">
        <f t="shared" ca="1" si="5"/>
        <v>1.3161837502597201E-2</v>
      </c>
      <c r="AA29" s="92">
        <f ca="1"/>
        <v>44530</v>
      </c>
      <c r="AB29" s="62">
        <f t="shared" ca="1" si="12"/>
        <v>44530</v>
      </c>
      <c r="AC29" s="62">
        <f t="shared" ca="1" si="13"/>
        <v>62.558070459195172</v>
      </c>
      <c r="AD29" s="62">
        <f t="shared" ca="1" si="14"/>
        <v>0</v>
      </c>
      <c r="AE29" s="62">
        <f t="shared" ca="1" si="15"/>
        <v>0</v>
      </c>
    </row>
    <row r="30" spans="1:31" s="62" customFormat="1" x14ac:dyDescent="0.25">
      <c r="A30" s="92">
        <f ca="1"/>
        <v>44412</v>
      </c>
      <c r="B30" s="62">
        <f t="shared" ca="1" si="16"/>
        <v>0</v>
      </c>
      <c r="C30" s="87">
        <v>44412</v>
      </c>
      <c r="D30" s="90">
        <v>18</v>
      </c>
      <c r="E30" s="68"/>
      <c r="F30" s="83">
        <f t="shared" ref="F30:F43" ca="1" si="17">IFERROR(IF(A30=A29,"",A30),"")</f>
        <v>44412</v>
      </c>
      <c r="G30" s="85">
        <f ca="1">IFERROR(VLOOKUP(F30,'Model Interface'!$P$6:$U$495,6,FALSE),"")</f>
        <v>18</v>
      </c>
      <c r="H30" s="62" t="str">
        <f t="shared" ref="H30:H43" ca="1" si="18">IF(F30="","",IF(F30&lt;=StartSchedullingDate,"Applied or Planned","Suggested"))</f>
        <v>Applied or Planned</v>
      </c>
      <c r="I30" s="121"/>
      <c r="J30" s="121"/>
      <c r="K30" s="121"/>
      <c r="L30" s="121"/>
      <c r="M30" s="121"/>
      <c r="N30" s="121"/>
      <c r="O30" s="121"/>
      <c r="P30" s="121"/>
      <c r="R30" s="92">
        <f ca="1"/>
        <v>44305</v>
      </c>
      <c r="S30" s="62">
        <f t="shared" ca="1" si="9"/>
        <v>44305</v>
      </c>
      <c r="T30" s="62">
        <f t="shared" ca="1" si="0"/>
        <v>71.008217071384536</v>
      </c>
      <c r="U30" s="62">
        <f t="shared" ca="1" si="1"/>
        <v>5.2582291957999301</v>
      </c>
      <c r="V30" s="62">
        <f t="shared" ca="1" si="2"/>
        <v>0</v>
      </c>
      <c r="W30" s="60">
        <f t="shared" ca="1" si="3"/>
        <v>85.745992040936869</v>
      </c>
      <c r="X30" s="60">
        <f t="shared" ca="1" si="10"/>
        <v>0</v>
      </c>
      <c r="Y30" s="60">
        <f t="shared" ca="1" si="4"/>
        <v>0</v>
      </c>
      <c r="Z30" s="60">
        <f t="shared" ca="1" si="5"/>
        <v>1.4020806208592499E-2</v>
      </c>
      <c r="AA30" s="92">
        <f ca="1"/>
        <v>44531</v>
      </c>
      <c r="AB30" s="62">
        <f t="shared" ca="1" si="12"/>
        <v>44531</v>
      </c>
      <c r="AC30" s="62">
        <f t="shared" ca="1" si="13"/>
        <v>63.675773142252304</v>
      </c>
      <c r="AD30" s="62">
        <f t="shared" ca="1" si="14"/>
        <v>0</v>
      </c>
      <c r="AE30" s="62">
        <f t="shared" ca="1" si="15"/>
        <v>0</v>
      </c>
    </row>
    <row r="31" spans="1:31" s="62" customFormat="1" x14ac:dyDescent="0.25">
      <c r="A31" s="92">
        <f ca="1"/>
        <v>44428</v>
      </c>
      <c r="B31" s="62">
        <f t="shared" ca="1" si="16"/>
        <v>1</v>
      </c>
      <c r="C31" s="87"/>
      <c r="D31" s="90"/>
      <c r="E31" s="68"/>
      <c r="F31" s="83">
        <f t="shared" ca="1" si="17"/>
        <v>44428</v>
      </c>
      <c r="G31" s="85">
        <f ca="1">IFERROR(VLOOKUP(F31,'Model Interface'!$P$6:$U$495,6,FALSE),"")</f>
        <v>80</v>
      </c>
      <c r="H31" s="62" t="str">
        <f t="shared" ca="1" si="18"/>
        <v>Suggested</v>
      </c>
      <c r="I31" s="121"/>
      <c r="J31" s="121"/>
      <c r="K31" s="121"/>
      <c r="L31" s="121"/>
      <c r="M31" s="121"/>
      <c r="N31" s="121"/>
      <c r="O31" s="121"/>
      <c r="P31" s="121"/>
      <c r="R31" s="92">
        <f ca="1"/>
        <v>44306</v>
      </c>
      <c r="S31" s="62">
        <f t="shared" ca="1" si="9"/>
        <v>44306</v>
      </c>
      <c r="T31" s="62">
        <f t="shared" ca="1" si="0"/>
        <v>24.200000000000003</v>
      </c>
      <c r="U31" s="62">
        <f t="shared" ca="1" si="1"/>
        <v>5.4127650708037001</v>
      </c>
      <c r="V31" s="62">
        <f t="shared" ca="1" si="2"/>
        <v>0</v>
      </c>
      <c r="W31" s="60">
        <f t="shared" ca="1" si="3"/>
        <v>85.81098099400991</v>
      </c>
      <c r="X31" s="60">
        <f t="shared" ca="1" si="10"/>
        <v>0</v>
      </c>
      <c r="Y31" s="60">
        <f t="shared" ca="1" si="4"/>
        <v>0</v>
      </c>
      <c r="Z31" s="60">
        <f t="shared" ca="1" si="5"/>
        <v>1.4948305672073199E-2</v>
      </c>
      <c r="AA31" s="92">
        <f ca="1"/>
        <v>44532</v>
      </c>
      <c r="AB31" s="62">
        <f t="shared" ca="1" si="12"/>
        <v>44532</v>
      </c>
      <c r="AC31" s="62">
        <f t="shared" ca="1" si="13"/>
        <v>64.740874033170996</v>
      </c>
      <c r="AD31" s="62">
        <f t="shared" ca="1" si="14"/>
        <v>0</v>
      </c>
      <c r="AE31" s="62">
        <f t="shared" ca="1" si="15"/>
        <v>0</v>
      </c>
    </row>
    <row r="32" spans="1:31" s="62" customFormat="1" x14ac:dyDescent="0.25">
      <c r="A32" s="92" t="e">
        <f ca="1"/>
        <v>#N/A</v>
      </c>
      <c r="B32" s="62">
        <f t="shared" ca="1" si="16"/>
        <v>0</v>
      </c>
      <c r="C32" s="87"/>
      <c r="D32" s="90"/>
      <c r="E32" s="68"/>
      <c r="F32" s="83" t="str">
        <f t="shared" ca="1" si="17"/>
        <v/>
      </c>
      <c r="G32" s="85" t="str">
        <f ca="1">IFERROR(VLOOKUP(F32,'Model Interface'!$P$6:$U$495,6,FALSE),"")</f>
        <v/>
      </c>
      <c r="H32" s="62" t="str">
        <f t="shared" ca="1" si="18"/>
        <v/>
      </c>
      <c r="I32" s="121"/>
      <c r="J32" s="121"/>
      <c r="K32" s="121"/>
      <c r="L32" s="121"/>
      <c r="M32" s="121"/>
      <c r="N32" s="121"/>
      <c r="O32" s="121"/>
      <c r="P32" s="121"/>
      <c r="R32" s="92">
        <f ca="1"/>
        <v>44307</v>
      </c>
      <c r="S32" s="62">
        <f t="shared" ca="1" si="9"/>
        <v>44307</v>
      </c>
      <c r="T32" s="62">
        <f t="shared" ca="1" si="0"/>
        <v>24.413328646004615</v>
      </c>
      <c r="U32" s="62">
        <f t="shared" ca="1" si="1"/>
        <v>5.5701643723671603</v>
      </c>
      <c r="V32" s="62">
        <f t="shared" ca="1" si="2"/>
        <v>0</v>
      </c>
      <c r="W32" s="60">
        <f t="shared" ca="1" si="3"/>
        <v>88.148841209892538</v>
      </c>
      <c r="X32" s="60">
        <f t="shared" ca="1" si="10"/>
        <v>0</v>
      </c>
      <c r="Y32" s="60">
        <f t="shared" ca="1" si="4"/>
        <v>0</v>
      </c>
      <c r="Z32" s="60">
        <f t="shared" ca="1" si="5"/>
        <v>1.5926271459322499E-2</v>
      </c>
      <c r="AA32" s="92">
        <f ca="1"/>
        <v>44533</v>
      </c>
      <c r="AB32" s="62">
        <f t="shared" ca="1" si="12"/>
        <v>44533</v>
      </c>
      <c r="AC32" s="62">
        <f t="shared" ca="1" si="13"/>
        <v>65.710849977996546</v>
      </c>
      <c r="AD32" s="62">
        <f t="shared" ca="1" si="14"/>
        <v>0</v>
      </c>
      <c r="AE32" s="62">
        <f t="shared" ca="1" si="15"/>
        <v>0</v>
      </c>
    </row>
    <row r="33" spans="1:31" s="62" customFormat="1" x14ac:dyDescent="0.25">
      <c r="A33" s="92" t="e">
        <f ca="1"/>
        <v>#N/A</v>
      </c>
      <c r="B33" s="62">
        <f t="shared" ca="1" si="16"/>
        <v>0</v>
      </c>
      <c r="C33" s="87"/>
      <c r="D33" s="90"/>
      <c r="E33" s="68"/>
      <c r="F33" s="83" t="str">
        <f t="shared" ca="1" si="17"/>
        <v/>
      </c>
      <c r="G33" s="85" t="str">
        <f ca="1">IFERROR(VLOOKUP(F33,'Model Interface'!$P$6:$U$495,6,FALSE),"")</f>
        <v/>
      </c>
      <c r="H33" s="62" t="str">
        <f t="shared" ca="1" si="18"/>
        <v/>
      </c>
      <c r="I33" s="121"/>
      <c r="J33" s="121"/>
      <c r="K33" s="121"/>
      <c r="L33" s="121"/>
      <c r="M33" s="121"/>
      <c r="N33" s="121"/>
      <c r="O33" s="121"/>
      <c r="P33" s="121"/>
      <c r="R33" s="92">
        <f ca="1"/>
        <v>44308</v>
      </c>
      <c r="S33" s="62">
        <f t="shared" ca="1" si="9"/>
        <v>44308</v>
      </c>
      <c r="T33" s="62">
        <f t="shared" ca="1" si="0"/>
        <v>24.615370949267785</v>
      </c>
      <c r="U33" s="62">
        <f t="shared" ca="1" si="1"/>
        <v>5.7241256980453201</v>
      </c>
      <c r="V33" s="62">
        <f t="shared" ca="1" si="2"/>
        <v>0</v>
      </c>
      <c r="W33" s="60">
        <f t="shared" ca="1" si="3"/>
        <v>90.035071852808713</v>
      </c>
      <c r="X33" s="60">
        <f t="shared" ca="1" si="10"/>
        <v>0</v>
      </c>
      <c r="Y33" s="60">
        <f t="shared" ca="1" si="4"/>
        <v>0</v>
      </c>
      <c r="Z33" s="60">
        <f t="shared" ca="1" si="5"/>
        <v>1.69154930753306E-2</v>
      </c>
      <c r="AA33" s="92">
        <f ca="1"/>
        <v>44534</v>
      </c>
      <c r="AB33" s="62">
        <f t="shared" ca="1" si="12"/>
        <v>44534</v>
      </c>
      <c r="AC33" s="62">
        <f t="shared" ca="1" si="13"/>
        <v>66.629639488159683</v>
      </c>
      <c r="AD33" s="62">
        <f t="shared" ca="1" si="14"/>
        <v>0</v>
      </c>
      <c r="AE33" s="62">
        <f t="shared" ca="1" si="15"/>
        <v>0</v>
      </c>
    </row>
    <row r="34" spans="1:31" s="62" customFormat="1" ht="15.75" thickBot="1" x14ac:dyDescent="0.3">
      <c r="A34" s="92" t="e">
        <f ca="1"/>
        <v>#N/A</v>
      </c>
      <c r="B34" s="62">
        <f t="shared" ca="1" si="16"/>
        <v>0</v>
      </c>
      <c r="C34" s="88"/>
      <c r="D34" s="91"/>
      <c r="E34" s="68"/>
      <c r="F34" s="83" t="str">
        <f t="shared" ca="1" si="17"/>
        <v/>
      </c>
      <c r="G34" s="85" t="str">
        <f ca="1">IFERROR(VLOOKUP(F34,'Model Interface'!$P$6:$U$495,6,FALSE),"")</f>
        <v/>
      </c>
      <c r="H34" s="62" t="str">
        <f t="shared" ca="1" si="18"/>
        <v/>
      </c>
      <c r="I34" s="121"/>
      <c r="J34" s="121"/>
      <c r="K34" s="121"/>
      <c r="L34" s="121"/>
      <c r="M34" s="121"/>
      <c r="N34" s="121"/>
      <c r="O34" s="121"/>
      <c r="P34" s="121"/>
      <c r="R34" s="92">
        <f ca="1"/>
        <v>44309</v>
      </c>
      <c r="S34" s="62">
        <f t="shared" ca="1" si="9"/>
        <v>44309</v>
      </c>
      <c r="T34" s="62">
        <f t="shared" ca="1" si="0"/>
        <v>24.818407607523639</v>
      </c>
      <c r="U34" s="62">
        <f t="shared" ca="1" si="1"/>
        <v>5.8838860034351397</v>
      </c>
      <c r="V34" s="62">
        <f t="shared" ca="1" si="2"/>
        <v>0</v>
      </c>
      <c r="W34" s="60">
        <f t="shared" ca="1" si="3"/>
        <v>90.620864666868542</v>
      </c>
      <c r="X34" s="60">
        <f t="shared" ca="1" si="10"/>
        <v>0</v>
      </c>
      <c r="Y34" s="60">
        <f t="shared" ca="1" si="4"/>
        <v>0</v>
      </c>
      <c r="Z34" s="60">
        <f t="shared" ca="1" si="5"/>
        <v>1.7976194171586302E-2</v>
      </c>
      <c r="AA34" s="92">
        <f ca="1"/>
        <v>44535</v>
      </c>
      <c r="AB34" s="62">
        <f t="shared" ca="1" si="12"/>
        <v>44535</v>
      </c>
      <c r="AC34" s="62">
        <f t="shared" ca="1" si="13"/>
        <v>67.478552935250406</v>
      </c>
      <c r="AD34" s="62">
        <f t="shared" ca="1" si="14"/>
        <v>0</v>
      </c>
      <c r="AE34" s="62">
        <f t="shared" ca="1" si="15"/>
        <v>0</v>
      </c>
    </row>
    <row r="35" spans="1:31" s="62" customFormat="1" ht="15.75" thickBot="1" x14ac:dyDescent="0.3">
      <c r="A35" s="92" t="e">
        <f ca="1"/>
        <v>#N/A</v>
      </c>
      <c r="B35" s="62">
        <f t="shared" ca="1" si="16"/>
        <v>0</v>
      </c>
      <c r="F35" s="83" t="str">
        <f t="shared" ca="1" si="17"/>
        <v/>
      </c>
      <c r="G35" s="85" t="str">
        <f ca="1">IFERROR(VLOOKUP(F35,'Model Interface'!$P$6:$U$495,6,FALSE),"")</f>
        <v/>
      </c>
      <c r="H35" s="62" t="str">
        <f t="shared" ca="1" si="18"/>
        <v/>
      </c>
      <c r="I35" s="121"/>
      <c r="J35" s="121"/>
      <c r="K35" s="121"/>
      <c r="L35" s="121"/>
      <c r="M35" s="121"/>
      <c r="N35" s="121"/>
      <c r="O35" s="121"/>
      <c r="P35" s="121"/>
      <c r="R35" s="92">
        <f ca="1"/>
        <v>44310</v>
      </c>
      <c r="S35" s="62">
        <f t="shared" ca="1" si="9"/>
        <v>44310</v>
      </c>
      <c r="T35" s="62">
        <f t="shared" ca="1" si="0"/>
        <v>25.023967200795809</v>
      </c>
      <c r="U35" s="62">
        <f t="shared" ca="1" si="1"/>
        <v>6.0458521389029602</v>
      </c>
      <c r="V35" s="62">
        <f t="shared" ca="1" si="2"/>
        <v>0</v>
      </c>
      <c r="W35" s="60">
        <f t="shared" ca="1" si="3"/>
        <v>93.257794793358102</v>
      </c>
      <c r="X35" s="60">
        <f t="shared" ca="1" si="10"/>
        <v>0</v>
      </c>
      <c r="Y35" s="60">
        <f t="shared" ca="1" si="4"/>
        <v>0</v>
      </c>
      <c r="Z35" s="60">
        <f t="shared" ca="1" si="5"/>
        <v>1.9087229637925099E-2</v>
      </c>
      <c r="AA35" s="92">
        <f ca="1"/>
        <v>44536</v>
      </c>
      <c r="AB35" s="62">
        <f t="shared" ca="1" si="12"/>
        <v>44536</v>
      </c>
      <c r="AC35" s="62">
        <f t="shared" ca="1" si="13"/>
        <v>68.269375993677286</v>
      </c>
      <c r="AD35" s="62">
        <f t="shared" ca="1" si="14"/>
        <v>0</v>
      </c>
      <c r="AE35" s="62">
        <f t="shared" ca="1" si="15"/>
        <v>0</v>
      </c>
    </row>
    <row r="36" spans="1:31" s="62" customFormat="1" ht="15.75" thickBot="1" x14ac:dyDescent="0.3">
      <c r="A36" s="92" t="e">
        <f ca="1"/>
        <v>#N/A</v>
      </c>
      <c r="B36" s="62">
        <f t="shared" ca="1" si="16"/>
        <v>0</v>
      </c>
      <c r="C36" s="141" t="s">
        <v>146</v>
      </c>
      <c r="D36" s="142"/>
      <c r="F36" s="83" t="str">
        <f t="shared" ca="1" si="17"/>
        <v/>
      </c>
      <c r="G36" s="85" t="str">
        <f ca="1">IFERROR(VLOOKUP(F36,'Model Interface'!$P$6:$U$495,6,FALSE),"")</f>
        <v/>
      </c>
      <c r="H36" s="62" t="str">
        <f t="shared" ca="1" si="18"/>
        <v/>
      </c>
      <c r="I36" s="121"/>
      <c r="J36" s="121"/>
      <c r="K36" s="121"/>
      <c r="L36" s="121"/>
      <c r="M36" s="121"/>
      <c r="N36" s="121"/>
      <c r="O36" s="121"/>
      <c r="P36" s="121"/>
      <c r="R36" s="92">
        <f ca="1"/>
        <v>44311</v>
      </c>
      <c r="S36" s="62">
        <f t="shared" ca="1" si="9"/>
        <v>44311</v>
      </c>
      <c r="T36" s="62">
        <f t="shared" ca="1" si="0"/>
        <v>25.251126515691467</v>
      </c>
      <c r="U36" s="62">
        <f t="shared" ca="1" si="1"/>
        <v>6.2153893589174798</v>
      </c>
      <c r="V36" s="62">
        <f t="shared" ca="1" si="2"/>
        <v>0</v>
      </c>
      <c r="W36" s="60">
        <f t="shared" ca="1" si="3"/>
        <v>98.143907093752929</v>
      </c>
      <c r="X36" s="60">
        <f t="shared" ca="1" si="10"/>
        <v>0</v>
      </c>
      <c r="Y36" s="60">
        <f t="shared" ca="1" si="4"/>
        <v>0</v>
      </c>
      <c r="Z36" s="60">
        <f t="shared" ca="1" si="5"/>
        <v>2.0288802252282499E-2</v>
      </c>
      <c r="AA36" s="92">
        <f ca="1"/>
        <v>44537</v>
      </c>
      <c r="AB36" s="62">
        <f t="shared" ca="1" si="12"/>
        <v>44537</v>
      </c>
      <c r="AC36" s="62">
        <f t="shared" ca="1" si="13"/>
        <v>68.98444843287858</v>
      </c>
      <c r="AD36" s="62">
        <f t="shared" ca="1" si="14"/>
        <v>0</v>
      </c>
      <c r="AE36" s="62">
        <f t="shared" ca="1" si="15"/>
        <v>0</v>
      </c>
    </row>
    <row r="37" spans="1:31" s="62" customFormat="1" ht="15.75" thickBot="1" x14ac:dyDescent="0.3">
      <c r="A37" s="92" t="e">
        <f ca="1"/>
        <v>#N/A</v>
      </c>
      <c r="B37" s="62">
        <f t="shared" ca="1" si="16"/>
        <v>0</v>
      </c>
      <c r="C37" s="125" t="s">
        <v>14</v>
      </c>
      <c r="D37" s="126" t="s">
        <v>19</v>
      </c>
      <c r="F37" s="83" t="str">
        <f t="shared" ca="1" si="17"/>
        <v/>
      </c>
      <c r="G37" s="85" t="str">
        <f ca="1">IFERROR(VLOOKUP(F37,'Model Interface'!$P$6:$U$495,6,FALSE),"")</f>
        <v/>
      </c>
      <c r="H37" s="62" t="str">
        <f t="shared" ca="1" si="18"/>
        <v/>
      </c>
      <c r="I37" s="121"/>
      <c r="J37" s="121"/>
      <c r="K37" s="121"/>
      <c r="L37" s="121"/>
      <c r="M37" s="121"/>
      <c r="N37" s="121"/>
      <c r="O37" s="121"/>
      <c r="P37" s="121"/>
      <c r="R37" s="92">
        <f ca="1"/>
        <v>44312</v>
      </c>
      <c r="S37" s="62">
        <f t="shared" ca="1" si="9"/>
        <v>44312</v>
      </c>
      <c r="T37" s="62">
        <f t="shared" ca="1" si="0"/>
        <v>25.484754475827813</v>
      </c>
      <c r="U37" s="62">
        <f t="shared" ca="1" si="1"/>
        <v>6.39221199075131</v>
      </c>
      <c r="V37" s="62">
        <f t="shared" ca="1" si="2"/>
        <v>0</v>
      </c>
      <c r="W37" s="60">
        <f t="shared" ca="1" si="3"/>
        <v>99.584217313860165</v>
      </c>
      <c r="X37" s="60">
        <f t="shared" ca="1" si="10"/>
        <v>0</v>
      </c>
      <c r="Y37" s="60">
        <f t="shared" ca="1" si="4"/>
        <v>0</v>
      </c>
      <c r="Z37" s="60">
        <f t="shared" ca="1" si="5"/>
        <v>2.15841806337164E-2</v>
      </c>
      <c r="AA37" s="92">
        <f ca="1"/>
        <v>44538</v>
      </c>
      <c r="AB37" s="62">
        <f t="shared" ca="1" si="12"/>
        <v>44538</v>
      </c>
      <c r="AC37" s="62">
        <f t="shared" ca="1" si="13"/>
        <v>69.648477025045793</v>
      </c>
      <c r="AD37" s="62">
        <f t="shared" ca="1" si="14"/>
        <v>0</v>
      </c>
      <c r="AE37" s="62">
        <f t="shared" ca="1" si="15"/>
        <v>0</v>
      </c>
    </row>
    <row r="38" spans="1:31" s="62" customFormat="1" x14ac:dyDescent="0.25">
      <c r="A38" s="92" t="e">
        <f ca="1"/>
        <v>#N/A</v>
      </c>
      <c r="B38" s="62">
        <f t="shared" ca="1" si="16"/>
        <v>0</v>
      </c>
      <c r="C38" s="137">
        <v>44306</v>
      </c>
      <c r="D38" s="90">
        <v>24.2</v>
      </c>
      <c r="F38" s="83" t="str">
        <f t="shared" ca="1" si="17"/>
        <v/>
      </c>
      <c r="G38" s="85" t="str">
        <f ca="1">IFERROR(VLOOKUP(F38,'Model Interface'!$P$6:$U$495,6,FALSE),"")</f>
        <v/>
      </c>
      <c r="H38" s="62" t="str">
        <f t="shared" ca="1" si="18"/>
        <v/>
      </c>
      <c r="I38" s="121"/>
      <c r="J38" s="121"/>
      <c r="K38" s="121"/>
      <c r="L38" s="121"/>
      <c r="M38" s="121"/>
      <c r="N38" s="121"/>
      <c r="O38" s="121"/>
      <c r="P38" s="121"/>
      <c r="R38" s="92">
        <f ca="1"/>
        <v>44313</v>
      </c>
      <c r="S38" s="62">
        <f t="shared" ca="1" si="9"/>
        <v>44313</v>
      </c>
      <c r="T38" s="62">
        <f t="shared" ca="1" si="0"/>
        <v>25.72713476290059</v>
      </c>
      <c r="U38" s="62">
        <f t="shared" ca="1" si="1"/>
        <v>6.5787661496709404</v>
      </c>
      <c r="V38" s="62">
        <f t="shared" ca="1" si="2"/>
        <v>0</v>
      </c>
      <c r="W38" s="60">
        <f t="shared" ca="1" si="3"/>
        <v>100.65685234840345</v>
      </c>
      <c r="X38" s="60">
        <f t="shared" ca="1" si="10"/>
        <v>0</v>
      </c>
      <c r="Y38" s="60">
        <f t="shared" ca="1" si="4"/>
        <v>0</v>
      </c>
      <c r="Z38" s="60">
        <f t="shared" ca="1" si="5"/>
        <v>2.29976321302779E-2</v>
      </c>
      <c r="AA38" s="92">
        <f ca="1"/>
        <v>44539</v>
      </c>
      <c r="AB38" s="62">
        <f t="shared" ca="1" si="12"/>
        <v>44539</v>
      </c>
      <c r="AC38" s="62">
        <f t="shared" ca="1" si="13"/>
        <v>70.28702685093991</v>
      </c>
      <c r="AD38" s="62">
        <f t="shared" ca="1" si="14"/>
        <v>0</v>
      </c>
      <c r="AE38" s="62">
        <f t="shared" ca="1" si="15"/>
        <v>0</v>
      </c>
    </row>
    <row r="39" spans="1:31" s="62" customFormat="1" x14ac:dyDescent="0.25">
      <c r="A39" s="92" t="e">
        <f ca="1"/>
        <v>#N/A</v>
      </c>
      <c r="B39" s="62">
        <f t="shared" ca="1" si="16"/>
        <v>0</v>
      </c>
      <c r="C39" s="87">
        <v>44365</v>
      </c>
      <c r="D39" s="90">
        <v>15</v>
      </c>
      <c r="F39" s="83" t="str">
        <f t="shared" ca="1" si="17"/>
        <v/>
      </c>
      <c r="G39" s="85" t="str">
        <f ca="1">IFERROR(VLOOKUP(F39,'Model Interface'!$P$6:$U$495,6,FALSE),"")</f>
        <v/>
      </c>
      <c r="H39" s="62" t="str">
        <f t="shared" ca="1" si="18"/>
        <v/>
      </c>
      <c r="I39" s="121"/>
      <c r="J39" s="121"/>
      <c r="K39" s="121"/>
      <c r="L39" s="121"/>
      <c r="M39" s="121"/>
      <c r="N39" s="121"/>
      <c r="O39" s="121"/>
      <c r="P39" s="121"/>
      <c r="R39" s="92">
        <f ca="1"/>
        <v>44314</v>
      </c>
      <c r="S39" s="62">
        <f t="shared" ca="1" si="9"/>
        <v>44314</v>
      </c>
      <c r="T39" s="62">
        <f t="shared" ca="1" si="0"/>
        <v>25.979401701133938</v>
      </c>
      <c r="U39" s="62">
        <f t="shared" ca="1" si="1"/>
        <v>6.7736871156532699</v>
      </c>
      <c r="V39" s="62">
        <f t="shared" ca="1" si="2"/>
        <v>0</v>
      </c>
      <c r="W39" s="60">
        <f t="shared" ca="1" si="3"/>
        <v>102.68244129130035</v>
      </c>
      <c r="X39" s="60">
        <f t="shared" ca="1" si="10"/>
        <v>0</v>
      </c>
      <c r="Y39" s="60">
        <f t="shared" ca="1" si="4"/>
        <v>0</v>
      </c>
      <c r="Z39" s="60">
        <f t="shared" ca="1" si="5"/>
        <v>2.4525883749929599E-2</v>
      </c>
      <c r="AA39" s="92">
        <f ca="1"/>
        <v>44540</v>
      </c>
      <c r="AB39" s="62">
        <f t="shared" ca="1" si="12"/>
        <v>44540</v>
      </c>
      <c r="AC39" s="62">
        <f t="shared" ca="1" si="13"/>
        <v>70.891154122815593</v>
      </c>
      <c r="AD39" s="62">
        <f t="shared" ca="1" si="14"/>
        <v>0</v>
      </c>
      <c r="AE39" s="62">
        <f t="shared" ca="1" si="15"/>
        <v>0</v>
      </c>
    </row>
    <row r="40" spans="1:31" s="62" customFormat="1" ht="6.75" customHeight="1" x14ac:dyDescent="0.25">
      <c r="A40" s="92" t="e">
        <f ca="1"/>
        <v>#N/A</v>
      </c>
      <c r="B40" s="62">
        <f t="shared" ca="1" si="16"/>
        <v>0</v>
      </c>
      <c r="C40" s="87"/>
      <c r="D40" s="90"/>
      <c r="F40" s="83" t="str">
        <f t="shared" ca="1" si="17"/>
        <v/>
      </c>
      <c r="G40" s="85" t="str">
        <f ca="1">IFERROR(VLOOKUP(F40,'Model Interface'!$P$6:$U$495,6,FALSE),"")</f>
        <v/>
      </c>
      <c r="H40" s="62" t="str">
        <f t="shared" ca="1" si="18"/>
        <v/>
      </c>
      <c r="I40" s="121"/>
      <c r="J40" s="121"/>
      <c r="K40" s="121"/>
      <c r="L40" s="121"/>
      <c r="M40" s="121"/>
      <c r="N40" s="121"/>
      <c r="O40" s="121"/>
      <c r="P40" s="121"/>
      <c r="R40" s="92">
        <f ca="1"/>
        <v>44315</v>
      </c>
      <c r="S40" s="62">
        <f t="shared" ca="1" si="9"/>
        <v>44315</v>
      </c>
      <c r="T40" s="62">
        <f t="shared" ca="1" si="0"/>
        <v>26.212276829009767</v>
      </c>
      <c r="U40" s="62">
        <f t="shared" ca="1" si="1"/>
        <v>6.9623732963940297</v>
      </c>
      <c r="V40" s="62">
        <f t="shared" ca="1" si="2"/>
        <v>0</v>
      </c>
      <c r="W40" s="60">
        <f t="shared" ca="1" si="3"/>
        <v>104.17335269307398</v>
      </c>
      <c r="X40" s="60">
        <f t="shared" ca="1" si="10"/>
        <v>0</v>
      </c>
      <c r="Y40" s="60">
        <f t="shared" ca="1" si="4"/>
        <v>0</v>
      </c>
      <c r="Z40" s="60">
        <f t="shared" ca="1" si="5"/>
        <v>2.6055362883660001E-2</v>
      </c>
      <c r="AA40" s="92">
        <f ca="1"/>
        <v>44541</v>
      </c>
      <c r="AB40" s="62">
        <f t="shared" ca="1" si="12"/>
        <v>44541</v>
      </c>
      <c r="AC40" s="62">
        <f t="shared" ca="1" si="13"/>
        <v>71.481024909618725</v>
      </c>
      <c r="AD40" s="62">
        <f t="shared" ca="1" si="14"/>
        <v>0</v>
      </c>
      <c r="AE40" s="62">
        <f t="shared" ca="1" si="15"/>
        <v>0</v>
      </c>
    </row>
    <row r="41" spans="1:31" s="62" customFormat="1" x14ac:dyDescent="0.25">
      <c r="A41" s="92" t="e">
        <f ca="1"/>
        <v>#N/A</v>
      </c>
      <c r="B41" s="62">
        <f t="shared" ca="1" si="16"/>
        <v>0</v>
      </c>
      <c r="C41" s="87"/>
      <c r="D41" s="90"/>
      <c r="F41" s="83" t="str">
        <f t="shared" ca="1" si="17"/>
        <v/>
      </c>
      <c r="G41" s="85" t="str">
        <f ca="1">IFERROR(VLOOKUP(F41,'Model Interface'!$P$6:$U$495,6,FALSE),"")</f>
        <v/>
      </c>
      <c r="H41" s="62" t="str">
        <f t="shared" ca="1" si="18"/>
        <v/>
      </c>
      <c r="I41" s="121"/>
      <c r="J41" s="121"/>
      <c r="K41" s="121"/>
      <c r="L41" s="121"/>
      <c r="M41" s="121"/>
      <c r="N41" s="121"/>
      <c r="O41" s="121"/>
      <c r="P41" s="121"/>
      <c r="R41" s="92">
        <f ca="1"/>
        <v>44316</v>
      </c>
      <c r="S41" s="62">
        <f t="shared" ca="1" si="9"/>
        <v>44316</v>
      </c>
      <c r="T41" s="62">
        <f t="shared" ca="1" si="0"/>
        <v>26.444312408829603</v>
      </c>
      <c r="U41" s="62">
        <f t="shared" ca="1" si="1"/>
        <v>7.15079216129031</v>
      </c>
      <c r="V41" s="62">
        <f t="shared" ca="1" si="2"/>
        <v>0</v>
      </c>
      <c r="W41" s="60">
        <f t="shared" ca="1" si="3"/>
        <v>107.10007896057556</v>
      </c>
      <c r="X41" s="60">
        <f t="shared" ca="1" si="10"/>
        <v>0</v>
      </c>
      <c r="Y41" s="60">
        <f t="shared" ca="1" si="4"/>
        <v>0</v>
      </c>
      <c r="Z41" s="60">
        <f t="shared" ca="1" si="5"/>
        <v>2.76319096676115E-2</v>
      </c>
      <c r="AA41" s="92">
        <f ca="1"/>
        <v>44542</v>
      </c>
      <c r="AB41" s="62">
        <f t="shared" ca="1" si="12"/>
        <v>44542</v>
      </c>
      <c r="AC41" s="62">
        <f t="shared" ca="1" si="13"/>
        <v>72.063657570808715</v>
      </c>
      <c r="AD41" s="62">
        <f t="shared" ca="1" si="14"/>
        <v>0</v>
      </c>
      <c r="AE41" s="62">
        <f t="shared" ca="1" si="15"/>
        <v>0</v>
      </c>
    </row>
    <row r="42" spans="1:31" s="62" customFormat="1" x14ac:dyDescent="0.25">
      <c r="A42" s="92" t="e">
        <f ca="1"/>
        <v>#N/A</v>
      </c>
      <c r="B42" s="62">
        <f t="shared" ca="1" si="16"/>
        <v>0</v>
      </c>
      <c r="C42" s="87"/>
      <c r="D42" s="90"/>
      <c r="F42" s="83" t="str">
        <f t="shared" ca="1" si="17"/>
        <v/>
      </c>
      <c r="G42" s="85" t="str">
        <f ca="1">IFERROR(VLOOKUP(F42,'Model Interface'!$P$6:$U$495,6,FALSE),"")</f>
        <v/>
      </c>
      <c r="H42" s="62" t="str">
        <f t="shared" ca="1" si="18"/>
        <v/>
      </c>
      <c r="I42" s="121"/>
      <c r="J42" s="121"/>
      <c r="K42" s="121"/>
      <c r="L42" s="121"/>
      <c r="M42" s="121"/>
      <c r="N42" s="121"/>
      <c r="O42" s="121"/>
      <c r="P42" s="121"/>
      <c r="R42" s="92">
        <f ca="1"/>
        <v>44317</v>
      </c>
      <c r="S42" s="62">
        <f t="shared" ca="1" si="9"/>
        <v>44317</v>
      </c>
      <c r="T42" s="62">
        <f t="shared" ca="1" si="0"/>
        <v>26.679388172662527</v>
      </c>
      <c r="U42" s="62">
        <f t="shared" ca="1" si="1"/>
        <v>7.3450108257654598</v>
      </c>
      <c r="V42" s="62">
        <f t="shared" ca="1" si="2"/>
        <v>0</v>
      </c>
      <c r="W42" s="60">
        <f t="shared" ca="1" si="3"/>
        <v>108.5507698659723</v>
      </c>
      <c r="X42" s="60">
        <f t="shared" ca="1" si="10"/>
        <v>0</v>
      </c>
      <c r="Y42" s="60">
        <f t="shared" ca="1" si="4"/>
        <v>0</v>
      </c>
      <c r="Z42" s="60">
        <f t="shared" ca="1" si="5"/>
        <v>2.9308498574353001E-2</v>
      </c>
      <c r="AA42" s="92">
        <f ca="1"/>
        <v>44543</v>
      </c>
      <c r="AB42" s="62">
        <f t="shared" ca="1" si="12"/>
        <v>44543</v>
      </c>
      <c r="AC42" s="62">
        <f t="shared" ca="1" si="13"/>
        <v>72.610510421652862</v>
      </c>
      <c r="AD42" s="62">
        <f t="shared" ca="1" si="14"/>
        <v>0</v>
      </c>
      <c r="AE42" s="62">
        <f t="shared" ca="1" si="15"/>
        <v>0</v>
      </c>
    </row>
    <row r="43" spans="1:31" s="62" customFormat="1" ht="15.75" thickBot="1" x14ac:dyDescent="0.3">
      <c r="A43" s="92" t="e">
        <f ca="1"/>
        <v>#N/A</v>
      </c>
      <c r="B43" s="62">
        <f t="shared" ca="1" si="16"/>
        <v>0</v>
      </c>
      <c r="C43" s="88"/>
      <c r="D43" s="91"/>
      <c r="F43" s="84" t="str">
        <f t="shared" ca="1" si="17"/>
        <v/>
      </c>
      <c r="G43" s="86" t="str">
        <f ca="1">IFERROR(VLOOKUP(F43,'Model Interface'!$P$6:$U$495,6,FALSE),"")</f>
        <v/>
      </c>
      <c r="H43" s="62" t="str">
        <f t="shared" ca="1" si="18"/>
        <v/>
      </c>
      <c r="I43" s="121"/>
      <c r="J43" s="121"/>
      <c r="K43" s="121"/>
      <c r="L43" s="121"/>
      <c r="M43" s="121"/>
      <c r="N43" s="121"/>
      <c r="O43" s="121"/>
      <c r="P43" s="121"/>
      <c r="R43" s="92">
        <f ca="1"/>
        <v>44318</v>
      </c>
      <c r="S43" s="62">
        <f t="shared" ca="1" si="9"/>
        <v>44318</v>
      </c>
      <c r="T43" s="62">
        <f t="shared" ca="1" si="0"/>
        <v>26.929063495939843</v>
      </c>
      <c r="U43" s="62">
        <f t="shared" ca="1" si="1"/>
        <v>7.5428733191622896</v>
      </c>
      <c r="V43" s="62">
        <f t="shared" ca="1" si="2"/>
        <v>0</v>
      </c>
      <c r="W43" s="60">
        <f t="shared" ca="1" si="3"/>
        <v>113.342814738925</v>
      </c>
      <c r="X43" s="60">
        <f t="shared" ca="1" si="10"/>
        <v>0</v>
      </c>
      <c r="Y43" s="60">
        <f t="shared" ca="1" si="4"/>
        <v>0</v>
      </c>
      <c r="Z43" s="60">
        <f t="shared" ca="1" si="5"/>
        <v>3.1070311257238799E-2</v>
      </c>
      <c r="AA43" s="92">
        <f ca="1"/>
        <v>44544</v>
      </c>
      <c r="AB43" s="62">
        <f t="shared" ca="1" si="12"/>
        <v>44544</v>
      </c>
      <c r="AC43" s="62">
        <f t="shared" ca="1" si="13"/>
        <v>73.146572562748389</v>
      </c>
      <c r="AD43" s="62">
        <f t="shared" ca="1" si="14"/>
        <v>0</v>
      </c>
      <c r="AE43" s="62">
        <f t="shared" ca="1" si="15"/>
        <v>0</v>
      </c>
    </row>
    <row r="44" spans="1:31" s="61" customFormat="1" x14ac:dyDescent="0.25">
      <c r="A44" s="62"/>
      <c r="B44" s="62">
        <f ca="1">IF(C38="",CurrentEstablishDate,IF(AND(C38&gt;CurrentEstablishDate,(C38-CurrentEstablishDate)&lt;10),C38,CurrentEstablishDate))</f>
        <v>44293</v>
      </c>
      <c r="C44" s="109" t="s">
        <v>157</v>
      </c>
      <c r="D44" s="111">
        <f ca="1">MAX(CurrentEstablishDate,C38:C43,MAX(C29:C34)+1)</f>
        <v>44413</v>
      </c>
      <c r="E44" s="62"/>
      <c r="F44" s="62"/>
      <c r="G44" s="62"/>
      <c r="H44" s="62"/>
      <c r="I44" s="121"/>
      <c r="J44" s="121"/>
      <c r="K44" s="121"/>
      <c r="L44" s="121"/>
      <c r="M44" s="121"/>
      <c r="N44" s="121"/>
      <c r="O44" s="121"/>
      <c r="P44" s="121"/>
      <c r="Q44" s="62"/>
      <c r="R44" s="92">
        <f ca="1"/>
        <v>44319</v>
      </c>
      <c r="S44" s="62">
        <f t="shared" ca="1" si="9"/>
        <v>44319</v>
      </c>
      <c r="T44" s="62">
        <f t="shared" ca="1" si="0"/>
        <v>27.174841586436727</v>
      </c>
      <c r="U44" s="62">
        <f t="shared" ca="1" si="1"/>
        <v>7.7442695587096404</v>
      </c>
      <c r="V44" s="62">
        <f t="shared" ca="1" si="2"/>
        <v>0</v>
      </c>
      <c r="W44" s="60">
        <f t="shared" ca="1" si="3"/>
        <v>114.1679812988279</v>
      </c>
      <c r="X44" s="60">
        <f t="shared" ca="1" si="10"/>
        <v>0</v>
      </c>
      <c r="Y44" s="60">
        <f t="shared" ca="1" si="4"/>
        <v>0</v>
      </c>
      <c r="Z44" s="60">
        <f t="shared" ca="1" si="5"/>
        <v>3.2919283125920101E-2</v>
      </c>
      <c r="AA44" s="92">
        <f ca="1"/>
        <v>44545</v>
      </c>
      <c r="AB44" s="62">
        <f t="shared" ca="1" si="12"/>
        <v>44545</v>
      </c>
      <c r="AC44" s="62">
        <f t="shared" ca="1" si="13"/>
        <v>73.660785119865793</v>
      </c>
      <c r="AD44" s="62">
        <f t="shared" ca="1" si="14"/>
        <v>0</v>
      </c>
      <c r="AE44" s="62">
        <f t="shared" ca="1" si="15"/>
        <v>0</v>
      </c>
    </row>
    <row r="45" spans="1:31" s="62" customFormat="1" x14ac:dyDescent="0.25">
      <c r="I45" s="121"/>
      <c r="J45" s="121"/>
      <c r="K45" s="121"/>
      <c r="L45" s="121"/>
      <c r="M45" s="121"/>
      <c r="N45" s="121"/>
      <c r="O45" s="121"/>
      <c r="P45" s="121"/>
      <c r="R45" s="92">
        <f ca="1"/>
        <v>44320</v>
      </c>
      <c r="S45" s="62">
        <f t="shared" ca="1" si="9"/>
        <v>44320</v>
      </c>
      <c r="T45" s="62">
        <f t="shared" ca="1" si="0"/>
        <v>27.411275557656936</v>
      </c>
      <c r="U45" s="62">
        <f t="shared" ca="1" si="1"/>
        <v>7.9467613201477203</v>
      </c>
      <c r="V45" s="62">
        <f t="shared" ca="1" si="2"/>
        <v>0</v>
      </c>
      <c r="W45" s="60">
        <f t="shared" ca="1" si="3"/>
        <v>114.64704845862838</v>
      </c>
      <c r="X45" s="60">
        <f t="shared" ca="1" si="10"/>
        <v>0</v>
      </c>
      <c r="Y45" s="60">
        <f t="shared" ca="1" si="4"/>
        <v>0</v>
      </c>
      <c r="Z45" s="60">
        <f t="shared" ca="1" si="5"/>
        <v>3.4834890306977603E-2</v>
      </c>
      <c r="AA45" s="92">
        <f ca="1"/>
        <v>44546</v>
      </c>
      <c r="AB45" s="62">
        <f t="shared" ca="1" si="12"/>
        <v>44546</v>
      </c>
      <c r="AC45" s="62">
        <f t="shared" ca="1" si="13"/>
        <v>74.182076154975789</v>
      </c>
      <c r="AD45" s="62">
        <f t="shared" ca="1" si="14"/>
        <v>0</v>
      </c>
      <c r="AE45" s="62">
        <f t="shared" ca="1" si="15"/>
        <v>0</v>
      </c>
    </row>
    <row r="46" spans="1:31" s="62" customFormat="1" ht="15.75" thickBot="1" x14ac:dyDescent="0.3">
      <c r="C46" s="138" t="s">
        <v>164</v>
      </c>
      <c r="D46" s="138"/>
      <c r="E46" s="138"/>
      <c r="F46" s="138"/>
      <c r="G46" s="138"/>
      <c r="H46" s="138"/>
      <c r="I46" s="121"/>
      <c r="J46" s="121"/>
      <c r="K46" s="121"/>
      <c r="L46" s="121"/>
      <c r="M46" s="121"/>
      <c r="N46" s="121"/>
      <c r="O46" s="121"/>
      <c r="P46" s="121"/>
      <c r="R46" s="92">
        <f ca="1"/>
        <v>44321</v>
      </c>
      <c r="S46" s="62">
        <f t="shared" ca="1" si="9"/>
        <v>44321</v>
      </c>
      <c r="T46" s="62">
        <f t="shared" ca="1" si="0"/>
        <v>27.647410331290757</v>
      </c>
      <c r="U46" s="62">
        <f t="shared" ca="1" si="1"/>
        <v>8.1556123592648095</v>
      </c>
      <c r="V46" s="62">
        <f t="shared" ca="1" si="2"/>
        <v>0</v>
      </c>
      <c r="W46" s="60">
        <f t="shared" ca="1" si="3"/>
        <v>116.00563962533485</v>
      </c>
      <c r="X46" s="60">
        <f t="shared" ca="1" si="10"/>
        <v>0</v>
      </c>
      <c r="Y46" s="60">
        <f t="shared" ca="1" si="4"/>
        <v>0</v>
      </c>
      <c r="Z46" s="60">
        <f t="shared" ca="1" si="5"/>
        <v>3.6869982359494201E-2</v>
      </c>
      <c r="AA46" s="92">
        <f ca="1"/>
        <v>44547</v>
      </c>
      <c r="AB46" s="62">
        <f t="shared" ca="1" si="12"/>
        <v>44547</v>
      </c>
      <c r="AC46" s="62">
        <f t="shared" ca="1" si="13"/>
        <v>74.705371844918943</v>
      </c>
      <c r="AD46" s="62">
        <f t="shared" ca="1" si="14"/>
        <v>0</v>
      </c>
      <c r="AE46" s="62">
        <f t="shared" ca="1" si="15"/>
        <v>0</v>
      </c>
    </row>
    <row r="47" spans="1:31" s="62" customFormat="1" x14ac:dyDescent="0.25">
      <c r="C47" s="69" t="s">
        <v>30</v>
      </c>
      <c r="D47" s="97" t="str">
        <f>IF(E47="","Fodder",E47)</f>
        <v>Green_Manure</v>
      </c>
      <c r="E47" s="96" t="s">
        <v>241</v>
      </c>
      <c r="F47" s="69" t="s">
        <v>141</v>
      </c>
      <c r="G47" s="97">
        <f>IF(H47="",VLOOKUP(PriorCropNameFull,CropCoefficients,23,FALSE),H47)</f>
        <v>0</v>
      </c>
      <c r="H47" s="98"/>
      <c r="I47" s="121"/>
      <c r="J47" s="121"/>
      <c r="K47" s="121"/>
      <c r="L47" s="121"/>
      <c r="M47" s="121"/>
      <c r="N47" s="121"/>
      <c r="O47" s="121"/>
      <c r="P47" s="121"/>
      <c r="R47" s="92">
        <f ca="1"/>
        <v>44322</v>
      </c>
      <c r="S47" s="62">
        <f t="shared" ca="1" si="9"/>
        <v>44322</v>
      </c>
      <c r="T47" s="62">
        <f t="shared" ca="1" si="0"/>
        <v>27.881995649453998</v>
      </c>
      <c r="U47" s="62">
        <f t="shared" ca="1" si="1"/>
        <v>8.3722374149980894</v>
      </c>
      <c r="V47" s="62">
        <f t="shared" ca="1" si="2"/>
        <v>0</v>
      </c>
      <c r="W47" s="60">
        <f t="shared" ca="1" si="3"/>
        <v>117.72343158418312</v>
      </c>
      <c r="X47" s="60">
        <f t="shared" ca="1" si="10"/>
        <v>0</v>
      </c>
      <c r="Y47" s="60">
        <f t="shared" ca="1" si="4"/>
        <v>0</v>
      </c>
      <c r="Z47" s="60">
        <f t="shared" ca="1" si="5"/>
        <v>3.9044319503998302E-2</v>
      </c>
      <c r="AA47" s="92">
        <f ca="1"/>
        <v>44548</v>
      </c>
      <c r="AB47" s="62">
        <f t="shared" ca="1" si="12"/>
        <v>44548</v>
      </c>
      <c r="AC47" s="62">
        <f t="shared" ca="1" si="13"/>
        <v>75.216870141114981</v>
      </c>
      <c r="AD47" s="62">
        <f t="shared" ca="1" si="14"/>
        <v>0</v>
      </c>
      <c r="AE47" s="62">
        <f t="shared" ca="1" si="15"/>
        <v>0</v>
      </c>
    </row>
    <row r="48" spans="1:31" s="62" customFormat="1" x14ac:dyDescent="0.25">
      <c r="C48" s="69" t="s">
        <v>99</v>
      </c>
      <c r="D48" s="93" t="str">
        <f>IF(E48="","Barley",E48)</f>
        <v>Mustard</v>
      </c>
      <c r="E48" s="75" t="s">
        <v>60</v>
      </c>
      <c r="F48" s="69" t="s">
        <v>143</v>
      </c>
      <c r="G48" s="93">
        <f>IF(H48="",VLOOKUP(PriorCropNameFull,CropCoefficients,22,FALSE),H48)</f>
        <v>0</v>
      </c>
      <c r="H48" s="81"/>
      <c r="I48" s="121"/>
      <c r="J48" s="121"/>
      <c r="K48" s="121"/>
      <c r="L48" s="121"/>
      <c r="M48" s="121"/>
      <c r="N48" s="121"/>
      <c r="O48" s="121"/>
      <c r="P48" s="121"/>
      <c r="R48" s="92">
        <f ca="1"/>
        <v>44323</v>
      </c>
      <c r="S48" s="62">
        <f t="shared" ca="1" si="9"/>
        <v>44323</v>
      </c>
      <c r="T48" s="62">
        <f t="shared" ca="1" si="0"/>
        <v>28.103967404746456</v>
      </c>
      <c r="U48" s="62">
        <f t="shared" ca="1" si="1"/>
        <v>8.5892868544551799</v>
      </c>
      <c r="V48" s="62">
        <f t="shared" ca="1" si="2"/>
        <v>0</v>
      </c>
      <c r="W48" s="60">
        <f t="shared" ca="1" si="3"/>
        <v>117.71847511650208</v>
      </c>
      <c r="X48" s="60">
        <f t="shared" ca="1" si="10"/>
        <v>0</v>
      </c>
      <c r="Y48" s="60">
        <f t="shared" ca="1" si="4"/>
        <v>0</v>
      </c>
      <c r="Z48" s="60">
        <f t="shared" ca="1" si="5"/>
        <v>4.1287559599666603E-2</v>
      </c>
      <c r="AA48" s="92">
        <f ca="1"/>
        <v>44549</v>
      </c>
      <c r="AB48" s="62">
        <f t="shared" ca="1" si="12"/>
        <v>44549</v>
      </c>
      <c r="AC48" s="62">
        <f t="shared" ca="1" si="13"/>
        <v>75.734405379275785</v>
      </c>
      <c r="AD48" s="62">
        <f t="shared" ca="1" si="14"/>
        <v>0</v>
      </c>
      <c r="AE48" s="62">
        <f t="shared" ca="1" si="15"/>
        <v>0</v>
      </c>
    </row>
    <row r="49" spans="2:31" s="62" customFormat="1" x14ac:dyDescent="0.25">
      <c r="C49" s="69" t="s">
        <v>100</v>
      </c>
      <c r="D49" s="93" t="str">
        <f>IF(E49="","General",E49)</f>
        <v>General</v>
      </c>
      <c r="E49" s="75"/>
      <c r="F49" s="69" t="s">
        <v>142</v>
      </c>
      <c r="G49" s="93">
        <f>IF(H49="",VLOOKUP(PriorCropNameFull,CropCoefficients,26,FALSE),H49)</f>
        <v>0</v>
      </c>
      <c r="H49" s="81"/>
      <c r="I49" s="121"/>
      <c r="J49" s="121"/>
      <c r="K49" s="121"/>
      <c r="L49" s="121"/>
      <c r="M49" s="121"/>
      <c r="N49" s="121"/>
      <c r="O49" s="121"/>
      <c r="P49" s="121"/>
      <c r="R49" s="92">
        <f ca="1"/>
        <v>44324</v>
      </c>
      <c r="S49" s="62">
        <f t="shared" ca="1" si="9"/>
        <v>44324</v>
      </c>
      <c r="T49" s="62">
        <f t="shared" ca="1" si="0"/>
        <v>28.31496654147044</v>
      </c>
      <c r="U49" s="62">
        <f t="shared" ca="1" si="1"/>
        <v>8.8074282930843104</v>
      </c>
      <c r="V49" s="62">
        <f t="shared" ca="1" si="2"/>
        <v>0</v>
      </c>
      <c r="W49" s="60">
        <f t="shared" ca="1" si="3"/>
        <v>119.30879445287569</v>
      </c>
      <c r="X49" s="60">
        <f t="shared" ca="1" si="10"/>
        <v>0</v>
      </c>
      <c r="Y49" s="60">
        <f t="shared" ca="1" si="4"/>
        <v>0</v>
      </c>
      <c r="Z49" s="60">
        <f t="shared" ca="1" si="5"/>
        <v>4.36070359713501E-2</v>
      </c>
      <c r="AA49" s="92">
        <f ca="1"/>
        <v>44550</v>
      </c>
      <c r="AB49" s="62">
        <f t="shared" ca="1" si="12"/>
        <v>44550</v>
      </c>
      <c r="AC49" s="62">
        <f t="shared" ca="1" si="13"/>
        <v>76.245978131383609</v>
      </c>
      <c r="AD49" s="62">
        <f t="shared" ca="1" si="14"/>
        <v>0</v>
      </c>
      <c r="AE49" s="62">
        <f t="shared" ca="1" si="15"/>
        <v>0</v>
      </c>
    </row>
    <row r="50" spans="2:31" s="62" customFormat="1" x14ac:dyDescent="0.25">
      <c r="B50" s="99">
        <f>IF(PriorUnits="kg/head",PriorYield*PriorPopulation,IF(PriorUnits="kg/ha",PriorYield/1000,PriorYield))</f>
        <v>7</v>
      </c>
      <c r="C50" s="73" t="s">
        <v>158</v>
      </c>
      <c r="D50" s="74" t="str">
        <f>PriorCropName&amp;" "&amp;PriorCropType&amp;" "&amp;PriorCropVariety</f>
        <v>Mustard Green_Manure General</v>
      </c>
      <c r="F50" s="63"/>
      <c r="I50" s="121"/>
      <c r="J50" s="121"/>
      <c r="K50" s="121"/>
      <c r="L50" s="121"/>
      <c r="M50" s="121"/>
      <c r="N50" s="121"/>
      <c r="O50" s="121"/>
      <c r="P50" s="121"/>
      <c r="R50" s="92">
        <f ca="1"/>
        <v>44325</v>
      </c>
      <c r="S50" s="62">
        <f t="shared" ca="1" si="9"/>
        <v>44325</v>
      </c>
      <c r="T50" s="62">
        <f t="shared" ca="1" si="0"/>
        <v>28.512264001697844</v>
      </c>
      <c r="U50" s="62">
        <f t="shared" ca="1" si="1"/>
        <v>9.0239208638384607</v>
      </c>
      <c r="V50" s="62">
        <f t="shared" ca="1" si="2"/>
        <v>0</v>
      </c>
      <c r="W50" s="60">
        <f t="shared" ca="1" si="3"/>
        <v>119.91228465923872</v>
      </c>
      <c r="X50" s="60">
        <f t="shared" ca="1" si="10"/>
        <v>0</v>
      </c>
      <c r="Y50" s="60">
        <f t="shared" ca="1" si="4"/>
        <v>0</v>
      </c>
      <c r="Z50" s="60">
        <f t="shared" ca="1" si="5"/>
        <v>4.5973073694949698E-2</v>
      </c>
      <c r="AA50" s="92">
        <f ca="1"/>
        <v>44551</v>
      </c>
      <c r="AB50" s="62">
        <f t="shared" ca="1" si="12"/>
        <v>44551</v>
      </c>
      <c r="AC50" s="62">
        <f t="shared" ca="1" si="13"/>
        <v>76.756042828196613</v>
      </c>
      <c r="AD50" s="62">
        <f t="shared" ca="1" si="14"/>
        <v>0</v>
      </c>
      <c r="AE50" s="62">
        <f t="shared" ca="1" si="15"/>
        <v>0</v>
      </c>
    </row>
    <row r="51" spans="2:31" s="62" customFormat="1" x14ac:dyDescent="0.25">
      <c r="C51" s="69" t="s">
        <v>4</v>
      </c>
      <c r="D51" s="77">
        <f>IF(E51="",CurrentEstablishDate-60,E51)</f>
        <v>44105</v>
      </c>
      <c r="E51" s="76">
        <v>44105</v>
      </c>
      <c r="F51" s="69" t="s">
        <v>153</v>
      </c>
      <c r="G51" s="93" t="str">
        <f>IF(H51="",VLOOKUP(PriorCropNameFull,CropCoefficients,13,FALSE),H51)</f>
        <v>Seed</v>
      </c>
      <c r="H51" s="81"/>
      <c r="I51" s="121"/>
      <c r="J51" s="121"/>
      <c r="K51" s="121"/>
      <c r="L51" s="121"/>
      <c r="M51" s="121"/>
      <c r="N51" s="121"/>
      <c r="O51" s="121"/>
      <c r="P51" s="121"/>
      <c r="R51" s="92">
        <f ca="1"/>
        <v>44326</v>
      </c>
      <c r="S51" s="62">
        <f t="shared" ca="1" si="9"/>
        <v>44326</v>
      </c>
      <c r="T51" s="62">
        <f t="shared" ca="1" si="0"/>
        <v>28.707044522791762</v>
      </c>
      <c r="U51" s="62">
        <f t="shared" ca="1" si="1"/>
        <v>9.2477020619193002</v>
      </c>
      <c r="V51" s="62">
        <f t="shared" ca="1" si="2"/>
        <v>0</v>
      </c>
      <c r="W51" s="60">
        <f t="shared" ca="1" si="3"/>
        <v>120</v>
      </c>
      <c r="X51" s="60">
        <f t="shared" ca="1" si="10"/>
        <v>1.4212392037154729</v>
      </c>
      <c r="Y51" s="60">
        <f t="shared" ca="1" si="4"/>
        <v>0</v>
      </c>
      <c r="Z51" s="60">
        <f t="shared" ca="1" si="5"/>
        <v>4.8485537585833398E-2</v>
      </c>
      <c r="AA51" s="92">
        <f ca="1"/>
        <v>44552</v>
      </c>
      <c r="AB51" s="62">
        <f t="shared" ca="1" si="12"/>
        <v>44552</v>
      </c>
      <c r="AC51" s="62">
        <f t="shared" ca="1" si="13"/>
        <v>77.259510751825303</v>
      </c>
      <c r="AD51" s="62">
        <f t="shared" ca="1" si="14"/>
        <v>0</v>
      </c>
      <c r="AE51" s="62">
        <f t="shared" ca="1" si="15"/>
        <v>0</v>
      </c>
    </row>
    <row r="52" spans="2:31" s="62" customFormat="1" x14ac:dyDescent="0.25">
      <c r="C52" s="69" t="s">
        <v>5</v>
      </c>
      <c r="D52" s="77">
        <f>IF(E52="",CurrentEstablishDate-15,E52)</f>
        <v>44252</v>
      </c>
      <c r="E52" s="76">
        <v>44252</v>
      </c>
      <c r="F52" s="69" t="s">
        <v>154</v>
      </c>
      <c r="G52" s="93" t="str">
        <f>IF(H52="",VLOOKUP(PriorCropNameFull,CropCoefficients,15,FALSE),H52)</f>
        <v>EarlyReproductive</v>
      </c>
      <c r="H52" s="81"/>
      <c r="I52" s="121"/>
      <c r="J52" s="121"/>
      <c r="K52" s="121"/>
      <c r="L52" s="121"/>
      <c r="M52" s="121"/>
      <c r="N52" s="121"/>
      <c r="O52" s="121"/>
      <c r="P52" s="121"/>
      <c r="R52" s="92">
        <f ca="1"/>
        <v>44327</v>
      </c>
      <c r="S52" s="62">
        <f t="shared" ca="1" si="9"/>
        <v>44327</v>
      </c>
      <c r="T52" s="62">
        <f t="shared" ca="1" si="0"/>
        <v>28.902128064534821</v>
      </c>
      <c r="U52" s="62">
        <f t="shared" ca="1" si="1"/>
        <v>9.4817350257112007</v>
      </c>
      <c r="V52" s="62">
        <f t="shared" ca="1" si="2"/>
        <v>0</v>
      </c>
      <c r="W52" s="60">
        <f t="shared" ca="1" si="3"/>
        <v>120</v>
      </c>
      <c r="X52" s="60">
        <f t="shared" ca="1" si="10"/>
        <v>2.0204127877320843</v>
      </c>
      <c r="Y52" s="60">
        <f t="shared" ca="1" si="4"/>
        <v>0</v>
      </c>
      <c r="Z52" s="60">
        <f t="shared" ca="1" si="5"/>
        <v>5.1185282706039503E-2</v>
      </c>
      <c r="AA52" s="92">
        <f ca="1"/>
        <v>44553</v>
      </c>
      <c r="AB52" s="62">
        <f t="shared" ca="1" si="12"/>
        <v>44553</v>
      </c>
      <c r="AC52" s="62">
        <f t="shared" ca="1" si="13"/>
        <v>77.739899403881381</v>
      </c>
      <c r="AD52" s="62">
        <f t="shared" ca="1" si="14"/>
        <v>0</v>
      </c>
      <c r="AE52" s="62">
        <f t="shared" ca="1" si="15"/>
        <v>0</v>
      </c>
    </row>
    <row r="53" spans="2:31" s="62" customFormat="1" x14ac:dyDescent="0.25">
      <c r="C53" s="69" t="s">
        <v>144</v>
      </c>
      <c r="D53" s="82" t="str">
        <f>IF(PriorUnits="kg/head",IF(E11="",VLOOKUP(PriorCropNameFull,CropCoefficients,20,FALSE),E11),"")</f>
        <v/>
      </c>
      <c r="E53" s="81"/>
      <c r="F53" s="69"/>
      <c r="G53" s="69"/>
      <c r="H53" s="69"/>
      <c r="I53" s="121"/>
      <c r="J53" s="121"/>
      <c r="K53" s="121"/>
      <c r="L53" s="121"/>
      <c r="M53" s="121"/>
      <c r="N53" s="121"/>
      <c r="O53" s="121"/>
      <c r="P53" s="121"/>
      <c r="R53" s="92">
        <f ca="1"/>
        <v>44328</v>
      </c>
      <c r="S53" s="62">
        <f t="shared" ca="1" si="9"/>
        <v>44328</v>
      </c>
      <c r="T53" s="62">
        <f t="shared" ca="1" si="0"/>
        <v>29.097918708929797</v>
      </c>
      <c r="U53" s="62">
        <f t="shared" ca="1" si="1"/>
        <v>9.7271225023093297</v>
      </c>
      <c r="V53" s="62">
        <f t="shared" ca="1" si="2"/>
        <v>0</v>
      </c>
      <c r="W53" s="60">
        <f t="shared" ca="1" si="3"/>
        <v>120</v>
      </c>
      <c r="X53" s="60">
        <f t="shared" ca="1" si="10"/>
        <v>3.9992426238881933</v>
      </c>
      <c r="Y53" s="60">
        <f t="shared" ca="1" si="4"/>
        <v>0</v>
      </c>
      <c r="Z53" s="60">
        <f t="shared" ca="1" si="5"/>
        <v>5.4094719778392301E-2</v>
      </c>
      <c r="AA53" s="92">
        <f ca="1"/>
        <v>44554</v>
      </c>
      <c r="AB53" s="62">
        <f t="shared" ca="1" si="12"/>
        <v>44554</v>
      </c>
      <c r="AC53" s="62">
        <f t="shared" ca="1" si="13"/>
        <v>78.223431312974938</v>
      </c>
      <c r="AD53" s="62">
        <f t="shared" ca="1" si="14"/>
        <v>0</v>
      </c>
      <c r="AE53" s="62">
        <f t="shared" ca="1" si="15"/>
        <v>0</v>
      </c>
    </row>
    <row r="54" spans="2:31" s="61" customFormat="1" x14ac:dyDescent="0.25">
      <c r="B54" s="62"/>
      <c r="C54" s="69" t="s">
        <v>105</v>
      </c>
      <c r="D54" s="79">
        <f>IF(E54="",VLOOKUP(PriorCropNameFull,CropCoefficients,17,FALSE),E54)</f>
        <v>7</v>
      </c>
      <c r="E54" s="78"/>
      <c r="F54" s="69" t="s">
        <v>156</v>
      </c>
      <c r="G54" s="94" t="str">
        <f>IF(H54="","None removed",H54)</f>
        <v>None removed</v>
      </c>
      <c r="H54" s="81"/>
      <c r="I54" s="121"/>
      <c r="J54" s="121"/>
      <c r="K54" s="121"/>
      <c r="L54" s="121"/>
      <c r="M54" s="121"/>
      <c r="N54" s="121"/>
      <c r="O54" s="121"/>
      <c r="P54" s="121"/>
      <c r="Q54" s="62"/>
      <c r="R54" s="92">
        <f ca="1"/>
        <v>44329</v>
      </c>
      <c r="S54" s="62">
        <f t="shared" ca="1" si="9"/>
        <v>44329</v>
      </c>
      <c r="T54" s="62">
        <f t="shared" ca="1" si="0"/>
        <v>29.286143479432496</v>
      </c>
      <c r="U54" s="62">
        <f t="shared" ca="1" si="1"/>
        <v>9.9770803887443709</v>
      </c>
      <c r="V54" s="62">
        <f t="shared" ca="1" si="2"/>
        <v>0</v>
      </c>
      <c r="W54" s="60">
        <f t="shared" ca="1" si="3"/>
        <v>120</v>
      </c>
      <c r="X54" s="60">
        <f t="shared" ca="1" si="10"/>
        <v>5.624993268038736</v>
      </c>
      <c r="Y54" s="60">
        <f t="shared" ca="1" si="4"/>
        <v>0</v>
      </c>
      <c r="Z54" s="60">
        <f t="shared" ca="1" si="5"/>
        <v>5.7140526402338403E-2</v>
      </c>
      <c r="AA54" s="92">
        <f ca="1"/>
        <v>44555</v>
      </c>
      <c r="AB54" s="62">
        <f t="shared" ca="1" si="12"/>
        <v>44555</v>
      </c>
      <c r="AC54" s="62">
        <f t="shared" ca="1" si="13"/>
        <v>78.721964063856333</v>
      </c>
      <c r="AD54" s="62">
        <f t="shared" ca="1" si="14"/>
        <v>0</v>
      </c>
      <c r="AE54" s="62">
        <f t="shared" ca="1" si="15"/>
        <v>0</v>
      </c>
    </row>
    <row r="55" spans="2:31" s="62" customFormat="1" x14ac:dyDescent="0.25">
      <c r="C55" s="69" t="s">
        <v>15</v>
      </c>
      <c r="D55" s="93" t="str">
        <f>IF(E55="",VLOOKUP(PriorCropNameFull,CropCoefficients,18,FALSE),E55)</f>
        <v>t/ha</v>
      </c>
      <c r="E55" s="80"/>
      <c r="F55" s="65" t="s">
        <v>169</v>
      </c>
      <c r="G55" s="94" t="str">
        <f>IF(H55="","Full (Plough)",H55)</f>
        <v>Part (Cultivate)</v>
      </c>
      <c r="H55" s="81" t="s">
        <v>181</v>
      </c>
      <c r="I55" s="121"/>
      <c r="J55" s="121"/>
      <c r="K55" s="121"/>
      <c r="L55" s="121"/>
      <c r="M55" s="121"/>
      <c r="N55" s="121"/>
      <c r="O55" s="121"/>
      <c r="P55" s="121"/>
      <c r="R55" s="92">
        <f ca="1"/>
        <v>44330</v>
      </c>
      <c r="S55" s="62">
        <f t="shared" ca="1" si="9"/>
        <v>44330</v>
      </c>
      <c r="T55" s="62">
        <f t="shared" ca="1" si="0"/>
        <v>29.462132849980748</v>
      </c>
      <c r="U55" s="62">
        <f t="shared" ca="1" si="1"/>
        <v>10.2269414905352</v>
      </c>
      <c r="V55" s="62">
        <f t="shared" ca="1" si="2"/>
        <v>0</v>
      </c>
      <c r="W55" s="60">
        <f t="shared" ca="1" si="3"/>
        <v>120</v>
      </c>
      <c r="X55" s="60">
        <f t="shared" ca="1" si="10"/>
        <v>6.8369719500909554</v>
      </c>
      <c r="Y55" s="60">
        <f t="shared" ca="1" si="4"/>
        <v>0</v>
      </c>
      <c r="Z55" s="60">
        <f t="shared" ca="1" si="5"/>
        <v>6.0267301931348598E-2</v>
      </c>
      <c r="AA55" s="92">
        <f ca="1"/>
        <v>44556</v>
      </c>
      <c r="AB55" s="62">
        <f t="shared" ca="1" si="12"/>
        <v>44556</v>
      </c>
      <c r="AC55" s="62">
        <f t="shared" ca="1" si="13"/>
        <v>79.195557300052144</v>
      </c>
      <c r="AD55" s="62">
        <f t="shared" ca="1" si="14"/>
        <v>0</v>
      </c>
      <c r="AE55" s="62">
        <f t="shared" ca="1" si="15"/>
        <v>0</v>
      </c>
    </row>
    <row r="56" spans="2:31" s="62" customFormat="1" x14ac:dyDescent="0.25">
      <c r="C56" s="73" t="str">
        <f>"Yield "&amp;ROUND(PriorYield_tperHa,0)&amp;" (t/ha)"</f>
        <v>Yield 7 (t/ha)</v>
      </c>
      <c r="D56" s="99" t="str">
        <f ca="1">"Previous crop residues are providing "&amp;ROUND('Model Interface'!S4,0)&amp;" kg N/ha to the current crop"</f>
        <v>Previous crop residues are providing 7 kg N/ha to the current crop</v>
      </c>
      <c r="I56" s="121"/>
      <c r="J56" s="121"/>
      <c r="K56" s="121"/>
      <c r="L56" s="121"/>
      <c r="M56" s="121"/>
      <c r="N56" s="121"/>
      <c r="O56" s="121"/>
      <c r="P56" s="121"/>
      <c r="R56" s="92">
        <f ca="1"/>
        <v>44331</v>
      </c>
      <c r="S56" s="62">
        <f t="shared" ca="1" si="9"/>
        <v>44331</v>
      </c>
      <c r="T56" s="62">
        <f t="shared" ca="1" si="0"/>
        <v>29.630745662736345</v>
      </c>
      <c r="U56" s="62">
        <f t="shared" ca="1" si="1"/>
        <v>10.481142417590499</v>
      </c>
      <c r="V56" s="62">
        <f t="shared" ca="1" si="2"/>
        <v>0</v>
      </c>
      <c r="W56" s="60">
        <f t="shared" ca="1" si="3"/>
        <v>120</v>
      </c>
      <c r="X56" s="60">
        <f t="shared" ca="1" si="10"/>
        <v>9.1739532375832766</v>
      </c>
      <c r="Y56" s="60">
        <f t="shared" ca="1" si="4"/>
        <v>0</v>
      </c>
      <c r="Z56" s="60">
        <f t="shared" ca="1" si="5"/>
        <v>6.3531833190759501E-2</v>
      </c>
      <c r="AA56" s="92">
        <f ca="1"/>
        <v>44557</v>
      </c>
      <c r="AB56" s="62">
        <f t="shared" ca="1" si="12"/>
        <v>44557</v>
      </c>
      <c r="AC56" s="62">
        <f t="shared" ca="1" si="13"/>
        <v>79.663021791875536</v>
      </c>
      <c r="AD56" s="62">
        <f t="shared" ca="1" si="14"/>
        <v>0</v>
      </c>
      <c r="AE56" s="62">
        <f t="shared" ca="1" si="15"/>
        <v>0</v>
      </c>
    </row>
    <row r="57" spans="2:31" s="62" customFormat="1" ht="15.75" thickBot="1" x14ac:dyDescent="0.3">
      <c r="C57" s="138" t="s">
        <v>165</v>
      </c>
      <c r="D57" s="138"/>
      <c r="E57" s="138"/>
      <c r="F57" s="138"/>
      <c r="G57" s="138"/>
      <c r="H57" s="138"/>
      <c r="I57" s="121"/>
      <c r="J57" s="121"/>
      <c r="K57" s="121"/>
      <c r="L57" s="121"/>
      <c r="M57" s="121"/>
      <c r="N57" s="121"/>
      <c r="O57" s="121"/>
      <c r="P57" s="121"/>
      <c r="R57" s="92">
        <f ca="1"/>
        <v>44332</v>
      </c>
      <c r="S57" s="62">
        <f t="shared" ca="1" si="9"/>
        <v>44332</v>
      </c>
      <c r="T57" s="62">
        <f t="shared" ca="1" si="0"/>
        <v>29.793591316415686</v>
      </c>
      <c r="U57" s="62">
        <f t="shared" ca="1" si="1"/>
        <v>10.7415249399556</v>
      </c>
      <c r="V57" s="62">
        <f t="shared" ca="1" si="2"/>
        <v>0</v>
      </c>
      <c r="W57" s="60">
        <f t="shared" ca="1" si="3"/>
        <v>120</v>
      </c>
      <c r="X57" s="60">
        <f t="shared" ca="1" si="10"/>
        <v>11.51522217961616</v>
      </c>
      <c r="Y57" s="60">
        <f t="shared" ca="1" si="4"/>
        <v>0</v>
      </c>
      <c r="Z57" s="60">
        <f t="shared" ca="1" si="5"/>
        <v>6.6962052113499093E-2</v>
      </c>
      <c r="AA57" s="92">
        <f ca="1"/>
        <v>44558</v>
      </c>
      <c r="AB57" s="62">
        <f t="shared" ca="1" si="12"/>
        <v>44558</v>
      </c>
      <c r="AC57" s="62">
        <f t="shared" ca="1" si="13"/>
        <v>80.145067336176098</v>
      </c>
      <c r="AD57" s="62">
        <f t="shared" ca="1" si="14"/>
        <v>0</v>
      </c>
      <c r="AE57" s="62">
        <f t="shared" ca="1" si="15"/>
        <v>0</v>
      </c>
    </row>
    <row r="58" spans="2:31" s="62" customFormat="1" x14ac:dyDescent="0.25">
      <c r="C58" s="69" t="s">
        <v>30</v>
      </c>
      <c r="D58" s="97" t="str">
        <f>IF(E58="","Fodder",E58)</f>
        <v>Vegetable</v>
      </c>
      <c r="E58" s="96" t="s">
        <v>69</v>
      </c>
      <c r="F58" s="69" t="s">
        <v>141</v>
      </c>
      <c r="G58" s="97">
        <f>IF(H58="",VLOOKUP(FollowingCropFullName,CropCoefficients,23,FALSE),H58)</f>
        <v>0</v>
      </c>
      <c r="H58" s="98"/>
      <c r="I58" s="121"/>
      <c r="J58" s="121"/>
      <c r="K58" s="121"/>
      <c r="L58" s="121"/>
      <c r="M58" s="121"/>
      <c r="N58" s="121"/>
      <c r="O58" s="121"/>
      <c r="P58" s="121"/>
      <c r="R58" s="92">
        <f ca="1"/>
        <v>44333</v>
      </c>
      <c r="S58" s="62">
        <f t="shared" ca="1" si="9"/>
        <v>44333</v>
      </c>
      <c r="T58" s="62">
        <f t="shared" ca="1" si="0"/>
        <v>29.943722384522374</v>
      </c>
      <c r="U58" s="62">
        <f t="shared" ca="1" si="1"/>
        <v>10.999934922709</v>
      </c>
      <c r="V58" s="62">
        <f t="shared" ca="1" si="2"/>
        <v>0</v>
      </c>
      <c r="W58" s="60">
        <f t="shared" ca="1" si="3"/>
        <v>120</v>
      </c>
      <c r="X58" s="60">
        <f t="shared" ca="1" si="10"/>
        <v>13.700412376478027</v>
      </c>
      <c r="Y58" s="60">
        <f t="shared" ca="1" si="4"/>
        <v>0</v>
      </c>
      <c r="Z58" s="60">
        <f t="shared" ca="1" si="5"/>
        <v>7.0451593100273699E-2</v>
      </c>
      <c r="AA58" s="92">
        <f ca="1"/>
        <v>44559</v>
      </c>
      <c r="AB58" s="62">
        <f t="shared" ca="1" si="12"/>
        <v>44559</v>
      </c>
      <c r="AC58" s="62">
        <f t="shared" ca="1" si="13"/>
        <v>80.636838785271692</v>
      </c>
      <c r="AD58" s="62">
        <f t="shared" ca="1" si="14"/>
        <v>0</v>
      </c>
      <c r="AE58" s="62">
        <f t="shared" ca="1" si="15"/>
        <v>0</v>
      </c>
    </row>
    <row r="59" spans="2:31" s="62" customFormat="1" x14ac:dyDescent="0.25">
      <c r="C59" s="69" t="s">
        <v>99</v>
      </c>
      <c r="D59" s="93" t="str">
        <f>IF(E59="","Oat",E59)</f>
        <v>Onion</v>
      </c>
      <c r="E59" s="75" t="s">
        <v>7</v>
      </c>
      <c r="F59" s="69" t="s">
        <v>143</v>
      </c>
      <c r="G59" s="93">
        <f>IF(H59="",VLOOKUP(FollowingCropFullName,CropCoefficients,22,FALSE),H59)</f>
        <v>0</v>
      </c>
      <c r="H59" s="81"/>
      <c r="I59" s="121"/>
      <c r="J59" s="121"/>
      <c r="K59" s="121"/>
      <c r="L59" s="121"/>
      <c r="M59" s="121"/>
      <c r="N59" s="121"/>
      <c r="O59" s="121"/>
      <c r="P59" s="121"/>
      <c r="R59" s="92">
        <f ca="1"/>
        <v>44334</v>
      </c>
      <c r="S59" s="62">
        <f t="shared" ca="1" si="9"/>
        <v>44334</v>
      </c>
      <c r="T59" s="62">
        <f t="shared" ca="1" si="0"/>
        <v>30.085830338730688</v>
      </c>
      <c r="U59" s="62">
        <f t="shared" ca="1" si="1"/>
        <v>11.2613105918501</v>
      </c>
      <c r="V59" s="62">
        <f t="shared" ca="1" si="2"/>
        <v>0</v>
      </c>
      <c r="W59" s="60">
        <f t="shared" ca="1" si="3"/>
        <v>120</v>
      </c>
      <c r="X59" s="60">
        <f t="shared" ca="1" si="10"/>
        <v>15.732476313343525</v>
      </c>
      <c r="Y59" s="60">
        <f t="shared" ca="1" si="4"/>
        <v>0</v>
      </c>
      <c r="Z59" s="60">
        <f t="shared" ca="1" si="5"/>
        <v>7.4066498948259799E-2</v>
      </c>
      <c r="AA59" s="92">
        <f ca="1"/>
        <v>44560</v>
      </c>
      <c r="AB59" s="62">
        <f t="shared" ca="1" si="12"/>
        <v>44560</v>
      </c>
      <c r="AC59" s="62">
        <f t="shared" ca="1" si="13"/>
        <v>81.12772192490678</v>
      </c>
      <c r="AD59" s="62">
        <f t="shared" ca="1" si="14"/>
        <v>0</v>
      </c>
      <c r="AE59" s="62">
        <f t="shared" ca="1" si="15"/>
        <v>0</v>
      </c>
    </row>
    <row r="60" spans="2:31" s="62" customFormat="1" x14ac:dyDescent="0.25">
      <c r="C60" s="69" t="s">
        <v>100</v>
      </c>
      <c r="D60" s="93" t="str">
        <f>IF(E60="","General",E60)</f>
        <v>General</v>
      </c>
      <c r="E60" s="75"/>
      <c r="F60" s="69" t="s">
        <v>142</v>
      </c>
      <c r="G60" s="93">
        <f>IF(H60="",VLOOKUP(FollowingCropFullName,CropCoefficients,26,FALSE),H60)</f>
        <v>89</v>
      </c>
      <c r="H60" s="81"/>
      <c r="I60" s="121"/>
      <c r="J60" s="121"/>
      <c r="K60" s="121"/>
      <c r="L60" s="121"/>
      <c r="M60" s="121"/>
      <c r="N60" s="121"/>
      <c r="O60" s="121"/>
      <c r="P60" s="121"/>
      <c r="R60" s="92">
        <f ca="1"/>
        <v>44335</v>
      </c>
      <c r="S60" s="62">
        <f t="shared" ca="1" si="9"/>
        <v>44335</v>
      </c>
      <c r="T60" s="62">
        <f t="shared" ca="1" si="0"/>
        <v>30.229573285123493</v>
      </c>
      <c r="U60" s="62">
        <f t="shared" ca="1" si="1"/>
        <v>11.5387065955523</v>
      </c>
      <c r="V60" s="62">
        <f t="shared" ca="1" si="2"/>
        <v>0</v>
      </c>
      <c r="W60" s="60">
        <f t="shared" ca="1" si="3"/>
        <v>119.62717240052467</v>
      </c>
      <c r="X60" s="60">
        <f t="shared" ca="1" si="10"/>
        <v>15.732476313343525</v>
      </c>
      <c r="Y60" s="60">
        <f t="shared" ca="1" si="4"/>
        <v>0</v>
      </c>
      <c r="Z60" s="60">
        <f t="shared" ca="1" si="5"/>
        <v>7.7995467959550993E-2</v>
      </c>
      <c r="AA60" s="92">
        <f ca="1"/>
        <v>44561</v>
      </c>
      <c r="AB60" s="62">
        <f t="shared" ca="1" si="12"/>
        <v>44561</v>
      </c>
      <c r="AC60" s="62">
        <f t="shared" ca="1" si="13"/>
        <v>81.636592445993216</v>
      </c>
      <c r="AD60" s="62">
        <f t="shared" ca="1" si="14"/>
        <v>0</v>
      </c>
      <c r="AE60" s="62">
        <f t="shared" ca="1" si="15"/>
        <v>0</v>
      </c>
    </row>
    <row r="61" spans="2:31" s="62" customFormat="1" x14ac:dyDescent="0.25">
      <c r="B61" s="99">
        <f>IF(FollowingUnits="kg/head",FollowingYIeld*FollowingPopulation,IF(FollowingUnits="kg/ha",FollowingYIeld/1000,FollowingYIeld))</f>
        <v>50</v>
      </c>
      <c r="C61" s="73" t="s">
        <v>158</v>
      </c>
      <c r="D61" s="74" t="str">
        <f>FollowingCropName&amp;" "&amp;FollowingCropType&amp;" "&amp;FollowingCropVariety</f>
        <v>Onion Vegetable General</v>
      </c>
      <c r="F61" s="63"/>
      <c r="I61" s="121"/>
      <c r="J61" s="121"/>
      <c r="K61" s="121"/>
      <c r="L61" s="121"/>
      <c r="M61" s="121"/>
      <c r="N61" s="121"/>
      <c r="O61" s="121"/>
      <c r="P61" s="121"/>
      <c r="R61" s="92">
        <f ca="1"/>
        <v>44336</v>
      </c>
      <c r="S61" s="62">
        <f t="shared" ca="1" si="9"/>
        <v>44336</v>
      </c>
      <c r="T61" s="62">
        <f t="shared" ca="1" si="0"/>
        <v>30.366169471594063</v>
      </c>
      <c r="U61" s="62">
        <f t="shared" ca="1" si="1"/>
        <v>11.8214672619421</v>
      </c>
      <c r="V61" s="62">
        <f t="shared" ca="1" si="2"/>
        <v>0</v>
      </c>
      <c r="W61" s="60">
        <f t="shared" ca="1" si="3"/>
        <v>120</v>
      </c>
      <c r="X61" s="60">
        <f t="shared" ca="1" si="10"/>
        <v>19.123257309871803</v>
      </c>
      <c r="Y61" s="60">
        <f t="shared" ca="1" si="4"/>
        <v>0</v>
      </c>
      <c r="Z61" s="60">
        <f t="shared" ca="1" si="5"/>
        <v>8.2096881534035507E-2</v>
      </c>
      <c r="AA61" s="92">
        <f ca="1"/>
        <v>44562</v>
      </c>
      <c r="AB61" s="62">
        <f t="shared" ca="1" si="12"/>
        <v>44562</v>
      </c>
      <c r="AC61" s="62">
        <f t="shared" ca="1" si="13"/>
        <v>82.133611237917307</v>
      </c>
      <c r="AD61" s="62">
        <f t="shared" ca="1" si="14"/>
        <v>0</v>
      </c>
      <c r="AE61" s="62">
        <f t="shared" ca="1" si="15"/>
        <v>0</v>
      </c>
    </row>
    <row r="62" spans="2:31" s="62" customFormat="1" x14ac:dyDescent="0.25">
      <c r="C62" s="69" t="s">
        <v>4</v>
      </c>
      <c r="D62" s="77">
        <f>IF(E62="",CurrentHarvestDate+15,E62)</f>
        <v>44746</v>
      </c>
      <c r="E62" s="76">
        <v>44746</v>
      </c>
      <c r="F62" s="69" t="s">
        <v>153</v>
      </c>
      <c r="G62" s="93" t="str">
        <f>IF(H62="",VLOOKUP(FollowingCropFullName,CropCoefficients,13,FALSE),H62)</f>
        <v>Seed</v>
      </c>
      <c r="H62" s="81"/>
      <c r="I62" s="121"/>
      <c r="J62" s="121"/>
      <c r="K62" s="121"/>
      <c r="L62" s="121"/>
      <c r="M62" s="121"/>
      <c r="N62" s="121"/>
      <c r="O62" s="121"/>
      <c r="P62" s="121"/>
      <c r="R62" s="92">
        <f ca="1"/>
        <v>44337</v>
      </c>
      <c r="S62" s="62">
        <f t="shared" ca="1" si="9"/>
        <v>44337</v>
      </c>
      <c r="T62" s="62">
        <f t="shared" ca="1" si="0"/>
        <v>30.500556724268208</v>
      </c>
      <c r="U62" s="62">
        <f t="shared" ca="1" si="1"/>
        <v>12.116949098678701</v>
      </c>
      <c r="V62" s="62">
        <f t="shared" ca="1" si="2"/>
        <v>0</v>
      </c>
      <c r="W62" s="60">
        <f t="shared" ca="1" si="3"/>
        <v>120</v>
      </c>
      <c r="X62" s="60">
        <f t="shared" ca="1" si="10"/>
        <v>22.780609018817017</v>
      </c>
      <c r="Y62" s="60">
        <f t="shared" ca="1" si="4"/>
        <v>0</v>
      </c>
      <c r="Z62" s="60">
        <f t="shared" ca="1" si="5"/>
        <v>8.6485011240795301E-2</v>
      </c>
      <c r="AA62" s="92">
        <f ca="1"/>
        <v>44563</v>
      </c>
      <c r="AB62" s="62">
        <f t="shared" ca="1" si="12"/>
        <v>44563</v>
      </c>
      <c r="AC62" s="62">
        <f t="shared" ca="1" si="13"/>
        <v>82.6314015329461</v>
      </c>
      <c r="AD62" s="62">
        <f t="shared" ca="1" si="14"/>
        <v>0</v>
      </c>
      <c r="AE62" s="62">
        <f t="shared" ca="1" si="15"/>
        <v>0</v>
      </c>
    </row>
    <row r="63" spans="2:31" s="62" customFormat="1" x14ac:dyDescent="0.25">
      <c r="C63" s="69" t="s">
        <v>5</v>
      </c>
      <c r="D63" s="77">
        <f>IF(E63="",FollowingEstablishDate+120,E63)</f>
        <v>44936</v>
      </c>
      <c r="E63" s="76">
        <v>44936</v>
      </c>
      <c r="F63" s="69" t="s">
        <v>154</v>
      </c>
      <c r="G63" s="93" t="str">
        <f>IF(H63="",VLOOKUP(FollowingCropFullName,CropCoefficients,15,FALSE),H63)</f>
        <v>Maturity</v>
      </c>
      <c r="H63" s="81"/>
      <c r="I63" s="121"/>
      <c r="J63" s="121"/>
      <c r="K63" s="121"/>
      <c r="L63" s="121"/>
      <c r="M63" s="121"/>
      <c r="N63" s="121"/>
      <c r="O63" s="121"/>
      <c r="P63" s="121"/>
      <c r="R63" s="92">
        <f ca="1"/>
        <v>44338</v>
      </c>
      <c r="S63" s="62">
        <f t="shared" ca="1" si="9"/>
        <v>44338</v>
      </c>
      <c r="T63" s="62">
        <f t="shared" ca="1" si="0"/>
        <v>30.620542479613533</v>
      </c>
      <c r="U63" s="62">
        <f t="shared" ca="1" si="1"/>
        <v>12.4075424290639</v>
      </c>
      <c r="V63" s="62">
        <f t="shared" ca="1" si="2"/>
        <v>0</v>
      </c>
      <c r="W63" s="60">
        <f t="shared" ca="1" si="3"/>
        <v>120</v>
      </c>
      <c r="X63" s="60">
        <f t="shared" ca="1" si="10"/>
        <v>26.105748714552519</v>
      </c>
      <c r="Y63" s="60">
        <f t="shared" ca="1" si="4"/>
        <v>0</v>
      </c>
      <c r="Z63" s="60">
        <f t="shared" ca="1" si="5"/>
        <v>9.09004325337497E-2</v>
      </c>
      <c r="AA63" s="92">
        <f ca="1"/>
        <v>44564</v>
      </c>
      <c r="AB63" s="62">
        <f t="shared" ca="1" si="12"/>
        <v>44564</v>
      </c>
      <c r="AC63" s="62">
        <f t="shared" ca="1" si="13"/>
        <v>83.109714323420718</v>
      </c>
      <c r="AD63" s="62">
        <f t="shared" ca="1" si="14"/>
        <v>0</v>
      </c>
      <c r="AE63" s="62">
        <f t="shared" ca="1" si="15"/>
        <v>0</v>
      </c>
    </row>
    <row r="64" spans="2:31" s="61" customFormat="1" x14ac:dyDescent="0.25">
      <c r="B64" s="62"/>
      <c r="C64" s="69" t="s">
        <v>144</v>
      </c>
      <c r="D64" s="82" t="str" cm="1">
        <f t="array" ref="D64">IF(FollowingUnits="kg/head",IF(G25="",VLOOKUP(FollowingCropNameFull,CropCoefficients,20,FALSE),G25),"")</f>
        <v/>
      </c>
      <c r="E64" s="81"/>
      <c r="F64" s="62"/>
      <c r="G64" s="62"/>
      <c r="H64" s="62"/>
      <c r="I64" s="121"/>
      <c r="J64" s="121"/>
      <c r="K64" s="121"/>
      <c r="L64" s="121"/>
      <c r="M64" s="121"/>
      <c r="N64" s="121"/>
      <c r="O64" s="121"/>
      <c r="P64" s="121"/>
      <c r="Q64" s="62"/>
      <c r="R64" s="92">
        <f ca="1"/>
        <v>44339</v>
      </c>
      <c r="S64" s="62">
        <f t="shared" ca="1" si="9"/>
        <v>44339</v>
      </c>
      <c r="T64" s="62">
        <f t="shared" ca="1" si="0"/>
        <v>30.730889553589861</v>
      </c>
      <c r="U64" s="62">
        <f t="shared" ca="1" si="1"/>
        <v>12.699112261674101</v>
      </c>
      <c r="V64" s="62">
        <f t="shared" ca="1" si="2"/>
        <v>0</v>
      </c>
      <c r="W64" s="60">
        <f t="shared" ca="1" si="3"/>
        <v>120</v>
      </c>
      <c r="X64" s="60">
        <f t="shared" ca="1" si="10"/>
        <v>32.465756634838698</v>
      </c>
      <c r="Y64" s="60">
        <f t="shared" ca="1" si="4"/>
        <v>0</v>
      </c>
      <c r="Z64" s="60">
        <f t="shared" ca="1" si="5"/>
        <v>9.5428161107773204E-2</v>
      </c>
      <c r="AA64" s="92">
        <f ca="1"/>
        <v>44565</v>
      </c>
      <c r="AB64" s="62">
        <f t="shared" ca="1" si="12"/>
        <v>44565</v>
      </c>
      <c r="AC64" s="62">
        <f t="shared" ca="1" si="13"/>
        <v>83.584639408083433</v>
      </c>
      <c r="AD64" s="62">
        <f t="shared" ca="1" si="14"/>
        <v>0</v>
      </c>
      <c r="AE64" s="62">
        <f t="shared" ca="1" si="15"/>
        <v>0</v>
      </c>
    </row>
    <row r="65" spans="2:31" s="62" customFormat="1" x14ac:dyDescent="0.25">
      <c r="C65" s="69" t="s">
        <v>105</v>
      </c>
      <c r="D65" s="79">
        <f>IF(E65="",VLOOKUP(FollowingCropFullName,CropCoefficients,17,FALSE),E65)</f>
        <v>50</v>
      </c>
      <c r="E65" s="78">
        <v>50</v>
      </c>
      <c r="F65" s="69" t="s">
        <v>156</v>
      </c>
      <c r="G65" s="94" t="str">
        <f>IF(H65="","None removed",H65)</f>
        <v>None removed</v>
      </c>
      <c r="H65" s="81"/>
      <c r="I65" s="121"/>
      <c r="J65" s="121"/>
      <c r="K65" s="121"/>
      <c r="L65" s="121"/>
      <c r="M65" s="121"/>
      <c r="N65" s="121"/>
      <c r="O65" s="121"/>
      <c r="P65" s="121"/>
      <c r="R65" s="92">
        <f ca="1"/>
        <v>44340</v>
      </c>
      <c r="S65" s="62">
        <f t="shared" ca="1" si="9"/>
        <v>44340</v>
      </c>
      <c r="T65" s="62">
        <f t="shared" ca="1" si="0"/>
        <v>30.833969785688453</v>
      </c>
      <c r="U65" s="62">
        <f t="shared" ca="1" si="1"/>
        <v>12.995354862532899</v>
      </c>
      <c r="V65" s="62">
        <f t="shared" ca="1" si="2"/>
        <v>0</v>
      </c>
      <c r="W65" s="60">
        <f t="shared" ca="1" si="3"/>
        <v>120</v>
      </c>
      <c r="X65" s="60">
        <f t="shared" ca="1" si="10"/>
        <v>36.294568068861665</v>
      </c>
      <c r="Y65" s="60">
        <f t="shared" ca="1" si="4"/>
        <v>0</v>
      </c>
      <c r="Z65" s="60">
        <f t="shared" ca="1" si="5"/>
        <v>0.10012620817722501</v>
      </c>
      <c r="AA65" s="92">
        <f ca="1"/>
        <v>44566</v>
      </c>
      <c r="AB65" s="62">
        <f t="shared" ca="1" si="12"/>
        <v>44566</v>
      </c>
      <c r="AC65" s="62">
        <f t="shared" ca="1" si="13"/>
        <v>84.035119201123052</v>
      </c>
      <c r="AD65" s="62">
        <f t="shared" ca="1" si="14"/>
        <v>0</v>
      </c>
      <c r="AE65" s="62">
        <f t="shared" ca="1" si="15"/>
        <v>0</v>
      </c>
    </row>
    <row r="66" spans="2:31" s="62" customFormat="1" x14ac:dyDescent="0.25">
      <c r="C66" s="69" t="s">
        <v>15</v>
      </c>
      <c r="D66" s="93" t="str">
        <f>IF(E66="",VLOOKUP(FollowingCropFullName,CropCoefficients,18,FALSE),E66)</f>
        <v>t/ha</v>
      </c>
      <c r="E66" s="80"/>
      <c r="F66" s="64" t="s">
        <v>169</v>
      </c>
      <c r="G66" s="94" t="str">
        <f>IF(H66="","Full (Plough)",H66)</f>
        <v>Part (Cultivate)</v>
      </c>
      <c r="H66" s="81" t="s">
        <v>181</v>
      </c>
      <c r="I66" s="121"/>
      <c r="J66" s="121"/>
      <c r="K66" s="121"/>
      <c r="L66" s="121"/>
      <c r="M66" s="121"/>
      <c r="N66" s="121"/>
      <c r="O66" s="121"/>
      <c r="P66" s="121"/>
      <c r="R66" s="92">
        <f ca="1"/>
        <v>44341</v>
      </c>
      <c r="S66" s="62">
        <f t="shared" ca="1" si="9"/>
        <v>44341</v>
      </c>
      <c r="T66" s="62">
        <f t="shared" ca="1" si="0"/>
        <v>30.933963370835656</v>
      </c>
      <c r="U66" s="62">
        <f t="shared" ca="1" si="1"/>
        <v>13.3046990791085</v>
      </c>
      <c r="V66" s="62">
        <f t="shared" ca="1" si="2"/>
        <v>0</v>
      </c>
      <c r="W66" s="60">
        <f t="shared" ca="1" si="3"/>
        <v>120</v>
      </c>
      <c r="X66" s="60">
        <f t="shared" ca="1" si="10"/>
        <v>40.766524245910489</v>
      </c>
      <c r="Y66" s="60">
        <f t="shared" ca="1" si="4"/>
        <v>0</v>
      </c>
      <c r="Z66" s="60">
        <f t="shared" ca="1" si="5"/>
        <v>0.105134639202145</v>
      </c>
      <c r="AA66" s="92">
        <f ca="1"/>
        <v>44567</v>
      </c>
      <c r="AB66" s="62">
        <f t="shared" ca="1" si="12"/>
        <v>44567</v>
      </c>
      <c r="AC66" s="62">
        <f t="shared" ca="1" si="13"/>
        <v>84.480645341630577</v>
      </c>
      <c r="AD66" s="62">
        <f t="shared" ca="1" si="14"/>
        <v>0</v>
      </c>
      <c r="AE66" s="62">
        <f t="shared" ca="1" si="15"/>
        <v>0</v>
      </c>
    </row>
    <row r="67" spans="2:31" x14ac:dyDescent="0.25">
      <c r="B67" s="62"/>
      <c r="C67" s="73" t="str">
        <f>"Yield "&amp;ROUND(FollowingYield_tperHa,0)&amp;" (t/ha)"</f>
        <v>Yield 50 (t/ha)</v>
      </c>
      <c r="D67" s="117" t="str">
        <f ca="1">"Following crop will take up "&amp;ROUND('Model Interface'!R4,0)&amp;" kg N/ha"</f>
        <v>Following crop will take up 110 kg N/ha</v>
      </c>
      <c r="R67" s="92">
        <f ca="1"/>
        <v>44342</v>
      </c>
      <c r="S67" s="62">
        <f t="shared" ca="1" si="9"/>
        <v>44342</v>
      </c>
      <c r="T67" s="62">
        <f t="shared" ca="1" si="0"/>
        <v>31.031965207425714</v>
      </c>
      <c r="U67" s="62">
        <f t="shared" ca="1" si="1"/>
        <v>13.630677121125</v>
      </c>
      <c r="V67" s="62">
        <f t="shared" ca="1" si="2"/>
        <v>0</v>
      </c>
      <c r="W67" s="60">
        <f t="shared" ca="1" si="3"/>
        <v>120</v>
      </c>
      <c r="X67" s="60">
        <f t="shared" ca="1" si="10"/>
        <v>46.223972127911466</v>
      </c>
      <c r="Y67" s="60">
        <f t="shared" ca="1" si="4"/>
        <v>0</v>
      </c>
      <c r="Z67" s="60">
        <f t="shared" ca="1" si="5"/>
        <v>0.110522766604686</v>
      </c>
      <c r="AA67" s="92">
        <f ca="1"/>
        <v>44568</v>
      </c>
      <c r="AB67" s="62">
        <f t="shared" ca="1" si="12"/>
        <v>44568</v>
      </c>
      <c r="AC67" s="62">
        <f t="shared" ca="1" si="13"/>
        <v>84.933509585656111</v>
      </c>
      <c r="AD67" s="62">
        <f t="shared" ca="1" si="14"/>
        <v>0</v>
      </c>
      <c r="AE67" s="62">
        <f t="shared" ca="1" si="15"/>
        <v>0</v>
      </c>
    </row>
    <row r="68" spans="2:31" ht="15.75" thickBot="1" x14ac:dyDescent="0.3">
      <c r="C68" s="140" t="s">
        <v>196</v>
      </c>
      <c r="D68" s="140"/>
      <c r="E68" s="140"/>
      <c r="F68" s="140"/>
      <c r="G68" s="140"/>
      <c r="H68" s="140"/>
      <c r="R68" s="92">
        <f ca="1"/>
        <v>44343</v>
      </c>
      <c r="S68" s="62">
        <f t="shared" ca="1" si="9"/>
        <v>44343</v>
      </c>
      <c r="T68" s="62">
        <f t="shared" ca="1" si="0"/>
        <v>31.115542739663709</v>
      </c>
      <c r="U68" s="62">
        <f t="shared" ca="1" si="1"/>
        <v>13.948458410643999</v>
      </c>
      <c r="V68" s="62">
        <f t="shared" ca="1" si="2"/>
        <v>0</v>
      </c>
      <c r="W68" s="60">
        <f t="shared" ca="1" si="3"/>
        <v>120</v>
      </c>
      <c r="X68" s="60">
        <f t="shared" ca="1" si="10"/>
        <v>49.050927203231439</v>
      </c>
      <c r="Y68" s="60">
        <f t="shared" ca="1" si="4"/>
        <v>0</v>
      </c>
      <c r="Z68" s="60">
        <f t="shared" ca="1" si="5"/>
        <v>0.115881259967707</v>
      </c>
      <c r="AA68" s="92">
        <f ca="1"/>
        <v>44569</v>
      </c>
      <c r="AB68" s="62">
        <f t="shared" ca="1" si="12"/>
        <v>44569</v>
      </c>
      <c r="AC68" s="62">
        <f t="shared" ca="1" si="13"/>
        <v>85.392547134912121</v>
      </c>
      <c r="AD68" s="62">
        <f t="shared" ca="1" si="14"/>
        <v>0</v>
      </c>
      <c r="AE68" s="62">
        <f t="shared" ca="1" si="15"/>
        <v>0</v>
      </c>
    </row>
    <row r="69" spans="2:31" x14ac:dyDescent="0.25">
      <c r="C69" s="69" t="s">
        <v>159</v>
      </c>
      <c r="D69" s="97">
        <v>50</v>
      </c>
      <c r="E69" s="114"/>
      <c r="R69" s="92">
        <f ca="1"/>
        <v>44344</v>
      </c>
      <c r="S69" s="62">
        <f t="shared" ca="1" si="9"/>
        <v>44344</v>
      </c>
      <c r="T69" s="62">
        <f t="shared" ca="1" si="0"/>
        <v>31.185362950513365</v>
      </c>
      <c r="U69" s="62">
        <f t="shared" ca="1" si="1"/>
        <v>14.2544068063424</v>
      </c>
      <c r="V69" s="62">
        <f t="shared" ca="1" si="2"/>
        <v>0</v>
      </c>
      <c r="W69" s="60">
        <f t="shared" ca="1" si="3"/>
        <v>120</v>
      </c>
      <c r="X69" s="60">
        <f t="shared" ca="1" si="10"/>
        <v>51.375909558229168</v>
      </c>
      <c r="Y69" s="60">
        <f t="shared" ca="1" si="4"/>
        <v>0</v>
      </c>
      <c r="Z69" s="60">
        <f t="shared" ca="1" si="5"/>
        <v>0.12113590394556099</v>
      </c>
      <c r="AA69" s="92">
        <f ca="1"/>
        <v>44570</v>
      </c>
      <c r="AB69" s="62">
        <f t="shared" ca="1" si="12"/>
        <v>44570</v>
      </c>
      <c r="AC69" s="62">
        <f t="shared" ca="1" si="13"/>
        <v>85.859180297644542</v>
      </c>
      <c r="AD69" s="62">
        <f t="shared" ca="1" si="14"/>
        <v>0</v>
      </c>
      <c r="AE69" s="62">
        <f t="shared" ca="1" si="15"/>
        <v>0</v>
      </c>
    </row>
    <row r="70" spans="2:31" x14ac:dyDescent="0.25">
      <c r="C70" s="69" t="s">
        <v>160</v>
      </c>
      <c r="D70" s="93">
        <f>IF(E70="",30,E70)</f>
        <v>30</v>
      </c>
      <c r="E70" s="78"/>
      <c r="R70" s="92">
        <f ca="1"/>
        <v>44345</v>
      </c>
      <c r="S70" s="62">
        <f t="shared" ca="1" si="9"/>
        <v>44345</v>
      </c>
      <c r="T70" s="62">
        <f t="shared" ca="1" si="0"/>
        <v>31.246081415056523</v>
      </c>
      <c r="U70" s="62">
        <f t="shared" ca="1" si="1"/>
        <v>14.5569194472154</v>
      </c>
      <c r="V70" s="62">
        <f t="shared" ca="1" si="2"/>
        <v>0</v>
      </c>
      <c r="W70" s="60">
        <f t="shared" ca="1" si="3"/>
        <v>120</v>
      </c>
      <c r="X70" s="60">
        <f t="shared" ca="1" si="10"/>
        <v>54.887698255123098</v>
      </c>
      <c r="Y70" s="60">
        <f t="shared" ca="1" si="4"/>
        <v>0</v>
      </c>
      <c r="Z70" s="60">
        <f t="shared" ca="1" si="5"/>
        <v>0.12642086718262899</v>
      </c>
      <c r="AA70" s="92">
        <f ca="1"/>
        <v>44571</v>
      </c>
      <c r="AB70" s="62">
        <f t="shared" ca="1" si="12"/>
        <v>44571</v>
      </c>
      <c r="AC70" s="62">
        <f t="shared" ca="1" si="13"/>
        <v>86.310510261981193</v>
      </c>
      <c r="AD70" s="62">
        <f t="shared" ca="1" si="14"/>
        <v>0</v>
      </c>
      <c r="AE70" s="62">
        <f t="shared" ca="1" si="15"/>
        <v>0</v>
      </c>
    </row>
    <row r="71" spans="2:31" x14ac:dyDescent="0.25">
      <c r="C71" s="69" t="s">
        <v>161</v>
      </c>
      <c r="D71" s="93">
        <f>IF(E71="",80,E71)</f>
        <v>80</v>
      </c>
      <c r="E71" s="78"/>
      <c r="R71" s="92">
        <f ca="1"/>
        <v>44346</v>
      </c>
      <c r="S71" s="62">
        <f t="shared" ca="1" si="9"/>
        <v>44346</v>
      </c>
      <c r="T71" s="62">
        <f t="shared" ca="1" si="0"/>
        <v>31.303131380405361</v>
      </c>
      <c r="U71" s="62">
        <f t="shared" ca="1" si="1"/>
        <v>14.8734392003196</v>
      </c>
      <c r="V71" s="62">
        <f t="shared" ca="1" si="2"/>
        <v>0</v>
      </c>
      <c r="W71" s="60">
        <f t="shared" ca="1" si="3"/>
        <v>120</v>
      </c>
      <c r="X71" s="60">
        <f t="shared" ca="1" si="10"/>
        <v>58.961897953979545</v>
      </c>
      <c r="Y71" s="60">
        <f t="shared" ca="1" si="4"/>
        <v>0</v>
      </c>
      <c r="Z71" s="60">
        <f t="shared" ca="1" si="5"/>
        <v>0.132042398075784</v>
      </c>
      <c r="AA71" s="92">
        <f ca="1"/>
        <v>44572</v>
      </c>
      <c r="AB71" s="62">
        <f t="shared" ca="1" si="12"/>
        <v>44572</v>
      </c>
      <c r="AC71" s="62">
        <f t="shared" ca="1" si="13"/>
        <v>86.744086424893197</v>
      </c>
      <c r="AD71" s="62">
        <f t="shared" ca="1" si="14"/>
        <v>0</v>
      </c>
      <c r="AE71" s="62">
        <f t="shared" ca="1" si="15"/>
        <v>0</v>
      </c>
    </row>
    <row r="72" spans="2:31" x14ac:dyDescent="0.25">
      <c r="C72" s="69" t="s">
        <v>213</v>
      </c>
      <c r="D72" s="93">
        <f>IF(E72="",120,E72)</f>
        <v>120</v>
      </c>
      <c r="E72" s="78"/>
      <c r="R72" s="92">
        <f ca="1"/>
        <v>44347</v>
      </c>
      <c r="S72" s="62">
        <f t="shared" ca="1" si="9"/>
        <v>44347</v>
      </c>
      <c r="T72" s="62">
        <f t="shared" ca="1" si="0"/>
        <v>31.351830926097932</v>
      </c>
      <c r="U72" s="62">
        <f t="shared" ca="1" si="1"/>
        <v>15.188187330408599</v>
      </c>
      <c r="V72" s="62">
        <f t="shared" ca="1" si="2"/>
        <v>0</v>
      </c>
      <c r="W72" s="60">
        <f t="shared" ca="1" si="3"/>
        <v>120</v>
      </c>
      <c r="X72" s="60">
        <f t="shared" ca="1" si="10"/>
        <v>63.199538394505836</v>
      </c>
      <c r="Y72" s="60">
        <f t="shared" ca="1" si="4"/>
        <v>0</v>
      </c>
      <c r="Z72" s="60">
        <f t="shared" ca="1" si="5"/>
        <v>0.13772223647050799</v>
      </c>
      <c r="AA72" s="92">
        <f ca="1"/>
        <v>44573</v>
      </c>
      <c r="AB72" s="62">
        <f t="shared" ca="1" si="12"/>
        <v>44573</v>
      </c>
      <c r="AC72" s="62">
        <f t="shared" ca="1" si="13"/>
        <v>87.172941678757638</v>
      </c>
      <c r="AD72" s="62">
        <f t="shared" ca="1" si="14"/>
        <v>0</v>
      </c>
      <c r="AE72" s="62">
        <f t="shared" ca="1" si="15"/>
        <v>0</v>
      </c>
    </row>
    <row r="73" spans="2:31" x14ac:dyDescent="0.25">
      <c r="R73" s="92">
        <f ca="1"/>
        <v>44348</v>
      </c>
      <c r="S73" s="62">
        <f t="shared" ca="1" si="9"/>
        <v>44348</v>
      </c>
      <c r="T73" s="62">
        <f t="shared" ca="1" si="0"/>
        <v>31.394613934286468</v>
      </c>
      <c r="U73" s="62">
        <f t="shared" ca="1" si="1"/>
        <v>15.509883398987</v>
      </c>
      <c r="V73" s="62">
        <f t="shared" ca="1" si="2"/>
        <v>0</v>
      </c>
      <c r="W73" s="60">
        <f t="shared" ca="1" si="3"/>
        <v>120</v>
      </c>
      <c r="X73" s="60">
        <f t="shared" ca="1" si="10"/>
        <v>66.073435002098535</v>
      </c>
      <c r="Y73" s="60">
        <f t="shared" ca="1" si="4"/>
        <v>0</v>
      </c>
      <c r="Z73" s="60">
        <f t="shared" ca="1" si="5"/>
        <v>0.14361633536369101</v>
      </c>
      <c r="AA73" s="92">
        <f ca="1"/>
        <v>44574</v>
      </c>
      <c r="AB73" s="62">
        <f t="shared" ca="1" si="12"/>
        <v>44574</v>
      </c>
      <c r="AC73" s="62">
        <f t="shared" ca="1" si="13"/>
        <v>87.610801455922157</v>
      </c>
      <c r="AD73" s="62">
        <f t="shared" ca="1" si="14"/>
        <v>0</v>
      </c>
      <c r="AE73" s="62">
        <f t="shared" ca="1" si="15"/>
        <v>0</v>
      </c>
    </row>
    <row r="74" spans="2:31" x14ac:dyDescent="0.25">
      <c r="R74" s="92">
        <f ca="1"/>
        <v>44349</v>
      </c>
      <c r="S74" s="62">
        <f t="shared" ca="1" si="9"/>
        <v>44349</v>
      </c>
      <c r="T74" s="62">
        <f t="shared" ca="1" si="0"/>
        <v>31.430343904290822</v>
      </c>
      <c r="U74" s="62">
        <f t="shared" ca="1" si="1"/>
        <v>15.8334965380858</v>
      </c>
      <c r="V74" s="62">
        <f t="shared" ca="1" si="2"/>
        <v>0</v>
      </c>
      <c r="W74" s="60">
        <f t="shared" ca="1" si="3"/>
        <v>120</v>
      </c>
      <c r="X74" s="60">
        <f t="shared" ca="1" si="10"/>
        <v>69.886264429873776</v>
      </c>
      <c r="Y74" s="60">
        <f t="shared" ca="1" si="4"/>
        <v>0</v>
      </c>
      <c r="Z74" s="60">
        <f t="shared" ca="1" si="5"/>
        <v>0.149632420781248</v>
      </c>
      <c r="AA74" s="92">
        <f ca="1"/>
        <v>44575</v>
      </c>
      <c r="AB74" s="62">
        <f t="shared" ca="1" si="12"/>
        <v>44575</v>
      </c>
      <c r="AC74" s="62">
        <f t="shared" ca="1" si="13"/>
        <v>88.051691610866186</v>
      </c>
      <c r="AD74" s="62">
        <f t="shared" ca="1" si="14"/>
        <v>0</v>
      </c>
      <c r="AE74" s="62">
        <f t="shared" ca="1" si="15"/>
        <v>0</v>
      </c>
    </row>
    <row r="75" spans="2:31" x14ac:dyDescent="0.25">
      <c r="R75" s="92">
        <f ca="1"/>
        <v>44350</v>
      </c>
      <c r="S75" s="62">
        <f t="shared" ca="1" si="9"/>
        <v>44350</v>
      </c>
      <c r="T75" s="62">
        <f t="shared" ca="1" si="0"/>
        <v>31.457625756552758</v>
      </c>
      <c r="U75" s="62">
        <f t="shared" ca="1" si="1"/>
        <v>16.147592775263099</v>
      </c>
      <c r="V75" s="62">
        <f t="shared" ca="1" si="2"/>
        <v>0</v>
      </c>
      <c r="W75" s="60">
        <f t="shared" ca="1" si="3"/>
        <v>120</v>
      </c>
      <c r="X75" s="60">
        <f t="shared" ca="1" si="10"/>
        <v>71.178830410616825</v>
      </c>
      <c r="Y75" s="60">
        <f t="shared" ca="1" si="4"/>
        <v>0</v>
      </c>
      <c r="Z75" s="60">
        <f t="shared" ca="1" si="5"/>
        <v>0.15555120567412201</v>
      </c>
      <c r="AA75" s="92">
        <f ca="1"/>
        <v>44576</v>
      </c>
      <c r="AB75" s="62">
        <f t="shared" ca="1" si="12"/>
        <v>44576</v>
      </c>
      <c r="AC75" s="62">
        <f t="shared" ca="1" si="13"/>
        <v>88.483302383145997</v>
      </c>
      <c r="AD75" s="62">
        <f t="shared" ca="1" si="14"/>
        <v>0</v>
      </c>
      <c r="AE75" s="62">
        <f t="shared" ca="1" si="15"/>
        <v>0</v>
      </c>
    </row>
    <row r="76" spans="2:31" x14ac:dyDescent="0.25">
      <c r="R76" s="92">
        <f ca="1"/>
        <v>44351</v>
      </c>
      <c r="S76" s="62">
        <f t="shared" ca="1" si="9"/>
        <v>44351</v>
      </c>
      <c r="T76" s="62">
        <f t="shared" ca="1" si="0"/>
        <v>31.479615893243036</v>
      </c>
      <c r="U76" s="62">
        <f t="shared" ca="1" si="1"/>
        <v>16.470766073418499</v>
      </c>
      <c r="V76" s="62">
        <f t="shared" ca="1" si="2"/>
        <v>0</v>
      </c>
      <c r="W76" s="60">
        <f t="shared" ca="1" si="3"/>
        <v>120</v>
      </c>
      <c r="X76" s="60">
        <f t="shared" ca="1" si="10"/>
        <v>74.214281853121818</v>
      </c>
      <c r="Y76" s="60">
        <f t="shared" ca="1" si="4"/>
        <v>0</v>
      </c>
      <c r="Z76" s="60">
        <f t="shared" ca="1" si="5"/>
        <v>0.16171905099676501</v>
      </c>
      <c r="AA76" s="92">
        <f ca="1"/>
        <v>44577</v>
      </c>
      <c r="AB76" s="62">
        <f t="shared" ca="1" si="12"/>
        <v>44577</v>
      </c>
      <c r="AC76" s="62">
        <f t="shared" ca="1" si="13"/>
        <v>88.914680353353432</v>
      </c>
      <c r="AD76" s="62">
        <f t="shared" ca="1" si="14"/>
        <v>0</v>
      </c>
      <c r="AE76" s="62">
        <f t="shared" ca="1" si="15"/>
        <v>0</v>
      </c>
    </row>
    <row r="77" spans="2:31" x14ac:dyDescent="0.25">
      <c r="R77" s="92">
        <f ca="1"/>
        <v>44352</v>
      </c>
      <c r="S77" s="62">
        <f t="shared" ca="1" si="9"/>
        <v>44352</v>
      </c>
      <c r="T77" s="62">
        <f t="shared" ca="1" si="0"/>
        <v>31.496111013023921</v>
      </c>
      <c r="U77" s="62">
        <f t="shared" ca="1" si="1"/>
        <v>16.803628670584899</v>
      </c>
      <c r="V77" s="62">
        <f t="shared" ca="1" si="2"/>
        <v>0</v>
      </c>
      <c r="W77" s="60">
        <f t="shared" ca="1" si="3"/>
        <v>120</v>
      </c>
      <c r="X77" s="60">
        <f t="shared" ca="1" si="10"/>
        <v>76.25426993808982</v>
      </c>
      <c r="Y77" s="60">
        <f t="shared" ca="1" si="4"/>
        <v>0</v>
      </c>
      <c r="Z77" s="60">
        <f t="shared" ca="1" si="5"/>
        <v>0.16815036742421199</v>
      </c>
      <c r="AA77" s="92">
        <f ca="1"/>
        <v>44578</v>
      </c>
      <c r="AB77" s="62">
        <f t="shared" ca="1" si="12"/>
        <v>44578</v>
      </c>
      <c r="AC77" s="62">
        <f t="shared" ca="1" si="13"/>
        <v>89.339782976737283</v>
      </c>
      <c r="AD77" s="62">
        <f t="shared" ca="1" si="14"/>
        <v>0</v>
      </c>
      <c r="AE77" s="62">
        <f t="shared" ca="1" si="15"/>
        <v>0</v>
      </c>
    </row>
    <row r="78" spans="2:31" x14ac:dyDescent="0.25">
      <c r="R78" s="92">
        <f ca="1"/>
        <v>44353</v>
      </c>
      <c r="S78" s="62">
        <f t="shared" ca="1" si="9"/>
        <v>44353</v>
      </c>
      <c r="T78" s="62">
        <f t="shared" ca="1" si="0"/>
        <v>31.506359764776732</v>
      </c>
      <c r="U78" s="62">
        <f t="shared" ca="1" si="1"/>
        <v>17.140772610968199</v>
      </c>
      <c r="V78" s="62">
        <f t="shared" ca="1" si="2"/>
        <v>0</v>
      </c>
      <c r="W78" s="60">
        <f t="shared" ca="1" si="3"/>
        <v>120</v>
      </c>
      <c r="X78" s="60">
        <f t="shared" ca="1" si="10"/>
        <v>78.409246428784044</v>
      </c>
      <c r="Y78" s="60">
        <f t="shared" ca="1" si="4"/>
        <v>0</v>
      </c>
      <c r="Z78" s="60">
        <f t="shared" ca="1" si="5"/>
        <v>0.17474120167076701</v>
      </c>
      <c r="AA78" s="92">
        <f ca="1"/>
        <v>44579</v>
      </c>
      <c r="AB78" s="62">
        <f t="shared" ca="1" si="12"/>
        <v>44579</v>
      </c>
      <c r="AC78" s="62">
        <f t="shared" ca="1" si="13"/>
        <v>89.7628604326691</v>
      </c>
      <c r="AD78" s="62">
        <f t="shared" ca="1" si="14"/>
        <v>0</v>
      </c>
      <c r="AE78" s="62">
        <f t="shared" ca="1" si="15"/>
        <v>0</v>
      </c>
    </row>
    <row r="79" spans="2:31" x14ac:dyDescent="0.25">
      <c r="R79" s="92">
        <f ca="1"/>
        <v>44354</v>
      </c>
      <c r="S79" s="62">
        <f t="shared" ca="1" si="9"/>
        <v>44354</v>
      </c>
      <c r="T79" s="62">
        <f t="shared" ca="1" si="0"/>
        <v>31.510713107324733</v>
      </c>
      <c r="U79" s="62">
        <f t="shared" ca="1" si="1"/>
        <v>17.487474503399</v>
      </c>
      <c r="V79" s="62">
        <f t="shared" ca="1" si="2"/>
        <v>0</v>
      </c>
      <c r="W79" s="60">
        <f t="shared" ca="1" si="3"/>
        <v>120</v>
      </c>
      <c r="X79" s="60">
        <f t="shared" ca="1" si="10"/>
        <v>80.155130218408033</v>
      </c>
      <c r="Y79" s="60">
        <f t="shared" ca="1" si="4"/>
        <v>0</v>
      </c>
      <c r="Z79" s="60">
        <f t="shared" ca="1" si="5"/>
        <v>0.18159466938167701</v>
      </c>
      <c r="AA79" s="92">
        <f ca="1"/>
        <v>44580</v>
      </c>
      <c r="AB79" s="62">
        <f t="shared" ca="1" si="12"/>
        <v>44580</v>
      </c>
      <c r="AC79" s="62">
        <f t="shared" ca="1" si="13"/>
        <v>90.19153097553108</v>
      </c>
      <c r="AD79" s="62">
        <f t="shared" ca="1" si="14"/>
        <v>0</v>
      </c>
      <c r="AE79" s="62">
        <f t="shared" ca="1" si="15"/>
        <v>0</v>
      </c>
    </row>
    <row r="80" spans="2:31" x14ac:dyDescent="0.25">
      <c r="R80" s="92">
        <f ca="1"/>
        <v>44355</v>
      </c>
      <c r="S80" s="62">
        <f t="shared" ca="1" si="9"/>
        <v>44355</v>
      </c>
      <c r="T80" s="62">
        <f t="shared" ca="1" si="0"/>
        <v>31.509252817456087</v>
      </c>
      <c r="U80" s="62">
        <f t="shared" ca="1" si="1"/>
        <v>17.849447407957499</v>
      </c>
      <c r="V80" s="62">
        <f t="shared" ca="1" si="2"/>
        <v>0</v>
      </c>
      <c r="W80" s="60">
        <f t="shared" ca="1" si="3"/>
        <v>120</v>
      </c>
      <c r="X80" s="60">
        <f t="shared" ca="1" si="10"/>
        <v>81.579984144352665</v>
      </c>
      <c r="Y80" s="60">
        <f t="shared" ca="1" si="4"/>
        <v>0</v>
      </c>
      <c r="Z80" s="60">
        <f t="shared" ca="1" si="5"/>
        <v>0.18882661378152099</v>
      </c>
      <c r="AA80" s="92">
        <f ca="1"/>
        <v>44581</v>
      </c>
      <c r="AB80" s="62">
        <f t="shared" ca="1" si="12"/>
        <v>44581</v>
      </c>
      <c r="AC80" s="62">
        <f t="shared" ca="1" si="13"/>
        <v>90.610313467844321</v>
      </c>
      <c r="AD80" s="62">
        <f t="shared" ca="1" si="14"/>
        <v>0</v>
      </c>
      <c r="AE80" s="62">
        <f t="shared" ca="1" si="15"/>
        <v>0</v>
      </c>
    </row>
    <row r="81" spans="18:31" x14ac:dyDescent="0.25">
      <c r="R81" s="92">
        <f ca="1"/>
        <v>44356</v>
      </c>
      <c r="S81" s="62">
        <f t="shared" ca="1" si="9"/>
        <v>44356</v>
      </c>
      <c r="T81" s="62">
        <f t="shared" ca="1" si="0"/>
        <v>31.501785179016238</v>
      </c>
      <c r="U81" s="62">
        <f t="shared" ca="1" si="1"/>
        <v>18.230796610181802</v>
      </c>
      <c r="V81" s="62">
        <f t="shared" ca="1" si="2"/>
        <v>0</v>
      </c>
      <c r="W81" s="60">
        <f t="shared" ca="1" si="3"/>
        <v>120</v>
      </c>
      <c r="X81" s="60">
        <f t="shared" ca="1" si="10"/>
        <v>85.392611940807285</v>
      </c>
      <c r="Y81" s="60">
        <f t="shared" ca="1" si="4"/>
        <v>0</v>
      </c>
      <c r="Z81" s="60">
        <f t="shared" ca="1" si="5"/>
        <v>0.19652410958017499</v>
      </c>
      <c r="AA81" s="92">
        <f ca="1"/>
        <v>44582</v>
      </c>
      <c r="AB81" s="62">
        <f t="shared" ca="1" si="12"/>
        <v>44582</v>
      </c>
      <c r="AC81" s="62">
        <f t="shared" ca="1" si="13"/>
        <v>91.064034701213075</v>
      </c>
      <c r="AD81" s="62">
        <f t="shared" ca="1" si="14"/>
        <v>0</v>
      </c>
      <c r="AE81" s="62">
        <f t="shared" ca="1" si="15"/>
        <v>0</v>
      </c>
    </row>
    <row r="82" spans="18:31" x14ac:dyDescent="0.25">
      <c r="R82" s="92">
        <f ca="1"/>
        <v>44357</v>
      </c>
      <c r="S82" s="62">
        <f t="shared" ca="1" si="9"/>
        <v>44357</v>
      </c>
      <c r="T82" s="62">
        <f t="shared" ref="T82:T145" ca="1" si="19">VLOOKUP(S82,ModelOutputs,2,FALSE)</f>
        <v>31.487029465260122</v>
      </c>
      <c r="U82" s="62">
        <f t="shared" ref="U82:U145" ca="1" si="20">VLOOKUP(S82,ModelOutputs,7,FALSE)</f>
        <v>18.619947532556999</v>
      </c>
      <c r="V82" s="62">
        <f t="shared" ref="V82:V145" ca="1" si="21">VLOOKUP(S82,ModelOutputs,6,FALSE)</f>
        <v>0</v>
      </c>
      <c r="W82" s="60">
        <f t="shared" ref="W82:W145" ca="1" si="22">VLOOKUP(S82,ModelOutputs,10,FALSE)*AWC</f>
        <v>120</v>
      </c>
      <c r="X82" s="60">
        <f t="shared" ca="1" si="10"/>
        <v>91.278874733673149</v>
      </c>
      <c r="Y82" s="60">
        <f t="shared" ref="Y82:Y145" ca="1" si="23">VLOOKUP(S82,ModelOutputs,12,FALSE)</f>
        <v>0</v>
      </c>
      <c r="Z82" s="60">
        <f t="shared" ref="Z82:Z145" ca="1" si="24">VLOOKUP(S82,ModelOutputs,13,FALSE)</f>
        <v>0.20445519976130599</v>
      </c>
      <c r="AA82" s="92">
        <f ca="1"/>
        <v>44583</v>
      </c>
      <c r="AB82" s="62">
        <f t="shared" ca="1" si="12"/>
        <v>44583</v>
      </c>
      <c r="AC82" s="62">
        <f t="shared" ca="1" si="13"/>
        <v>91.526170497759466</v>
      </c>
      <c r="AD82" s="62">
        <f t="shared" ca="1" si="14"/>
        <v>0</v>
      </c>
      <c r="AE82" s="62">
        <f t="shared" ca="1" si="15"/>
        <v>0</v>
      </c>
    </row>
    <row r="83" spans="18:31" x14ac:dyDescent="0.25">
      <c r="R83" s="92">
        <f ca="1"/>
        <v>44358</v>
      </c>
      <c r="S83" s="62">
        <f t="shared" ref="S83:S146" ca="1" si="25">IF(R83&gt;1,R83,"")</f>
        <v>44358</v>
      </c>
      <c r="T83" s="62">
        <f t="shared" ca="1" si="19"/>
        <v>31.464899650874784</v>
      </c>
      <c r="U83" s="62">
        <f t="shared" ca="1" si="20"/>
        <v>19.018417078071302</v>
      </c>
      <c r="V83" s="62">
        <f t="shared" ca="1" si="21"/>
        <v>0</v>
      </c>
      <c r="W83" s="60">
        <f t="shared" ca="1" si="22"/>
        <v>120</v>
      </c>
      <c r="X83" s="60">
        <f t="shared" ref="X83:X146" ca="1" si="26">VLOOKUP(S83,ModelOutputs,11,FALSE)+X82</f>
        <v>94.813981542472021</v>
      </c>
      <c r="Y83" s="60">
        <f t="shared" ca="1" si="23"/>
        <v>0</v>
      </c>
      <c r="Z83" s="60">
        <f t="shared" ca="1" si="24"/>
        <v>0.21264850681771699</v>
      </c>
      <c r="AA83" s="92">
        <f ca="1"/>
        <v>44584</v>
      </c>
      <c r="AB83" s="62">
        <f t="shared" ca="1" si="12"/>
        <v>44584</v>
      </c>
      <c r="AC83" s="62">
        <f t="shared" ca="1" si="13"/>
        <v>91.985989960213232</v>
      </c>
      <c r="AD83" s="62">
        <f t="shared" ca="1" si="14"/>
        <v>0</v>
      </c>
      <c r="AE83" s="62">
        <f t="shared" ca="1" si="15"/>
        <v>0</v>
      </c>
    </row>
    <row r="84" spans="18:31" x14ac:dyDescent="0.25">
      <c r="R84" s="92">
        <f ca="1"/>
        <v>44359</v>
      </c>
      <c r="S84" s="62">
        <f t="shared" ca="1" si="25"/>
        <v>44359</v>
      </c>
      <c r="T84" s="62">
        <f t="shared" ca="1" si="19"/>
        <v>31.435098255966011</v>
      </c>
      <c r="U84" s="62">
        <f t="shared" ca="1" si="20"/>
        <v>19.418573165182</v>
      </c>
      <c r="V84" s="62">
        <f t="shared" ca="1" si="21"/>
        <v>0</v>
      </c>
      <c r="W84" s="60">
        <f t="shared" ca="1" si="22"/>
        <v>120</v>
      </c>
      <c r="X84" s="60">
        <f t="shared" ca="1" si="26"/>
        <v>97.652649462487688</v>
      </c>
      <c r="Y84" s="60">
        <f t="shared" ca="1" si="23"/>
        <v>0</v>
      </c>
      <c r="Z84" s="60">
        <f t="shared" ca="1" si="24"/>
        <v>0.22094252168714201</v>
      </c>
      <c r="AA84" s="92">
        <f ca="1"/>
        <v>44585</v>
      </c>
      <c r="AB84" s="62">
        <f t="shared" ca="1" si="12"/>
        <v>44585</v>
      </c>
      <c r="AC84" s="62">
        <f t="shared" ca="1" si="13"/>
        <v>92.450070856251216</v>
      </c>
      <c r="AD84" s="62">
        <f t="shared" ca="1" si="14"/>
        <v>0</v>
      </c>
      <c r="AE84" s="62">
        <f t="shared" ca="1" si="15"/>
        <v>0</v>
      </c>
    </row>
    <row r="85" spans="18:31" x14ac:dyDescent="0.25">
      <c r="R85" s="92">
        <f ca="1"/>
        <v>44360</v>
      </c>
      <c r="S85" s="62">
        <f t="shared" ca="1" si="25"/>
        <v>44360</v>
      </c>
      <c r="T85" s="62">
        <f t="shared" ca="1" si="19"/>
        <v>31.397927306771763</v>
      </c>
      <c r="U85" s="62">
        <f t="shared" ca="1" si="20"/>
        <v>19.819500193071399</v>
      </c>
      <c r="V85" s="62">
        <f t="shared" ca="1" si="21"/>
        <v>0</v>
      </c>
      <c r="W85" s="60">
        <f t="shared" ca="1" si="22"/>
        <v>120</v>
      </c>
      <c r="X85" s="60">
        <f t="shared" ca="1" si="26"/>
        <v>99.779228991361975</v>
      </c>
      <c r="Y85" s="60">
        <f t="shared" ca="1" si="23"/>
        <v>0</v>
      </c>
      <c r="Z85" s="60">
        <f t="shared" ca="1" si="24"/>
        <v>0.22931123211980101</v>
      </c>
      <c r="AA85" s="92">
        <f ca="1"/>
        <v>44586</v>
      </c>
      <c r="AB85" s="62">
        <f t="shared" ref="AB85:AB148" ca="1" si="27">IF(AA85&gt;1,AA85,"")</f>
        <v>44586</v>
      </c>
      <c r="AC85" s="62">
        <f t="shared" ref="AC85:AC148" ca="1" si="28">VLOOKUP(AB85,ModelOutputs,2,FALSE)</f>
        <v>92.924848489183148</v>
      </c>
      <c r="AD85" s="62">
        <f t="shared" ref="AD85:AD148" ca="1" si="29">VLOOKUP(AB85,ModelOutputs,7,FALSE)</f>
        <v>0</v>
      </c>
      <c r="AE85" s="62">
        <f t="shared" ref="AE85:AE148" ca="1" si="30">VLOOKUP(AB85,ModelOutputs,6,FALSE)</f>
        <v>0</v>
      </c>
    </row>
    <row r="86" spans="18:31" x14ac:dyDescent="0.25">
      <c r="R86" s="92">
        <f ca="1"/>
        <v>44361</v>
      </c>
      <c r="S86" s="62">
        <f t="shared" ca="1" si="25"/>
        <v>44361</v>
      </c>
      <c r="T86" s="62">
        <f t="shared" ca="1" si="19"/>
        <v>31.354541753202241</v>
      </c>
      <c r="U86" s="62">
        <f t="shared" ca="1" si="20"/>
        <v>20.207831750180699</v>
      </c>
      <c r="V86" s="62">
        <f t="shared" ca="1" si="21"/>
        <v>0</v>
      </c>
      <c r="W86" s="60">
        <f t="shared" ca="1" si="22"/>
        <v>120</v>
      </c>
      <c r="X86" s="60">
        <f t="shared" ca="1" si="26"/>
        <v>101.73130760299553</v>
      </c>
      <c r="Y86" s="60">
        <f t="shared" ca="1" si="23"/>
        <v>0</v>
      </c>
      <c r="Z86" s="60">
        <f t="shared" ca="1" si="24"/>
        <v>0.23746590647697499</v>
      </c>
      <c r="AA86" s="92">
        <f ca="1"/>
        <v>44587</v>
      </c>
      <c r="AB86" s="62">
        <f t="shared" ca="1" si="27"/>
        <v>44587</v>
      </c>
      <c r="AC86" s="62">
        <f t="shared" ca="1" si="28"/>
        <v>93.394213845600348</v>
      </c>
      <c r="AD86" s="62">
        <f t="shared" ca="1" si="29"/>
        <v>0</v>
      </c>
      <c r="AE86" s="62">
        <f t="shared" ca="1" si="30"/>
        <v>0</v>
      </c>
    </row>
    <row r="87" spans="18:31" x14ac:dyDescent="0.25">
      <c r="R87" s="92">
        <f ca="1"/>
        <v>44362</v>
      </c>
      <c r="S87" s="62">
        <f t="shared" ca="1" si="25"/>
        <v>44362</v>
      </c>
      <c r="T87" s="62">
        <f t="shared" ca="1" si="19"/>
        <v>31.304229673179833</v>
      </c>
      <c r="U87" s="62">
        <f t="shared" ca="1" si="20"/>
        <v>20.6051005132333</v>
      </c>
      <c r="V87" s="62">
        <f t="shared" ca="1" si="21"/>
        <v>0</v>
      </c>
      <c r="W87" s="60">
        <f t="shared" ca="1" si="22"/>
        <v>120</v>
      </c>
      <c r="X87" s="60">
        <f t="shared" ca="1" si="26"/>
        <v>106.8237828090011</v>
      </c>
      <c r="Y87" s="60">
        <f t="shared" ca="1" si="23"/>
        <v>0</v>
      </c>
      <c r="Z87" s="60">
        <f t="shared" ca="1" si="24"/>
        <v>0.245850844908752</v>
      </c>
      <c r="AA87" s="92">
        <f ca="1"/>
        <v>44588</v>
      </c>
      <c r="AB87" s="62">
        <f t="shared" ca="1" si="27"/>
        <v>44588</v>
      </c>
      <c r="AC87" s="62">
        <f t="shared" ca="1" si="28"/>
        <v>93.849860443310746</v>
      </c>
      <c r="AD87" s="62">
        <f t="shared" ca="1" si="29"/>
        <v>0</v>
      </c>
      <c r="AE87" s="62">
        <f t="shared" ca="1" si="30"/>
        <v>0</v>
      </c>
    </row>
    <row r="88" spans="18:31" x14ac:dyDescent="0.25">
      <c r="R88" s="92">
        <f ca="1"/>
        <v>44363</v>
      </c>
      <c r="S88" s="62">
        <f t="shared" ca="1" si="25"/>
        <v>44363</v>
      </c>
      <c r="T88" s="62">
        <f t="shared" ca="1" si="19"/>
        <v>31.249399696392217</v>
      </c>
      <c r="U88" s="62">
        <f t="shared" ca="1" si="20"/>
        <v>20.988590265444401</v>
      </c>
      <c r="V88" s="62">
        <f t="shared" ca="1" si="21"/>
        <v>0</v>
      </c>
      <c r="W88" s="60">
        <f t="shared" ca="1" si="22"/>
        <v>120</v>
      </c>
      <c r="X88" s="60">
        <f t="shared" ca="1" si="26"/>
        <v>109.71548939193228</v>
      </c>
      <c r="Y88" s="60">
        <f t="shared" ca="1" si="23"/>
        <v>0</v>
      </c>
      <c r="Z88" s="60">
        <f t="shared" ca="1" si="24"/>
        <v>0.25397913329491401</v>
      </c>
      <c r="AA88" s="92">
        <f ca="1"/>
        <v>44589</v>
      </c>
      <c r="AB88" s="62">
        <f t="shared" ca="1" si="27"/>
        <v>44589</v>
      </c>
      <c r="AC88" s="62">
        <f t="shared" ca="1" si="28"/>
        <v>94.303767986274096</v>
      </c>
      <c r="AD88" s="62">
        <f t="shared" ca="1" si="29"/>
        <v>0</v>
      </c>
      <c r="AE88" s="62">
        <f t="shared" ca="1" si="30"/>
        <v>0</v>
      </c>
    </row>
    <row r="89" spans="18:31" x14ac:dyDescent="0.25">
      <c r="R89" s="92">
        <f ca="1"/>
        <v>44364</v>
      </c>
      <c r="S89" s="62">
        <f t="shared" ca="1" si="25"/>
        <v>44364</v>
      </c>
      <c r="T89" s="62">
        <f t="shared" ca="1" si="19"/>
        <v>31.187906257122378</v>
      </c>
      <c r="U89" s="62">
        <f t="shared" ca="1" si="20"/>
        <v>21.3810344620412</v>
      </c>
      <c r="V89" s="62">
        <f t="shared" ca="1" si="21"/>
        <v>0</v>
      </c>
      <c r="W89" s="60">
        <f t="shared" ca="1" si="22"/>
        <v>120</v>
      </c>
      <c r="X89" s="60">
        <f t="shared" ca="1" si="26"/>
        <v>113.10900507105669</v>
      </c>
      <c r="Y89" s="60">
        <f t="shared" ca="1" si="23"/>
        <v>0</v>
      </c>
      <c r="Z89" s="60">
        <f t="shared" ca="1" si="24"/>
        <v>0.26232527225108399</v>
      </c>
      <c r="AA89" s="92">
        <f ca="1"/>
        <v>44590</v>
      </c>
      <c r="AB89" s="62">
        <f t="shared" ca="1" si="27"/>
        <v>44590</v>
      </c>
      <c r="AC89" s="62">
        <f t="shared" ca="1" si="28"/>
        <v>94.760158783960378</v>
      </c>
      <c r="AD89" s="62">
        <f t="shared" ca="1" si="29"/>
        <v>0</v>
      </c>
      <c r="AE89" s="62">
        <f t="shared" ca="1" si="30"/>
        <v>0</v>
      </c>
    </row>
    <row r="90" spans="18:31" x14ac:dyDescent="0.25">
      <c r="R90" s="92">
        <f ca="1"/>
        <v>44365</v>
      </c>
      <c r="S90" s="62">
        <f t="shared" ca="1" si="25"/>
        <v>44365</v>
      </c>
      <c r="T90" s="62">
        <f t="shared" ca="1" si="19"/>
        <v>15</v>
      </c>
      <c r="U90" s="62">
        <f t="shared" ca="1" si="20"/>
        <v>21.7997648366559</v>
      </c>
      <c r="V90" s="62">
        <f t="shared" ca="1" si="21"/>
        <v>0</v>
      </c>
      <c r="W90" s="60">
        <f t="shared" ca="1" si="22"/>
        <v>120</v>
      </c>
      <c r="X90" s="60">
        <f t="shared" ca="1" si="26"/>
        <v>116.72752146108706</v>
      </c>
      <c r="Y90" s="60">
        <f t="shared" ca="1" si="23"/>
        <v>0</v>
      </c>
      <c r="Z90" s="60">
        <f t="shared" ca="1" si="24"/>
        <v>0.271254275842369</v>
      </c>
      <c r="AA90" s="92">
        <f ca="1"/>
        <v>44591</v>
      </c>
      <c r="AB90" s="62">
        <f t="shared" ca="1" si="27"/>
        <v>44591</v>
      </c>
      <c r="AC90" s="62">
        <f t="shared" ca="1" si="28"/>
        <v>95.225489447769704</v>
      </c>
      <c r="AD90" s="62">
        <f t="shared" ca="1" si="29"/>
        <v>0</v>
      </c>
      <c r="AE90" s="62">
        <f t="shared" ca="1" si="30"/>
        <v>0</v>
      </c>
    </row>
    <row r="91" spans="18:31" x14ac:dyDescent="0.25">
      <c r="R91" s="92">
        <f ca="1"/>
        <v>44366</v>
      </c>
      <c r="S91" s="62">
        <f t="shared" ca="1" si="25"/>
        <v>44366</v>
      </c>
      <c r="T91" s="62">
        <f t="shared" ca="1" si="19"/>
        <v>14.924127171700547</v>
      </c>
      <c r="U91" s="62">
        <f t="shared" ca="1" si="20"/>
        <v>22.212194187305599</v>
      </c>
      <c r="V91" s="62">
        <f t="shared" ca="1" si="21"/>
        <v>0</v>
      </c>
      <c r="W91" s="60">
        <f t="shared" ca="1" si="22"/>
        <v>120</v>
      </c>
      <c r="X91" s="60">
        <f t="shared" ca="1" si="26"/>
        <v>119.66280652419744</v>
      </c>
      <c r="Y91" s="60">
        <f t="shared" ca="1" si="23"/>
        <v>0</v>
      </c>
      <c r="Z91" s="60">
        <f t="shared" ca="1" si="24"/>
        <v>0.280065433732609</v>
      </c>
      <c r="AA91" s="92">
        <f ca="1"/>
        <v>44592</v>
      </c>
      <c r="AB91" s="62">
        <f t="shared" ca="1" si="27"/>
        <v>44592</v>
      </c>
      <c r="AC91" s="62">
        <f t="shared" ca="1" si="28"/>
        <v>95.68914662972378</v>
      </c>
      <c r="AD91" s="62">
        <f t="shared" ca="1" si="29"/>
        <v>0</v>
      </c>
      <c r="AE91" s="62">
        <f t="shared" ca="1" si="30"/>
        <v>0</v>
      </c>
    </row>
    <row r="92" spans="18:31" x14ac:dyDescent="0.25">
      <c r="R92" s="92">
        <f ca="1"/>
        <v>44367</v>
      </c>
      <c r="S92" s="62">
        <f t="shared" ca="1" si="25"/>
        <v>44367</v>
      </c>
      <c r="T92" s="62">
        <f t="shared" ca="1" si="19"/>
        <v>14.840360378955978</v>
      </c>
      <c r="U92" s="62">
        <f t="shared" ca="1" si="20"/>
        <v>22.637847917986601</v>
      </c>
      <c r="V92" s="62">
        <f t="shared" ca="1" si="21"/>
        <v>0</v>
      </c>
      <c r="W92" s="60">
        <f t="shared" ca="1" si="22"/>
        <v>120</v>
      </c>
      <c r="X92" s="60">
        <f t="shared" ca="1" si="26"/>
        <v>124.29942439384963</v>
      </c>
      <c r="Y92" s="60">
        <f t="shared" ca="1" si="23"/>
        <v>0</v>
      </c>
      <c r="Z92" s="60">
        <f t="shared" ca="1" si="24"/>
        <v>0.28916845673299602</v>
      </c>
      <c r="AA92" s="92">
        <f ca="1"/>
        <v>44593</v>
      </c>
      <c r="AB92" s="62">
        <f t="shared" ca="1" si="27"/>
        <v>44593</v>
      </c>
      <c r="AC92" s="62">
        <f t="shared" ca="1" si="28"/>
        <v>96.146531469278301</v>
      </c>
      <c r="AD92" s="62">
        <f t="shared" ca="1" si="29"/>
        <v>0</v>
      </c>
      <c r="AE92" s="62">
        <f t="shared" ca="1" si="30"/>
        <v>0</v>
      </c>
    </row>
    <row r="93" spans="18:31" x14ac:dyDescent="0.25">
      <c r="R93" s="92">
        <f ca="1"/>
        <v>44368</v>
      </c>
      <c r="S93" s="62">
        <f t="shared" ca="1" si="25"/>
        <v>44368</v>
      </c>
      <c r="T93" s="62">
        <f t="shared" ca="1" si="19"/>
        <v>14.748720342429777</v>
      </c>
      <c r="U93" s="62">
        <f t="shared" ca="1" si="20"/>
        <v>23.0750140379896</v>
      </c>
      <c r="V93" s="62">
        <f t="shared" ca="1" si="21"/>
        <v>0</v>
      </c>
      <c r="W93" s="60">
        <f t="shared" ca="1" si="22"/>
        <v>120</v>
      </c>
      <c r="X93" s="60">
        <f t="shared" ca="1" si="26"/>
        <v>125.21036337074868</v>
      </c>
      <c r="Y93" s="60">
        <f t="shared" ca="1" si="23"/>
        <v>0</v>
      </c>
      <c r="Z93" s="60">
        <f t="shared" ca="1" si="24"/>
        <v>0.29851937896882003</v>
      </c>
      <c r="AA93" s="92">
        <f ca="1"/>
        <v>44594</v>
      </c>
      <c r="AB93" s="62">
        <f t="shared" ca="1" si="27"/>
        <v>44594</v>
      </c>
      <c r="AC93" s="62">
        <f t="shared" ca="1" si="28"/>
        <v>96.60228789415379</v>
      </c>
      <c r="AD93" s="62">
        <f t="shared" ca="1" si="29"/>
        <v>0</v>
      </c>
      <c r="AE93" s="62">
        <f t="shared" ca="1" si="30"/>
        <v>0</v>
      </c>
    </row>
    <row r="94" spans="18:31" x14ac:dyDescent="0.25">
      <c r="R94" s="92">
        <f ca="1"/>
        <v>44369</v>
      </c>
      <c r="S94" s="62">
        <f t="shared" ca="1" si="25"/>
        <v>44369</v>
      </c>
      <c r="T94" s="62">
        <f t="shared" ca="1" si="19"/>
        <v>14.652451534809032</v>
      </c>
      <c r="U94" s="62">
        <f t="shared" ca="1" si="20"/>
        <v>23.505699943545899</v>
      </c>
      <c r="V94" s="62">
        <f t="shared" ca="1" si="21"/>
        <v>0</v>
      </c>
      <c r="W94" s="60">
        <f t="shared" ca="1" si="22"/>
        <v>120</v>
      </c>
      <c r="X94" s="60">
        <f t="shared" ca="1" si="26"/>
        <v>126.09663186745011</v>
      </c>
      <c r="Y94" s="60">
        <f t="shared" ca="1" si="23"/>
        <v>0</v>
      </c>
      <c r="Z94" s="60">
        <f t="shared" ca="1" si="24"/>
        <v>0.30772540960714401</v>
      </c>
      <c r="AA94" s="92">
        <f ca="1"/>
        <v>44595</v>
      </c>
      <c r="AB94" s="62">
        <f t="shared" ca="1" si="27"/>
        <v>44595</v>
      </c>
      <c r="AC94" s="62">
        <f t="shared" ca="1" si="28"/>
        <v>97.042222256846856</v>
      </c>
      <c r="AD94" s="62">
        <f t="shared" ca="1" si="29"/>
        <v>0</v>
      </c>
      <c r="AE94" s="62">
        <f t="shared" ca="1" si="30"/>
        <v>0</v>
      </c>
    </row>
    <row r="95" spans="18:31" x14ac:dyDescent="0.25">
      <c r="R95" s="92">
        <f ca="1"/>
        <v>44370</v>
      </c>
      <c r="S95" s="62">
        <f t="shared" ca="1" si="25"/>
        <v>44370</v>
      </c>
      <c r="T95" s="62">
        <f t="shared" ca="1" si="19"/>
        <v>14.551595385453197</v>
      </c>
      <c r="U95" s="62">
        <f t="shared" ca="1" si="20"/>
        <v>23.932687481342601</v>
      </c>
      <c r="V95" s="62">
        <f t="shared" ca="1" si="21"/>
        <v>0</v>
      </c>
      <c r="W95" s="60">
        <f t="shared" ca="1" si="22"/>
        <v>120</v>
      </c>
      <c r="X95" s="60">
        <f t="shared" ca="1" si="26"/>
        <v>129.79667397448287</v>
      </c>
      <c r="Y95" s="60">
        <f t="shared" ca="1" si="23"/>
        <v>0</v>
      </c>
      <c r="Z95" s="60">
        <f t="shared" ca="1" si="24"/>
        <v>0.316838694443627</v>
      </c>
      <c r="AA95" s="92">
        <f ca="1"/>
        <v>44596</v>
      </c>
      <c r="AB95" s="62">
        <f t="shared" ca="1" si="27"/>
        <v>44596</v>
      </c>
      <c r="AC95" s="62">
        <f t="shared" ca="1" si="28"/>
        <v>97.474491615866398</v>
      </c>
      <c r="AD95" s="62">
        <f t="shared" ca="1" si="29"/>
        <v>0</v>
      </c>
      <c r="AE95" s="62">
        <f t="shared" ca="1" si="30"/>
        <v>0</v>
      </c>
    </row>
    <row r="96" spans="18:31" x14ac:dyDescent="0.25">
      <c r="R96" s="92">
        <f ca="1"/>
        <v>44371</v>
      </c>
      <c r="S96" s="62">
        <f t="shared" ca="1" si="25"/>
        <v>44371</v>
      </c>
      <c r="T96" s="62">
        <f t="shared" ca="1" si="19"/>
        <v>14.442934721307239</v>
      </c>
      <c r="U96" s="62">
        <f t="shared" ca="1" si="20"/>
        <v>24.371089766169199</v>
      </c>
      <c r="V96" s="62">
        <f t="shared" ca="1" si="21"/>
        <v>0</v>
      </c>
      <c r="W96" s="60">
        <f t="shared" ca="1" si="22"/>
        <v>120</v>
      </c>
      <c r="X96" s="60">
        <f t="shared" ca="1" si="26"/>
        <v>135.08023066447541</v>
      </c>
      <c r="Y96" s="60">
        <f t="shared" ca="1" si="23"/>
        <v>0</v>
      </c>
      <c r="Z96" s="60">
        <f t="shared" ca="1" si="24"/>
        <v>0.32617389751277298</v>
      </c>
      <c r="AA96" s="92">
        <f ca="1"/>
        <v>44597</v>
      </c>
      <c r="AB96" s="62">
        <f t="shared" ca="1" si="27"/>
        <v>44597</v>
      </c>
      <c r="AC96" s="62">
        <f t="shared" ca="1" si="28"/>
        <v>97.920068762462122</v>
      </c>
      <c r="AD96" s="62">
        <f t="shared" ca="1" si="29"/>
        <v>0</v>
      </c>
      <c r="AE96" s="62">
        <f t="shared" ca="1" si="30"/>
        <v>0</v>
      </c>
    </row>
    <row r="97" spans="18:31" x14ac:dyDescent="0.25">
      <c r="R97" s="92">
        <f ca="1"/>
        <v>44372</v>
      </c>
      <c r="S97" s="62">
        <f t="shared" ca="1" si="25"/>
        <v>44372</v>
      </c>
      <c r="T97" s="62">
        <f t="shared" ca="1" si="19"/>
        <v>14.32563359342322</v>
      </c>
      <c r="U97" s="62">
        <f t="shared" ca="1" si="20"/>
        <v>24.823583660296499</v>
      </c>
      <c r="V97" s="62">
        <f t="shared" ca="1" si="21"/>
        <v>0</v>
      </c>
      <c r="W97" s="60">
        <f t="shared" ca="1" si="22"/>
        <v>120</v>
      </c>
      <c r="X97" s="60">
        <f t="shared" ca="1" si="26"/>
        <v>142.50682564985902</v>
      </c>
      <c r="Y97" s="60">
        <f t="shared" ca="1" si="23"/>
        <v>0</v>
      </c>
      <c r="Z97" s="60">
        <f t="shared" ca="1" si="24"/>
        <v>0.33577829496395101</v>
      </c>
      <c r="AA97" s="92">
        <f ca="1"/>
        <v>44598</v>
      </c>
      <c r="AB97" s="62">
        <f t="shared" ca="1" si="27"/>
        <v>44598</v>
      </c>
      <c r="AC97" s="62">
        <f t="shared" ca="1" si="28"/>
        <v>98.349273292466151</v>
      </c>
      <c r="AD97" s="62">
        <f t="shared" ca="1" si="29"/>
        <v>0</v>
      </c>
      <c r="AE97" s="62">
        <f t="shared" ca="1" si="30"/>
        <v>0</v>
      </c>
    </row>
    <row r="98" spans="18:31" x14ac:dyDescent="0.25">
      <c r="R98" s="92">
        <f ca="1"/>
        <v>44373</v>
      </c>
      <c r="S98" s="62">
        <f t="shared" ca="1" si="25"/>
        <v>44373</v>
      </c>
      <c r="T98" s="62">
        <f t="shared" ca="1" si="19"/>
        <v>14.205239044527616</v>
      </c>
      <c r="U98" s="62">
        <f t="shared" ca="1" si="20"/>
        <v>25.267431423308398</v>
      </c>
      <c r="V98" s="62">
        <f t="shared" ca="1" si="21"/>
        <v>0</v>
      </c>
      <c r="W98" s="60">
        <f t="shared" ca="1" si="22"/>
        <v>120</v>
      </c>
      <c r="X98" s="60">
        <f t="shared" ca="1" si="26"/>
        <v>144.96290301737957</v>
      </c>
      <c r="Y98" s="60">
        <f t="shared" ca="1" si="23"/>
        <v>0</v>
      </c>
      <c r="Z98" s="60">
        <f t="shared" ca="1" si="24"/>
        <v>0.34516125359990502</v>
      </c>
      <c r="AA98" s="92">
        <f ca="1"/>
        <v>44599</v>
      </c>
      <c r="AB98" s="62">
        <f t="shared" ca="1" si="27"/>
        <v>44599</v>
      </c>
      <c r="AC98" s="62">
        <f t="shared" ca="1" si="28"/>
        <v>98.772756348390686</v>
      </c>
      <c r="AD98" s="62">
        <f t="shared" ca="1" si="29"/>
        <v>0</v>
      </c>
      <c r="AE98" s="62">
        <f t="shared" ca="1" si="30"/>
        <v>0</v>
      </c>
    </row>
    <row r="99" spans="18:31" x14ac:dyDescent="0.25">
      <c r="R99" s="92">
        <f ca="1"/>
        <v>44374</v>
      </c>
      <c r="S99" s="62">
        <f t="shared" ca="1" si="25"/>
        <v>44374</v>
      </c>
      <c r="T99" s="62">
        <f t="shared" ca="1" si="19"/>
        <v>14.076883794117961</v>
      </c>
      <c r="U99" s="62">
        <f t="shared" ca="1" si="20"/>
        <v>25.722374503837301</v>
      </c>
      <c r="V99" s="62">
        <f t="shared" ca="1" si="21"/>
        <v>0</v>
      </c>
      <c r="W99" s="60">
        <f t="shared" ca="1" si="22"/>
        <v>120</v>
      </c>
      <c r="X99" s="60">
        <f t="shared" ca="1" si="26"/>
        <v>146.30163681695706</v>
      </c>
      <c r="Y99" s="60">
        <f t="shared" ca="1" si="23"/>
        <v>0</v>
      </c>
      <c r="Z99" s="60">
        <f t="shared" ca="1" si="24"/>
        <v>0.35473239887970398</v>
      </c>
      <c r="AA99" s="92">
        <f ca="1"/>
        <v>44600</v>
      </c>
      <c r="AB99" s="62">
        <f t="shared" ca="1" si="27"/>
        <v>44600</v>
      </c>
      <c r="AC99" s="62">
        <f t="shared" ca="1" si="28"/>
        <v>99.193834075508008</v>
      </c>
      <c r="AD99" s="62">
        <f t="shared" ca="1" si="29"/>
        <v>0</v>
      </c>
      <c r="AE99" s="62">
        <f t="shared" ca="1" si="30"/>
        <v>0</v>
      </c>
    </row>
    <row r="100" spans="18:31" x14ac:dyDescent="0.25">
      <c r="R100" s="92">
        <f ca="1"/>
        <v>44375</v>
      </c>
      <c r="S100" s="62">
        <f t="shared" ca="1" si="25"/>
        <v>44375</v>
      </c>
      <c r="T100" s="62">
        <f t="shared" ca="1" si="19"/>
        <v>13.943173738942619</v>
      </c>
      <c r="U100" s="62">
        <f t="shared" ca="1" si="20"/>
        <v>26.1786840984681</v>
      </c>
      <c r="V100" s="62">
        <f t="shared" ca="1" si="21"/>
        <v>0</v>
      </c>
      <c r="W100" s="60">
        <f t="shared" ca="1" si="22"/>
        <v>120</v>
      </c>
      <c r="X100" s="60">
        <f t="shared" ca="1" si="26"/>
        <v>150.65431886988608</v>
      </c>
      <c r="Y100" s="60">
        <f t="shared" ca="1" si="23"/>
        <v>0</v>
      </c>
      <c r="Z100" s="60">
        <f t="shared" ca="1" si="24"/>
        <v>0.36427798111954701</v>
      </c>
      <c r="AA100" s="92">
        <f ca="1"/>
        <v>44601</v>
      </c>
      <c r="AB100" s="62">
        <f t="shared" ca="1" si="27"/>
        <v>44601</v>
      </c>
      <c r="AC100" s="62">
        <f t="shared" ca="1" si="28"/>
        <v>99.612191916946827</v>
      </c>
      <c r="AD100" s="62">
        <f t="shared" ca="1" si="29"/>
        <v>0</v>
      </c>
      <c r="AE100" s="62">
        <f t="shared" ca="1" si="30"/>
        <v>0</v>
      </c>
    </row>
    <row r="101" spans="18:31" x14ac:dyDescent="0.25">
      <c r="R101" s="92">
        <f ca="1"/>
        <v>44376</v>
      </c>
      <c r="S101" s="62">
        <f t="shared" ca="1" si="25"/>
        <v>44376</v>
      </c>
      <c r="T101" s="62">
        <f t="shared" ca="1" si="19"/>
        <v>13.801188873219431</v>
      </c>
      <c r="U101" s="62">
        <f t="shared" ca="1" si="20"/>
        <v>26.646614411657101</v>
      </c>
      <c r="V101" s="62">
        <f t="shared" ca="1" si="21"/>
        <v>0</v>
      </c>
      <c r="W101" s="60">
        <f t="shared" ca="1" si="22"/>
        <v>120</v>
      </c>
      <c r="X101" s="60">
        <f t="shared" ca="1" si="26"/>
        <v>154.62209160380843</v>
      </c>
      <c r="Y101" s="60">
        <f t="shared" ca="1" si="23"/>
        <v>0</v>
      </c>
      <c r="Z101" s="60">
        <f t="shared" ca="1" si="24"/>
        <v>0.37400300121003399</v>
      </c>
      <c r="AA101" s="92">
        <f ca="1"/>
        <v>44602</v>
      </c>
      <c r="AB101" s="62">
        <f t="shared" ca="1" si="27"/>
        <v>44602</v>
      </c>
      <c r="AC101" s="62">
        <f t="shared" ca="1" si="28"/>
        <v>100.03831925147202</v>
      </c>
      <c r="AD101" s="62">
        <f t="shared" ca="1" si="29"/>
        <v>0</v>
      </c>
      <c r="AE101" s="62">
        <f t="shared" ca="1" si="30"/>
        <v>0</v>
      </c>
    </row>
    <row r="102" spans="18:31" x14ac:dyDescent="0.25">
      <c r="R102" s="92">
        <f ca="1"/>
        <v>44377</v>
      </c>
      <c r="S102" s="62">
        <f t="shared" ca="1" si="25"/>
        <v>44377</v>
      </c>
      <c r="T102" s="62">
        <f t="shared" ca="1" si="19"/>
        <v>13.651005084063925</v>
      </c>
      <c r="U102" s="62">
        <f t="shared" ca="1" si="20"/>
        <v>27.125354890690399</v>
      </c>
      <c r="V102" s="62">
        <f t="shared" ca="1" si="21"/>
        <v>0</v>
      </c>
      <c r="W102" s="60">
        <f t="shared" ca="1" si="22"/>
        <v>120</v>
      </c>
      <c r="X102" s="60">
        <f t="shared" ca="1" si="26"/>
        <v>160.78519391141015</v>
      </c>
      <c r="Y102" s="60">
        <f t="shared" ca="1" si="23"/>
        <v>0</v>
      </c>
      <c r="Z102" s="60">
        <f t="shared" ca="1" si="24"/>
        <v>0.38387878643887002</v>
      </c>
      <c r="AA102" s="92">
        <f ca="1"/>
        <v>44603</v>
      </c>
      <c r="AB102" s="62">
        <f t="shared" ca="1" si="27"/>
        <v>44603</v>
      </c>
      <c r="AC102" s="62">
        <f t="shared" ca="1" si="28"/>
        <v>100.47112841411946</v>
      </c>
      <c r="AD102" s="62">
        <f t="shared" ca="1" si="29"/>
        <v>0</v>
      </c>
      <c r="AE102" s="62">
        <f t="shared" ca="1" si="30"/>
        <v>0</v>
      </c>
    </row>
    <row r="103" spans="18:31" x14ac:dyDescent="0.25">
      <c r="R103" s="92">
        <f ca="1"/>
        <v>44378</v>
      </c>
      <c r="S103" s="62">
        <f t="shared" ca="1" si="25"/>
        <v>44378</v>
      </c>
      <c r="T103" s="62">
        <f t="shared" ca="1" si="19"/>
        <v>13.502613764510357</v>
      </c>
      <c r="U103" s="62">
        <f t="shared" ca="1" si="20"/>
        <v>27.583601403002302</v>
      </c>
      <c r="V103" s="62">
        <f t="shared" ca="1" si="21"/>
        <v>0</v>
      </c>
      <c r="W103" s="60">
        <f t="shared" ca="1" si="22"/>
        <v>120</v>
      </c>
      <c r="X103" s="60">
        <f t="shared" ca="1" si="26"/>
        <v>162.8762745736862</v>
      </c>
      <c r="Y103" s="60">
        <f t="shared" ca="1" si="23"/>
        <v>0</v>
      </c>
      <c r="Z103" s="60">
        <f t="shared" ca="1" si="24"/>
        <v>0.39325538979216401</v>
      </c>
      <c r="AA103" s="92">
        <f ca="1"/>
        <v>44604</v>
      </c>
      <c r="AB103" s="62">
        <f t="shared" ca="1" si="27"/>
        <v>44604</v>
      </c>
      <c r="AC103" s="62">
        <f t="shared" ca="1" si="28"/>
        <v>100.90363411594562</v>
      </c>
      <c r="AD103" s="62">
        <f t="shared" ca="1" si="29"/>
        <v>0</v>
      </c>
      <c r="AE103" s="62">
        <f t="shared" ca="1" si="30"/>
        <v>0</v>
      </c>
    </row>
    <row r="104" spans="18:31" x14ac:dyDescent="0.25">
      <c r="R104" s="92">
        <f ca="1"/>
        <v>44379</v>
      </c>
      <c r="S104" s="62">
        <f t="shared" ca="1" si="25"/>
        <v>44379</v>
      </c>
      <c r="T104" s="62">
        <f t="shared" ca="1" si="19"/>
        <v>13.35576890365283</v>
      </c>
      <c r="U104" s="62">
        <f t="shared" ca="1" si="20"/>
        <v>28.025807261698699</v>
      </c>
      <c r="V104" s="62">
        <f t="shared" ca="1" si="21"/>
        <v>0</v>
      </c>
      <c r="W104" s="60">
        <f t="shared" ca="1" si="22"/>
        <v>120</v>
      </c>
      <c r="X104" s="60">
        <f t="shared" ca="1" si="26"/>
        <v>165.81912324527354</v>
      </c>
      <c r="Y104" s="60">
        <f t="shared" ca="1" si="23"/>
        <v>0</v>
      </c>
      <c r="Z104" s="60">
        <f t="shared" ca="1" si="24"/>
        <v>0.40222745357890399</v>
      </c>
      <c r="AA104" s="92">
        <f ca="1"/>
        <v>44605</v>
      </c>
      <c r="AB104" s="62">
        <f t="shared" ca="1" si="27"/>
        <v>44605</v>
      </c>
      <c r="AC104" s="62">
        <f t="shared" ca="1" si="28"/>
        <v>101.32142708641921</v>
      </c>
      <c r="AD104" s="62">
        <f t="shared" ca="1" si="29"/>
        <v>0</v>
      </c>
      <c r="AE104" s="62">
        <f t="shared" ca="1" si="30"/>
        <v>0</v>
      </c>
    </row>
    <row r="105" spans="18:31" x14ac:dyDescent="0.25">
      <c r="R105" s="92">
        <f ca="1"/>
        <v>44380</v>
      </c>
      <c r="S105" s="62">
        <f t="shared" ca="1" si="25"/>
        <v>44380</v>
      </c>
      <c r="T105" s="62">
        <f t="shared" ca="1" si="19"/>
        <v>13.200629546086205</v>
      </c>
      <c r="U105" s="62">
        <f t="shared" ca="1" si="20"/>
        <v>28.480327730374899</v>
      </c>
      <c r="V105" s="62">
        <f t="shared" ca="1" si="21"/>
        <v>0</v>
      </c>
      <c r="W105" s="60">
        <f t="shared" ca="1" si="22"/>
        <v>120</v>
      </c>
      <c r="X105" s="60">
        <f t="shared" ca="1" si="26"/>
        <v>167.81270742134953</v>
      </c>
      <c r="Y105" s="60">
        <f t="shared" ca="1" si="23"/>
        <v>0</v>
      </c>
      <c r="Z105" s="60">
        <f t="shared" ca="1" si="24"/>
        <v>0.41136615023601503</v>
      </c>
      <c r="AA105" s="92">
        <f ca="1"/>
        <v>44606</v>
      </c>
      <c r="AB105" s="62">
        <f t="shared" ca="1" si="27"/>
        <v>44606</v>
      </c>
      <c r="AC105" s="62">
        <f t="shared" ca="1" si="28"/>
        <v>101.73769673113908</v>
      </c>
      <c r="AD105" s="62">
        <f t="shared" ca="1" si="29"/>
        <v>0</v>
      </c>
      <c r="AE105" s="62">
        <f t="shared" ca="1" si="30"/>
        <v>0</v>
      </c>
    </row>
    <row r="106" spans="18:31" x14ac:dyDescent="0.25">
      <c r="R106" s="92">
        <f ca="1"/>
        <v>44381</v>
      </c>
      <c r="S106" s="62">
        <f t="shared" ca="1" si="25"/>
        <v>44381</v>
      </c>
      <c r="T106" s="62">
        <f t="shared" ca="1" si="19"/>
        <v>13.030999995491143</v>
      </c>
      <c r="U106" s="62">
        <f t="shared" ca="1" si="20"/>
        <v>28.9636832435149</v>
      </c>
      <c r="V106" s="62">
        <f t="shared" ca="1" si="21"/>
        <v>0</v>
      </c>
      <c r="W106" s="60">
        <f t="shared" ca="1" si="22"/>
        <v>120</v>
      </c>
      <c r="X106" s="60">
        <f t="shared" ca="1" si="26"/>
        <v>171.77857403036393</v>
      </c>
      <c r="Y106" s="60">
        <f t="shared" ca="1" si="23"/>
        <v>0</v>
      </c>
      <c r="Z106" s="60">
        <f t="shared" ca="1" si="24"/>
        <v>0.42098668429854103</v>
      </c>
      <c r="AA106" s="92">
        <f ca="1"/>
        <v>44607</v>
      </c>
      <c r="AB106" s="62">
        <f t="shared" ca="1" si="27"/>
        <v>44607</v>
      </c>
      <c r="AC106" s="62">
        <f t="shared" ca="1" si="28"/>
        <v>102.14889435970569</v>
      </c>
      <c r="AD106" s="62">
        <f t="shared" ca="1" si="29"/>
        <v>0</v>
      </c>
      <c r="AE106" s="62">
        <f t="shared" ca="1" si="30"/>
        <v>0</v>
      </c>
    </row>
    <row r="107" spans="18:31" x14ac:dyDescent="0.25">
      <c r="R107" s="92">
        <f ca="1"/>
        <v>44382</v>
      </c>
      <c r="S107" s="62">
        <f t="shared" ca="1" si="25"/>
        <v>44382</v>
      </c>
      <c r="T107" s="62">
        <f t="shared" ca="1" si="19"/>
        <v>12.845950526447737</v>
      </c>
      <c r="U107" s="62">
        <f t="shared" ca="1" si="20"/>
        <v>29.4779097302048</v>
      </c>
      <c r="V107" s="62">
        <f t="shared" ca="1" si="21"/>
        <v>0</v>
      </c>
      <c r="W107" s="60">
        <f t="shared" ca="1" si="22"/>
        <v>120</v>
      </c>
      <c r="X107" s="60">
        <f t="shared" ca="1" si="26"/>
        <v>173.30184055364526</v>
      </c>
      <c r="Y107" s="60">
        <f t="shared" ca="1" si="23"/>
        <v>0</v>
      </c>
      <c r="Z107" s="60">
        <f t="shared" ca="1" si="24"/>
        <v>0.431104968157278</v>
      </c>
      <c r="AA107" s="92">
        <f ca="1"/>
        <v>44608</v>
      </c>
      <c r="AB107" s="62">
        <f t="shared" ca="1" si="27"/>
        <v>44608</v>
      </c>
      <c r="AC107" s="62">
        <f t="shared" ca="1" si="28"/>
        <v>102.5553444904353</v>
      </c>
      <c r="AD107" s="62">
        <f t="shared" ca="1" si="29"/>
        <v>0</v>
      </c>
      <c r="AE107" s="62">
        <f t="shared" ca="1" si="30"/>
        <v>0</v>
      </c>
    </row>
    <row r="108" spans="18:31" x14ac:dyDescent="0.25">
      <c r="R108" s="92">
        <f ca="1"/>
        <v>44383</v>
      </c>
      <c r="S108" s="62">
        <f t="shared" ca="1" si="25"/>
        <v>44383</v>
      </c>
      <c r="T108" s="62">
        <f t="shared" ca="1" si="19"/>
        <v>12.654165686824086</v>
      </c>
      <c r="U108" s="62">
        <f t="shared" ca="1" si="20"/>
        <v>29.997462808160002</v>
      </c>
      <c r="V108" s="62">
        <f t="shared" ca="1" si="21"/>
        <v>0</v>
      </c>
      <c r="W108" s="60">
        <f t="shared" ca="1" si="22"/>
        <v>120</v>
      </c>
      <c r="X108" s="60">
        <f t="shared" ca="1" si="26"/>
        <v>176.4363296984132</v>
      </c>
      <c r="Y108" s="60">
        <f t="shared" ca="1" si="23"/>
        <v>0</v>
      </c>
      <c r="Z108" s="60">
        <f t="shared" ca="1" si="24"/>
        <v>0.44120000730505299</v>
      </c>
      <c r="AA108" s="92">
        <f ca="1"/>
        <v>44609</v>
      </c>
      <c r="AB108" s="62">
        <f t="shared" ca="1" si="27"/>
        <v>44609</v>
      </c>
      <c r="AC108" s="62">
        <f t="shared" ca="1" si="28"/>
        <v>102.97331479283257</v>
      </c>
      <c r="AD108" s="62">
        <f t="shared" ca="1" si="29"/>
        <v>0</v>
      </c>
      <c r="AE108" s="62">
        <f t="shared" ca="1" si="30"/>
        <v>0</v>
      </c>
    </row>
    <row r="109" spans="18:31" x14ac:dyDescent="0.25">
      <c r="R109" s="92">
        <f ca="1"/>
        <v>44384</v>
      </c>
      <c r="S109" s="62">
        <f t="shared" ca="1" si="25"/>
        <v>44384</v>
      </c>
      <c r="T109" s="62">
        <f t="shared" ca="1" si="19"/>
        <v>31.655955803010826</v>
      </c>
      <c r="U109" s="62">
        <f t="shared" ca="1" si="20"/>
        <v>30.521587192735801</v>
      </c>
      <c r="V109" s="62">
        <f t="shared" ca="1" si="21"/>
        <v>24</v>
      </c>
      <c r="W109" s="60">
        <f t="shared" ca="1" si="22"/>
        <v>120</v>
      </c>
      <c r="X109" s="60">
        <f t="shared" ca="1" si="26"/>
        <v>177.89550172573024</v>
      </c>
      <c r="Y109" s="60">
        <f t="shared" ca="1" si="23"/>
        <v>0</v>
      </c>
      <c r="Z109" s="60">
        <f t="shared" ca="1" si="24"/>
        <v>0.45124789893641298</v>
      </c>
      <c r="AA109" s="92">
        <f ca="1"/>
        <v>44610</v>
      </c>
      <c r="AB109" s="62">
        <f t="shared" ca="1" si="27"/>
        <v>44610</v>
      </c>
      <c r="AC109" s="62">
        <f t="shared" ca="1" si="28"/>
        <v>103.39108403231275</v>
      </c>
      <c r="AD109" s="62">
        <f t="shared" ca="1" si="29"/>
        <v>0</v>
      </c>
      <c r="AE109" s="62">
        <f t="shared" ca="1" si="30"/>
        <v>0</v>
      </c>
    </row>
    <row r="110" spans="18:31" x14ac:dyDescent="0.25">
      <c r="R110" s="92">
        <f ca="1"/>
        <v>44385</v>
      </c>
      <c r="S110" s="62">
        <f t="shared" ca="1" si="25"/>
        <v>44385</v>
      </c>
      <c r="T110" s="62">
        <f t="shared" ca="1" si="19"/>
        <v>31.456178347100575</v>
      </c>
      <c r="U110" s="62">
        <f t="shared" ca="1" si="20"/>
        <v>31.037855248879801</v>
      </c>
      <c r="V110" s="62">
        <f t="shared" ca="1" si="21"/>
        <v>0</v>
      </c>
      <c r="W110" s="60">
        <f t="shared" ca="1" si="22"/>
        <v>120</v>
      </c>
      <c r="X110" s="60">
        <f t="shared" ca="1" si="26"/>
        <v>180.34777930628786</v>
      </c>
      <c r="Y110" s="60">
        <f t="shared" ca="1" si="23"/>
        <v>0</v>
      </c>
      <c r="Z110" s="60">
        <f t="shared" ca="1" si="24"/>
        <v>0.46100678214658602</v>
      </c>
      <c r="AA110" s="92">
        <f ca="1"/>
        <v>44611</v>
      </c>
      <c r="AB110" s="62">
        <f t="shared" ca="1" si="27"/>
        <v>44611</v>
      </c>
      <c r="AC110" s="62">
        <f t="shared" ca="1" si="28"/>
        <v>103.80595336623837</v>
      </c>
      <c r="AD110" s="62">
        <f t="shared" ca="1" si="29"/>
        <v>0</v>
      </c>
      <c r="AE110" s="62">
        <f t="shared" ca="1" si="30"/>
        <v>0</v>
      </c>
    </row>
    <row r="111" spans="18:31" x14ac:dyDescent="0.25">
      <c r="R111" s="92">
        <f ca="1"/>
        <v>44386</v>
      </c>
      <c r="S111" s="62">
        <f t="shared" ca="1" si="25"/>
        <v>44386</v>
      </c>
      <c r="T111" s="62">
        <f t="shared" ca="1" si="19"/>
        <v>31.246282763577938</v>
      </c>
      <c r="U111" s="62">
        <f t="shared" ca="1" si="20"/>
        <v>31.568828592747899</v>
      </c>
      <c r="V111" s="62">
        <f t="shared" ca="1" si="21"/>
        <v>0</v>
      </c>
      <c r="W111" s="60">
        <f t="shared" ca="1" si="22"/>
        <v>120</v>
      </c>
      <c r="X111" s="60">
        <f t="shared" ca="1" si="26"/>
        <v>183.49695452701371</v>
      </c>
      <c r="Y111" s="60">
        <f t="shared" ca="1" si="23"/>
        <v>0</v>
      </c>
      <c r="Z111" s="60">
        <f t="shared" ca="1" si="24"/>
        <v>0.47089584260421302</v>
      </c>
      <c r="AA111" s="92">
        <f ca="1"/>
        <v>44612</v>
      </c>
      <c r="AB111" s="62">
        <f t="shared" ca="1" si="27"/>
        <v>44612</v>
      </c>
      <c r="AC111" s="62">
        <f t="shared" ca="1" si="28"/>
        <v>104.23164532954186</v>
      </c>
      <c r="AD111" s="62">
        <f t="shared" ca="1" si="29"/>
        <v>0</v>
      </c>
      <c r="AE111" s="62">
        <f t="shared" ca="1" si="30"/>
        <v>0</v>
      </c>
    </row>
    <row r="112" spans="18:31" x14ac:dyDescent="0.25">
      <c r="R112" s="92">
        <f ca="1"/>
        <v>44387</v>
      </c>
      <c r="S112" s="62">
        <f t="shared" ca="1" si="25"/>
        <v>44387</v>
      </c>
      <c r="T112" s="62">
        <f t="shared" ca="1" si="19"/>
        <v>31.042943923883101</v>
      </c>
      <c r="U112" s="62">
        <f t="shared" ca="1" si="20"/>
        <v>32.073540018729901</v>
      </c>
      <c r="V112" s="62">
        <f t="shared" ca="1" si="21"/>
        <v>0</v>
      </c>
      <c r="W112" s="60">
        <f t="shared" ca="1" si="22"/>
        <v>120</v>
      </c>
      <c r="X112" s="60">
        <f t="shared" ca="1" si="26"/>
        <v>184.34520624212149</v>
      </c>
      <c r="Y112" s="60">
        <f t="shared" ca="1" si="23"/>
        <v>0</v>
      </c>
      <c r="Z112" s="60">
        <f t="shared" ca="1" si="24"/>
        <v>0.48015317493210202</v>
      </c>
      <c r="AA112" s="92">
        <f ca="1"/>
        <v>44613</v>
      </c>
      <c r="AB112" s="62">
        <f t="shared" ca="1" si="27"/>
        <v>44613</v>
      </c>
      <c r="AC112" s="62">
        <f t="shared" ca="1" si="28"/>
        <v>104.65902670083797</v>
      </c>
      <c r="AD112" s="62">
        <f t="shared" ca="1" si="29"/>
        <v>0</v>
      </c>
      <c r="AE112" s="62">
        <f t="shared" ca="1" si="30"/>
        <v>0</v>
      </c>
    </row>
    <row r="113" spans="18:31" x14ac:dyDescent="0.25">
      <c r="R113" s="92">
        <f ca="1"/>
        <v>44388</v>
      </c>
      <c r="S113" s="62">
        <f t="shared" ca="1" si="25"/>
        <v>44388</v>
      </c>
      <c r="T113" s="62">
        <f t="shared" ca="1" si="19"/>
        <v>30.841527780420094</v>
      </c>
      <c r="U113" s="62">
        <f t="shared" ca="1" si="20"/>
        <v>32.5655612670392</v>
      </c>
      <c r="V113" s="62">
        <f t="shared" ca="1" si="21"/>
        <v>0</v>
      </c>
      <c r="W113" s="60">
        <f t="shared" ca="1" si="22"/>
        <v>120</v>
      </c>
      <c r="X113" s="60">
        <f t="shared" ca="1" si="26"/>
        <v>187.05285750133862</v>
      </c>
      <c r="Y113" s="60">
        <f t="shared" ca="1" si="23"/>
        <v>0</v>
      </c>
      <c r="Z113" s="60">
        <f t="shared" ca="1" si="24"/>
        <v>0.48904098947246899</v>
      </c>
      <c r="AA113" s="92">
        <f ca="1"/>
        <v>44614</v>
      </c>
      <c r="AB113" s="62">
        <f t="shared" ca="1" si="27"/>
        <v>44614</v>
      </c>
      <c r="AC113" s="62">
        <f t="shared" ca="1" si="28"/>
        <v>105.07695450959748</v>
      </c>
      <c r="AD113" s="62">
        <f t="shared" ca="1" si="29"/>
        <v>0</v>
      </c>
      <c r="AE113" s="62">
        <f t="shared" ca="1" si="30"/>
        <v>0</v>
      </c>
    </row>
    <row r="114" spans="18:31" x14ac:dyDescent="0.25">
      <c r="R114" s="92">
        <f ca="1"/>
        <v>44389</v>
      </c>
      <c r="S114" s="62">
        <f t="shared" ca="1" si="25"/>
        <v>44389</v>
      </c>
      <c r="T114" s="62">
        <f t="shared" ca="1" si="19"/>
        <v>30.62695737797273</v>
      </c>
      <c r="U114" s="62">
        <f t="shared" ca="1" si="20"/>
        <v>33.079516710629399</v>
      </c>
      <c r="V114" s="62">
        <f t="shared" ca="1" si="21"/>
        <v>0</v>
      </c>
      <c r="W114" s="60">
        <f t="shared" ca="1" si="22"/>
        <v>120</v>
      </c>
      <c r="X114" s="60">
        <f t="shared" ca="1" si="26"/>
        <v>192.85612692335195</v>
      </c>
      <c r="Y114" s="60">
        <f t="shared" ca="1" si="23"/>
        <v>0</v>
      </c>
      <c r="Z114" s="60">
        <f t="shared" ca="1" si="24"/>
        <v>0.49817820350390901</v>
      </c>
      <c r="AA114" s="92">
        <f ca="1"/>
        <v>44615</v>
      </c>
      <c r="AB114" s="62">
        <f t="shared" ca="1" si="27"/>
        <v>44615</v>
      </c>
      <c r="AC114" s="62">
        <f t="shared" ca="1" si="28"/>
        <v>105.49876780280881</v>
      </c>
      <c r="AD114" s="62">
        <f t="shared" ca="1" si="29"/>
        <v>0</v>
      </c>
      <c r="AE114" s="62">
        <f t="shared" ca="1" si="30"/>
        <v>0</v>
      </c>
    </row>
    <row r="115" spans="18:31" x14ac:dyDescent="0.25">
      <c r="R115" s="92">
        <f ca="1"/>
        <v>44390</v>
      </c>
      <c r="S115" s="62">
        <f t="shared" ca="1" si="25"/>
        <v>44390</v>
      </c>
      <c r="T115" s="62">
        <f t="shared" ca="1" si="19"/>
        <v>30.401785959534124</v>
      </c>
      <c r="U115" s="62">
        <f t="shared" ca="1" si="20"/>
        <v>33.609197002150196</v>
      </c>
      <c r="V115" s="62">
        <f t="shared" ca="1" si="21"/>
        <v>0</v>
      </c>
      <c r="W115" s="60">
        <f t="shared" ca="1" si="22"/>
        <v>120</v>
      </c>
      <c r="X115" s="60">
        <f t="shared" ca="1" si="26"/>
        <v>194.06859889401551</v>
      </c>
      <c r="Y115" s="60">
        <f t="shared" ca="1" si="23"/>
        <v>0</v>
      </c>
      <c r="Z115" s="60">
        <f t="shared" ca="1" si="24"/>
        <v>0.507435592170148</v>
      </c>
      <c r="AA115" s="92">
        <f ca="1"/>
        <v>44616</v>
      </c>
      <c r="AB115" s="62">
        <f t="shared" ca="1" si="27"/>
        <v>44616</v>
      </c>
      <c r="AC115" s="62">
        <f t="shared" ca="1" si="28"/>
        <v>105.90458770780855</v>
      </c>
      <c r="AD115" s="62">
        <f t="shared" ca="1" si="29"/>
        <v>0</v>
      </c>
      <c r="AE115" s="62">
        <f t="shared" ca="1" si="30"/>
        <v>0</v>
      </c>
    </row>
    <row r="116" spans="18:31" x14ac:dyDescent="0.25">
      <c r="R116" s="92">
        <f ca="1"/>
        <v>44391</v>
      </c>
      <c r="S116" s="62">
        <f t="shared" ca="1" si="25"/>
        <v>44391</v>
      </c>
      <c r="T116" s="62">
        <f t="shared" ca="1" si="19"/>
        <v>30.179899205499339</v>
      </c>
      <c r="U116" s="62">
        <f t="shared" ca="1" si="20"/>
        <v>34.123661789147697</v>
      </c>
      <c r="V116" s="62">
        <f t="shared" ca="1" si="21"/>
        <v>0</v>
      </c>
      <c r="W116" s="60">
        <f t="shared" ca="1" si="22"/>
        <v>120</v>
      </c>
      <c r="X116" s="60">
        <f t="shared" ca="1" si="26"/>
        <v>197.3459402847071</v>
      </c>
      <c r="Y116" s="60">
        <f t="shared" ca="1" si="23"/>
        <v>0</v>
      </c>
      <c r="Z116" s="60">
        <f t="shared" ca="1" si="24"/>
        <v>0.51627022340289797</v>
      </c>
      <c r="AA116" s="92">
        <f ca="1"/>
        <v>44617</v>
      </c>
      <c r="AB116" s="62">
        <f t="shared" ca="1" si="27"/>
        <v>44617</v>
      </c>
      <c r="AC116" s="62">
        <f t="shared" ca="1" si="28"/>
        <v>106.29091050378668</v>
      </c>
      <c r="AD116" s="62">
        <f t="shared" ca="1" si="29"/>
        <v>0</v>
      </c>
      <c r="AE116" s="62">
        <f t="shared" ca="1" si="30"/>
        <v>0</v>
      </c>
    </row>
    <row r="117" spans="18:31" x14ac:dyDescent="0.25">
      <c r="R117" s="92">
        <f ca="1"/>
        <v>44392</v>
      </c>
      <c r="S117" s="62">
        <f t="shared" ca="1" si="25"/>
        <v>44392</v>
      </c>
      <c r="T117" s="62">
        <f t="shared" ca="1" si="19"/>
        <v>29.929137669735596</v>
      </c>
      <c r="U117" s="62">
        <f t="shared" ca="1" si="20"/>
        <v>34.694151310280297</v>
      </c>
      <c r="V117" s="62">
        <f t="shared" ca="1" si="21"/>
        <v>0</v>
      </c>
      <c r="W117" s="60">
        <f t="shared" ca="1" si="22"/>
        <v>120</v>
      </c>
      <c r="X117" s="60">
        <f t="shared" ca="1" si="26"/>
        <v>202.42751341596318</v>
      </c>
      <c r="Y117" s="60">
        <f t="shared" ca="1" si="23"/>
        <v>0</v>
      </c>
      <c r="Z117" s="60">
        <f t="shared" ca="1" si="24"/>
        <v>0.52588440480048204</v>
      </c>
      <c r="AA117" s="92">
        <f ca="1"/>
        <v>44618</v>
      </c>
      <c r="AB117" s="62">
        <f t="shared" ca="1" si="27"/>
        <v>44618</v>
      </c>
      <c r="AC117" s="62">
        <f t="shared" ca="1" si="28"/>
        <v>106.67883268587426</v>
      </c>
      <c r="AD117" s="62">
        <f t="shared" ca="1" si="29"/>
        <v>0</v>
      </c>
      <c r="AE117" s="62">
        <f t="shared" ca="1" si="30"/>
        <v>0</v>
      </c>
    </row>
    <row r="118" spans="18:31" x14ac:dyDescent="0.25">
      <c r="R118" s="92">
        <f ca="1"/>
        <v>44393</v>
      </c>
      <c r="S118" s="62">
        <f t="shared" ca="1" si="25"/>
        <v>44393</v>
      </c>
      <c r="T118" s="62">
        <f t="shared" ca="1" si="19"/>
        <v>29.656895584845614</v>
      </c>
      <c r="U118" s="62">
        <f t="shared" ca="1" si="20"/>
        <v>35.3041034708274</v>
      </c>
      <c r="V118" s="62">
        <f t="shared" ca="1" si="21"/>
        <v>0</v>
      </c>
      <c r="W118" s="60">
        <f t="shared" ca="1" si="22"/>
        <v>120</v>
      </c>
      <c r="X118" s="60">
        <f t="shared" ca="1" si="26"/>
        <v>206.33827460417712</v>
      </c>
      <c r="Y118" s="60">
        <f t="shared" ca="1" si="23"/>
        <v>0</v>
      </c>
      <c r="Z118" s="60">
        <f t="shared" ca="1" si="24"/>
        <v>0.53594966587454396</v>
      </c>
      <c r="AA118" s="92">
        <f ca="1"/>
        <v>44619</v>
      </c>
      <c r="AB118" s="62">
        <f t="shared" ca="1" si="27"/>
        <v>44619</v>
      </c>
      <c r="AC118" s="62">
        <f t="shared" ca="1" si="28"/>
        <v>107.06685154715956</v>
      </c>
      <c r="AD118" s="62">
        <f t="shared" ca="1" si="29"/>
        <v>0</v>
      </c>
      <c r="AE118" s="62">
        <f t="shared" ca="1" si="30"/>
        <v>0</v>
      </c>
    </row>
    <row r="119" spans="18:31" x14ac:dyDescent="0.25">
      <c r="R119" s="92">
        <f ca="1"/>
        <v>44394</v>
      </c>
      <c r="S119" s="62">
        <f t="shared" ca="1" si="25"/>
        <v>44394</v>
      </c>
      <c r="T119" s="62">
        <f t="shared" ca="1" si="19"/>
        <v>29.38259917557923</v>
      </c>
      <c r="U119" s="62">
        <f t="shared" ca="1" si="20"/>
        <v>35.908040194231702</v>
      </c>
      <c r="V119" s="62">
        <f t="shared" ca="1" si="21"/>
        <v>0</v>
      </c>
      <c r="W119" s="60">
        <f t="shared" ca="1" si="22"/>
        <v>120</v>
      </c>
      <c r="X119" s="60">
        <f t="shared" ca="1" si="26"/>
        <v>212.76322935718332</v>
      </c>
      <c r="Y119" s="60">
        <f t="shared" ca="1" si="23"/>
        <v>0</v>
      </c>
      <c r="Z119" s="60">
        <f t="shared" ca="1" si="24"/>
        <v>0.54569667688511903</v>
      </c>
      <c r="AA119" s="92">
        <f ca="1"/>
        <v>44620</v>
      </c>
      <c r="AB119" s="62">
        <f t="shared" ca="1" si="27"/>
        <v>44620</v>
      </c>
      <c r="AC119" s="62">
        <f t="shared" ca="1" si="28"/>
        <v>107.45357406975565</v>
      </c>
      <c r="AD119" s="62">
        <f t="shared" ca="1" si="29"/>
        <v>0</v>
      </c>
      <c r="AE119" s="62">
        <f t="shared" ca="1" si="30"/>
        <v>0</v>
      </c>
    </row>
    <row r="120" spans="18:31" x14ac:dyDescent="0.25">
      <c r="R120" s="92">
        <f ca="1"/>
        <v>44395</v>
      </c>
      <c r="S120" s="62">
        <f t="shared" ca="1" si="25"/>
        <v>44395</v>
      </c>
      <c r="T120" s="62">
        <f t="shared" ca="1" si="19"/>
        <v>29.109940268960784</v>
      </c>
      <c r="U120" s="62">
        <f t="shared" ca="1" si="20"/>
        <v>36.498853627948399</v>
      </c>
      <c r="V120" s="62">
        <f t="shared" ca="1" si="21"/>
        <v>0</v>
      </c>
      <c r="W120" s="60">
        <f t="shared" ca="1" si="22"/>
        <v>120</v>
      </c>
      <c r="X120" s="60">
        <f t="shared" ca="1" si="26"/>
        <v>219.28079822323934</v>
      </c>
      <c r="Y120" s="60">
        <f t="shared" ca="1" si="23"/>
        <v>0</v>
      </c>
      <c r="Z120" s="60">
        <f t="shared" ca="1" si="24"/>
        <v>0.55502052017153303</v>
      </c>
      <c r="AA120" s="92">
        <f ca="1"/>
        <v>44621</v>
      </c>
      <c r="AB120" s="62">
        <f t="shared" ca="1" si="27"/>
        <v>44621</v>
      </c>
      <c r="AC120" s="62">
        <f t="shared" ca="1" si="28"/>
        <v>107.85073537842305</v>
      </c>
      <c r="AD120" s="62">
        <f t="shared" ca="1" si="29"/>
        <v>0</v>
      </c>
      <c r="AE120" s="62">
        <f t="shared" ca="1" si="30"/>
        <v>0</v>
      </c>
    </row>
    <row r="121" spans="18:31" x14ac:dyDescent="0.25">
      <c r="R121" s="92">
        <f ca="1"/>
        <v>44396</v>
      </c>
      <c r="S121" s="62">
        <f t="shared" ca="1" si="25"/>
        <v>44396</v>
      </c>
      <c r="T121" s="62">
        <f t="shared" ca="1" si="19"/>
        <v>28.83341819620702</v>
      </c>
      <c r="U121" s="62">
        <f t="shared" ca="1" si="20"/>
        <v>37.0894414980623</v>
      </c>
      <c r="V121" s="62">
        <f t="shared" ca="1" si="21"/>
        <v>0</v>
      </c>
      <c r="W121" s="60">
        <f t="shared" ca="1" si="22"/>
        <v>120</v>
      </c>
      <c r="X121" s="60">
        <f t="shared" ca="1" si="26"/>
        <v>222.24373680853878</v>
      </c>
      <c r="Y121" s="60">
        <f t="shared" ca="1" si="23"/>
        <v>0</v>
      </c>
      <c r="Z121" s="60">
        <f t="shared" ca="1" si="24"/>
        <v>0.56413189160381605</v>
      </c>
      <c r="AA121" s="92">
        <f ca="1"/>
        <v>44622</v>
      </c>
      <c r="AB121" s="62">
        <f t="shared" ca="1" si="27"/>
        <v>44622</v>
      </c>
      <c r="AC121" s="62">
        <f t="shared" ca="1" si="28"/>
        <v>108.26014969319901</v>
      </c>
      <c r="AD121" s="62">
        <f t="shared" ca="1" si="29"/>
        <v>0</v>
      </c>
      <c r="AE121" s="62">
        <f t="shared" ca="1" si="30"/>
        <v>0</v>
      </c>
    </row>
    <row r="122" spans="18:31" x14ac:dyDescent="0.25">
      <c r="R122" s="92">
        <f ca="1"/>
        <v>44397</v>
      </c>
      <c r="S122" s="62">
        <f t="shared" ca="1" si="25"/>
        <v>44397</v>
      </c>
      <c r="T122" s="62">
        <f t="shared" ca="1" si="19"/>
        <v>28.536178788377555</v>
      </c>
      <c r="U122" s="62">
        <f t="shared" ca="1" si="20"/>
        <v>37.715647297652701</v>
      </c>
      <c r="V122" s="62">
        <f t="shared" ca="1" si="21"/>
        <v>0</v>
      </c>
      <c r="W122" s="60">
        <f t="shared" ca="1" si="22"/>
        <v>120</v>
      </c>
      <c r="X122" s="60">
        <f t="shared" ca="1" si="26"/>
        <v>223.69577366880591</v>
      </c>
      <c r="Y122" s="60">
        <f t="shared" ca="1" si="23"/>
        <v>0</v>
      </c>
      <c r="Z122" s="60">
        <f t="shared" ca="1" si="24"/>
        <v>0.573565167695963</v>
      </c>
      <c r="AA122" s="92">
        <f ca="1"/>
        <v>44623</v>
      </c>
      <c r="AB122" s="62">
        <f t="shared" ca="1" si="27"/>
        <v>44623</v>
      </c>
      <c r="AC122" s="62">
        <f t="shared" ca="1" si="28"/>
        <v>108.67736577115451</v>
      </c>
      <c r="AD122" s="62">
        <f t="shared" ca="1" si="29"/>
        <v>0</v>
      </c>
      <c r="AE122" s="62">
        <f t="shared" ca="1" si="30"/>
        <v>0</v>
      </c>
    </row>
    <row r="123" spans="18:31" x14ac:dyDescent="0.25">
      <c r="R123" s="92">
        <f ca="1"/>
        <v>44398</v>
      </c>
      <c r="S123" s="62">
        <f t="shared" ca="1" si="25"/>
        <v>44398</v>
      </c>
      <c r="T123" s="62">
        <f t="shared" ca="1" si="19"/>
        <v>28.244827380598821</v>
      </c>
      <c r="U123" s="62">
        <f t="shared" ca="1" si="20"/>
        <v>38.320819541937603</v>
      </c>
      <c r="V123" s="62">
        <f t="shared" ca="1" si="21"/>
        <v>0</v>
      </c>
      <c r="W123" s="60">
        <f t="shared" ca="1" si="22"/>
        <v>120</v>
      </c>
      <c r="X123" s="60">
        <f t="shared" ca="1" si="26"/>
        <v>227.10658977766641</v>
      </c>
      <c r="Y123" s="60">
        <f t="shared" ca="1" si="23"/>
        <v>0</v>
      </c>
      <c r="Z123" s="60">
        <f t="shared" ca="1" si="24"/>
        <v>0.58246002776958195</v>
      </c>
      <c r="AA123" s="92">
        <f ca="1"/>
        <v>44624</v>
      </c>
      <c r="AB123" s="62">
        <f t="shared" ca="1" si="27"/>
        <v>44624</v>
      </c>
      <c r="AC123" s="62">
        <f t="shared" ca="1" si="28"/>
        <v>109.08634296009016</v>
      </c>
      <c r="AD123" s="62">
        <f t="shared" ca="1" si="29"/>
        <v>0</v>
      </c>
      <c r="AE123" s="62">
        <f t="shared" ca="1" si="30"/>
        <v>0</v>
      </c>
    </row>
    <row r="124" spans="18:31" x14ac:dyDescent="0.25">
      <c r="R124" s="92">
        <f ca="1"/>
        <v>44399</v>
      </c>
      <c r="S124" s="62">
        <f t="shared" ca="1" si="25"/>
        <v>44399</v>
      </c>
      <c r="T124" s="62">
        <f t="shared" ca="1" si="19"/>
        <v>27.929087237357933</v>
      </c>
      <c r="U124" s="62">
        <f t="shared" ca="1" si="20"/>
        <v>38.968482525521097</v>
      </c>
      <c r="V124" s="62">
        <f t="shared" ca="1" si="21"/>
        <v>0</v>
      </c>
      <c r="W124" s="60">
        <f t="shared" ca="1" si="22"/>
        <v>120</v>
      </c>
      <c r="X124" s="60">
        <f t="shared" ca="1" si="26"/>
        <v>231.28266933689821</v>
      </c>
      <c r="Y124" s="60">
        <f t="shared" ca="1" si="23"/>
        <v>0</v>
      </c>
      <c r="Z124" s="60">
        <f t="shared" ca="1" si="24"/>
        <v>0.59173981856390401</v>
      </c>
      <c r="AA124" s="92">
        <f ca="1"/>
        <v>44625</v>
      </c>
      <c r="AB124" s="62">
        <f t="shared" ca="1" si="27"/>
        <v>44625</v>
      </c>
      <c r="AC124" s="62">
        <f t="shared" ca="1" si="28"/>
        <v>109.49366233342658</v>
      </c>
      <c r="AD124" s="62">
        <f t="shared" ca="1" si="29"/>
        <v>0</v>
      </c>
      <c r="AE124" s="62">
        <f t="shared" ca="1" si="30"/>
        <v>0</v>
      </c>
    </row>
    <row r="125" spans="18:31" x14ac:dyDescent="0.25">
      <c r="R125" s="92">
        <f ca="1"/>
        <v>44400</v>
      </c>
      <c r="S125" s="62">
        <f t="shared" ca="1" si="25"/>
        <v>44400</v>
      </c>
      <c r="T125" s="62">
        <f t="shared" ca="1" si="19"/>
        <v>27.609198651474671</v>
      </c>
      <c r="U125" s="62">
        <f t="shared" ca="1" si="20"/>
        <v>39.615918044951101</v>
      </c>
      <c r="V125" s="62">
        <f t="shared" ca="1" si="21"/>
        <v>0</v>
      </c>
      <c r="W125" s="60">
        <f t="shared" ca="1" si="22"/>
        <v>120</v>
      </c>
      <c r="X125" s="60">
        <f t="shared" ca="1" si="26"/>
        <v>238.01078213208896</v>
      </c>
      <c r="Y125" s="60">
        <f t="shared" ca="1" si="23"/>
        <v>0</v>
      </c>
      <c r="Z125" s="60">
        <f t="shared" ca="1" si="24"/>
        <v>0.60077095855335405</v>
      </c>
      <c r="AA125" s="92">
        <f ca="1"/>
        <v>44626</v>
      </c>
      <c r="AB125" s="62">
        <f t="shared" ca="1" si="27"/>
        <v>44626</v>
      </c>
      <c r="AC125" s="62">
        <f t="shared" ca="1" si="28"/>
        <v>109.91286958879748</v>
      </c>
      <c r="AD125" s="62">
        <f t="shared" ca="1" si="29"/>
        <v>0</v>
      </c>
      <c r="AE125" s="62">
        <f t="shared" ca="1" si="30"/>
        <v>0</v>
      </c>
    </row>
    <row r="126" spans="18:31" x14ac:dyDescent="0.25">
      <c r="R126" s="92">
        <f ca="1"/>
        <v>44401</v>
      </c>
      <c r="S126" s="62">
        <f t="shared" ca="1" si="25"/>
        <v>44401</v>
      </c>
      <c r="T126" s="62">
        <f t="shared" ca="1" si="19"/>
        <v>27.280283114657095</v>
      </c>
      <c r="U126" s="62">
        <f t="shared" ca="1" si="20"/>
        <v>40.2733789881378</v>
      </c>
      <c r="V126" s="62">
        <f t="shared" ca="1" si="21"/>
        <v>0</v>
      </c>
      <c r="W126" s="60">
        <f t="shared" ca="1" si="22"/>
        <v>120</v>
      </c>
      <c r="X126" s="60">
        <f t="shared" ca="1" si="26"/>
        <v>240.88152161739492</v>
      </c>
      <c r="Y126" s="60">
        <f t="shared" ca="1" si="23"/>
        <v>0</v>
      </c>
      <c r="Z126" s="60">
        <f t="shared" ca="1" si="24"/>
        <v>0.60969364090623002</v>
      </c>
      <c r="AA126" s="92">
        <f ca="1"/>
        <v>44627</v>
      </c>
      <c r="AB126" s="62">
        <f t="shared" ca="1" si="27"/>
        <v>44627</v>
      </c>
      <c r="AC126" s="62">
        <f t="shared" ca="1" si="28"/>
        <v>110.31730527096423</v>
      </c>
      <c r="AD126" s="62">
        <f t="shared" ca="1" si="29"/>
        <v>0</v>
      </c>
      <c r="AE126" s="62">
        <f t="shared" ca="1" si="30"/>
        <v>0</v>
      </c>
    </row>
    <row r="127" spans="18:31" x14ac:dyDescent="0.25">
      <c r="R127" s="92">
        <f ca="1"/>
        <v>44402</v>
      </c>
      <c r="S127" s="62">
        <f t="shared" ca="1" si="25"/>
        <v>44402</v>
      </c>
      <c r="T127" s="62">
        <f t="shared" ca="1" si="19"/>
        <v>26.961381438042693</v>
      </c>
      <c r="U127" s="62">
        <f t="shared" ca="1" si="20"/>
        <v>40.903146926687498</v>
      </c>
      <c r="V127" s="62">
        <f t="shared" ca="1" si="21"/>
        <v>0</v>
      </c>
      <c r="W127" s="60">
        <f t="shared" ca="1" si="22"/>
        <v>120</v>
      </c>
      <c r="X127" s="60">
        <f t="shared" ca="1" si="26"/>
        <v>244.40589761391672</v>
      </c>
      <c r="Y127" s="60">
        <f t="shared" ca="1" si="23"/>
        <v>0</v>
      </c>
      <c r="Z127" s="60">
        <f t="shared" ca="1" si="24"/>
        <v>0.61800884313889504</v>
      </c>
      <c r="AA127" s="92">
        <f ca="1"/>
        <v>44628</v>
      </c>
      <c r="AB127" s="62">
        <f t="shared" ca="1" si="27"/>
        <v>44628</v>
      </c>
      <c r="AC127" s="62">
        <f t="shared" ca="1" si="28"/>
        <v>110.7259769596201</v>
      </c>
      <c r="AD127" s="62">
        <f t="shared" ca="1" si="29"/>
        <v>0</v>
      </c>
      <c r="AE127" s="62">
        <f t="shared" ca="1" si="30"/>
        <v>0</v>
      </c>
    </row>
    <row r="128" spans="18:31" x14ac:dyDescent="0.25">
      <c r="R128" s="92">
        <f ca="1"/>
        <v>44403</v>
      </c>
      <c r="S128" s="62">
        <f t="shared" ca="1" si="25"/>
        <v>44403</v>
      </c>
      <c r="T128" s="62">
        <f t="shared" ca="1" si="19"/>
        <v>26.638348532853428</v>
      </c>
      <c r="U128" s="62">
        <f t="shared" ca="1" si="20"/>
        <v>41.534159765825798</v>
      </c>
      <c r="V128" s="62">
        <f t="shared" ca="1" si="21"/>
        <v>0</v>
      </c>
      <c r="W128" s="60">
        <f t="shared" ca="1" si="22"/>
        <v>120</v>
      </c>
      <c r="X128" s="60">
        <f t="shared" ca="1" si="26"/>
        <v>246.55325881830379</v>
      </c>
      <c r="Y128" s="60">
        <f t="shared" ca="1" si="23"/>
        <v>0</v>
      </c>
      <c r="Z128" s="60">
        <f t="shared" ca="1" si="24"/>
        <v>0.62611636721128205</v>
      </c>
      <c r="AA128" s="92">
        <f ca="1"/>
        <v>44629</v>
      </c>
      <c r="AB128" s="62">
        <f t="shared" ca="1" si="27"/>
        <v>44629</v>
      </c>
      <c r="AC128" s="62">
        <f t="shared" ca="1" si="28"/>
        <v>111.14653018215148</v>
      </c>
      <c r="AD128" s="62">
        <f t="shared" ca="1" si="29"/>
        <v>0</v>
      </c>
      <c r="AE128" s="62">
        <f t="shared" ca="1" si="30"/>
        <v>0</v>
      </c>
    </row>
    <row r="129" spans="18:31" x14ac:dyDescent="0.25">
      <c r="R129" s="92">
        <f ca="1"/>
        <v>44404</v>
      </c>
      <c r="S129" s="62">
        <f t="shared" ca="1" si="25"/>
        <v>44404</v>
      </c>
      <c r="T129" s="62">
        <f t="shared" ca="1" si="19"/>
        <v>26.294017447576735</v>
      </c>
      <c r="U129" s="62">
        <f t="shared" ca="1" si="20"/>
        <v>42.199413108153202</v>
      </c>
      <c r="V129" s="62">
        <f t="shared" ca="1" si="21"/>
        <v>0</v>
      </c>
      <c r="W129" s="60">
        <f t="shared" ca="1" si="22"/>
        <v>120</v>
      </c>
      <c r="X129" s="60">
        <f t="shared" ca="1" si="26"/>
        <v>250.40237352916995</v>
      </c>
      <c r="Y129" s="60">
        <f t="shared" ca="1" si="23"/>
        <v>0</v>
      </c>
      <c r="Z129" s="60">
        <f t="shared" ca="1" si="24"/>
        <v>0.63442471329678696</v>
      </c>
      <c r="AA129" s="92">
        <f ca="1"/>
        <v>44630</v>
      </c>
      <c r="AB129" s="62">
        <f t="shared" ca="1" si="27"/>
        <v>44630</v>
      </c>
      <c r="AC129" s="62">
        <f t="shared" ca="1" si="28"/>
        <v>111.55472670735929</v>
      </c>
      <c r="AD129" s="62">
        <f t="shared" ca="1" si="29"/>
        <v>0</v>
      </c>
      <c r="AE129" s="62">
        <f t="shared" ca="1" si="30"/>
        <v>0</v>
      </c>
    </row>
    <row r="130" spans="18:31" x14ac:dyDescent="0.25">
      <c r="R130" s="92">
        <f ca="1"/>
        <v>44405</v>
      </c>
      <c r="S130" s="62">
        <f t="shared" ca="1" si="25"/>
        <v>44405</v>
      </c>
      <c r="T130" s="62">
        <f t="shared" ca="1" si="19"/>
        <v>25.939101467742262</v>
      </c>
      <c r="U130" s="62">
        <f t="shared" ca="1" si="20"/>
        <v>42.877849251653302</v>
      </c>
      <c r="V130" s="62">
        <f t="shared" ca="1" si="21"/>
        <v>0</v>
      </c>
      <c r="W130" s="60">
        <f t="shared" ca="1" si="22"/>
        <v>120</v>
      </c>
      <c r="X130" s="60">
        <f t="shared" ca="1" si="26"/>
        <v>252.42210148037148</v>
      </c>
      <c r="Y130" s="60">
        <f t="shared" ca="1" si="23"/>
        <v>0</v>
      </c>
      <c r="Z130" s="60">
        <f t="shared" ca="1" si="24"/>
        <v>0.64264934452709599</v>
      </c>
      <c r="AA130" s="92">
        <f ca="1"/>
        <v>44631</v>
      </c>
      <c r="AB130" s="62">
        <f t="shared" ca="1" si="27"/>
        <v>44631</v>
      </c>
      <c r="AC130" s="62">
        <f t="shared" ca="1" si="28"/>
        <v>111.97950821851482</v>
      </c>
      <c r="AD130" s="62">
        <f t="shared" ca="1" si="29"/>
        <v>0</v>
      </c>
      <c r="AE130" s="62">
        <f t="shared" ca="1" si="30"/>
        <v>0</v>
      </c>
    </row>
    <row r="131" spans="18:31" x14ac:dyDescent="0.25">
      <c r="R131" s="92">
        <f ca="1"/>
        <v>44406</v>
      </c>
      <c r="S131" s="62">
        <f t="shared" ca="1" si="25"/>
        <v>44406</v>
      </c>
      <c r="T131" s="62">
        <f t="shared" ca="1" si="19"/>
        <v>25.569772872383055</v>
      </c>
      <c r="U131" s="62">
        <f t="shared" ca="1" si="20"/>
        <v>43.576670949048399</v>
      </c>
      <c r="V131" s="62">
        <f t="shared" ca="1" si="21"/>
        <v>0</v>
      </c>
      <c r="W131" s="60">
        <f t="shared" ca="1" si="22"/>
        <v>120</v>
      </c>
      <c r="X131" s="60">
        <f t="shared" ca="1" si="26"/>
        <v>256.65014662854139</v>
      </c>
      <c r="Y131" s="60">
        <f t="shared" ca="1" si="23"/>
        <v>0</v>
      </c>
      <c r="Z131" s="60">
        <f t="shared" ca="1" si="24"/>
        <v>0.65086399920962201</v>
      </c>
      <c r="AA131" s="92">
        <f ca="1"/>
        <v>44632</v>
      </c>
      <c r="AB131" s="62">
        <f t="shared" ca="1" si="27"/>
        <v>44632</v>
      </c>
      <c r="AC131" s="62">
        <f t="shared" ca="1" si="28"/>
        <v>112.41310946333385</v>
      </c>
      <c r="AD131" s="62">
        <f t="shared" ca="1" si="29"/>
        <v>0</v>
      </c>
      <c r="AE131" s="62">
        <f t="shared" ca="1" si="30"/>
        <v>0</v>
      </c>
    </row>
    <row r="132" spans="18:31" x14ac:dyDescent="0.25">
      <c r="R132" s="92">
        <f ca="1"/>
        <v>44407</v>
      </c>
      <c r="S132" s="62">
        <f t="shared" ca="1" si="25"/>
        <v>44407</v>
      </c>
      <c r="T132" s="62">
        <f t="shared" ca="1" si="19"/>
        <v>25.192506632135675</v>
      </c>
      <c r="U132" s="62">
        <f t="shared" ca="1" si="20"/>
        <v>44.283219542978401</v>
      </c>
      <c r="V132" s="62">
        <f t="shared" ca="1" si="21"/>
        <v>0</v>
      </c>
      <c r="W132" s="60">
        <f t="shared" ca="1" si="22"/>
        <v>120</v>
      </c>
      <c r="X132" s="60">
        <f t="shared" ca="1" si="26"/>
        <v>258.02239523293406</v>
      </c>
      <c r="Y132" s="60">
        <f t="shared" ca="1" si="23"/>
        <v>0</v>
      </c>
      <c r="Z132" s="60">
        <f t="shared" ca="1" si="24"/>
        <v>0.65890983713531504</v>
      </c>
      <c r="AA132" s="92">
        <f ca="1"/>
        <v>44633</v>
      </c>
      <c r="AB132" s="62">
        <f t="shared" ca="1" si="27"/>
        <v>44633</v>
      </c>
      <c r="AC132" s="62">
        <f t="shared" ca="1" si="28"/>
        <v>112.83188941562682</v>
      </c>
      <c r="AD132" s="62">
        <f t="shared" ca="1" si="29"/>
        <v>0</v>
      </c>
      <c r="AE132" s="62">
        <f t="shared" ca="1" si="30"/>
        <v>0</v>
      </c>
    </row>
    <row r="133" spans="18:31" x14ac:dyDescent="0.25">
      <c r="R133" s="92">
        <f ca="1"/>
        <v>44408</v>
      </c>
      <c r="S133" s="62">
        <f t="shared" ca="1" si="25"/>
        <v>44408</v>
      </c>
      <c r="T133" s="62">
        <f t="shared" ca="1" si="19"/>
        <v>24.803921864211375</v>
      </c>
      <c r="U133" s="62">
        <f t="shared" ca="1" si="20"/>
        <v>45.003904266103902</v>
      </c>
      <c r="V133" s="62">
        <f t="shared" ca="1" si="21"/>
        <v>0</v>
      </c>
      <c r="W133" s="60">
        <f t="shared" ca="1" si="22"/>
        <v>120</v>
      </c>
      <c r="X133" s="60">
        <f t="shared" ca="1" si="26"/>
        <v>260.97452005057937</v>
      </c>
      <c r="Y133" s="60">
        <f t="shared" ca="1" si="23"/>
        <v>0</v>
      </c>
      <c r="Z133" s="60">
        <f t="shared" ca="1" si="24"/>
        <v>0.66685383224356698</v>
      </c>
      <c r="AA133" s="92">
        <f ca="1"/>
        <v>44634</v>
      </c>
      <c r="AB133" s="62">
        <f t="shared" ca="1" si="27"/>
        <v>44634</v>
      </c>
      <c r="AC133" s="62">
        <f t="shared" ca="1" si="28"/>
        <v>113.24868230441827</v>
      </c>
      <c r="AD133" s="62">
        <f t="shared" ca="1" si="29"/>
        <v>0</v>
      </c>
      <c r="AE133" s="62">
        <f t="shared" ca="1" si="30"/>
        <v>0</v>
      </c>
    </row>
    <row r="134" spans="18:31" x14ac:dyDescent="0.25">
      <c r="R134" s="92">
        <f ca="1"/>
        <v>44409</v>
      </c>
      <c r="S134" s="62">
        <f t="shared" ca="1" si="25"/>
        <v>44409</v>
      </c>
      <c r="T134" s="62">
        <f t="shared" ca="1" si="19"/>
        <v>24.405330593039906</v>
      </c>
      <c r="U134" s="62">
        <f t="shared" ca="1" si="20"/>
        <v>45.736115288908401</v>
      </c>
      <c r="V134" s="62">
        <f t="shared" ca="1" si="21"/>
        <v>0</v>
      </c>
      <c r="W134" s="60">
        <f t="shared" ca="1" si="22"/>
        <v>120</v>
      </c>
      <c r="X134" s="60">
        <f t="shared" ca="1" si="26"/>
        <v>263.41170990268051</v>
      </c>
      <c r="Y134" s="60">
        <f t="shared" ca="1" si="23"/>
        <v>0</v>
      </c>
      <c r="Z134" s="60">
        <f t="shared" ca="1" si="24"/>
        <v>0.67465968692001399</v>
      </c>
      <c r="AA134" s="92">
        <f ca="1"/>
        <v>44635</v>
      </c>
      <c r="AB134" s="62">
        <f t="shared" ca="1" si="27"/>
        <v>44635</v>
      </c>
      <c r="AC134" s="62">
        <f t="shared" ca="1" si="28"/>
        <v>113.66511457407394</v>
      </c>
      <c r="AD134" s="62">
        <f t="shared" ca="1" si="29"/>
        <v>0</v>
      </c>
      <c r="AE134" s="62">
        <f t="shared" ca="1" si="30"/>
        <v>0</v>
      </c>
    </row>
    <row r="135" spans="18:31" x14ac:dyDescent="0.25">
      <c r="R135" s="92">
        <f ca="1"/>
        <v>44410</v>
      </c>
      <c r="S135" s="62">
        <f t="shared" ca="1" si="25"/>
        <v>44410</v>
      </c>
      <c r="T135" s="62">
        <f t="shared" ca="1" si="19"/>
        <v>23.985878531835723</v>
      </c>
      <c r="U135" s="62">
        <f t="shared" ca="1" si="20"/>
        <v>46.500187870301197</v>
      </c>
      <c r="V135" s="62">
        <f t="shared" ca="1" si="21"/>
        <v>0</v>
      </c>
      <c r="W135" s="60">
        <f t="shared" ca="1" si="22"/>
        <v>120</v>
      </c>
      <c r="X135" s="60">
        <f t="shared" ca="1" si="26"/>
        <v>267.75674016391878</v>
      </c>
      <c r="Y135" s="60">
        <f t="shared" ca="1" si="23"/>
        <v>0</v>
      </c>
      <c r="Z135" s="60">
        <f t="shared" ca="1" si="24"/>
        <v>0.68252767128041503</v>
      </c>
      <c r="AA135" s="92">
        <f ca="1"/>
        <v>44636</v>
      </c>
      <c r="AB135" s="62">
        <f t="shared" ca="1" si="27"/>
        <v>44636</v>
      </c>
      <c r="AC135" s="62">
        <f t="shared" ca="1" si="28"/>
        <v>114.08980928467112</v>
      </c>
      <c r="AD135" s="62">
        <f t="shared" ca="1" si="29"/>
        <v>0</v>
      </c>
      <c r="AE135" s="62">
        <f t="shared" ca="1" si="30"/>
        <v>0</v>
      </c>
    </row>
    <row r="136" spans="18:31" x14ac:dyDescent="0.25">
      <c r="R136" s="92">
        <f ca="1"/>
        <v>44411</v>
      </c>
      <c r="S136" s="62">
        <f t="shared" ca="1" si="25"/>
        <v>44411</v>
      </c>
      <c r="T136" s="62">
        <f t="shared" ca="1" si="19"/>
        <v>23.56014208031489</v>
      </c>
      <c r="U136" s="62">
        <f t="shared" ca="1" si="20"/>
        <v>47.268313645922802</v>
      </c>
      <c r="V136" s="62">
        <f t="shared" ca="1" si="21"/>
        <v>0</v>
      </c>
      <c r="W136" s="60">
        <f t="shared" ca="1" si="22"/>
        <v>120</v>
      </c>
      <c r="X136" s="60">
        <f t="shared" ca="1" si="26"/>
        <v>269.56067027163738</v>
      </c>
      <c r="Y136" s="60">
        <f t="shared" ca="1" si="23"/>
        <v>0</v>
      </c>
      <c r="Z136" s="60">
        <f t="shared" ca="1" si="24"/>
        <v>0.69015963886326603</v>
      </c>
      <c r="AA136" s="92">
        <f ca="1"/>
        <v>44637</v>
      </c>
      <c r="AB136" s="62">
        <f t="shared" ca="1" si="27"/>
        <v>44637</v>
      </c>
      <c r="AC136" s="62">
        <f t="shared" ca="1" si="28"/>
        <v>114.51488977727303</v>
      </c>
      <c r="AD136" s="62">
        <f t="shared" ca="1" si="29"/>
        <v>0</v>
      </c>
      <c r="AE136" s="62">
        <f t="shared" ca="1" si="30"/>
        <v>0</v>
      </c>
    </row>
    <row r="137" spans="18:31" x14ac:dyDescent="0.25">
      <c r="R137" s="92">
        <f ca="1"/>
        <v>44412</v>
      </c>
      <c r="S137" s="62">
        <f t="shared" ca="1" si="25"/>
        <v>44412</v>
      </c>
      <c r="T137" s="62">
        <f t="shared" ca="1" si="19"/>
        <v>37.529185289273599</v>
      </c>
      <c r="U137" s="62">
        <f t="shared" ca="1" si="20"/>
        <v>48.038707659285002</v>
      </c>
      <c r="V137" s="62">
        <f t="shared" ca="1" si="21"/>
        <v>18</v>
      </c>
      <c r="W137" s="60">
        <f t="shared" ca="1" si="22"/>
        <v>120</v>
      </c>
      <c r="X137" s="60">
        <f t="shared" ca="1" si="26"/>
        <v>273.181556774863</v>
      </c>
      <c r="Y137" s="60">
        <f t="shared" ca="1" si="23"/>
        <v>0</v>
      </c>
      <c r="Z137" s="60">
        <f t="shared" ca="1" si="24"/>
        <v>0.697542622649028</v>
      </c>
      <c r="AA137" s="92">
        <f ca="1"/>
        <v>44638</v>
      </c>
      <c r="AB137" s="62">
        <f t="shared" ca="1" si="27"/>
        <v>44638</v>
      </c>
      <c r="AC137" s="62">
        <f t="shared" ca="1" si="28"/>
        <v>114.93504244721588</v>
      </c>
      <c r="AD137" s="62">
        <f t="shared" ca="1" si="29"/>
        <v>0</v>
      </c>
      <c r="AE137" s="62">
        <f t="shared" ca="1" si="30"/>
        <v>0</v>
      </c>
    </row>
    <row r="138" spans="18:31" x14ac:dyDescent="0.25">
      <c r="R138" s="92">
        <f ca="1"/>
        <v>44413</v>
      </c>
      <c r="S138" s="62">
        <f t="shared" ca="1" si="25"/>
        <v>44413</v>
      </c>
      <c r="T138" s="62">
        <f t="shared" ca="1" si="19"/>
        <v>37.101091921672136</v>
      </c>
      <c r="U138" s="62">
        <f t="shared" ca="1" si="20"/>
        <v>48.796971080413897</v>
      </c>
      <c r="V138" s="62">
        <f t="shared" ca="1" si="21"/>
        <v>0</v>
      </c>
      <c r="W138" s="60">
        <f t="shared" ca="1" si="22"/>
        <v>120</v>
      </c>
      <c r="X138" s="60">
        <f t="shared" ca="1" si="26"/>
        <v>276.73647612677615</v>
      </c>
      <c r="Y138" s="60">
        <f t="shared" ca="1" si="23"/>
        <v>0</v>
      </c>
      <c r="Z138" s="60">
        <f t="shared" ca="1" si="24"/>
        <v>0.70455184180080699</v>
      </c>
      <c r="AA138" s="92">
        <f ca="1"/>
        <v>44639</v>
      </c>
      <c r="AB138" s="62">
        <f t="shared" ca="1" si="27"/>
        <v>44639</v>
      </c>
      <c r="AC138" s="62">
        <f t="shared" ca="1" si="28"/>
        <v>115.33728366485269</v>
      </c>
      <c r="AD138" s="62">
        <f t="shared" ca="1" si="29"/>
        <v>0</v>
      </c>
      <c r="AE138" s="62">
        <f t="shared" ca="1" si="30"/>
        <v>0</v>
      </c>
    </row>
    <row r="139" spans="18:31" x14ac:dyDescent="0.25">
      <c r="R139" s="92">
        <f ca="1"/>
        <v>44414</v>
      </c>
      <c r="S139" s="62">
        <f t="shared" ca="1" si="25"/>
        <v>44414</v>
      </c>
      <c r="T139" s="62">
        <f t="shared" ca="1" si="19"/>
        <v>36.667916510732582</v>
      </c>
      <c r="U139" s="62">
        <f t="shared" ca="1" si="20"/>
        <v>49.5579904095272</v>
      </c>
      <c r="V139" s="62">
        <f t="shared" ca="1" si="21"/>
        <v>0</v>
      </c>
      <c r="W139" s="60">
        <f t="shared" ca="1" si="22"/>
        <v>120</v>
      </c>
      <c r="X139" s="60">
        <f t="shared" ca="1" si="26"/>
        <v>279.43337537860668</v>
      </c>
      <c r="Y139" s="60">
        <f t="shared" ca="1" si="23"/>
        <v>0</v>
      </c>
      <c r="Z139" s="60">
        <f t="shared" ca="1" si="24"/>
        <v>0.71133762753368401</v>
      </c>
      <c r="AA139" s="92">
        <f ca="1"/>
        <v>44640</v>
      </c>
      <c r="AB139" s="62">
        <f t="shared" ca="1" si="27"/>
        <v>44640</v>
      </c>
      <c r="AC139" s="62">
        <f t="shared" ca="1" si="28"/>
        <v>115.74738769971034</v>
      </c>
      <c r="AD139" s="62">
        <f t="shared" ca="1" si="29"/>
        <v>0</v>
      </c>
      <c r="AE139" s="62">
        <f t="shared" ca="1" si="30"/>
        <v>0</v>
      </c>
    </row>
    <row r="140" spans="18:31" x14ac:dyDescent="0.25">
      <c r="R140" s="92">
        <f ca="1"/>
        <v>44415</v>
      </c>
      <c r="S140" s="62">
        <f t="shared" ca="1" si="25"/>
        <v>44415</v>
      </c>
      <c r="T140" s="62">
        <f t="shared" ca="1" si="19"/>
        <v>36.222585216099304</v>
      </c>
      <c r="U140" s="62">
        <f t="shared" ca="1" si="20"/>
        <v>50.334436415210703</v>
      </c>
      <c r="V140" s="62">
        <f t="shared" ca="1" si="21"/>
        <v>0</v>
      </c>
      <c r="W140" s="60">
        <f t="shared" ca="1" si="22"/>
        <v>120</v>
      </c>
      <c r="X140" s="60">
        <f t="shared" ca="1" si="26"/>
        <v>281.21426839063037</v>
      </c>
      <c r="Y140" s="60">
        <f t="shared" ca="1" si="23"/>
        <v>0</v>
      </c>
      <c r="Z140" s="60">
        <f t="shared" ca="1" si="24"/>
        <v>0.71801215606060997</v>
      </c>
      <c r="AA140" s="92">
        <f ca="1"/>
        <v>44641</v>
      </c>
      <c r="AB140" s="62">
        <f t="shared" ca="1" si="27"/>
        <v>44641</v>
      </c>
      <c r="AC140" s="62">
        <f t="shared" ca="1" si="28"/>
        <v>116.15935084164464</v>
      </c>
      <c r="AD140" s="62">
        <f t="shared" ca="1" si="29"/>
        <v>0</v>
      </c>
      <c r="AE140" s="62">
        <f t="shared" ca="1" si="30"/>
        <v>0</v>
      </c>
    </row>
    <row r="141" spans="18:31" x14ac:dyDescent="0.25">
      <c r="R141" s="92">
        <f ca="1"/>
        <v>44416</v>
      </c>
      <c r="S141" s="62">
        <f t="shared" ca="1" si="25"/>
        <v>44416</v>
      </c>
      <c r="T141" s="62">
        <f t="shared" ca="1" si="19"/>
        <v>35.769354295697127</v>
      </c>
      <c r="U141" s="62">
        <f t="shared" ca="1" si="20"/>
        <v>51.118690913929903</v>
      </c>
      <c r="V141" s="62">
        <f t="shared" ca="1" si="21"/>
        <v>0</v>
      </c>
      <c r="W141" s="60">
        <f t="shared" ca="1" si="22"/>
        <v>120</v>
      </c>
      <c r="X141" s="60">
        <f t="shared" ca="1" si="26"/>
        <v>281.83278034183206</v>
      </c>
      <c r="Y141" s="60">
        <f t="shared" ca="1" si="23"/>
        <v>0</v>
      </c>
      <c r="Z141" s="60">
        <f t="shared" ca="1" si="24"/>
        <v>0.72450709222874399</v>
      </c>
      <c r="AA141" s="92">
        <f ca="1"/>
        <v>44642</v>
      </c>
      <c r="AB141" s="62">
        <f t="shared" ca="1" si="27"/>
        <v>44642</v>
      </c>
      <c r="AC141" s="62">
        <f t="shared" ca="1" si="28"/>
        <v>116.57055981457657</v>
      </c>
      <c r="AD141" s="62">
        <f t="shared" ca="1" si="29"/>
        <v>0</v>
      </c>
      <c r="AE141" s="62">
        <f t="shared" ca="1" si="30"/>
        <v>0</v>
      </c>
    </row>
    <row r="142" spans="18:31" x14ac:dyDescent="0.25">
      <c r="R142" s="92">
        <f ca="1"/>
        <v>44417</v>
      </c>
      <c r="S142" s="62">
        <f t="shared" ca="1" si="25"/>
        <v>44417</v>
      </c>
      <c r="T142" s="62">
        <f t="shared" ca="1" si="19"/>
        <v>35.302790058817607</v>
      </c>
      <c r="U142" s="62">
        <f t="shared" ca="1" si="20"/>
        <v>51.920310925508304</v>
      </c>
      <c r="V142" s="62">
        <f t="shared" ca="1" si="21"/>
        <v>0</v>
      </c>
      <c r="W142" s="60">
        <f t="shared" ca="1" si="22"/>
        <v>120</v>
      </c>
      <c r="X142" s="60">
        <f t="shared" ca="1" si="26"/>
        <v>284.7706314477557</v>
      </c>
      <c r="Y142" s="60">
        <f t="shared" ca="1" si="23"/>
        <v>0</v>
      </c>
      <c r="Z142" s="60">
        <f t="shared" ca="1" si="24"/>
        <v>0.73089834956517097</v>
      </c>
      <c r="AA142" s="92">
        <f ca="1"/>
        <v>44643</v>
      </c>
      <c r="AB142" s="62">
        <f t="shared" ca="1" si="27"/>
        <v>44643</v>
      </c>
      <c r="AC142" s="62">
        <f t="shared" ca="1" si="28"/>
        <v>116.97485875319474</v>
      </c>
      <c r="AD142" s="62">
        <f t="shared" ca="1" si="29"/>
        <v>0</v>
      </c>
      <c r="AE142" s="62">
        <f t="shared" ca="1" si="30"/>
        <v>0</v>
      </c>
    </row>
    <row r="143" spans="18:31" x14ac:dyDescent="0.25">
      <c r="R143" s="92">
        <f ca="1"/>
        <v>44418</v>
      </c>
      <c r="S143" s="62">
        <f t="shared" ca="1" si="25"/>
        <v>44418</v>
      </c>
      <c r="T143" s="62">
        <f t="shared" ca="1" si="19"/>
        <v>34.837547763616485</v>
      </c>
      <c r="U143" s="62">
        <f t="shared" ca="1" si="20"/>
        <v>52.713677982587797</v>
      </c>
      <c r="V143" s="62">
        <f t="shared" ca="1" si="21"/>
        <v>0</v>
      </c>
      <c r="W143" s="60">
        <f t="shared" ca="1" si="22"/>
        <v>120</v>
      </c>
      <c r="X143" s="60">
        <f t="shared" ca="1" si="26"/>
        <v>287.51931769915865</v>
      </c>
      <c r="Y143" s="60">
        <f t="shared" ca="1" si="23"/>
        <v>0</v>
      </c>
      <c r="Z143" s="60">
        <f t="shared" ca="1" si="24"/>
        <v>0.73698608114563102</v>
      </c>
      <c r="AA143" s="92">
        <f ca="1"/>
        <v>44644</v>
      </c>
      <c r="AB143" s="62">
        <f t="shared" ca="1" si="27"/>
        <v>44644</v>
      </c>
      <c r="AC143" s="62">
        <f t="shared" ca="1" si="28"/>
        <v>117.37516567311854</v>
      </c>
      <c r="AD143" s="62">
        <f t="shared" ca="1" si="29"/>
        <v>0</v>
      </c>
      <c r="AE143" s="62">
        <f t="shared" ca="1" si="30"/>
        <v>0</v>
      </c>
    </row>
    <row r="144" spans="18:31" x14ac:dyDescent="0.25">
      <c r="R144" s="92">
        <f ca="1"/>
        <v>44419</v>
      </c>
      <c r="S144" s="62">
        <f t="shared" ca="1" si="25"/>
        <v>44419</v>
      </c>
      <c r="T144" s="62">
        <f t="shared" ca="1" si="19"/>
        <v>34.353317087743704</v>
      </c>
      <c r="U144" s="62">
        <f t="shared" ca="1" si="20"/>
        <v>53.5341907851261</v>
      </c>
      <c r="V144" s="62">
        <f t="shared" ca="1" si="21"/>
        <v>0</v>
      </c>
      <c r="W144" s="60">
        <f t="shared" ca="1" si="22"/>
        <v>120</v>
      </c>
      <c r="X144" s="60">
        <f t="shared" ca="1" si="26"/>
        <v>291.46153822687296</v>
      </c>
      <c r="Y144" s="60">
        <f t="shared" ca="1" si="23"/>
        <v>0</v>
      </c>
      <c r="Z144" s="60">
        <f t="shared" ca="1" si="24"/>
        <v>0.74304232505520795</v>
      </c>
      <c r="AA144" s="92">
        <f ca="1"/>
        <v>44645</v>
      </c>
      <c r="AB144" s="62">
        <f t="shared" ca="1" si="27"/>
        <v>44645</v>
      </c>
      <c r="AC144" s="62">
        <f t="shared" ca="1" si="28"/>
        <v>117.77448879900551</v>
      </c>
      <c r="AD144" s="62">
        <f t="shared" ca="1" si="29"/>
        <v>0</v>
      </c>
      <c r="AE144" s="62">
        <f t="shared" ca="1" si="30"/>
        <v>0</v>
      </c>
    </row>
    <row r="145" spans="18:31" x14ac:dyDescent="0.25">
      <c r="R145" s="92">
        <f ca="1"/>
        <v>44420</v>
      </c>
      <c r="S145" s="62">
        <f t="shared" ca="1" si="25"/>
        <v>44420</v>
      </c>
      <c r="T145" s="62">
        <f t="shared" ca="1" si="19"/>
        <v>33.873462459529065</v>
      </c>
      <c r="U145" s="62">
        <f t="shared" ca="1" si="20"/>
        <v>54.341487355772401</v>
      </c>
      <c r="V145" s="62">
        <f t="shared" ca="1" si="21"/>
        <v>0</v>
      </c>
      <c r="W145" s="60">
        <f t="shared" ca="1" si="22"/>
        <v>120</v>
      </c>
      <c r="X145" s="60">
        <f t="shared" ca="1" si="26"/>
        <v>293.61784860269171</v>
      </c>
      <c r="Y145" s="60">
        <f t="shared" ca="1" si="23"/>
        <v>0</v>
      </c>
      <c r="Z145" s="60">
        <f t="shared" ca="1" si="24"/>
        <v>0.74877180224750495</v>
      </c>
      <c r="AA145" s="92">
        <f ca="1"/>
        <v>44646</v>
      </c>
      <c r="AB145" s="62">
        <f t="shared" ca="1" si="27"/>
        <v>44646</v>
      </c>
      <c r="AC145" s="62">
        <f t="shared" ca="1" si="28"/>
        <v>118.18198863833923</v>
      </c>
      <c r="AD145" s="62">
        <f t="shared" ca="1" si="29"/>
        <v>0</v>
      </c>
      <c r="AE145" s="62">
        <f t="shared" ca="1" si="30"/>
        <v>0</v>
      </c>
    </row>
    <row r="146" spans="18:31" x14ac:dyDescent="0.25">
      <c r="R146" s="92">
        <f ca="1"/>
        <v>44421</v>
      </c>
      <c r="S146" s="62">
        <f t="shared" ca="1" si="25"/>
        <v>44421</v>
      </c>
      <c r="T146" s="62">
        <f t="shared" ref="T146:T209" ca="1" si="31">VLOOKUP(S146,ModelOutputs,2,FALSE)</f>
        <v>33.375519694163273</v>
      </c>
      <c r="U146" s="62">
        <f t="shared" ref="U146:U209" ca="1" si="32">VLOOKUP(S146,ModelOutputs,7,FALSE)</f>
        <v>55.174219671723499</v>
      </c>
      <c r="V146" s="62">
        <f t="shared" ref="V146:V209" ca="1" si="33">VLOOKUP(S146,ModelOutputs,6,FALSE)</f>
        <v>0</v>
      </c>
      <c r="W146" s="60">
        <f t="shared" ref="W146:W209" ca="1" si="34">VLOOKUP(S146,ModelOutputs,10,FALSE)*AWC</f>
        <v>120</v>
      </c>
      <c r="X146" s="60">
        <f t="shared" ca="1" si="26"/>
        <v>296.29162147925484</v>
      </c>
      <c r="Y146" s="60">
        <f t="shared" ref="Y146:Y209" ca="1" si="35">VLOOKUP(S146,ModelOutputs,12,FALSE)</f>
        <v>0</v>
      </c>
      <c r="Z146" s="60">
        <f t="shared" ref="Z146:Z209" ca="1" si="36">VLOOKUP(S146,ModelOutputs,13,FALSE)</f>
        <v>0.75445259166636403</v>
      </c>
      <c r="AA146" s="92">
        <f ca="1"/>
        <v>44647</v>
      </c>
      <c r="AB146" s="62">
        <f t="shared" ca="1" si="27"/>
        <v>44647</v>
      </c>
      <c r="AC146" s="62">
        <f t="shared" ca="1" si="28"/>
        <v>118.58854260660618</v>
      </c>
      <c r="AD146" s="62">
        <f t="shared" ca="1" si="29"/>
        <v>0</v>
      </c>
      <c r="AE146" s="62">
        <f t="shared" ca="1" si="30"/>
        <v>0</v>
      </c>
    </row>
    <row r="147" spans="18:31" x14ac:dyDescent="0.25">
      <c r="R147" s="92">
        <f ca="1"/>
        <v>44422</v>
      </c>
      <c r="S147" s="62">
        <f t="shared" ref="S147:S210" ca="1" si="37">IF(R147&gt;1,R147,"")</f>
        <v>44422</v>
      </c>
      <c r="T147" s="62">
        <f t="shared" ca="1" si="31"/>
        <v>32.876001720668512</v>
      </c>
      <c r="U147" s="62">
        <f t="shared" ca="1" si="32"/>
        <v>56.004196554520199</v>
      </c>
      <c r="V147" s="62">
        <f t="shared" ca="1" si="33"/>
        <v>0</v>
      </c>
      <c r="W147" s="60">
        <f t="shared" ca="1" si="34"/>
        <v>120</v>
      </c>
      <c r="X147" s="60">
        <f t="shared" ref="X147:X210" ca="1" si="38">VLOOKUP(S147,ModelOutputs,11,FALSE)+X146</f>
        <v>299.58069531965117</v>
      </c>
      <c r="Y147" s="60">
        <f t="shared" ca="1" si="35"/>
        <v>0</v>
      </c>
      <c r="Z147" s="60">
        <f t="shared" ca="1" si="36"/>
        <v>0.75989186497771499</v>
      </c>
      <c r="AA147" s="92">
        <f ca="1"/>
        <v>44648</v>
      </c>
      <c r="AB147" s="62">
        <f t="shared" ca="1" si="27"/>
        <v>44648</v>
      </c>
      <c r="AC147" s="62">
        <f t="shared" ca="1" si="28"/>
        <v>118.99571105283287</v>
      </c>
      <c r="AD147" s="62">
        <f t="shared" ca="1" si="29"/>
        <v>0</v>
      </c>
      <c r="AE147" s="62">
        <f t="shared" ca="1" si="30"/>
        <v>0</v>
      </c>
    </row>
    <row r="148" spans="18:31" x14ac:dyDescent="0.25">
      <c r="R148" s="92">
        <f ca="1"/>
        <v>44423</v>
      </c>
      <c r="S148" s="62">
        <f t="shared" ca="1" si="37"/>
        <v>44423</v>
      </c>
      <c r="T148" s="62">
        <f t="shared" ca="1" si="31"/>
        <v>32.394658493588551</v>
      </c>
      <c r="U148" s="62">
        <f t="shared" ca="1" si="32"/>
        <v>56.799054147261103</v>
      </c>
      <c r="V148" s="62">
        <f t="shared" ca="1" si="33"/>
        <v>0</v>
      </c>
      <c r="W148" s="60">
        <f t="shared" ca="1" si="34"/>
        <v>120</v>
      </c>
      <c r="X148" s="60">
        <f t="shared" ca="1" si="38"/>
        <v>302.9235963674617</v>
      </c>
      <c r="Y148" s="60">
        <f t="shared" ca="1" si="35"/>
        <v>0</v>
      </c>
      <c r="Z148" s="60">
        <f t="shared" ca="1" si="36"/>
        <v>0.76490059013335399</v>
      </c>
      <c r="AA148" s="92">
        <f ca="1"/>
        <v>44649</v>
      </c>
      <c r="AB148" s="62">
        <f t="shared" ca="1" si="27"/>
        <v>44649</v>
      </c>
      <c r="AC148" s="62">
        <f t="shared" ca="1" si="28"/>
        <v>119.41318778614007</v>
      </c>
      <c r="AD148" s="62">
        <f t="shared" ca="1" si="29"/>
        <v>0</v>
      </c>
      <c r="AE148" s="62">
        <f t="shared" ca="1" si="30"/>
        <v>0</v>
      </c>
    </row>
    <row r="149" spans="18:31" x14ac:dyDescent="0.25">
      <c r="R149" s="92">
        <f ca="1"/>
        <v>44424</v>
      </c>
      <c r="S149" s="62">
        <f t="shared" ca="1" si="37"/>
        <v>44424</v>
      </c>
      <c r="T149" s="62">
        <f t="shared" ca="1" si="31"/>
        <v>31.90502527377464</v>
      </c>
      <c r="U149" s="62">
        <f t="shared" ca="1" si="32"/>
        <v>57.603172874620803</v>
      </c>
      <c r="V149" s="62">
        <f t="shared" ca="1" si="33"/>
        <v>0</v>
      </c>
      <c r="W149" s="60">
        <f t="shared" ca="1" si="34"/>
        <v>120</v>
      </c>
      <c r="X149" s="60">
        <f t="shared" ca="1" si="38"/>
        <v>305.53998885143193</v>
      </c>
      <c r="Y149" s="60">
        <f t="shared" ca="1" si="35"/>
        <v>0</v>
      </c>
      <c r="Z149" s="60">
        <f t="shared" ca="1" si="36"/>
        <v>0.76977584920406406</v>
      </c>
      <c r="AA149" s="92">
        <f ca="1"/>
        <v>44650</v>
      </c>
      <c r="AB149" s="62">
        <f t="shared" ref="AB149:AB212" ca="1" si="39">IF(AA149&gt;1,AA149,"")</f>
        <v>44650</v>
      </c>
      <c r="AC149" s="62">
        <f t="shared" ref="AC149:AC212" ca="1" si="40">VLOOKUP(AB149,ModelOutputs,2,FALSE)</f>
        <v>119.81938621783704</v>
      </c>
      <c r="AD149" s="62">
        <f t="shared" ref="AD149:AD212" ca="1" si="41">VLOOKUP(AB149,ModelOutputs,7,FALSE)</f>
        <v>0</v>
      </c>
      <c r="AE149" s="62">
        <f t="shared" ref="AE149:AE212" ca="1" si="42">VLOOKUP(AB149,ModelOutputs,6,FALSE)</f>
        <v>0</v>
      </c>
    </row>
    <row r="150" spans="18:31" x14ac:dyDescent="0.25">
      <c r="R150" s="92">
        <f ca="1"/>
        <v>44425</v>
      </c>
      <c r="S150" s="62">
        <f t="shared" ca="1" si="37"/>
        <v>44425</v>
      </c>
      <c r="T150" s="62">
        <f t="shared" ca="1" si="31"/>
        <v>31.414570707854111</v>
      </c>
      <c r="U150" s="62">
        <f t="shared" ca="1" si="32"/>
        <v>58.4044429169724</v>
      </c>
      <c r="V150" s="62">
        <f t="shared" ca="1" si="33"/>
        <v>0</v>
      </c>
      <c r="W150" s="60">
        <f t="shared" ca="1" si="34"/>
        <v>120</v>
      </c>
      <c r="X150" s="60">
        <f t="shared" ca="1" si="38"/>
        <v>308.88220451721156</v>
      </c>
      <c r="Y150" s="60">
        <f t="shared" ca="1" si="35"/>
        <v>0</v>
      </c>
      <c r="Z150" s="60">
        <f t="shared" ca="1" si="36"/>
        <v>0.77444928017050296</v>
      </c>
      <c r="AA150" s="92">
        <f ca="1"/>
        <v>44651</v>
      </c>
      <c r="AB150" s="62">
        <f t="shared" ca="1" si="39"/>
        <v>44651</v>
      </c>
      <c r="AC150" s="62">
        <f t="shared" ca="1" si="40"/>
        <v>120.22336807295707</v>
      </c>
      <c r="AD150" s="62">
        <f t="shared" ca="1" si="41"/>
        <v>0</v>
      </c>
      <c r="AE150" s="62">
        <f t="shared" ca="1" si="42"/>
        <v>0</v>
      </c>
    </row>
    <row r="151" spans="18:31" x14ac:dyDescent="0.25">
      <c r="R151" s="92">
        <f ca="1"/>
        <v>44426</v>
      </c>
      <c r="S151" s="62">
        <f t="shared" ca="1" si="37"/>
        <v>44426</v>
      </c>
      <c r="T151" s="62">
        <f t="shared" ca="1" si="31"/>
        <v>30.917619087161285</v>
      </c>
      <c r="U151" s="62">
        <f t="shared" ca="1" si="32"/>
        <v>59.212210014093998</v>
      </c>
      <c r="V151" s="62">
        <f t="shared" ca="1" si="33"/>
        <v>0</v>
      </c>
      <c r="W151" s="60">
        <f t="shared" ca="1" si="34"/>
        <v>120</v>
      </c>
      <c r="X151" s="60">
        <f t="shared" ca="1" si="38"/>
        <v>310.93657771832289</v>
      </c>
      <c r="Y151" s="60">
        <f t="shared" ca="1" si="35"/>
        <v>0</v>
      </c>
      <c r="Z151" s="60">
        <f t="shared" ca="1" si="36"/>
        <v>0.77898136041029398</v>
      </c>
      <c r="AA151" s="92">
        <f ca="1"/>
        <v>44652</v>
      </c>
      <c r="AB151" s="62">
        <f t="shared" ca="1" si="39"/>
        <v>44652</v>
      </c>
      <c r="AC151" s="62">
        <f t="shared" ca="1" si="40"/>
        <v>120.61712053635961</v>
      </c>
      <c r="AD151" s="62">
        <f t="shared" ca="1" si="41"/>
        <v>0</v>
      </c>
      <c r="AE151" s="62">
        <f t="shared" ca="1" si="42"/>
        <v>0</v>
      </c>
    </row>
    <row r="152" spans="18:31" x14ac:dyDescent="0.25">
      <c r="R152" s="92">
        <f ca="1"/>
        <v>44427</v>
      </c>
      <c r="S152" s="62">
        <f t="shared" ca="1" si="37"/>
        <v>44427</v>
      </c>
      <c r="T152" s="62">
        <f t="shared" ca="1" si="31"/>
        <v>30.411466296944525</v>
      </c>
      <c r="U152" s="62">
        <f t="shared" ca="1" si="32"/>
        <v>60.030856977467401</v>
      </c>
      <c r="V152" s="62">
        <f t="shared" ca="1" si="33"/>
        <v>0</v>
      </c>
      <c r="W152" s="60">
        <f t="shared" ca="1" si="34"/>
        <v>120</v>
      </c>
      <c r="X152" s="60">
        <f t="shared" ca="1" si="38"/>
        <v>312.67631767918027</v>
      </c>
      <c r="Y152" s="60">
        <f t="shared" ca="1" si="35"/>
        <v>0</v>
      </c>
      <c r="Z152" s="60">
        <f t="shared" ca="1" si="36"/>
        <v>0.78339806571221904</v>
      </c>
      <c r="AA152" s="92">
        <f ca="1"/>
        <v>44653</v>
      </c>
      <c r="AB152" s="62">
        <f t="shared" ca="1" si="39"/>
        <v>44653</v>
      </c>
      <c r="AC152" s="62">
        <f t="shared" ca="1" si="40"/>
        <v>121.01475317369966</v>
      </c>
      <c r="AD152" s="62">
        <f t="shared" ca="1" si="41"/>
        <v>0</v>
      </c>
      <c r="AE152" s="62">
        <f t="shared" ca="1" si="42"/>
        <v>0</v>
      </c>
    </row>
    <row r="153" spans="18:31" x14ac:dyDescent="0.25">
      <c r="R153" s="92">
        <f ca="1"/>
        <v>44428</v>
      </c>
      <c r="S153" s="62">
        <f t="shared" ca="1" si="37"/>
        <v>44428</v>
      </c>
      <c r="T153" s="62">
        <f t="shared" ca="1" si="31"/>
        <v>93.884492732557291</v>
      </c>
      <c r="U153" s="62">
        <f t="shared" ca="1" si="32"/>
        <v>60.879063846378202</v>
      </c>
      <c r="V153" s="62">
        <f t="shared" ca="1" si="33"/>
        <v>80</v>
      </c>
      <c r="W153" s="60">
        <f t="shared" ca="1" si="34"/>
        <v>120</v>
      </c>
      <c r="X153" s="60">
        <f t="shared" ca="1" si="38"/>
        <v>315.70082733066982</v>
      </c>
      <c r="Y153" s="60">
        <f t="shared" ca="1" si="35"/>
        <v>0</v>
      </c>
      <c r="Z153" s="60">
        <f t="shared" ca="1" si="36"/>
        <v>0.787794442342025</v>
      </c>
      <c r="AA153" s="92">
        <f ca="1"/>
        <v>44654</v>
      </c>
      <c r="AB153" s="62">
        <f t="shared" ca="1" si="39"/>
        <v>44654</v>
      </c>
      <c r="AC153" s="62">
        <f t="shared" ca="1" si="40"/>
        <v>121.42074431461023</v>
      </c>
      <c r="AD153" s="62">
        <f t="shared" ca="1" si="41"/>
        <v>0</v>
      </c>
      <c r="AE153" s="62">
        <f t="shared" ca="1" si="42"/>
        <v>0</v>
      </c>
    </row>
    <row r="154" spans="18:31" x14ac:dyDescent="0.25">
      <c r="R154" s="92">
        <f ca="1"/>
        <v>44429</v>
      </c>
      <c r="S154" s="62">
        <f t="shared" ca="1" si="37"/>
        <v>44429</v>
      </c>
      <c r="T154" s="62">
        <f t="shared" ca="1" si="31"/>
        <v>93.33647945326004</v>
      </c>
      <c r="U154" s="62">
        <f t="shared" ca="1" si="32"/>
        <v>61.757150225120903</v>
      </c>
      <c r="V154" s="62">
        <f t="shared" ca="1" si="33"/>
        <v>0</v>
      </c>
      <c r="W154" s="60">
        <f t="shared" ca="1" si="34"/>
        <v>120</v>
      </c>
      <c r="X154" s="60">
        <f t="shared" ca="1" si="38"/>
        <v>317.89624079365092</v>
      </c>
      <c r="Y154" s="60">
        <f t="shared" ca="1" si="35"/>
        <v>0</v>
      </c>
      <c r="Z154" s="60">
        <f t="shared" ca="1" si="36"/>
        <v>0.79216090133842698</v>
      </c>
      <c r="AA154" s="92">
        <f ca="1"/>
        <v>44655</v>
      </c>
      <c r="AB154" s="62">
        <f t="shared" ca="1" si="39"/>
        <v>44655</v>
      </c>
      <c r="AC154" s="62">
        <f t="shared" ca="1" si="40"/>
        <v>121.81081471251159</v>
      </c>
      <c r="AD154" s="62">
        <f t="shared" ca="1" si="41"/>
        <v>0</v>
      </c>
      <c r="AE154" s="62">
        <f t="shared" ca="1" si="42"/>
        <v>0</v>
      </c>
    </row>
    <row r="155" spans="18:31" x14ac:dyDescent="0.25">
      <c r="R155" s="92">
        <f ca="1"/>
        <v>44430</v>
      </c>
      <c r="S155" s="62">
        <f t="shared" ca="1" si="37"/>
        <v>44430</v>
      </c>
      <c r="T155" s="62">
        <f t="shared" ca="1" si="31"/>
        <v>92.775201938304605</v>
      </c>
      <c r="U155" s="62">
        <f t="shared" ca="1" si="32"/>
        <v>62.652419419878697</v>
      </c>
      <c r="V155" s="62">
        <f t="shared" ca="1" si="33"/>
        <v>0</v>
      </c>
      <c r="W155" s="60">
        <f t="shared" ca="1" si="34"/>
        <v>120</v>
      </c>
      <c r="X155" s="60">
        <f t="shared" ca="1" si="38"/>
        <v>319.93782979934969</v>
      </c>
      <c r="Y155" s="60">
        <f t="shared" ca="1" si="35"/>
        <v>0</v>
      </c>
      <c r="Z155" s="60">
        <f t="shared" ca="1" si="36"/>
        <v>0.79642755673857002</v>
      </c>
      <c r="AA155" s="92">
        <f ca="1"/>
        <v>44656</v>
      </c>
      <c r="AB155" s="62">
        <f t="shared" ca="1" si="39"/>
        <v>44656</v>
      </c>
      <c r="AC155" s="62">
        <f t="shared" ca="1" si="40"/>
        <v>122.19874771897796</v>
      </c>
      <c r="AD155" s="62">
        <f t="shared" ca="1" si="41"/>
        <v>0</v>
      </c>
      <c r="AE155" s="62">
        <f t="shared" ca="1" si="42"/>
        <v>0</v>
      </c>
    </row>
    <row r="156" spans="18:31" x14ac:dyDescent="0.25">
      <c r="R156" s="92">
        <f ca="1"/>
        <v>44431</v>
      </c>
      <c r="S156" s="62">
        <f t="shared" ca="1" si="37"/>
        <v>44431</v>
      </c>
      <c r="T156" s="62">
        <f t="shared" ca="1" si="31"/>
        <v>92.194048177122767</v>
      </c>
      <c r="U156" s="62">
        <f t="shared" ca="1" si="32"/>
        <v>63.575597727538799</v>
      </c>
      <c r="V156" s="62">
        <f t="shared" ca="1" si="33"/>
        <v>0</v>
      </c>
      <c r="W156" s="60">
        <f t="shared" ca="1" si="34"/>
        <v>120</v>
      </c>
      <c r="X156" s="60">
        <f t="shared" ca="1" si="38"/>
        <v>321.17855810560212</v>
      </c>
      <c r="Y156" s="60">
        <f t="shared" ca="1" si="35"/>
        <v>0</v>
      </c>
      <c r="Z156" s="60">
        <f t="shared" ca="1" si="36"/>
        <v>0.80063999238342798</v>
      </c>
      <c r="AA156" s="92">
        <f ca="1"/>
        <v>44657</v>
      </c>
      <c r="AB156" s="62">
        <f t="shared" ca="1" si="39"/>
        <v>44657</v>
      </c>
      <c r="AC156" s="62">
        <f t="shared" ca="1" si="40"/>
        <v>122.59167049390361</v>
      </c>
      <c r="AD156" s="62">
        <f t="shared" ca="1" si="41"/>
        <v>0</v>
      </c>
      <c r="AE156" s="62">
        <f t="shared" ca="1" si="42"/>
        <v>0</v>
      </c>
    </row>
    <row r="157" spans="18:31" x14ac:dyDescent="0.25">
      <c r="R157" s="92">
        <f ca="1"/>
        <v>44432</v>
      </c>
      <c r="S157" s="62">
        <f t="shared" ca="1" si="37"/>
        <v>44432</v>
      </c>
      <c r="T157" s="62">
        <f t="shared" ca="1" si="31"/>
        <v>91.605094357765893</v>
      </c>
      <c r="U157" s="62">
        <f t="shared" ca="1" si="32"/>
        <v>64.506953903162596</v>
      </c>
      <c r="V157" s="62">
        <f t="shared" ca="1" si="33"/>
        <v>0</v>
      </c>
      <c r="W157" s="60">
        <f t="shared" ca="1" si="34"/>
        <v>120</v>
      </c>
      <c r="X157" s="60">
        <f t="shared" ca="1" si="38"/>
        <v>322.44921743631573</v>
      </c>
      <c r="Y157" s="60">
        <f t="shared" ca="1" si="35"/>
        <v>0</v>
      </c>
      <c r="Z157" s="60">
        <f t="shared" ca="1" si="36"/>
        <v>0.80470580251883805</v>
      </c>
      <c r="AA157" s="92">
        <f ca="1"/>
        <v>44658</v>
      </c>
      <c r="AB157" s="62">
        <f t="shared" ca="1" si="39"/>
        <v>44658</v>
      </c>
      <c r="AC157" s="62">
        <f t="shared" ca="1" si="40"/>
        <v>122.98467644621509</v>
      </c>
      <c r="AD157" s="62">
        <f t="shared" ca="1" si="41"/>
        <v>0</v>
      </c>
      <c r="AE157" s="62">
        <f t="shared" ca="1" si="42"/>
        <v>0</v>
      </c>
    </row>
    <row r="158" spans="18:31" x14ac:dyDescent="0.25">
      <c r="R158" s="92">
        <f ca="1"/>
        <v>44433</v>
      </c>
      <c r="S158" s="62">
        <f t="shared" ca="1" si="37"/>
        <v>44433</v>
      </c>
      <c r="T158" s="62">
        <f t="shared" ca="1" si="31"/>
        <v>90.998850418609692</v>
      </c>
      <c r="U158" s="62">
        <f t="shared" ca="1" si="32"/>
        <v>65.461953950694806</v>
      </c>
      <c r="V158" s="62">
        <f t="shared" ca="1" si="33"/>
        <v>0</v>
      </c>
      <c r="W158" s="60">
        <f t="shared" ca="1" si="34"/>
        <v>120</v>
      </c>
      <c r="X158" s="60">
        <f t="shared" ca="1" si="38"/>
        <v>327.74627051484833</v>
      </c>
      <c r="Y158" s="60">
        <f t="shared" ca="1" si="35"/>
        <v>0</v>
      </c>
      <c r="Z158" s="60">
        <f t="shared" ca="1" si="36"/>
        <v>0.80869184133698502</v>
      </c>
      <c r="AA158" s="92">
        <f ca="1"/>
        <v>44659</v>
      </c>
      <c r="AB158" s="62">
        <f t="shared" ca="1" si="39"/>
        <v>44659</v>
      </c>
      <c r="AC158" s="62">
        <f t="shared" ca="1" si="40"/>
        <v>123.37505713852646</v>
      </c>
      <c r="AD158" s="62">
        <f t="shared" ca="1" si="41"/>
        <v>0</v>
      </c>
      <c r="AE158" s="62">
        <f t="shared" ca="1" si="42"/>
        <v>0</v>
      </c>
    </row>
    <row r="159" spans="18:31" x14ac:dyDescent="0.25">
      <c r="R159" s="92">
        <f ca="1"/>
        <v>44434</v>
      </c>
      <c r="S159" s="62">
        <f t="shared" ca="1" si="37"/>
        <v>44434</v>
      </c>
      <c r="T159" s="62">
        <f t="shared" ca="1" si="31"/>
        <v>90.393099585874893</v>
      </c>
      <c r="U159" s="62">
        <f t="shared" ca="1" si="32"/>
        <v>66.411729301088997</v>
      </c>
      <c r="V159" s="62">
        <f t="shared" ca="1" si="33"/>
        <v>0</v>
      </c>
      <c r="W159" s="60">
        <f t="shared" ca="1" si="34"/>
        <v>120</v>
      </c>
      <c r="X159" s="60">
        <f t="shared" ca="1" si="38"/>
        <v>330.28173875660036</v>
      </c>
      <c r="Y159" s="60">
        <f t="shared" ca="1" si="35"/>
        <v>0</v>
      </c>
      <c r="Z159" s="60">
        <f t="shared" ca="1" si="36"/>
        <v>0.81248088411101005</v>
      </c>
      <c r="AA159" s="92">
        <f ca="1"/>
        <v>44660</v>
      </c>
      <c r="AB159" s="62">
        <f t="shared" ca="1" si="39"/>
        <v>44660</v>
      </c>
      <c r="AC159" s="62">
        <f t="shared" ca="1" si="40"/>
        <v>123.76857374179072</v>
      </c>
      <c r="AD159" s="62">
        <f t="shared" ca="1" si="41"/>
        <v>0</v>
      </c>
      <c r="AE159" s="62">
        <f t="shared" ca="1" si="42"/>
        <v>0</v>
      </c>
    </row>
    <row r="160" spans="18:31" x14ac:dyDescent="0.25">
      <c r="R160" s="92">
        <f ca="1"/>
        <v>44435</v>
      </c>
      <c r="S160" s="62">
        <f t="shared" ca="1" si="37"/>
        <v>44435</v>
      </c>
      <c r="T160" s="62">
        <f t="shared" ca="1" si="31"/>
        <v>89.781834049404921</v>
      </c>
      <c r="U160" s="62">
        <f t="shared" ca="1" si="32"/>
        <v>67.366207671054298</v>
      </c>
      <c r="V160" s="62">
        <f t="shared" ca="1" si="33"/>
        <v>0</v>
      </c>
      <c r="W160" s="60">
        <f t="shared" ca="1" si="34"/>
        <v>120</v>
      </c>
      <c r="X160" s="60">
        <f t="shared" ca="1" si="38"/>
        <v>331.16788370186214</v>
      </c>
      <c r="Y160" s="60">
        <f t="shared" ca="1" si="35"/>
        <v>0</v>
      </c>
      <c r="Z160" s="60">
        <f t="shared" ca="1" si="36"/>
        <v>0.81612096566181502</v>
      </c>
      <c r="AA160" s="92">
        <f ca="1"/>
        <v>44661</v>
      </c>
      <c r="AB160" s="62">
        <f t="shared" ca="1" si="39"/>
        <v>44661</v>
      </c>
      <c r="AC160" s="62">
        <f t="shared" ca="1" si="40"/>
        <v>124.16317513913798</v>
      </c>
      <c r="AD160" s="62">
        <f t="shared" ca="1" si="41"/>
        <v>0</v>
      </c>
      <c r="AE160" s="62">
        <f t="shared" ca="1" si="42"/>
        <v>0</v>
      </c>
    </row>
    <row r="161" spans="18:31" x14ac:dyDescent="0.25">
      <c r="R161" s="92">
        <f ca="1"/>
        <v>44436</v>
      </c>
      <c r="S161" s="62">
        <f t="shared" ca="1" si="37"/>
        <v>44436</v>
      </c>
      <c r="T161" s="62">
        <f t="shared" ca="1" si="31"/>
        <v>89.182524056269529</v>
      </c>
      <c r="U161" s="62">
        <f t="shared" ca="1" si="32"/>
        <v>68.2977820064159</v>
      </c>
      <c r="V161" s="62">
        <f t="shared" ca="1" si="33"/>
        <v>0</v>
      </c>
      <c r="W161" s="60">
        <f t="shared" ca="1" si="34"/>
        <v>120</v>
      </c>
      <c r="X161" s="60">
        <f t="shared" ca="1" si="38"/>
        <v>331.45600913803713</v>
      </c>
      <c r="Y161" s="60">
        <f t="shared" ca="1" si="35"/>
        <v>0</v>
      </c>
      <c r="Z161" s="60">
        <f t="shared" ca="1" si="36"/>
        <v>0.81951913656215702</v>
      </c>
      <c r="AA161" s="92">
        <f ca="1"/>
        <v>44662</v>
      </c>
      <c r="AB161" s="62">
        <f t="shared" ca="1" si="39"/>
        <v>44662</v>
      </c>
      <c r="AC161" s="62">
        <f t="shared" ca="1" si="40"/>
        <v>124.55258102833315</v>
      </c>
      <c r="AD161" s="62">
        <f t="shared" ca="1" si="41"/>
        <v>0</v>
      </c>
      <c r="AE161" s="62">
        <f t="shared" ca="1" si="42"/>
        <v>0</v>
      </c>
    </row>
    <row r="162" spans="18:31" x14ac:dyDescent="0.25">
      <c r="R162" s="92">
        <f ca="1"/>
        <v>44437</v>
      </c>
      <c r="S162" s="62">
        <f t="shared" ca="1" si="37"/>
        <v>44437</v>
      </c>
      <c r="T162" s="62">
        <f t="shared" ca="1" si="31"/>
        <v>88.578131975823482</v>
      </c>
      <c r="U162" s="62">
        <f t="shared" ca="1" si="32"/>
        <v>69.233835927219204</v>
      </c>
      <c r="V162" s="62">
        <f t="shared" ca="1" si="33"/>
        <v>0</v>
      </c>
      <c r="W162" s="60">
        <f t="shared" ca="1" si="34"/>
        <v>120</v>
      </c>
      <c r="X162" s="60">
        <f t="shared" ca="1" si="38"/>
        <v>331.68057883387502</v>
      </c>
      <c r="Y162" s="60">
        <f t="shared" ca="1" si="35"/>
        <v>0</v>
      </c>
      <c r="Z162" s="60">
        <f t="shared" ca="1" si="36"/>
        <v>0.82278700630614798</v>
      </c>
      <c r="AA162" s="92">
        <f ca="1"/>
        <v>44663</v>
      </c>
      <c r="AB162" s="62">
        <f t="shared" ca="1" si="39"/>
        <v>44663</v>
      </c>
      <c r="AC162" s="62">
        <f t="shared" ca="1" si="40"/>
        <v>124.95293727341202</v>
      </c>
      <c r="AD162" s="62">
        <f t="shared" ca="1" si="41"/>
        <v>0</v>
      </c>
      <c r="AE162" s="62">
        <f t="shared" ca="1" si="42"/>
        <v>0</v>
      </c>
    </row>
    <row r="163" spans="18:31" x14ac:dyDescent="0.25">
      <c r="R163" s="92">
        <f ca="1"/>
        <v>44438</v>
      </c>
      <c r="S163" s="62">
        <f t="shared" ca="1" si="37"/>
        <v>44438</v>
      </c>
      <c r="T163" s="62">
        <f t="shared" ca="1" si="31"/>
        <v>87.960045440384562</v>
      </c>
      <c r="U163" s="62">
        <f t="shared" ca="1" si="32"/>
        <v>70.187981907639696</v>
      </c>
      <c r="V163" s="62">
        <f t="shared" ca="1" si="33"/>
        <v>0</v>
      </c>
      <c r="W163" s="60">
        <f t="shared" ca="1" si="34"/>
        <v>120</v>
      </c>
      <c r="X163" s="60">
        <f t="shared" ca="1" si="38"/>
        <v>332.84289509570675</v>
      </c>
      <c r="Y163" s="60">
        <f t="shared" ca="1" si="35"/>
        <v>0</v>
      </c>
      <c r="Z163" s="60">
        <f t="shared" ca="1" si="36"/>
        <v>0.82597377759058299</v>
      </c>
      <c r="AA163" s="92">
        <f ca="1"/>
        <v>44664</v>
      </c>
      <c r="AB163" s="62">
        <f t="shared" ca="1" si="39"/>
        <v>44664</v>
      </c>
      <c r="AC163" s="62">
        <f t="shared" ca="1" si="40"/>
        <v>125.36370487106666</v>
      </c>
      <c r="AD163" s="62">
        <f t="shared" ca="1" si="41"/>
        <v>0</v>
      </c>
      <c r="AE163" s="62">
        <f t="shared" ca="1" si="42"/>
        <v>0</v>
      </c>
    </row>
    <row r="164" spans="18:31" x14ac:dyDescent="0.25">
      <c r="R164" s="92">
        <f ca="1"/>
        <v>44439</v>
      </c>
      <c r="S164" s="62">
        <f t="shared" ca="1" si="37"/>
        <v>44439</v>
      </c>
      <c r="T164" s="62">
        <f t="shared" ca="1" si="31"/>
        <v>87.332489884884851</v>
      </c>
      <c r="U164" s="62">
        <f t="shared" ca="1" si="32"/>
        <v>71.153587773387002</v>
      </c>
      <c r="V164" s="62">
        <f t="shared" ca="1" si="33"/>
        <v>0</v>
      </c>
      <c r="W164" s="60">
        <f t="shared" ca="1" si="34"/>
        <v>120</v>
      </c>
      <c r="X164" s="60">
        <f t="shared" ca="1" si="38"/>
        <v>335.5792910616359</v>
      </c>
      <c r="Y164" s="60">
        <f t="shared" ca="1" si="35"/>
        <v>0</v>
      </c>
      <c r="Z164" s="60">
        <f t="shared" ca="1" si="36"/>
        <v>0.82905750485591301</v>
      </c>
      <c r="AA164" s="92">
        <f ca="1"/>
        <v>44665</v>
      </c>
      <c r="AB164" s="62">
        <f t="shared" ca="1" si="39"/>
        <v>44665</v>
      </c>
      <c r="AC164" s="62">
        <f t="shared" ca="1" si="40"/>
        <v>125.77131164946736</v>
      </c>
      <c r="AD164" s="62">
        <f t="shared" ca="1" si="41"/>
        <v>0</v>
      </c>
      <c r="AE164" s="62">
        <f t="shared" ca="1" si="42"/>
        <v>0</v>
      </c>
    </row>
    <row r="165" spans="18:31" x14ac:dyDescent="0.25">
      <c r="R165" s="92">
        <f ca="1"/>
        <v>44440</v>
      </c>
      <c r="S165" s="62">
        <f t="shared" ca="1" si="37"/>
        <v>44440</v>
      </c>
      <c r="T165" s="62">
        <f t="shared" ca="1" si="31"/>
        <v>86.707606286031279</v>
      </c>
      <c r="U165" s="62">
        <f t="shared" ca="1" si="32"/>
        <v>72.111719457061</v>
      </c>
      <c r="V165" s="62">
        <f t="shared" ca="1" si="33"/>
        <v>0</v>
      </c>
      <c r="W165" s="60">
        <f t="shared" ca="1" si="34"/>
        <v>120</v>
      </c>
      <c r="X165" s="60">
        <f t="shared" ca="1" si="38"/>
        <v>336.51458842202231</v>
      </c>
      <c r="Y165" s="60">
        <f t="shared" ca="1" si="35"/>
        <v>0</v>
      </c>
      <c r="Z165" s="60">
        <f t="shared" ca="1" si="36"/>
        <v>0.83198347880750001</v>
      </c>
      <c r="AA165" s="92">
        <f ca="1"/>
        <v>44666</v>
      </c>
      <c r="AB165" s="62">
        <f t="shared" ca="1" si="39"/>
        <v>44666</v>
      </c>
      <c r="AC165" s="62">
        <f t="shared" ca="1" si="40"/>
        <v>126.17697399987735</v>
      </c>
      <c r="AD165" s="62">
        <f t="shared" ca="1" si="41"/>
        <v>0</v>
      </c>
      <c r="AE165" s="62">
        <f t="shared" ca="1" si="42"/>
        <v>0</v>
      </c>
    </row>
    <row r="166" spans="18:31" x14ac:dyDescent="0.25">
      <c r="R166" s="92">
        <f ca="1"/>
        <v>44441</v>
      </c>
      <c r="S166" s="62">
        <f t="shared" ca="1" si="37"/>
        <v>44441</v>
      </c>
      <c r="T166" s="62">
        <f t="shared" ca="1" si="31"/>
        <v>86.073782126976766</v>
      </c>
      <c r="U166" s="62">
        <f t="shared" ca="1" si="32"/>
        <v>73.080665508476002</v>
      </c>
      <c r="V166" s="62">
        <f t="shared" ca="1" si="33"/>
        <v>0</v>
      </c>
      <c r="W166" s="60">
        <f t="shared" ca="1" si="34"/>
        <v>120</v>
      </c>
      <c r="X166" s="60">
        <f t="shared" ca="1" si="38"/>
        <v>337.26979633698426</v>
      </c>
      <c r="Y166" s="60">
        <f t="shared" ca="1" si="35"/>
        <v>0</v>
      </c>
      <c r="Z166" s="60">
        <f t="shared" ca="1" si="36"/>
        <v>0.83481326979768</v>
      </c>
      <c r="AA166" s="92">
        <f ca="1"/>
        <v>44667</v>
      </c>
      <c r="AB166" s="62">
        <f t="shared" ca="1" si="39"/>
        <v>44667</v>
      </c>
      <c r="AC166" s="62">
        <f t="shared" ca="1" si="40"/>
        <v>126.60806466231024</v>
      </c>
      <c r="AD166" s="62">
        <f t="shared" ca="1" si="41"/>
        <v>0</v>
      </c>
      <c r="AE166" s="62">
        <f t="shared" ca="1" si="42"/>
        <v>0</v>
      </c>
    </row>
    <row r="167" spans="18:31" x14ac:dyDescent="0.25">
      <c r="R167" s="92">
        <f ca="1"/>
        <v>44442</v>
      </c>
      <c r="S167" s="62">
        <f t="shared" ca="1" si="37"/>
        <v>44442</v>
      </c>
      <c r="T167" s="62">
        <f t="shared" ca="1" si="31"/>
        <v>85.401419067403253</v>
      </c>
      <c r="U167" s="62">
        <f t="shared" ca="1" si="32"/>
        <v>74.106874286013095</v>
      </c>
      <c r="V167" s="62">
        <f t="shared" ca="1" si="33"/>
        <v>0</v>
      </c>
      <c r="W167" s="60">
        <f t="shared" ca="1" si="34"/>
        <v>120</v>
      </c>
      <c r="X167" s="60">
        <f t="shared" ca="1" si="38"/>
        <v>337.37283421435922</v>
      </c>
      <c r="Y167" s="60">
        <f t="shared" ca="1" si="35"/>
        <v>0</v>
      </c>
      <c r="Z167" s="60">
        <f t="shared" ca="1" si="36"/>
        <v>0.83767544588314002</v>
      </c>
      <c r="AA167" s="92">
        <f ca="1"/>
        <v>44668</v>
      </c>
      <c r="AB167" s="62">
        <f t="shared" ca="1" si="39"/>
        <v>44668</v>
      </c>
      <c r="AC167" s="62">
        <f t="shared" ca="1" si="40"/>
        <v>127.0348679110582</v>
      </c>
      <c r="AD167" s="62">
        <f t="shared" ca="1" si="41"/>
        <v>0</v>
      </c>
      <c r="AE167" s="62">
        <f t="shared" ca="1" si="42"/>
        <v>0</v>
      </c>
    </row>
    <row r="168" spans="18:31" x14ac:dyDescent="0.25">
      <c r="R168" s="92">
        <f ca="1"/>
        <v>44443</v>
      </c>
      <c r="S168" s="62">
        <f t="shared" ca="1" si="37"/>
        <v>44443</v>
      </c>
      <c r="T168" s="62">
        <f t="shared" ca="1" si="31"/>
        <v>84.717079927776368</v>
      </c>
      <c r="U168" s="62">
        <f t="shared" ca="1" si="32"/>
        <v>75.148605458817102</v>
      </c>
      <c r="V168" s="62">
        <f t="shared" ca="1" si="33"/>
        <v>0</v>
      </c>
      <c r="W168" s="60">
        <f t="shared" ca="1" si="34"/>
        <v>120</v>
      </c>
      <c r="X168" s="60">
        <f t="shared" ca="1" si="38"/>
        <v>339.05956580121119</v>
      </c>
      <c r="Y168" s="60">
        <f t="shared" ca="1" si="35"/>
        <v>0</v>
      </c>
      <c r="Z168" s="60">
        <f t="shared" ca="1" si="36"/>
        <v>0.84044604113575205</v>
      </c>
      <c r="AA168" s="92">
        <f ca="1"/>
        <v>44669</v>
      </c>
      <c r="AB168" s="62">
        <f t="shared" ca="1" si="39"/>
        <v>44669</v>
      </c>
      <c r="AC168" s="62">
        <f t="shared" ca="1" si="40"/>
        <v>127.46692260604564</v>
      </c>
      <c r="AD168" s="62">
        <f t="shared" ca="1" si="41"/>
        <v>0</v>
      </c>
      <c r="AE168" s="62">
        <f t="shared" ca="1" si="42"/>
        <v>0</v>
      </c>
    </row>
    <row r="169" spans="18:31" x14ac:dyDescent="0.25">
      <c r="R169" s="92">
        <f ca="1"/>
        <v>44444</v>
      </c>
      <c r="S169" s="62">
        <f t="shared" ca="1" si="37"/>
        <v>44444</v>
      </c>
      <c r="T169" s="62">
        <f t="shared" ca="1" si="31"/>
        <v>84.016082416674664</v>
      </c>
      <c r="U169" s="62">
        <f t="shared" ca="1" si="32"/>
        <v>76.213341500468502</v>
      </c>
      <c r="V169" s="62">
        <f t="shared" ca="1" si="33"/>
        <v>0</v>
      </c>
      <c r="W169" s="60">
        <f t="shared" ca="1" si="34"/>
        <v>120</v>
      </c>
      <c r="X169" s="60">
        <f t="shared" ca="1" si="38"/>
        <v>342.72265343654033</v>
      </c>
      <c r="Y169" s="60">
        <f t="shared" ca="1" si="35"/>
        <v>0</v>
      </c>
      <c r="Z169" s="60">
        <f t="shared" ca="1" si="36"/>
        <v>0.84314453023601899</v>
      </c>
      <c r="AA169" s="92">
        <f ca="1"/>
        <v>44670</v>
      </c>
      <c r="AB169" s="62">
        <f t="shared" ca="1" si="39"/>
        <v>44670</v>
      </c>
      <c r="AC169" s="62">
        <f t="shared" ca="1" si="40"/>
        <v>127.89321719706508</v>
      </c>
      <c r="AD169" s="62">
        <f t="shared" ca="1" si="41"/>
        <v>0</v>
      </c>
      <c r="AE169" s="62">
        <f t="shared" ca="1" si="42"/>
        <v>0</v>
      </c>
    </row>
    <row r="170" spans="18:31" x14ac:dyDescent="0.25">
      <c r="R170" s="92">
        <f ca="1"/>
        <v>44445</v>
      </c>
      <c r="S170" s="62">
        <f t="shared" ca="1" si="37"/>
        <v>44445</v>
      </c>
      <c r="T170" s="62">
        <f t="shared" ca="1" si="31"/>
        <v>83.312362480267495</v>
      </c>
      <c r="U170" s="62">
        <f t="shared" ca="1" si="32"/>
        <v>77.279062164983202</v>
      </c>
      <c r="V170" s="62">
        <f t="shared" ca="1" si="33"/>
        <v>0</v>
      </c>
      <c r="W170" s="60">
        <f t="shared" ca="1" si="34"/>
        <v>120</v>
      </c>
      <c r="X170" s="60">
        <f t="shared" ca="1" si="38"/>
        <v>344.43015014304427</v>
      </c>
      <c r="Y170" s="60">
        <f t="shared" ca="1" si="35"/>
        <v>0</v>
      </c>
      <c r="Z170" s="60">
        <f t="shared" ca="1" si="36"/>
        <v>0.84571749646368199</v>
      </c>
      <c r="AA170" s="92">
        <f ca="1"/>
        <v>44671</v>
      </c>
      <c r="AB170" s="62">
        <f t="shared" ca="1" si="39"/>
        <v>44671</v>
      </c>
      <c r="AC170" s="62">
        <f t="shared" ca="1" si="40"/>
        <v>128.32605264512188</v>
      </c>
      <c r="AD170" s="62">
        <f t="shared" ca="1" si="41"/>
        <v>0</v>
      </c>
      <c r="AE170" s="62">
        <f t="shared" ca="1" si="42"/>
        <v>0</v>
      </c>
    </row>
    <row r="171" spans="18:31" x14ac:dyDescent="0.25">
      <c r="R171" s="92">
        <f ca="1"/>
        <v>44446</v>
      </c>
      <c r="S171" s="62">
        <f t="shared" ca="1" si="37"/>
        <v>44446</v>
      </c>
      <c r="T171" s="62">
        <f t="shared" ca="1" si="31"/>
        <v>82.620394562136624</v>
      </c>
      <c r="U171" s="62">
        <f t="shared" ca="1" si="32"/>
        <v>78.323281506894105</v>
      </c>
      <c r="V171" s="62">
        <f t="shared" ca="1" si="33"/>
        <v>0</v>
      </c>
      <c r="W171" s="60">
        <f t="shared" ca="1" si="34"/>
        <v>120</v>
      </c>
      <c r="X171" s="60">
        <f t="shared" ca="1" si="38"/>
        <v>344.9690636647224</v>
      </c>
      <c r="Y171" s="60">
        <f t="shared" ca="1" si="35"/>
        <v>0</v>
      </c>
      <c r="Z171" s="60">
        <f t="shared" ca="1" si="36"/>
        <v>0.84812067435638805</v>
      </c>
      <c r="AA171" s="92">
        <f ca="1"/>
        <v>44672</v>
      </c>
      <c r="AB171" s="62">
        <f t="shared" ca="1" si="39"/>
        <v>44672</v>
      </c>
      <c r="AC171" s="62">
        <f t="shared" ca="1" si="40"/>
        <v>128.763137702297</v>
      </c>
      <c r="AD171" s="62">
        <f t="shared" ca="1" si="41"/>
        <v>0</v>
      </c>
      <c r="AE171" s="62">
        <f t="shared" ca="1" si="42"/>
        <v>0</v>
      </c>
    </row>
    <row r="172" spans="18:31" x14ac:dyDescent="0.25">
      <c r="R172" s="92">
        <f ca="1"/>
        <v>44447</v>
      </c>
      <c r="S172" s="62">
        <f t="shared" ca="1" si="37"/>
        <v>44447</v>
      </c>
      <c r="T172" s="62">
        <f t="shared" ca="1" si="31"/>
        <v>81.897263129682244</v>
      </c>
      <c r="U172" s="62">
        <f t="shared" ca="1" si="32"/>
        <v>79.413525997816294</v>
      </c>
      <c r="V172" s="62">
        <f t="shared" ca="1" si="33"/>
        <v>0</v>
      </c>
      <c r="W172" s="60">
        <f t="shared" ca="1" si="34"/>
        <v>120</v>
      </c>
      <c r="X172" s="60">
        <f t="shared" ca="1" si="38"/>
        <v>346.98216673790836</v>
      </c>
      <c r="Y172" s="60">
        <f t="shared" ca="1" si="35"/>
        <v>0</v>
      </c>
      <c r="Z172" s="60">
        <f t="shared" ca="1" si="36"/>
        <v>0.85051165989522304</v>
      </c>
      <c r="AA172" s="92">
        <f ca="1"/>
        <v>44673</v>
      </c>
      <c r="AB172" s="62">
        <f t="shared" ca="1" si="39"/>
        <v>44673</v>
      </c>
      <c r="AC172" s="62">
        <f t="shared" ca="1" si="40"/>
        <v>129.18149913146718</v>
      </c>
      <c r="AD172" s="62">
        <f t="shared" ca="1" si="41"/>
        <v>0</v>
      </c>
      <c r="AE172" s="62">
        <f t="shared" ca="1" si="42"/>
        <v>0</v>
      </c>
    </row>
    <row r="173" spans="18:31" x14ac:dyDescent="0.25">
      <c r="R173" s="92">
        <f ca="1"/>
        <v>44448</v>
      </c>
      <c r="S173" s="62">
        <f t="shared" ca="1" si="37"/>
        <v>44448</v>
      </c>
      <c r="T173" s="62">
        <f t="shared" ca="1" si="31"/>
        <v>81.190933476857069</v>
      </c>
      <c r="U173" s="62">
        <f t="shared" ca="1" si="32"/>
        <v>80.474597290060203</v>
      </c>
      <c r="V173" s="62">
        <f t="shared" ca="1" si="33"/>
        <v>0</v>
      </c>
      <c r="W173" s="60">
        <f t="shared" ca="1" si="34"/>
        <v>120</v>
      </c>
      <c r="X173" s="60">
        <f t="shared" ca="1" si="38"/>
        <v>348.42863443645496</v>
      </c>
      <c r="Y173" s="60">
        <f t="shared" ca="1" si="35"/>
        <v>0</v>
      </c>
      <c r="Z173" s="60">
        <f t="shared" ca="1" si="36"/>
        <v>0.85272871810148498</v>
      </c>
      <c r="AA173" s="92">
        <f ca="1"/>
        <v>44674</v>
      </c>
      <c r="AB173" s="62">
        <f t="shared" ca="1" si="39"/>
        <v>44674</v>
      </c>
      <c r="AC173" s="62">
        <f t="shared" ca="1" si="40"/>
        <v>129.60663332326206</v>
      </c>
      <c r="AD173" s="62">
        <f t="shared" ca="1" si="41"/>
        <v>0</v>
      </c>
      <c r="AE173" s="62">
        <f t="shared" ca="1" si="42"/>
        <v>0</v>
      </c>
    </row>
    <row r="174" spans="18:31" x14ac:dyDescent="0.25">
      <c r="R174" s="92">
        <f ca="1"/>
        <v>44449</v>
      </c>
      <c r="S174" s="62">
        <f t="shared" ca="1" si="37"/>
        <v>44449</v>
      </c>
      <c r="T174" s="62">
        <f t="shared" ca="1" si="31"/>
        <v>80.470768222770232</v>
      </c>
      <c r="U174" s="62">
        <f t="shared" ca="1" si="32"/>
        <v>81.5546617294752</v>
      </c>
      <c r="V174" s="62">
        <f t="shared" ca="1" si="33"/>
        <v>0</v>
      </c>
      <c r="W174" s="60">
        <f t="shared" ca="1" si="34"/>
        <v>119.15131970049866</v>
      </c>
      <c r="X174" s="60">
        <f t="shared" ca="1" si="38"/>
        <v>348.42863443645496</v>
      </c>
      <c r="Y174" s="60">
        <f t="shared" ca="1" si="35"/>
        <v>0</v>
      </c>
      <c r="Z174" s="60">
        <f t="shared" ca="1" si="36"/>
        <v>0.85487979917747703</v>
      </c>
      <c r="AA174" s="92">
        <f ca="1"/>
        <v>44675</v>
      </c>
      <c r="AB174" s="62">
        <f t="shared" ca="1" si="39"/>
        <v>44675</v>
      </c>
      <c r="AC174" s="62">
        <f t="shared" ca="1" si="40"/>
        <v>130.0358152902931</v>
      </c>
      <c r="AD174" s="62">
        <f t="shared" ca="1" si="41"/>
        <v>0</v>
      </c>
      <c r="AE174" s="62">
        <f t="shared" ca="1" si="42"/>
        <v>0</v>
      </c>
    </row>
    <row r="175" spans="18:31" x14ac:dyDescent="0.25">
      <c r="R175" s="92">
        <f ca="1"/>
        <v>44450</v>
      </c>
      <c r="S175" s="62">
        <f t="shared" ca="1" si="37"/>
        <v>44450</v>
      </c>
      <c r="T175" s="62">
        <f t="shared" ca="1" si="31"/>
        <v>79.737572547388339</v>
      </c>
      <c r="U175" s="62">
        <f t="shared" ca="1" si="32"/>
        <v>82.652567506272405</v>
      </c>
      <c r="V175" s="62">
        <f t="shared" ca="1" si="33"/>
        <v>0</v>
      </c>
      <c r="W175" s="60">
        <f t="shared" ca="1" si="34"/>
        <v>120</v>
      </c>
      <c r="X175" s="60">
        <f t="shared" ca="1" si="38"/>
        <v>348.55052493911796</v>
      </c>
      <c r="Y175" s="60">
        <f t="shared" ca="1" si="35"/>
        <v>0</v>
      </c>
      <c r="Z175" s="60">
        <f t="shared" ca="1" si="36"/>
        <v>0.85696276038677699</v>
      </c>
      <c r="AA175" s="92">
        <f ca="1"/>
        <v>44676</v>
      </c>
      <c r="AB175" s="62">
        <f t="shared" ca="1" si="39"/>
        <v>44676</v>
      </c>
      <c r="AC175" s="62">
        <f t="shared" ca="1" si="40"/>
        <v>130.49722539964321</v>
      </c>
      <c r="AD175" s="62">
        <f t="shared" ca="1" si="41"/>
        <v>0</v>
      </c>
      <c r="AE175" s="62">
        <f t="shared" ca="1" si="42"/>
        <v>0</v>
      </c>
    </row>
    <row r="176" spans="18:31" x14ac:dyDescent="0.25">
      <c r="R176" s="92">
        <f ca="1"/>
        <v>44451</v>
      </c>
      <c r="S176" s="62">
        <f t="shared" ca="1" si="37"/>
        <v>44451</v>
      </c>
      <c r="T176" s="62">
        <f t="shared" ca="1" si="31"/>
        <v>78.976469455426638</v>
      </c>
      <c r="U176" s="62">
        <f t="shared" ca="1" si="32"/>
        <v>83.791846035662303</v>
      </c>
      <c r="V176" s="62">
        <f t="shared" ca="1" si="33"/>
        <v>0</v>
      </c>
      <c r="W176" s="60">
        <f t="shared" ca="1" si="34"/>
        <v>120</v>
      </c>
      <c r="X176" s="60">
        <f t="shared" ca="1" si="38"/>
        <v>350.06108586622827</v>
      </c>
      <c r="Y176" s="60">
        <f t="shared" ca="1" si="35"/>
        <v>0</v>
      </c>
      <c r="Z176" s="60">
        <f t="shared" ca="1" si="36"/>
        <v>0.85901950306115404</v>
      </c>
      <c r="AA176" s="92">
        <f ca="1"/>
        <v>44677</v>
      </c>
      <c r="AB176" s="62">
        <f t="shared" ca="1" si="39"/>
        <v>44677</v>
      </c>
      <c r="AC176" s="62">
        <f t="shared" ca="1" si="40"/>
        <v>130.97325096054988</v>
      </c>
      <c r="AD176" s="62">
        <f t="shared" ca="1" si="41"/>
        <v>0</v>
      </c>
      <c r="AE176" s="62">
        <f t="shared" ca="1" si="42"/>
        <v>0</v>
      </c>
    </row>
    <row r="177" spans="18:31" x14ac:dyDescent="0.25">
      <c r="R177" s="92">
        <f ca="1"/>
        <v>44452</v>
      </c>
      <c r="S177" s="62">
        <f t="shared" ca="1" si="37"/>
        <v>44452</v>
      </c>
      <c r="T177" s="62">
        <f t="shared" ca="1" si="31"/>
        <v>78.226068482067191</v>
      </c>
      <c r="U177" s="62">
        <f t="shared" ca="1" si="32"/>
        <v>84.911864691729903</v>
      </c>
      <c r="V177" s="62">
        <f t="shared" ca="1" si="33"/>
        <v>0</v>
      </c>
      <c r="W177" s="60">
        <f t="shared" ca="1" si="34"/>
        <v>120</v>
      </c>
      <c r="X177" s="60">
        <f t="shared" ca="1" si="38"/>
        <v>352.91746102732577</v>
      </c>
      <c r="Y177" s="60">
        <f t="shared" ca="1" si="35"/>
        <v>0</v>
      </c>
      <c r="Z177" s="60">
        <f t="shared" ca="1" si="36"/>
        <v>0.860942986649469</v>
      </c>
      <c r="AA177" s="92">
        <f ca="1"/>
        <v>44678</v>
      </c>
      <c r="AB177" s="62">
        <f t="shared" ca="1" si="39"/>
        <v>44678</v>
      </c>
      <c r="AC177" s="62">
        <f t="shared" ca="1" si="40"/>
        <v>131.46935230543477</v>
      </c>
      <c r="AD177" s="62">
        <f t="shared" ca="1" si="41"/>
        <v>0</v>
      </c>
      <c r="AE177" s="62">
        <f t="shared" ca="1" si="42"/>
        <v>0</v>
      </c>
    </row>
    <row r="178" spans="18:31" x14ac:dyDescent="0.25">
      <c r="R178" s="92">
        <f ca="1"/>
        <v>44453</v>
      </c>
      <c r="S178" s="62">
        <f t="shared" ca="1" si="37"/>
        <v>44453</v>
      </c>
      <c r="T178" s="62">
        <f t="shared" ca="1" si="31"/>
        <v>77.461757856616387</v>
      </c>
      <c r="U178" s="62">
        <f t="shared" ca="1" si="32"/>
        <v>86.051484592808904</v>
      </c>
      <c r="V178" s="62">
        <f t="shared" ca="1" si="33"/>
        <v>0</v>
      </c>
      <c r="W178" s="60">
        <f t="shared" ca="1" si="34"/>
        <v>120</v>
      </c>
      <c r="X178" s="60">
        <f t="shared" ca="1" si="38"/>
        <v>354.04440425388259</v>
      </c>
      <c r="Y178" s="60">
        <f t="shared" ca="1" si="35"/>
        <v>0</v>
      </c>
      <c r="Z178" s="60">
        <f t="shared" ca="1" si="36"/>
        <v>0.86280521618733097</v>
      </c>
      <c r="AA178" s="92">
        <f ca="1"/>
        <v>44679</v>
      </c>
      <c r="AB178" s="62">
        <f t="shared" ca="1" si="39"/>
        <v>44679</v>
      </c>
      <c r="AC178" s="62">
        <f t="shared" ca="1" si="40"/>
        <v>131.97962544242588</v>
      </c>
      <c r="AD178" s="62">
        <f t="shared" ca="1" si="41"/>
        <v>0</v>
      </c>
      <c r="AE178" s="62">
        <f t="shared" ca="1" si="42"/>
        <v>0</v>
      </c>
    </row>
    <row r="179" spans="18:31" x14ac:dyDescent="0.25">
      <c r="R179" s="92">
        <f ca="1"/>
        <v>44454</v>
      </c>
      <c r="S179" s="62">
        <f t="shared" ca="1" si="37"/>
        <v>44454</v>
      </c>
      <c r="T179" s="62">
        <f t="shared" ca="1" si="31"/>
        <v>76.674917950057619</v>
      </c>
      <c r="U179" s="62">
        <f t="shared" ca="1" si="32"/>
        <v>87.224481127182301</v>
      </c>
      <c r="V179" s="62">
        <f t="shared" ca="1" si="33"/>
        <v>0</v>
      </c>
      <c r="W179" s="60">
        <f t="shared" ca="1" si="34"/>
        <v>120</v>
      </c>
      <c r="X179" s="60">
        <f t="shared" ca="1" si="38"/>
        <v>354.98861114809824</v>
      </c>
      <c r="Y179" s="60">
        <f t="shared" ca="1" si="35"/>
        <v>0</v>
      </c>
      <c r="Z179" s="60">
        <f t="shared" ca="1" si="36"/>
        <v>0.86462732024975597</v>
      </c>
      <c r="AA179" s="92">
        <f ca="1"/>
        <v>44680</v>
      </c>
      <c r="AB179" s="62">
        <f t="shared" ca="1" si="39"/>
        <v>44680</v>
      </c>
      <c r="AC179" s="62">
        <f t="shared" ca="1" si="40"/>
        <v>132.45310301883865</v>
      </c>
      <c r="AD179" s="62">
        <f t="shared" ca="1" si="41"/>
        <v>0</v>
      </c>
      <c r="AE179" s="62">
        <f t="shared" ca="1" si="42"/>
        <v>0</v>
      </c>
    </row>
    <row r="180" spans="18:31" x14ac:dyDescent="0.25">
      <c r="R180" s="92">
        <f ca="1"/>
        <v>44455</v>
      </c>
      <c r="S180" s="62">
        <f t="shared" ca="1" si="37"/>
        <v>44455</v>
      </c>
      <c r="T180" s="62">
        <f t="shared" ca="1" si="31"/>
        <v>75.873240928901993</v>
      </c>
      <c r="U180" s="62">
        <f t="shared" ca="1" si="32"/>
        <v>88.418927415028904</v>
      </c>
      <c r="V180" s="62">
        <f t="shared" ca="1" si="33"/>
        <v>0</v>
      </c>
      <c r="W180" s="60">
        <f t="shared" ca="1" si="34"/>
        <v>120</v>
      </c>
      <c r="X180" s="60">
        <f t="shared" ca="1" si="38"/>
        <v>356.29912271937235</v>
      </c>
      <c r="Y180" s="60">
        <f t="shared" ca="1" si="35"/>
        <v>0</v>
      </c>
      <c r="Z180" s="60">
        <f t="shared" ca="1" si="36"/>
        <v>0.86638939643830004</v>
      </c>
      <c r="AA180" s="92">
        <f ca="1"/>
        <v>44681</v>
      </c>
      <c r="AB180" s="62">
        <f t="shared" ca="1" si="39"/>
        <v>44681</v>
      </c>
      <c r="AC180" s="62">
        <f t="shared" ca="1" si="40"/>
        <v>132.91090778571052</v>
      </c>
      <c r="AD180" s="62">
        <f t="shared" ca="1" si="41"/>
        <v>0</v>
      </c>
      <c r="AE180" s="62">
        <f t="shared" ca="1" si="42"/>
        <v>0</v>
      </c>
    </row>
    <row r="181" spans="18:31" x14ac:dyDescent="0.25">
      <c r="R181" s="92">
        <f ca="1"/>
        <v>44456</v>
      </c>
      <c r="S181" s="62">
        <f t="shared" ca="1" si="37"/>
        <v>44456</v>
      </c>
      <c r="T181" s="62">
        <f t="shared" ca="1" si="31"/>
        <v>75.073933857980691</v>
      </c>
      <c r="U181" s="62">
        <f t="shared" ca="1" si="32"/>
        <v>89.607680225827494</v>
      </c>
      <c r="V181" s="62">
        <f t="shared" ca="1" si="33"/>
        <v>0</v>
      </c>
      <c r="W181" s="60">
        <f t="shared" ca="1" si="34"/>
        <v>120</v>
      </c>
      <c r="X181" s="60">
        <f t="shared" ca="1" si="38"/>
        <v>356.61461531543921</v>
      </c>
      <c r="Y181" s="60">
        <f t="shared" ca="1" si="35"/>
        <v>0</v>
      </c>
      <c r="Z181" s="60">
        <f t="shared" ca="1" si="36"/>
        <v>0.86805465020570605</v>
      </c>
      <c r="AA181" s="92">
        <f ca="1"/>
        <v>44682</v>
      </c>
      <c r="AB181" s="62">
        <f t="shared" ca="1" si="39"/>
        <v>44682</v>
      </c>
      <c r="AC181" s="62">
        <f t="shared" ca="1" si="40"/>
        <v>133.37125770927022</v>
      </c>
      <c r="AD181" s="62">
        <f t="shared" ca="1" si="41"/>
        <v>0</v>
      </c>
      <c r="AE181" s="62">
        <f t="shared" ca="1" si="42"/>
        <v>0</v>
      </c>
    </row>
    <row r="182" spans="18:31" x14ac:dyDescent="0.25">
      <c r="R182" s="92">
        <f ca="1"/>
        <v>44457</v>
      </c>
      <c r="S182" s="62">
        <f t="shared" ca="1" si="37"/>
        <v>44457</v>
      </c>
      <c r="T182" s="62">
        <f t="shared" ca="1" si="31"/>
        <v>74.285109294886936</v>
      </c>
      <c r="U182" s="62">
        <f t="shared" ca="1" si="32"/>
        <v>90.778240098820802</v>
      </c>
      <c r="V182" s="62">
        <f t="shared" ca="1" si="33"/>
        <v>0</v>
      </c>
      <c r="W182" s="60">
        <f t="shared" ca="1" si="34"/>
        <v>120</v>
      </c>
      <c r="X182" s="60">
        <f t="shared" ca="1" si="38"/>
        <v>356.72947037746144</v>
      </c>
      <c r="Y182" s="60">
        <f t="shared" ca="1" si="35"/>
        <v>0</v>
      </c>
      <c r="Z182" s="60">
        <f t="shared" ca="1" si="36"/>
        <v>0.86961289122480101</v>
      </c>
      <c r="AA182" s="92">
        <f ca="1"/>
        <v>44683</v>
      </c>
      <c r="AB182" s="62">
        <f t="shared" ca="1" si="39"/>
        <v>44683</v>
      </c>
      <c r="AC182" s="62">
        <f t="shared" ca="1" si="40"/>
        <v>133.82766407511076</v>
      </c>
      <c r="AD182" s="62">
        <f t="shared" ca="1" si="41"/>
        <v>0</v>
      </c>
      <c r="AE182" s="62">
        <f t="shared" ca="1" si="42"/>
        <v>0</v>
      </c>
    </row>
    <row r="183" spans="18:31" x14ac:dyDescent="0.25">
      <c r="R183" s="92">
        <f ca="1"/>
        <v>44458</v>
      </c>
      <c r="S183" s="62">
        <f t="shared" ca="1" si="37"/>
        <v>44458</v>
      </c>
      <c r="T183" s="62">
        <f t="shared" ca="1" si="31"/>
        <v>73.499503389069432</v>
      </c>
      <c r="U183" s="62">
        <f t="shared" ca="1" si="32"/>
        <v>91.942345894847705</v>
      </c>
      <c r="V183" s="62">
        <f t="shared" ca="1" si="33"/>
        <v>0</v>
      </c>
      <c r="W183" s="60">
        <f t="shared" ca="1" si="34"/>
        <v>120</v>
      </c>
      <c r="X183" s="60">
        <f t="shared" ca="1" si="38"/>
        <v>358.01858384104548</v>
      </c>
      <c r="Y183" s="60">
        <f t="shared" ca="1" si="35"/>
        <v>0</v>
      </c>
      <c r="Z183" s="60">
        <f t="shared" ca="1" si="36"/>
        <v>0.87108659645692998</v>
      </c>
      <c r="AA183" s="92">
        <f ca="1"/>
        <v>44684</v>
      </c>
      <c r="AB183" s="62">
        <f t="shared" ca="1" si="39"/>
        <v>44684</v>
      </c>
      <c r="AC183" s="62">
        <f t="shared" ca="1" si="40"/>
        <v>134.27982449857257</v>
      </c>
      <c r="AD183" s="62">
        <f t="shared" ca="1" si="41"/>
        <v>0</v>
      </c>
      <c r="AE183" s="62">
        <f t="shared" ca="1" si="42"/>
        <v>0</v>
      </c>
    </row>
    <row r="184" spans="18:31" x14ac:dyDescent="0.25">
      <c r="R184" s="92">
        <f ca="1"/>
        <v>44459</v>
      </c>
      <c r="S184" s="62">
        <f t="shared" ca="1" si="37"/>
        <v>44459</v>
      </c>
      <c r="T184" s="62">
        <f t="shared" ca="1" si="31"/>
        <v>72.715514478707618</v>
      </c>
      <c r="U184" s="62">
        <f t="shared" ca="1" si="32"/>
        <v>93.102724229380996</v>
      </c>
      <c r="V184" s="62">
        <f t="shared" ca="1" si="33"/>
        <v>0</v>
      </c>
      <c r="W184" s="60">
        <f t="shared" ca="1" si="34"/>
        <v>120</v>
      </c>
      <c r="X184" s="60">
        <f t="shared" ca="1" si="38"/>
        <v>358.03033173626176</v>
      </c>
      <c r="Y184" s="60">
        <f t="shared" ca="1" si="35"/>
        <v>0</v>
      </c>
      <c r="Z184" s="60">
        <f t="shared" ca="1" si="36"/>
        <v>0.87248418497112701</v>
      </c>
      <c r="AA184" s="92">
        <f ca="1"/>
        <v>44685</v>
      </c>
      <c r="AB184" s="62">
        <f t="shared" ca="1" si="39"/>
        <v>44685</v>
      </c>
      <c r="AC184" s="62">
        <f t="shared" ca="1" si="40"/>
        <v>134.72146149781892</v>
      </c>
      <c r="AD184" s="62">
        <f t="shared" ca="1" si="41"/>
        <v>0</v>
      </c>
      <c r="AE184" s="62">
        <f t="shared" ca="1" si="42"/>
        <v>0</v>
      </c>
    </row>
    <row r="185" spans="18:31" x14ac:dyDescent="0.25">
      <c r="R185" s="92">
        <f ca="1"/>
        <v>44460</v>
      </c>
      <c r="S185" s="62">
        <f t="shared" ca="1" si="37"/>
        <v>44460</v>
      </c>
      <c r="T185" s="62">
        <f t="shared" ca="1" si="31"/>
        <v>71.935486896562651</v>
      </c>
      <c r="U185" s="62">
        <f t="shared" ca="1" si="32"/>
        <v>94.255934165974807</v>
      </c>
      <c r="V185" s="62">
        <f t="shared" ca="1" si="33"/>
        <v>0</v>
      </c>
      <c r="W185" s="60">
        <f t="shared" ca="1" si="34"/>
        <v>120</v>
      </c>
      <c r="X185" s="60">
        <f t="shared" ca="1" si="38"/>
        <v>358.18560283868482</v>
      </c>
      <c r="Y185" s="60">
        <f t="shared" ca="1" si="35"/>
        <v>0</v>
      </c>
      <c r="Z185" s="60">
        <f t="shared" ca="1" si="36"/>
        <v>0.87380619955356198</v>
      </c>
      <c r="AA185" s="92">
        <f ca="1"/>
        <v>44686</v>
      </c>
      <c r="AB185" s="62">
        <f t="shared" ca="1" si="39"/>
        <v>44686</v>
      </c>
      <c r="AC185" s="62">
        <f t="shared" ca="1" si="40"/>
        <v>135.16634494543257</v>
      </c>
      <c r="AD185" s="62">
        <f t="shared" ca="1" si="41"/>
        <v>0</v>
      </c>
      <c r="AE185" s="62">
        <f t="shared" ca="1" si="42"/>
        <v>0</v>
      </c>
    </row>
    <row r="186" spans="18:31" x14ac:dyDescent="0.25">
      <c r="R186" s="92">
        <f ca="1"/>
        <v>44461</v>
      </c>
      <c r="S186" s="62">
        <f t="shared" ca="1" si="37"/>
        <v>44461</v>
      </c>
      <c r="T186" s="62">
        <f t="shared" ca="1" si="31"/>
        <v>71.144799838815501</v>
      </c>
      <c r="U186" s="62">
        <f t="shared" ca="1" si="32"/>
        <v>95.4248986133491</v>
      </c>
      <c r="V186" s="62">
        <f t="shared" ca="1" si="33"/>
        <v>0</v>
      </c>
      <c r="W186" s="60">
        <f t="shared" ca="1" si="34"/>
        <v>120</v>
      </c>
      <c r="X186" s="60">
        <f t="shared" ca="1" si="38"/>
        <v>359.93860091555808</v>
      </c>
      <c r="Y186" s="60">
        <f t="shared" ca="1" si="35"/>
        <v>0</v>
      </c>
      <c r="Z186" s="60">
        <f t="shared" ca="1" si="36"/>
        <v>0.87508170573349797</v>
      </c>
      <c r="AA186" s="92">
        <f ca="1"/>
        <v>44687</v>
      </c>
      <c r="AB186" s="62">
        <f t="shared" ca="1" si="39"/>
        <v>44687</v>
      </c>
      <c r="AC186" s="62">
        <f t="shared" ca="1" si="40"/>
        <v>135.61746729205618</v>
      </c>
      <c r="AD186" s="62">
        <f t="shared" ca="1" si="41"/>
        <v>0</v>
      </c>
      <c r="AE186" s="62">
        <f t="shared" ca="1" si="42"/>
        <v>0</v>
      </c>
    </row>
    <row r="187" spans="18:31" x14ac:dyDescent="0.25">
      <c r="R187" s="92">
        <f ca="1"/>
        <v>44462</v>
      </c>
      <c r="S187" s="62">
        <f t="shared" ca="1" si="37"/>
        <v>44462</v>
      </c>
      <c r="T187" s="62">
        <f t="shared" ca="1" si="31"/>
        <v>70.345254956059591</v>
      </c>
      <c r="U187" s="62">
        <f t="shared" ca="1" si="32"/>
        <v>96.607018343493493</v>
      </c>
      <c r="V187" s="62">
        <f t="shared" ca="1" si="33"/>
        <v>0</v>
      </c>
      <c r="W187" s="60">
        <f t="shared" ca="1" si="34"/>
        <v>120</v>
      </c>
      <c r="X187" s="60">
        <f t="shared" ca="1" si="38"/>
        <v>360.87877992501086</v>
      </c>
      <c r="Y187" s="60">
        <f t="shared" ca="1" si="35"/>
        <v>0</v>
      </c>
      <c r="Z187" s="60">
        <f t="shared" ca="1" si="36"/>
        <v>0.87630889240921295</v>
      </c>
      <c r="AA187" s="92">
        <f ca="1"/>
        <v>44688</v>
      </c>
      <c r="AB187" s="62">
        <f t="shared" ca="1" si="39"/>
        <v>44688</v>
      </c>
      <c r="AC187" s="62">
        <f t="shared" ca="1" si="40"/>
        <v>136.05641679045294</v>
      </c>
      <c r="AD187" s="62">
        <f t="shared" ca="1" si="41"/>
        <v>0</v>
      </c>
      <c r="AE187" s="62">
        <f t="shared" ca="1" si="42"/>
        <v>0</v>
      </c>
    </row>
    <row r="188" spans="18:31" x14ac:dyDescent="0.25">
      <c r="R188" s="92">
        <f ca="1"/>
        <v>44463</v>
      </c>
      <c r="S188" s="62">
        <f t="shared" ca="1" si="37"/>
        <v>44463</v>
      </c>
      <c r="T188" s="62">
        <f t="shared" ca="1" si="31"/>
        <v>69.517786308435134</v>
      </c>
      <c r="U188" s="62">
        <f t="shared" ca="1" si="32"/>
        <v>97.832599662150997</v>
      </c>
      <c r="V188" s="62">
        <f t="shared" ca="1" si="33"/>
        <v>0</v>
      </c>
      <c r="W188" s="60">
        <f t="shared" ca="1" si="34"/>
        <v>120</v>
      </c>
      <c r="X188" s="60">
        <f t="shared" ca="1" si="38"/>
        <v>362.90993996505267</v>
      </c>
      <c r="Y188" s="60">
        <f t="shared" ca="1" si="35"/>
        <v>0</v>
      </c>
      <c r="Z188" s="60">
        <f t="shared" ca="1" si="36"/>
        <v>0.87751816108775405</v>
      </c>
      <c r="AA188" s="92">
        <f ca="1"/>
        <v>44689</v>
      </c>
      <c r="AB188" s="62">
        <f t="shared" ca="1" si="39"/>
        <v>44689</v>
      </c>
      <c r="AC188" s="62">
        <f t="shared" ca="1" si="40"/>
        <v>136.48549769530578</v>
      </c>
      <c r="AD188" s="62">
        <f t="shared" ca="1" si="41"/>
        <v>0</v>
      </c>
      <c r="AE188" s="62">
        <f t="shared" ca="1" si="42"/>
        <v>0</v>
      </c>
    </row>
    <row r="189" spans="18:31" x14ac:dyDescent="0.25">
      <c r="R189" s="92">
        <f ca="1"/>
        <v>44464</v>
      </c>
      <c r="S189" s="62">
        <f t="shared" ca="1" si="37"/>
        <v>44464</v>
      </c>
      <c r="T189" s="62">
        <f t="shared" ca="1" si="31"/>
        <v>68.707649179852737</v>
      </c>
      <c r="U189" s="62">
        <f t="shared" ca="1" si="32"/>
        <v>99.030485918652005</v>
      </c>
      <c r="V189" s="62">
        <f t="shared" ca="1" si="33"/>
        <v>0</v>
      </c>
      <c r="W189" s="60">
        <f t="shared" ca="1" si="34"/>
        <v>120</v>
      </c>
      <c r="X189" s="60">
        <f t="shared" ca="1" si="38"/>
        <v>363.71243269740955</v>
      </c>
      <c r="Y189" s="60">
        <f t="shared" ca="1" si="35"/>
        <v>0</v>
      </c>
      <c r="Z189" s="60">
        <f t="shared" ca="1" si="36"/>
        <v>0.87864136270885695</v>
      </c>
      <c r="AA189" s="92">
        <f ca="1"/>
        <v>44690</v>
      </c>
      <c r="AB189" s="62">
        <f t="shared" ca="1" si="39"/>
        <v>44690</v>
      </c>
      <c r="AC189" s="62">
        <f t="shared" ca="1" si="40"/>
        <v>136.89923900922963</v>
      </c>
      <c r="AD189" s="62">
        <f t="shared" ca="1" si="41"/>
        <v>0</v>
      </c>
      <c r="AE189" s="62">
        <f t="shared" ca="1" si="42"/>
        <v>0</v>
      </c>
    </row>
    <row r="190" spans="18:31" x14ac:dyDescent="0.25">
      <c r="R190" s="92">
        <f ca="1"/>
        <v>44465</v>
      </c>
      <c r="S190" s="62">
        <f t="shared" ca="1" si="37"/>
        <v>44465</v>
      </c>
      <c r="T190" s="62">
        <f t="shared" ca="1" si="31"/>
        <v>67.902958869211744</v>
      </c>
      <c r="U190" s="62">
        <f t="shared" ca="1" si="32"/>
        <v>100.219705096811</v>
      </c>
      <c r="V190" s="62">
        <f t="shared" ca="1" si="33"/>
        <v>0</v>
      </c>
      <c r="W190" s="60">
        <f t="shared" ca="1" si="34"/>
        <v>120</v>
      </c>
      <c r="X190" s="60">
        <f t="shared" ca="1" si="38"/>
        <v>365.51926972790585</v>
      </c>
      <c r="Y190" s="60">
        <f t="shared" ca="1" si="35"/>
        <v>0</v>
      </c>
      <c r="Z190" s="60">
        <f t="shared" ca="1" si="36"/>
        <v>0.87970201902497902</v>
      </c>
      <c r="AA190" s="92">
        <f ca="1"/>
        <v>44691</v>
      </c>
      <c r="AB190" s="62">
        <f t="shared" ca="1" si="39"/>
        <v>44691</v>
      </c>
      <c r="AC190" s="62">
        <f t="shared" ca="1" si="40"/>
        <v>137.31775926229602</v>
      </c>
      <c r="AD190" s="62">
        <f t="shared" ca="1" si="41"/>
        <v>0</v>
      </c>
      <c r="AE190" s="62">
        <f t="shared" ca="1" si="42"/>
        <v>0</v>
      </c>
    </row>
    <row r="191" spans="18:31" x14ac:dyDescent="0.25">
      <c r="R191" s="92">
        <f ca="1"/>
        <v>44466</v>
      </c>
      <c r="S191" s="62">
        <f t="shared" ca="1" si="37"/>
        <v>44466</v>
      </c>
      <c r="T191" s="62">
        <f t="shared" ca="1" si="31"/>
        <v>67.075366965817096</v>
      </c>
      <c r="U191" s="62">
        <f t="shared" ca="1" si="32"/>
        <v>101.445086351245</v>
      </c>
      <c r="V191" s="62">
        <f t="shared" ca="1" si="33"/>
        <v>0</v>
      </c>
      <c r="W191" s="60">
        <f t="shared" ca="1" si="34"/>
        <v>120</v>
      </c>
      <c r="X191" s="60">
        <f t="shared" ca="1" si="38"/>
        <v>365.71209899802153</v>
      </c>
      <c r="Y191" s="60">
        <f t="shared" ca="1" si="35"/>
        <v>0</v>
      </c>
      <c r="Z191" s="60">
        <f t="shared" ca="1" si="36"/>
        <v>0.88074117461272405</v>
      </c>
      <c r="AA191" s="92">
        <f ca="1"/>
        <v>44692</v>
      </c>
      <c r="AB191" s="62">
        <f t="shared" ca="1" si="39"/>
        <v>44692</v>
      </c>
      <c r="AC191" s="62">
        <f t="shared" ca="1" si="40"/>
        <v>137.74684016714744</v>
      </c>
      <c r="AD191" s="62">
        <f t="shared" ca="1" si="41"/>
        <v>0</v>
      </c>
      <c r="AE191" s="62">
        <f t="shared" ca="1" si="42"/>
        <v>0</v>
      </c>
    </row>
    <row r="192" spans="18:31" x14ac:dyDescent="0.25">
      <c r="R192" s="92">
        <f ca="1"/>
        <v>44467</v>
      </c>
      <c r="S192" s="62">
        <f t="shared" ca="1" si="37"/>
        <v>44467</v>
      </c>
      <c r="T192" s="62">
        <f t="shared" ca="1" si="31"/>
        <v>66.228851734056676</v>
      </c>
      <c r="U192" s="62">
        <f t="shared" ca="1" si="32"/>
        <v>102.70093639701901</v>
      </c>
      <c r="V192" s="62">
        <f t="shared" ca="1" si="33"/>
        <v>0</v>
      </c>
      <c r="W192" s="60">
        <f t="shared" ca="1" si="34"/>
        <v>120</v>
      </c>
      <c r="X192" s="60">
        <f t="shared" ca="1" si="38"/>
        <v>367.52871694277394</v>
      </c>
      <c r="Y192" s="60">
        <f t="shared" ca="1" si="35"/>
        <v>0</v>
      </c>
      <c r="Z192" s="60">
        <f t="shared" ca="1" si="36"/>
        <v>0.88175254659776503</v>
      </c>
      <c r="AA192" s="92">
        <f ca="1"/>
        <v>44693</v>
      </c>
      <c r="AB192" s="62">
        <f t="shared" ca="1" si="39"/>
        <v>44693</v>
      </c>
      <c r="AC192" s="62">
        <f t="shared" ca="1" si="40"/>
        <v>138.18798778336827</v>
      </c>
      <c r="AD192" s="62">
        <f t="shared" ca="1" si="41"/>
        <v>0</v>
      </c>
      <c r="AE192" s="62">
        <f t="shared" ca="1" si="42"/>
        <v>0</v>
      </c>
    </row>
    <row r="193" spans="18:31" x14ac:dyDescent="0.25">
      <c r="R193" s="92">
        <f ca="1"/>
        <v>44468</v>
      </c>
      <c r="S193" s="62">
        <f t="shared" ca="1" si="37"/>
        <v>44468</v>
      </c>
      <c r="T193" s="62">
        <f t="shared" ca="1" si="31"/>
        <v>65.362920385465031</v>
      </c>
      <c r="U193" s="62">
        <f t="shared" ca="1" si="32"/>
        <v>103.988666598294</v>
      </c>
      <c r="V193" s="62">
        <f t="shared" ca="1" si="33"/>
        <v>0</v>
      </c>
      <c r="W193" s="60">
        <f t="shared" ca="1" si="34"/>
        <v>120</v>
      </c>
      <c r="X193" s="60">
        <f t="shared" ca="1" si="38"/>
        <v>368.57419106057853</v>
      </c>
      <c r="Y193" s="60">
        <f t="shared" ca="1" si="35"/>
        <v>0</v>
      </c>
      <c r="Z193" s="60">
        <f t="shared" ca="1" si="36"/>
        <v>0.88273626268511196</v>
      </c>
      <c r="AA193" s="92">
        <f ca="1"/>
        <v>44694</v>
      </c>
      <c r="AB193" s="62">
        <f t="shared" ca="1" si="39"/>
        <v>44694</v>
      </c>
      <c r="AC193" s="62">
        <f t="shared" ca="1" si="40"/>
        <v>138.62614516767235</v>
      </c>
      <c r="AD193" s="62">
        <f t="shared" ca="1" si="41"/>
        <v>0</v>
      </c>
      <c r="AE193" s="62">
        <f t="shared" ca="1" si="42"/>
        <v>0</v>
      </c>
    </row>
    <row r="194" spans="18:31" x14ac:dyDescent="0.25">
      <c r="R194" s="92">
        <f ca="1"/>
        <v>44469</v>
      </c>
      <c r="S194" s="62">
        <f t="shared" ca="1" si="37"/>
        <v>44469</v>
      </c>
      <c r="T194" s="62">
        <f t="shared" ca="1" si="31"/>
        <v>64.504727935511795</v>
      </c>
      <c r="U194" s="62">
        <f t="shared" ca="1" si="32"/>
        <v>105.26472628578701</v>
      </c>
      <c r="V194" s="62">
        <f t="shared" ca="1" si="33"/>
        <v>0</v>
      </c>
      <c r="W194" s="60">
        <f t="shared" ca="1" si="34"/>
        <v>120</v>
      </c>
      <c r="X194" s="60">
        <f t="shared" ca="1" si="38"/>
        <v>371.40388008146624</v>
      </c>
      <c r="Y194" s="60">
        <f t="shared" ca="1" si="35"/>
        <v>0</v>
      </c>
      <c r="Z194" s="60">
        <f t="shared" ca="1" si="36"/>
        <v>0.88366068555000599</v>
      </c>
      <c r="AA194" s="92">
        <f ca="1"/>
        <v>44695</v>
      </c>
      <c r="AB194" s="62">
        <f t="shared" ca="1" si="39"/>
        <v>44695</v>
      </c>
      <c r="AC194" s="62">
        <f t="shared" ca="1" si="40"/>
        <v>139.05197506083101</v>
      </c>
      <c r="AD194" s="62">
        <f t="shared" ca="1" si="41"/>
        <v>0</v>
      </c>
      <c r="AE194" s="62">
        <f t="shared" ca="1" si="42"/>
        <v>0</v>
      </c>
    </row>
    <row r="195" spans="18:31" x14ac:dyDescent="0.25">
      <c r="R195" s="92">
        <f ca="1"/>
        <v>44470</v>
      </c>
      <c r="S195" s="62">
        <f t="shared" ca="1" si="37"/>
        <v>44470</v>
      </c>
      <c r="T195" s="62">
        <f t="shared" ca="1" si="31"/>
        <v>63.663252070131229</v>
      </c>
      <c r="U195" s="62">
        <f t="shared" ca="1" si="32"/>
        <v>106.51493373571699</v>
      </c>
      <c r="V195" s="62">
        <f t="shared" ca="1" si="33"/>
        <v>0</v>
      </c>
      <c r="W195" s="60">
        <f t="shared" ca="1" si="34"/>
        <v>120</v>
      </c>
      <c r="X195" s="60">
        <f t="shared" ca="1" si="38"/>
        <v>375.89512613059429</v>
      </c>
      <c r="Y195" s="60">
        <f t="shared" ca="1" si="35"/>
        <v>0</v>
      </c>
      <c r="Z195" s="60">
        <f t="shared" ca="1" si="36"/>
        <v>0.88452036349047303</v>
      </c>
      <c r="AA195" s="92">
        <f ca="1"/>
        <v>44696</v>
      </c>
      <c r="AB195" s="62">
        <f t="shared" ca="1" si="39"/>
        <v>44696</v>
      </c>
      <c r="AC195" s="62">
        <f t="shared" ca="1" si="40"/>
        <v>139.47477165757897</v>
      </c>
      <c r="AD195" s="62">
        <f t="shared" ca="1" si="41"/>
        <v>0</v>
      </c>
      <c r="AE195" s="62">
        <f t="shared" ca="1" si="42"/>
        <v>0</v>
      </c>
    </row>
    <row r="196" spans="18:31" x14ac:dyDescent="0.25">
      <c r="R196" s="92">
        <f ca="1"/>
        <v>44471</v>
      </c>
      <c r="S196" s="62">
        <f t="shared" ca="1" si="37"/>
        <v>44471</v>
      </c>
      <c r="T196" s="62">
        <f t="shared" ca="1" si="31"/>
        <v>62.828965477748092</v>
      </c>
      <c r="U196" s="62">
        <f t="shared" ca="1" si="32"/>
        <v>107.75488398113499</v>
      </c>
      <c r="V196" s="62">
        <f t="shared" ca="1" si="33"/>
        <v>0</v>
      </c>
      <c r="W196" s="60">
        <f t="shared" ca="1" si="34"/>
        <v>120</v>
      </c>
      <c r="X196" s="60">
        <f t="shared" ca="1" si="38"/>
        <v>377.73004986247145</v>
      </c>
      <c r="Y196" s="60">
        <f t="shared" ca="1" si="35"/>
        <v>0</v>
      </c>
      <c r="Z196" s="60">
        <f t="shared" ca="1" si="36"/>
        <v>0.88533037965899397</v>
      </c>
      <c r="AA196" s="92">
        <f ca="1"/>
        <v>44697</v>
      </c>
      <c r="AB196" s="62">
        <f t="shared" ca="1" si="39"/>
        <v>44697</v>
      </c>
      <c r="AC196" s="62">
        <f t="shared" ca="1" si="40"/>
        <v>139.89798543671114</v>
      </c>
      <c r="AD196" s="62">
        <f t="shared" ca="1" si="41"/>
        <v>0</v>
      </c>
      <c r="AE196" s="62">
        <f t="shared" ca="1" si="42"/>
        <v>0</v>
      </c>
    </row>
    <row r="197" spans="18:31" x14ac:dyDescent="0.25">
      <c r="R197" s="92">
        <f ca="1"/>
        <v>44472</v>
      </c>
      <c r="S197" s="62">
        <f t="shared" ca="1" si="37"/>
        <v>44472</v>
      </c>
      <c r="T197" s="62">
        <f t="shared" ca="1" si="31"/>
        <v>61.979087237560051</v>
      </c>
      <c r="U197" s="62">
        <f t="shared" ca="1" si="32"/>
        <v>109.021500681172</v>
      </c>
      <c r="V197" s="62">
        <f t="shared" ca="1" si="33"/>
        <v>0</v>
      </c>
      <c r="W197" s="60">
        <f t="shared" ca="1" si="34"/>
        <v>120</v>
      </c>
      <c r="X197" s="60">
        <f t="shared" ca="1" si="38"/>
        <v>379.97857851126594</v>
      </c>
      <c r="Y197" s="60">
        <f t="shared" ca="1" si="35"/>
        <v>0</v>
      </c>
      <c r="Z197" s="60">
        <f t="shared" ca="1" si="36"/>
        <v>0.88611630068356195</v>
      </c>
      <c r="AA197" s="92">
        <f ca="1"/>
        <v>44698</v>
      </c>
      <c r="AB197" s="62">
        <f t="shared" ca="1" si="39"/>
        <v>44698</v>
      </c>
      <c r="AC197" s="62">
        <f t="shared" ca="1" si="40"/>
        <v>140.30651477051165</v>
      </c>
      <c r="AD197" s="62">
        <f t="shared" ca="1" si="41"/>
        <v>0</v>
      </c>
      <c r="AE197" s="62">
        <f t="shared" ca="1" si="42"/>
        <v>0</v>
      </c>
    </row>
    <row r="198" spans="18:31" x14ac:dyDescent="0.25">
      <c r="R198" s="92">
        <f ca="1"/>
        <v>44473</v>
      </c>
      <c r="S198" s="62">
        <f t="shared" ca="1" si="37"/>
        <v>44473</v>
      </c>
      <c r="T198" s="62">
        <f t="shared" ca="1" si="31"/>
        <v>61.155439356264999</v>
      </c>
      <c r="U198" s="62">
        <f t="shared" ca="1" si="32"/>
        <v>110.247639091761</v>
      </c>
      <c r="V198" s="62">
        <f t="shared" ca="1" si="33"/>
        <v>0</v>
      </c>
      <c r="W198" s="60">
        <f t="shared" ca="1" si="34"/>
        <v>119.72252655499973</v>
      </c>
      <c r="X198" s="60">
        <f t="shared" ca="1" si="38"/>
        <v>379.97857851126594</v>
      </c>
      <c r="Y198" s="60">
        <f t="shared" ca="1" si="35"/>
        <v>0</v>
      </c>
      <c r="Z198" s="60">
        <f t="shared" ca="1" si="36"/>
        <v>0.88683920820109496</v>
      </c>
      <c r="AA198" s="92">
        <f ca="1"/>
        <v>44699</v>
      </c>
      <c r="AB198" s="62">
        <f t="shared" ca="1" si="39"/>
        <v>44699</v>
      </c>
      <c r="AC198" s="62">
        <f t="shared" ca="1" si="40"/>
        <v>140.70998861372939</v>
      </c>
      <c r="AD198" s="62">
        <f t="shared" ca="1" si="41"/>
        <v>0</v>
      </c>
      <c r="AE198" s="62">
        <f t="shared" ca="1" si="42"/>
        <v>0</v>
      </c>
    </row>
    <row r="199" spans="18:31" x14ac:dyDescent="0.25">
      <c r="R199" s="92">
        <f ca="1"/>
        <v>44474</v>
      </c>
      <c r="S199" s="62">
        <f t="shared" ca="1" si="37"/>
        <v>44474</v>
      </c>
      <c r="T199" s="62">
        <f t="shared" ca="1" si="31"/>
        <v>60.33345067040009</v>
      </c>
      <c r="U199" s="62">
        <f t="shared" ca="1" si="32"/>
        <v>111.473043737777</v>
      </c>
      <c r="V199" s="62">
        <f t="shared" ca="1" si="33"/>
        <v>0</v>
      </c>
      <c r="W199" s="60">
        <f t="shared" ca="1" si="34"/>
        <v>120</v>
      </c>
      <c r="X199" s="60">
        <f t="shared" ca="1" si="38"/>
        <v>380.76009433432432</v>
      </c>
      <c r="Y199" s="60">
        <f t="shared" ca="1" si="35"/>
        <v>0</v>
      </c>
      <c r="Z199" s="60">
        <f t="shared" ca="1" si="36"/>
        <v>0.88752634590614099</v>
      </c>
      <c r="AA199" s="92">
        <f ca="1"/>
        <v>44700</v>
      </c>
      <c r="AB199" s="62">
        <f t="shared" ca="1" si="39"/>
        <v>44700</v>
      </c>
      <c r="AC199" s="62">
        <f t="shared" ca="1" si="40"/>
        <v>141.13111900992814</v>
      </c>
      <c r="AD199" s="62">
        <f t="shared" ca="1" si="41"/>
        <v>0</v>
      </c>
      <c r="AE199" s="62">
        <f t="shared" ca="1" si="42"/>
        <v>0</v>
      </c>
    </row>
    <row r="200" spans="18:31" x14ac:dyDescent="0.25">
      <c r="R200" s="92">
        <f ca="1"/>
        <v>44475</v>
      </c>
      <c r="S200" s="62">
        <f t="shared" ca="1" si="37"/>
        <v>44475</v>
      </c>
      <c r="T200" s="62">
        <f t="shared" ca="1" si="31"/>
        <v>59.507926669630855</v>
      </c>
      <c r="U200" s="62">
        <f t="shared" ca="1" si="32"/>
        <v>112.70633529797701</v>
      </c>
      <c r="V200" s="62">
        <f t="shared" ca="1" si="33"/>
        <v>0</v>
      </c>
      <c r="W200" s="60">
        <f t="shared" ca="1" si="34"/>
        <v>119.80096352466261</v>
      </c>
      <c r="X200" s="60">
        <f t="shared" ca="1" si="38"/>
        <v>380.76009433432432</v>
      </c>
      <c r="Y200" s="60">
        <f t="shared" ca="1" si="35"/>
        <v>0</v>
      </c>
      <c r="Z200" s="60">
        <f t="shared" ca="1" si="36"/>
        <v>0.888184041363692</v>
      </c>
      <c r="AA200" s="92">
        <f ca="1"/>
        <v>44701</v>
      </c>
      <c r="AB200" s="62">
        <f t="shared" ca="1" si="39"/>
        <v>44701</v>
      </c>
      <c r="AC200" s="62">
        <f t="shared" ca="1" si="40"/>
        <v>141.5504686799955</v>
      </c>
      <c r="AD200" s="62">
        <f t="shared" ca="1" si="41"/>
        <v>0</v>
      </c>
      <c r="AE200" s="62">
        <f t="shared" ca="1" si="42"/>
        <v>0</v>
      </c>
    </row>
    <row r="201" spans="18:31" x14ac:dyDescent="0.25">
      <c r="R201" s="92">
        <f ca="1"/>
        <v>44476</v>
      </c>
      <c r="S201" s="62">
        <f t="shared" ca="1" si="37"/>
        <v>44476</v>
      </c>
      <c r="T201" s="62">
        <f t="shared" ca="1" si="31"/>
        <v>58.700061725689253</v>
      </c>
      <c r="U201" s="62">
        <f t="shared" ca="1" si="32"/>
        <v>113.913592480267</v>
      </c>
      <c r="V201" s="62">
        <f t="shared" ca="1" si="33"/>
        <v>0</v>
      </c>
      <c r="W201" s="60">
        <f t="shared" ca="1" si="34"/>
        <v>119.58946897640496</v>
      </c>
      <c r="X201" s="60">
        <f t="shared" ca="1" si="38"/>
        <v>380.76009433432432</v>
      </c>
      <c r="Y201" s="60">
        <f t="shared" ca="1" si="35"/>
        <v>0</v>
      </c>
      <c r="Z201" s="60">
        <f t="shared" ca="1" si="36"/>
        <v>0.88879659451079596</v>
      </c>
      <c r="AA201" s="92">
        <f ca="1"/>
        <v>44702</v>
      </c>
      <c r="AB201" s="62">
        <f t="shared" ca="1" si="39"/>
        <v>44702</v>
      </c>
      <c r="AC201" s="62">
        <f t="shared" ca="1" si="40"/>
        <v>141.98033160556594</v>
      </c>
      <c r="AD201" s="62">
        <f t="shared" ca="1" si="41"/>
        <v>0</v>
      </c>
      <c r="AE201" s="62">
        <f t="shared" ca="1" si="42"/>
        <v>0</v>
      </c>
    </row>
    <row r="202" spans="18:31" x14ac:dyDescent="0.25">
      <c r="R202" s="92">
        <f ca="1"/>
        <v>44477</v>
      </c>
      <c r="S202" s="62">
        <f t="shared" ca="1" si="37"/>
        <v>44477</v>
      </c>
      <c r="T202" s="62">
        <f t="shared" ca="1" si="31"/>
        <v>57.854954496164545</v>
      </c>
      <c r="U202" s="62">
        <f t="shared" ca="1" si="32"/>
        <v>115.18422048959501</v>
      </c>
      <c r="V202" s="62">
        <f t="shared" ca="1" si="33"/>
        <v>0</v>
      </c>
      <c r="W202" s="60">
        <f t="shared" ca="1" si="34"/>
        <v>120</v>
      </c>
      <c r="X202" s="60">
        <f t="shared" ca="1" si="38"/>
        <v>381.73175443549184</v>
      </c>
      <c r="Y202" s="60">
        <f t="shared" ca="1" si="35"/>
        <v>0</v>
      </c>
      <c r="Z202" s="60">
        <f t="shared" ca="1" si="36"/>
        <v>0.88940958092424205</v>
      </c>
      <c r="AA202" s="92">
        <f ca="1"/>
        <v>44703</v>
      </c>
      <c r="AB202" s="62">
        <f t="shared" ca="1" si="39"/>
        <v>44703</v>
      </c>
      <c r="AC202" s="62">
        <f t="shared" ca="1" si="40"/>
        <v>142.39090573210802</v>
      </c>
      <c r="AD202" s="62">
        <f t="shared" ca="1" si="41"/>
        <v>0</v>
      </c>
      <c r="AE202" s="62">
        <f t="shared" ca="1" si="42"/>
        <v>0</v>
      </c>
    </row>
    <row r="203" spans="18:31" x14ac:dyDescent="0.25">
      <c r="R203" s="92">
        <f ca="1"/>
        <v>44478</v>
      </c>
      <c r="S203" s="62">
        <f t="shared" ca="1" si="37"/>
        <v>44478</v>
      </c>
      <c r="T203" s="62">
        <f t="shared" ca="1" si="31"/>
        <v>57.003010160608589</v>
      </c>
      <c r="U203" s="62">
        <f t="shared" ca="1" si="32"/>
        <v>116.469579841372</v>
      </c>
      <c r="V203" s="62">
        <f t="shared" ca="1" si="33"/>
        <v>0</v>
      </c>
      <c r="W203" s="60">
        <f t="shared" ca="1" si="34"/>
        <v>120</v>
      </c>
      <c r="X203" s="60">
        <f t="shared" ca="1" si="38"/>
        <v>383.25479537063563</v>
      </c>
      <c r="Y203" s="60">
        <f t="shared" ca="1" si="35"/>
        <v>0</v>
      </c>
      <c r="Z203" s="60">
        <f t="shared" ca="1" si="36"/>
        <v>0.88999825452461001</v>
      </c>
      <c r="AA203" s="92">
        <f ca="1"/>
        <v>44704</v>
      </c>
      <c r="AB203" s="62">
        <f t="shared" ca="1" si="39"/>
        <v>44704</v>
      </c>
      <c r="AC203" s="62">
        <f t="shared" ca="1" si="40"/>
        <v>142.79281853441026</v>
      </c>
      <c r="AD203" s="62">
        <f t="shared" ca="1" si="41"/>
        <v>0</v>
      </c>
      <c r="AE203" s="62">
        <f t="shared" ca="1" si="42"/>
        <v>0</v>
      </c>
    </row>
    <row r="204" spans="18:31" x14ac:dyDescent="0.25">
      <c r="R204" s="92">
        <f ca="1"/>
        <v>44479</v>
      </c>
      <c r="S204" s="62">
        <f t="shared" ca="1" si="37"/>
        <v>44479</v>
      </c>
      <c r="T204" s="62">
        <f t="shared" ca="1" si="31"/>
        <v>56.198325723137323</v>
      </c>
      <c r="U204" s="62">
        <f t="shared" ca="1" si="32"/>
        <v>117.68059672166601</v>
      </c>
      <c r="V204" s="62">
        <f t="shared" ca="1" si="33"/>
        <v>0</v>
      </c>
      <c r="W204" s="60">
        <f t="shared" ca="1" si="34"/>
        <v>120</v>
      </c>
      <c r="X204" s="60">
        <f t="shared" ca="1" si="38"/>
        <v>384.94736344557714</v>
      </c>
      <c r="Y204" s="60">
        <f t="shared" ca="1" si="35"/>
        <v>0</v>
      </c>
      <c r="Z204" s="60">
        <f t="shared" ca="1" si="36"/>
        <v>0.89052543032668496</v>
      </c>
      <c r="AA204" s="92">
        <f ca="1"/>
        <v>44705</v>
      </c>
      <c r="AB204" s="62">
        <f t="shared" ca="1" si="39"/>
        <v>44705</v>
      </c>
      <c r="AC204" s="62">
        <f t="shared" ca="1" si="40"/>
        <v>143.19213791480627</v>
      </c>
      <c r="AD204" s="62">
        <f t="shared" ca="1" si="41"/>
        <v>0</v>
      </c>
      <c r="AE204" s="62">
        <f t="shared" ca="1" si="42"/>
        <v>0</v>
      </c>
    </row>
    <row r="205" spans="18:31" x14ac:dyDescent="0.25">
      <c r="R205" s="92">
        <f ca="1"/>
        <v>44480</v>
      </c>
      <c r="S205" s="62">
        <f t="shared" ca="1" si="37"/>
        <v>44480</v>
      </c>
      <c r="T205" s="62">
        <f t="shared" ca="1" si="31"/>
        <v>55.383670045066047</v>
      </c>
      <c r="U205" s="62">
        <f t="shared" ca="1" si="32"/>
        <v>118.91147763571099</v>
      </c>
      <c r="V205" s="62">
        <f t="shared" ca="1" si="33"/>
        <v>0</v>
      </c>
      <c r="W205" s="60">
        <f t="shared" ca="1" si="34"/>
        <v>119.48106941127644</v>
      </c>
      <c r="X205" s="60">
        <f t="shared" ca="1" si="38"/>
        <v>384.94736344557714</v>
      </c>
      <c r="Y205" s="60">
        <f t="shared" ca="1" si="35"/>
        <v>0</v>
      </c>
      <c r="Z205" s="60">
        <f t="shared" ca="1" si="36"/>
        <v>0.89103532016814602</v>
      </c>
      <c r="AA205" s="92">
        <f ca="1"/>
        <v>44706</v>
      </c>
      <c r="AB205" s="62">
        <f t="shared" ca="1" si="39"/>
        <v>44706</v>
      </c>
      <c r="AC205" s="62">
        <f t="shared" ca="1" si="40"/>
        <v>143.60147272881972</v>
      </c>
      <c r="AD205" s="62">
        <f t="shared" ca="1" si="41"/>
        <v>0</v>
      </c>
      <c r="AE205" s="62">
        <f t="shared" ca="1" si="42"/>
        <v>0</v>
      </c>
    </row>
    <row r="206" spans="18:31" x14ac:dyDescent="0.25">
      <c r="R206" s="92">
        <f ca="1"/>
        <v>44481</v>
      </c>
      <c r="S206" s="62">
        <f t="shared" ca="1" si="37"/>
        <v>44481</v>
      </c>
      <c r="T206" s="62">
        <f t="shared" ca="1" si="31"/>
        <v>54.546641766726957</v>
      </c>
      <c r="U206" s="62">
        <f t="shared" ca="1" si="32"/>
        <v>120.18379007338901</v>
      </c>
      <c r="V206" s="62">
        <f t="shared" ca="1" si="33"/>
        <v>0</v>
      </c>
      <c r="W206" s="60">
        <f t="shared" ca="1" si="34"/>
        <v>120</v>
      </c>
      <c r="X206" s="60">
        <f t="shared" ca="1" si="38"/>
        <v>386.90419226189931</v>
      </c>
      <c r="Y206" s="60">
        <f t="shared" ca="1" si="35"/>
        <v>0</v>
      </c>
      <c r="Z206" s="60">
        <f t="shared" ca="1" si="36"/>
        <v>0.89153624950366706</v>
      </c>
      <c r="AA206" s="92">
        <f ca="1"/>
        <v>44707</v>
      </c>
      <c r="AB206" s="62">
        <f t="shared" ca="1" si="39"/>
        <v>44707</v>
      </c>
      <c r="AC206" s="62">
        <f t="shared" ca="1" si="40"/>
        <v>144.02545000992711</v>
      </c>
      <c r="AD206" s="62">
        <f t="shared" ca="1" si="41"/>
        <v>0</v>
      </c>
      <c r="AE206" s="62">
        <f t="shared" ca="1" si="42"/>
        <v>0</v>
      </c>
    </row>
    <row r="207" spans="18:31" x14ac:dyDescent="0.25">
      <c r="R207" s="92">
        <f ca="1"/>
        <v>44482</v>
      </c>
      <c r="S207" s="62">
        <f t="shared" ca="1" si="37"/>
        <v>44482</v>
      </c>
      <c r="T207" s="62">
        <f t="shared" ca="1" si="31"/>
        <v>53.721272839922065</v>
      </c>
      <c r="U207" s="62">
        <f t="shared" ca="1" si="32"/>
        <v>121.441144200693</v>
      </c>
      <c r="V207" s="62">
        <f t="shared" ca="1" si="33"/>
        <v>0</v>
      </c>
      <c r="W207" s="60">
        <f t="shared" ca="1" si="34"/>
        <v>120</v>
      </c>
      <c r="X207" s="60">
        <f t="shared" ca="1" si="38"/>
        <v>388.86838136408744</v>
      </c>
      <c r="Y207" s="60">
        <f t="shared" ca="1" si="35"/>
        <v>0</v>
      </c>
      <c r="Z207" s="60">
        <f t="shared" ca="1" si="36"/>
        <v>0.89200649625974804</v>
      </c>
      <c r="AA207" s="92">
        <f ca="1"/>
        <v>44708</v>
      </c>
      <c r="AB207" s="62">
        <f t="shared" ca="1" si="39"/>
        <v>44708</v>
      </c>
      <c r="AC207" s="62">
        <f t="shared" ca="1" si="40"/>
        <v>144.4268067538795</v>
      </c>
      <c r="AD207" s="62">
        <f t="shared" ca="1" si="41"/>
        <v>0</v>
      </c>
      <c r="AE207" s="62">
        <f t="shared" ca="1" si="42"/>
        <v>0</v>
      </c>
    </row>
    <row r="208" spans="18:31" x14ac:dyDescent="0.25">
      <c r="R208" s="92">
        <f ca="1"/>
        <v>44483</v>
      </c>
      <c r="S208" s="62">
        <f t="shared" ca="1" si="37"/>
        <v>44483</v>
      </c>
      <c r="T208" s="62">
        <f t="shared" ca="1" si="31"/>
        <v>52.920453497081333</v>
      </c>
      <c r="U208" s="62">
        <f t="shared" ca="1" si="32"/>
        <v>122.66204745639099</v>
      </c>
      <c r="V208" s="62">
        <f t="shared" ca="1" si="33"/>
        <v>0</v>
      </c>
      <c r="W208" s="60">
        <f t="shared" ca="1" si="34"/>
        <v>120</v>
      </c>
      <c r="X208" s="60">
        <f t="shared" ca="1" si="38"/>
        <v>391.62223744965092</v>
      </c>
      <c r="Y208" s="60">
        <f t="shared" ca="1" si="35"/>
        <v>0</v>
      </c>
      <c r="Z208" s="60">
        <f t="shared" ca="1" si="36"/>
        <v>0.89244068831966294</v>
      </c>
      <c r="AA208" s="92">
        <f ca="1"/>
        <v>44709</v>
      </c>
      <c r="AB208" s="62">
        <f t="shared" ca="1" si="39"/>
        <v>44709</v>
      </c>
      <c r="AC208" s="62">
        <f t="shared" ca="1" si="40"/>
        <v>144.80257370235961</v>
      </c>
      <c r="AD208" s="62">
        <f t="shared" ca="1" si="41"/>
        <v>0</v>
      </c>
      <c r="AE208" s="62">
        <f t="shared" ca="1" si="42"/>
        <v>0</v>
      </c>
    </row>
    <row r="209" spans="18:31" x14ac:dyDescent="0.25">
      <c r="R209" s="92">
        <f ca="1"/>
        <v>44484</v>
      </c>
      <c r="S209" s="62">
        <f t="shared" ca="1" si="37"/>
        <v>44484</v>
      </c>
      <c r="T209" s="62">
        <f t="shared" ca="1" si="31"/>
        <v>52.142908991194908</v>
      </c>
      <c r="U209" s="62">
        <f t="shared" ca="1" si="32"/>
        <v>123.848851862781</v>
      </c>
      <c r="V209" s="62">
        <f t="shared" ca="1" si="33"/>
        <v>0</v>
      </c>
      <c r="W209" s="60">
        <f t="shared" ca="1" si="34"/>
        <v>120</v>
      </c>
      <c r="X209" s="60">
        <f t="shared" ca="1" si="38"/>
        <v>394.37547077974511</v>
      </c>
      <c r="Y209" s="60">
        <f t="shared" ca="1" si="35"/>
        <v>0</v>
      </c>
      <c r="Z209" s="60">
        <f t="shared" ca="1" si="36"/>
        <v>0.89284259435042301</v>
      </c>
      <c r="AA209" s="92">
        <f ca="1"/>
        <v>44710</v>
      </c>
      <c r="AB209" s="62">
        <f t="shared" ca="1" si="39"/>
        <v>44710</v>
      </c>
      <c r="AC209" s="62">
        <f t="shared" ca="1" si="40"/>
        <v>145.16580343349568</v>
      </c>
      <c r="AD209" s="62">
        <f t="shared" ca="1" si="41"/>
        <v>0</v>
      </c>
      <c r="AE209" s="62">
        <f t="shared" ca="1" si="42"/>
        <v>0</v>
      </c>
    </row>
    <row r="210" spans="18:31" x14ac:dyDescent="0.25">
      <c r="R210" s="92">
        <f ca="1"/>
        <v>44485</v>
      </c>
      <c r="S210" s="62">
        <f t="shared" ca="1" si="37"/>
        <v>44485</v>
      </c>
      <c r="T210" s="62">
        <f t="shared" ref="T210:T273" ca="1" si="43">VLOOKUP(S210,ModelOutputs,2,FALSE)</f>
        <v>51.369480816066215</v>
      </c>
      <c r="U210" s="62">
        <f t="shared" ref="U210:U273" ca="1" si="44">VLOOKUP(S210,ModelOutputs,7,FALSE)</f>
        <v>125.03360314409301</v>
      </c>
      <c r="V210" s="62">
        <f t="shared" ref="V210:V273" ca="1" si="45">VLOOKUP(S210,ModelOutputs,6,FALSE)</f>
        <v>0</v>
      </c>
      <c r="W210" s="60">
        <f t="shared" ref="W210:W273" ca="1" si="46">VLOOKUP(S210,ModelOutputs,10,FALSE)*AWC</f>
        <v>120</v>
      </c>
      <c r="X210" s="60">
        <f t="shared" ca="1" si="38"/>
        <v>394.4770314091229</v>
      </c>
      <c r="Y210" s="60">
        <f t="shared" ref="Y210:Y273" ca="1" si="47">VLOOKUP(S210,ModelOutputs,12,FALSE)</f>
        <v>0</v>
      </c>
      <c r="Z210" s="60">
        <f t="shared" ref="Z210:Z273" ca="1" si="48">VLOOKUP(S210,ModelOutputs,13,FALSE)</f>
        <v>0.89322491100428503</v>
      </c>
      <c r="AA210" s="92">
        <f ca="1"/>
        <v>44711</v>
      </c>
      <c r="AB210" s="62">
        <f t="shared" ca="1" si="39"/>
        <v>44711</v>
      </c>
      <c r="AC210" s="62">
        <f t="shared" ca="1" si="40"/>
        <v>145.53937194021688</v>
      </c>
      <c r="AD210" s="62">
        <f t="shared" ca="1" si="41"/>
        <v>0</v>
      </c>
      <c r="AE210" s="62">
        <f t="shared" ca="1" si="42"/>
        <v>0</v>
      </c>
    </row>
    <row r="211" spans="18:31" x14ac:dyDescent="0.25">
      <c r="R211" s="92">
        <f ca="1"/>
        <v>44486</v>
      </c>
      <c r="S211" s="62">
        <f t="shared" ref="S211:S274" ca="1" si="49">IF(R211&gt;1,R211,"")</f>
        <v>44486</v>
      </c>
      <c r="T211" s="62">
        <f t="shared" ca="1" si="43"/>
        <v>50.572902981255972</v>
      </c>
      <c r="U211" s="62">
        <f t="shared" ca="1" si="44"/>
        <v>126.263005629776</v>
      </c>
      <c r="V211" s="62">
        <f t="shared" ca="1" si="45"/>
        <v>0</v>
      </c>
      <c r="W211" s="60">
        <f t="shared" ca="1" si="46"/>
        <v>120</v>
      </c>
      <c r="X211" s="60">
        <f t="shared" ref="X211:X274" ca="1" si="50">VLOOKUP(S211,ModelOutputs,11,FALSE)+X210</f>
        <v>394.67110907100334</v>
      </c>
      <c r="Y211" s="60">
        <f t="shared" ca="1" si="47"/>
        <v>0</v>
      </c>
      <c r="Z211" s="60">
        <f t="shared" ca="1" si="48"/>
        <v>0.89360261039125299</v>
      </c>
      <c r="AA211" s="92">
        <f ca="1"/>
        <v>44712</v>
      </c>
      <c r="AB211" s="62">
        <f t="shared" ca="1" si="39"/>
        <v>44712</v>
      </c>
      <c r="AC211" s="62">
        <f t="shared" ca="1" si="40"/>
        <v>145.90281860483876</v>
      </c>
      <c r="AD211" s="62">
        <f t="shared" ca="1" si="41"/>
        <v>0</v>
      </c>
      <c r="AE211" s="62">
        <f t="shared" ca="1" si="42"/>
        <v>0</v>
      </c>
    </row>
    <row r="212" spans="18:31" x14ac:dyDescent="0.25">
      <c r="R212" s="92">
        <f ca="1"/>
        <v>44487</v>
      </c>
      <c r="S212" s="62">
        <f t="shared" ca="1" si="49"/>
        <v>44487</v>
      </c>
      <c r="T212" s="62">
        <f t="shared" ca="1" si="43"/>
        <v>49.81026308952103</v>
      </c>
      <c r="U212" s="62">
        <f t="shared" ca="1" si="44"/>
        <v>127.440421535619</v>
      </c>
      <c r="V212" s="62">
        <f t="shared" ca="1" si="45"/>
        <v>0</v>
      </c>
      <c r="W212" s="60">
        <f t="shared" ca="1" si="46"/>
        <v>120</v>
      </c>
      <c r="X212" s="60">
        <f t="shared" ca="1" si="50"/>
        <v>395.34299614115378</v>
      </c>
      <c r="Y212" s="60">
        <f t="shared" ca="1" si="47"/>
        <v>0</v>
      </c>
      <c r="Z212" s="60">
        <f t="shared" ca="1" si="48"/>
        <v>0.89394701488051398</v>
      </c>
      <c r="AA212" s="92">
        <f ca="1"/>
        <v>44713</v>
      </c>
      <c r="AB212" s="62">
        <f t="shared" ca="1" si="39"/>
        <v>44713</v>
      </c>
      <c r="AC212" s="62">
        <f t="shared" ca="1" si="40"/>
        <v>146.26729681045515</v>
      </c>
      <c r="AD212" s="62">
        <f t="shared" ca="1" si="41"/>
        <v>0</v>
      </c>
      <c r="AE212" s="62">
        <f t="shared" ca="1" si="42"/>
        <v>0</v>
      </c>
    </row>
    <row r="213" spans="18:31" x14ac:dyDescent="0.25">
      <c r="R213" s="92">
        <f ca="1"/>
        <v>44488</v>
      </c>
      <c r="S213" s="62">
        <f t="shared" ca="1" si="49"/>
        <v>44488</v>
      </c>
      <c r="T213" s="62">
        <f t="shared" ca="1" si="43"/>
        <v>49.068755113368404</v>
      </c>
      <c r="U213" s="62">
        <f t="shared" ca="1" si="44"/>
        <v>128.58775608447201</v>
      </c>
      <c r="V213" s="62">
        <f t="shared" ca="1" si="45"/>
        <v>0</v>
      </c>
      <c r="W213" s="60">
        <f t="shared" ca="1" si="46"/>
        <v>119.00149964715715</v>
      </c>
      <c r="X213" s="60">
        <f t="shared" ca="1" si="50"/>
        <v>395.34299614115378</v>
      </c>
      <c r="Y213" s="60">
        <f t="shared" ca="1" si="47"/>
        <v>0</v>
      </c>
      <c r="Z213" s="60">
        <f t="shared" ca="1" si="48"/>
        <v>0.89426706066585504</v>
      </c>
      <c r="AA213" s="92">
        <f ca="1"/>
        <v>44714</v>
      </c>
      <c r="AB213" s="62">
        <f t="shared" ref="AB213:AB276" ca="1" si="51">IF(AA213&gt;1,AA213,"")</f>
        <v>44714</v>
      </c>
      <c r="AC213" s="62">
        <f t="shared" ref="AC213:AC276" ca="1" si="52">VLOOKUP(AB213,ModelOutputs,2,FALSE)</f>
        <v>146.62663918105278</v>
      </c>
      <c r="AD213" s="62">
        <f t="shared" ref="AD213:AD276" ca="1" si="53">VLOOKUP(AB213,ModelOutputs,7,FALSE)</f>
        <v>0</v>
      </c>
      <c r="AE213" s="62">
        <f t="shared" ref="AE213:AE276" ca="1" si="54">VLOOKUP(AB213,ModelOutputs,6,FALSE)</f>
        <v>0</v>
      </c>
    </row>
    <row r="214" spans="18:31" x14ac:dyDescent="0.25">
      <c r="R214" s="92">
        <f ca="1"/>
        <v>44489</v>
      </c>
      <c r="S214" s="62">
        <f t="shared" ca="1" si="49"/>
        <v>44489</v>
      </c>
      <c r="T214" s="62">
        <f t="shared" ca="1" si="43"/>
        <v>48.341876657020869</v>
      </c>
      <c r="U214" s="62">
        <f t="shared" ca="1" si="44"/>
        <v>129.71603813142201</v>
      </c>
      <c r="V214" s="62">
        <f t="shared" ca="1" si="45"/>
        <v>0</v>
      </c>
      <c r="W214" s="60">
        <f t="shared" ca="1" si="46"/>
        <v>117.31692446977156</v>
      </c>
      <c r="X214" s="60">
        <f t="shared" ca="1" si="50"/>
        <v>395.34299614115378</v>
      </c>
      <c r="Y214" s="60">
        <f t="shared" ca="1" si="47"/>
        <v>0</v>
      </c>
      <c r="Z214" s="60">
        <f t="shared" ca="1" si="48"/>
        <v>0.89456747697335903</v>
      </c>
      <c r="AA214" s="92">
        <f ca="1"/>
        <v>44715</v>
      </c>
      <c r="AB214" s="62">
        <f t="shared" ca="1" si="51"/>
        <v>44715</v>
      </c>
      <c r="AC214" s="62">
        <f t="shared" ca="1" si="52"/>
        <v>146.96801666476449</v>
      </c>
      <c r="AD214" s="62">
        <f t="shared" ca="1" si="53"/>
        <v>0</v>
      </c>
      <c r="AE214" s="62">
        <f t="shared" ca="1" si="54"/>
        <v>0</v>
      </c>
    </row>
    <row r="215" spans="18:31" x14ac:dyDescent="0.25">
      <c r="R215" s="92">
        <f ca="1"/>
        <v>44490</v>
      </c>
      <c r="S215" s="62">
        <f t="shared" ca="1" si="49"/>
        <v>44490</v>
      </c>
      <c r="T215" s="62">
        <f t="shared" ca="1" si="43"/>
        <v>47.600037932965535</v>
      </c>
      <c r="U215" s="62">
        <f t="shared" ca="1" si="44"/>
        <v>130.87590670513899</v>
      </c>
      <c r="V215" s="62">
        <f t="shared" ca="1" si="45"/>
        <v>0</v>
      </c>
      <c r="W215" s="60">
        <f t="shared" ca="1" si="46"/>
        <v>117.30803299579354</v>
      </c>
      <c r="X215" s="60">
        <f t="shared" ca="1" si="50"/>
        <v>395.34299614115378</v>
      </c>
      <c r="Y215" s="60">
        <f t="shared" ca="1" si="47"/>
        <v>0</v>
      </c>
      <c r="Z215" s="60">
        <f t="shared" ca="1" si="48"/>
        <v>0.894862155875222</v>
      </c>
      <c r="AA215" s="92">
        <f ca="1"/>
        <v>44716</v>
      </c>
      <c r="AB215" s="62">
        <f t="shared" ca="1" si="51"/>
        <v>44716</v>
      </c>
      <c r="AC215" s="62">
        <f t="shared" ca="1" si="52"/>
        <v>147.31317956870726</v>
      </c>
      <c r="AD215" s="62">
        <f t="shared" ca="1" si="53"/>
        <v>0</v>
      </c>
      <c r="AE215" s="62">
        <f t="shared" ca="1" si="54"/>
        <v>0</v>
      </c>
    </row>
    <row r="216" spans="18:31" x14ac:dyDescent="0.25">
      <c r="R216" s="92">
        <f ca="1"/>
        <v>44491</v>
      </c>
      <c r="S216" s="62">
        <f t="shared" ca="1" si="49"/>
        <v>44491</v>
      </c>
      <c r="T216" s="62">
        <f t="shared" ca="1" si="43"/>
        <v>46.85342431294513</v>
      </c>
      <c r="U216" s="62">
        <f t="shared" ca="1" si="44"/>
        <v>132.05104532421799</v>
      </c>
      <c r="V216" s="62">
        <f t="shared" ca="1" si="45"/>
        <v>0</v>
      </c>
      <c r="W216" s="60">
        <f t="shared" ca="1" si="46"/>
        <v>117.75366783620026</v>
      </c>
      <c r="X216" s="60">
        <f t="shared" ca="1" si="50"/>
        <v>395.34299614115378</v>
      </c>
      <c r="Y216" s="60">
        <f t="shared" ca="1" si="47"/>
        <v>0</v>
      </c>
      <c r="Z216" s="60">
        <f t="shared" ca="1" si="48"/>
        <v>0.89514673095074704</v>
      </c>
      <c r="AA216" s="92">
        <f ca="1"/>
        <v>44717</v>
      </c>
      <c r="AB216" s="62">
        <f t="shared" ca="1" si="51"/>
        <v>44717</v>
      </c>
      <c r="AC216" s="62">
        <f t="shared" ca="1" si="52"/>
        <v>147.66253682065479</v>
      </c>
      <c r="AD216" s="62">
        <f t="shared" ca="1" si="53"/>
        <v>0</v>
      </c>
      <c r="AE216" s="62">
        <f t="shared" ca="1" si="54"/>
        <v>0</v>
      </c>
    </row>
    <row r="217" spans="18:31" x14ac:dyDescent="0.25">
      <c r="R217" s="92">
        <f ca="1"/>
        <v>44492</v>
      </c>
      <c r="S217" s="62">
        <f t="shared" ca="1" si="49"/>
        <v>44492</v>
      </c>
      <c r="T217" s="62">
        <f t="shared" ca="1" si="43"/>
        <v>46.099061084969463</v>
      </c>
      <c r="U217" s="62">
        <f t="shared" ca="1" si="44"/>
        <v>133.24779503425401</v>
      </c>
      <c r="V217" s="62">
        <f t="shared" ca="1" si="45"/>
        <v>0</v>
      </c>
      <c r="W217" s="60">
        <f t="shared" ca="1" si="46"/>
        <v>118.8424960203191</v>
      </c>
      <c r="X217" s="60">
        <f t="shared" ca="1" si="50"/>
        <v>395.34299614115378</v>
      </c>
      <c r="Y217" s="60">
        <f t="shared" ca="1" si="47"/>
        <v>0</v>
      </c>
      <c r="Z217" s="60">
        <f t="shared" ca="1" si="48"/>
        <v>0.89542272071540996</v>
      </c>
      <c r="AA217" s="92">
        <f ca="1"/>
        <v>44718</v>
      </c>
      <c r="AB217" s="62">
        <f t="shared" ca="1" si="51"/>
        <v>44718</v>
      </c>
      <c r="AC217" s="62">
        <f t="shared" ca="1" si="52"/>
        <v>148.00992911298835</v>
      </c>
      <c r="AD217" s="62">
        <f t="shared" ca="1" si="53"/>
        <v>0</v>
      </c>
      <c r="AE217" s="62">
        <f t="shared" ca="1" si="54"/>
        <v>0</v>
      </c>
    </row>
    <row r="218" spans="18:31" x14ac:dyDescent="0.25">
      <c r="R218" s="92">
        <f ca="1"/>
        <v>44493</v>
      </c>
      <c r="S218" s="62">
        <f t="shared" ca="1" si="49"/>
        <v>44493</v>
      </c>
      <c r="T218" s="62">
        <f t="shared" ca="1" si="43"/>
        <v>45.383624039798491</v>
      </c>
      <c r="U218" s="62">
        <f t="shared" ca="1" si="44"/>
        <v>134.38337943193699</v>
      </c>
      <c r="V218" s="62">
        <f t="shared" ca="1" si="45"/>
        <v>0</v>
      </c>
      <c r="W218" s="60">
        <f t="shared" ca="1" si="46"/>
        <v>118.89480731521215</v>
      </c>
      <c r="X218" s="60">
        <f t="shared" ca="1" si="50"/>
        <v>395.34299614115378</v>
      </c>
      <c r="Y218" s="60">
        <f t="shared" ca="1" si="47"/>
        <v>0</v>
      </c>
      <c r="Z218" s="60">
        <f t="shared" ca="1" si="48"/>
        <v>0.89567228156866097</v>
      </c>
      <c r="AA218" s="92">
        <f ca="1"/>
        <v>44719</v>
      </c>
      <c r="AB218" s="62">
        <f t="shared" ca="1" si="51"/>
        <v>44719</v>
      </c>
      <c r="AC218" s="62">
        <f t="shared" ca="1" si="52"/>
        <v>148.36098399866239</v>
      </c>
      <c r="AD218" s="62">
        <f t="shared" ca="1" si="53"/>
        <v>0</v>
      </c>
      <c r="AE218" s="62">
        <f t="shared" ca="1" si="54"/>
        <v>0</v>
      </c>
    </row>
    <row r="219" spans="18:31" x14ac:dyDescent="0.25">
      <c r="R219" s="92">
        <f ca="1"/>
        <v>44494</v>
      </c>
      <c r="S219" s="62">
        <f t="shared" ca="1" si="49"/>
        <v>44494</v>
      </c>
      <c r="T219" s="62">
        <f t="shared" ca="1" si="43"/>
        <v>44.657084635733078</v>
      </c>
      <c r="U219" s="62">
        <f t="shared" ca="1" si="44"/>
        <v>135.546955732246</v>
      </c>
      <c r="V219" s="62">
        <f t="shared" ca="1" si="45"/>
        <v>0</v>
      </c>
      <c r="W219" s="60">
        <f t="shared" ca="1" si="46"/>
        <v>117.30516458425326</v>
      </c>
      <c r="X219" s="60">
        <f t="shared" ca="1" si="50"/>
        <v>395.34299614115378</v>
      </c>
      <c r="Y219" s="60">
        <f t="shared" ca="1" si="47"/>
        <v>0</v>
      </c>
      <c r="Z219" s="60">
        <f t="shared" ca="1" si="48"/>
        <v>0.89591609369882697</v>
      </c>
      <c r="AA219" s="92">
        <f ca="1"/>
        <v>44720</v>
      </c>
      <c r="AB219" s="62">
        <f t="shared" ca="1" si="51"/>
        <v>44720</v>
      </c>
      <c r="AC219" s="62">
        <f t="shared" ca="1" si="52"/>
        <v>148.72149630406275</v>
      </c>
      <c r="AD219" s="62">
        <f t="shared" ca="1" si="53"/>
        <v>0</v>
      </c>
      <c r="AE219" s="62">
        <f t="shared" ca="1" si="54"/>
        <v>0</v>
      </c>
    </row>
    <row r="220" spans="18:31" x14ac:dyDescent="0.25">
      <c r="R220" s="92">
        <f ca="1"/>
        <v>44495</v>
      </c>
      <c r="S220" s="62">
        <f t="shared" ca="1" si="49"/>
        <v>44495</v>
      </c>
      <c r="T220" s="62">
        <f t="shared" ca="1" si="43"/>
        <v>43.926391189733685</v>
      </c>
      <c r="U220" s="62">
        <f t="shared" ca="1" si="44"/>
        <v>136.723711355327</v>
      </c>
      <c r="V220" s="62">
        <f t="shared" ca="1" si="45"/>
        <v>0</v>
      </c>
      <c r="W220" s="60">
        <f t="shared" ca="1" si="46"/>
        <v>114.82601904570897</v>
      </c>
      <c r="X220" s="60">
        <f t="shared" ca="1" si="50"/>
        <v>395.34299614115378</v>
      </c>
      <c r="Y220" s="60">
        <f t="shared" ca="1" si="47"/>
        <v>0</v>
      </c>
      <c r="Z220" s="60">
        <f t="shared" ca="1" si="48"/>
        <v>0.89615095008721202</v>
      </c>
      <c r="AA220" s="92">
        <f ca="1"/>
        <v>44721</v>
      </c>
      <c r="AB220" s="62">
        <f t="shared" ca="1" si="51"/>
        <v>44721</v>
      </c>
      <c r="AC220" s="62">
        <f t="shared" ca="1" si="52"/>
        <v>149.09537759272206</v>
      </c>
      <c r="AD220" s="62">
        <f t="shared" ca="1" si="53"/>
        <v>0</v>
      </c>
      <c r="AE220" s="62">
        <f t="shared" ca="1" si="54"/>
        <v>0</v>
      </c>
    </row>
    <row r="221" spans="18:31" x14ac:dyDescent="0.25">
      <c r="R221" s="92">
        <f ca="1"/>
        <v>44496</v>
      </c>
      <c r="S221" s="62">
        <f t="shared" ca="1" si="49"/>
        <v>44496</v>
      </c>
      <c r="T221" s="62">
        <f t="shared" ca="1" si="43"/>
        <v>43.17521500719495</v>
      </c>
      <c r="U221" s="62">
        <f t="shared" ca="1" si="44"/>
        <v>137.95110394969799</v>
      </c>
      <c r="V221" s="62">
        <f t="shared" ca="1" si="45"/>
        <v>0</v>
      </c>
      <c r="W221" s="60">
        <f t="shared" ca="1" si="46"/>
        <v>114.96255490776984</v>
      </c>
      <c r="X221" s="60">
        <f t="shared" ca="1" si="50"/>
        <v>395.34299614115378</v>
      </c>
      <c r="Y221" s="60">
        <f t="shared" ca="1" si="47"/>
        <v>0</v>
      </c>
      <c r="Z221" s="60">
        <f t="shared" ca="1" si="48"/>
        <v>0.89638391655096705</v>
      </c>
      <c r="AA221" s="92">
        <f ca="1"/>
        <v>44722</v>
      </c>
      <c r="AB221" s="62">
        <f t="shared" ca="1" si="51"/>
        <v>44722</v>
      </c>
      <c r="AC221" s="62">
        <f t="shared" ca="1" si="52"/>
        <v>149.4697725656506</v>
      </c>
      <c r="AD221" s="62">
        <f t="shared" ca="1" si="53"/>
        <v>0</v>
      </c>
      <c r="AE221" s="62">
        <f t="shared" ca="1" si="54"/>
        <v>0</v>
      </c>
    </row>
    <row r="222" spans="18:31" x14ac:dyDescent="0.25">
      <c r="R222" s="92">
        <f ca="1"/>
        <v>44497</v>
      </c>
      <c r="S222" s="62">
        <f t="shared" ca="1" si="49"/>
        <v>44497</v>
      </c>
      <c r="T222" s="62">
        <f t="shared" ca="1" si="43"/>
        <v>42.462753472261419</v>
      </c>
      <c r="U222" s="62">
        <f t="shared" ca="1" si="44"/>
        <v>139.11910028359</v>
      </c>
      <c r="V222" s="62">
        <f t="shared" ca="1" si="45"/>
        <v>0</v>
      </c>
      <c r="W222" s="60">
        <f t="shared" ca="1" si="46"/>
        <v>116.1979342063006</v>
      </c>
      <c r="X222" s="60">
        <f t="shared" ca="1" si="50"/>
        <v>395.34299614115378</v>
      </c>
      <c r="Y222" s="60">
        <f t="shared" ca="1" si="47"/>
        <v>0</v>
      </c>
      <c r="Z222" s="60">
        <f t="shared" ca="1" si="48"/>
        <v>0.89659474053271304</v>
      </c>
      <c r="AA222" s="92">
        <f ca="1"/>
        <v>44723</v>
      </c>
      <c r="AB222" s="62">
        <f t="shared" ca="1" si="51"/>
        <v>44723</v>
      </c>
      <c r="AC222" s="62">
        <f t="shared" ca="1" si="52"/>
        <v>149.84611209421689</v>
      </c>
      <c r="AD222" s="62">
        <f t="shared" ca="1" si="53"/>
        <v>0</v>
      </c>
      <c r="AE222" s="62">
        <f t="shared" ca="1" si="54"/>
        <v>0</v>
      </c>
    </row>
    <row r="223" spans="18:31" x14ac:dyDescent="0.25">
      <c r="R223" s="92">
        <f ca="1"/>
        <v>44498</v>
      </c>
      <c r="S223" s="62">
        <f t="shared" ca="1" si="49"/>
        <v>44498</v>
      </c>
      <c r="T223" s="62">
        <f t="shared" ca="1" si="43"/>
        <v>41.762252044079865</v>
      </c>
      <c r="U223" s="62">
        <f t="shared" ca="1" si="44"/>
        <v>140.27575005924101</v>
      </c>
      <c r="V223" s="62">
        <f t="shared" ca="1" si="45"/>
        <v>0</v>
      </c>
      <c r="W223" s="60">
        <f t="shared" ca="1" si="46"/>
        <v>115.5223330405249</v>
      </c>
      <c r="X223" s="60">
        <f t="shared" ca="1" si="50"/>
        <v>395.34299614115378</v>
      </c>
      <c r="Y223" s="60">
        <f t="shared" ca="1" si="47"/>
        <v>0</v>
      </c>
      <c r="Z223" s="60">
        <f t="shared" ca="1" si="48"/>
        <v>0.89679353119945704</v>
      </c>
      <c r="AA223" s="92">
        <f ca="1"/>
        <v>44724</v>
      </c>
      <c r="AB223" s="62">
        <f t="shared" ca="1" si="51"/>
        <v>44724</v>
      </c>
      <c r="AC223" s="62">
        <f t="shared" ca="1" si="52"/>
        <v>150.21646661578347</v>
      </c>
      <c r="AD223" s="62">
        <f t="shared" ca="1" si="53"/>
        <v>0</v>
      </c>
      <c r="AE223" s="62">
        <f t="shared" ca="1" si="54"/>
        <v>0</v>
      </c>
    </row>
    <row r="224" spans="18:31" x14ac:dyDescent="0.25">
      <c r="R224" s="92">
        <f ca="1"/>
        <v>44499</v>
      </c>
      <c r="S224" s="62">
        <f t="shared" ca="1" si="49"/>
        <v>44499</v>
      </c>
      <c r="T224" s="62">
        <f t="shared" ca="1" si="43"/>
        <v>41.052397298191117</v>
      </c>
      <c r="U224" s="62">
        <f t="shared" ca="1" si="44"/>
        <v>141.45333678466801</v>
      </c>
      <c r="V224" s="62">
        <f t="shared" ca="1" si="45"/>
        <v>0</v>
      </c>
      <c r="W224" s="60">
        <f t="shared" ca="1" si="46"/>
        <v>114.23416746927154</v>
      </c>
      <c r="X224" s="60">
        <f t="shared" ca="1" si="50"/>
        <v>395.34299614115378</v>
      </c>
      <c r="Y224" s="60">
        <f t="shared" ca="1" si="47"/>
        <v>0</v>
      </c>
      <c r="Z224" s="60">
        <f t="shared" ca="1" si="48"/>
        <v>0.89698615422210803</v>
      </c>
      <c r="AA224" s="92">
        <f ca="1"/>
        <v>44725</v>
      </c>
      <c r="AB224" s="62">
        <f t="shared" ca="1" si="51"/>
        <v>44725</v>
      </c>
      <c r="AC224" s="62">
        <f t="shared" ca="1" si="52"/>
        <v>150.58022255066123</v>
      </c>
      <c r="AD224" s="62">
        <f t="shared" ca="1" si="53"/>
        <v>0</v>
      </c>
      <c r="AE224" s="62">
        <f t="shared" ca="1" si="54"/>
        <v>0</v>
      </c>
    </row>
    <row r="225" spans="18:31" x14ac:dyDescent="0.25">
      <c r="R225" s="92">
        <f ca="1"/>
        <v>44500</v>
      </c>
      <c r="S225" s="62">
        <f t="shared" ca="1" si="49"/>
        <v>44500</v>
      </c>
      <c r="T225" s="62">
        <f t="shared" ca="1" si="43"/>
        <v>40.354293877085773</v>
      </c>
      <c r="U225" s="62">
        <f t="shared" ca="1" si="44"/>
        <v>142.60222666604901</v>
      </c>
      <c r="V225" s="62">
        <f t="shared" ca="1" si="45"/>
        <v>0</v>
      </c>
      <c r="W225" s="60">
        <f t="shared" ca="1" si="46"/>
        <v>112.21183725560894</v>
      </c>
      <c r="X225" s="60">
        <f t="shared" ca="1" si="50"/>
        <v>395.34299614115378</v>
      </c>
      <c r="Y225" s="60">
        <f t="shared" ca="1" si="47"/>
        <v>0</v>
      </c>
      <c r="Z225" s="60">
        <f t="shared" ca="1" si="48"/>
        <v>0.89716499456139898</v>
      </c>
      <c r="AA225" s="92">
        <f ca="1"/>
        <v>44726</v>
      </c>
      <c r="AB225" s="62">
        <f t="shared" ca="1" si="51"/>
        <v>44726</v>
      </c>
      <c r="AC225" s="62">
        <f t="shared" ca="1" si="52"/>
        <v>150.92516843662025</v>
      </c>
      <c r="AD225" s="62">
        <f t="shared" ca="1" si="53"/>
        <v>0</v>
      </c>
      <c r="AE225" s="62">
        <f t="shared" ca="1" si="54"/>
        <v>0</v>
      </c>
    </row>
    <row r="226" spans="18:31" x14ac:dyDescent="0.25">
      <c r="R226" s="92">
        <f ca="1"/>
        <v>44501</v>
      </c>
      <c r="S226" s="62">
        <f t="shared" ca="1" si="49"/>
        <v>44501</v>
      </c>
      <c r="T226" s="62">
        <f t="shared" ca="1" si="43"/>
        <v>39.682305867931284</v>
      </c>
      <c r="U226" s="62">
        <f t="shared" ca="1" si="44"/>
        <v>143.69969412932099</v>
      </c>
      <c r="V226" s="62">
        <f t="shared" ca="1" si="45"/>
        <v>0</v>
      </c>
      <c r="W226" s="60">
        <f t="shared" ca="1" si="46"/>
        <v>110.62594586003458</v>
      </c>
      <c r="X226" s="60">
        <f t="shared" ca="1" si="50"/>
        <v>395.34299614115378</v>
      </c>
      <c r="Y226" s="60">
        <f t="shared" ca="1" si="47"/>
        <v>0</v>
      </c>
      <c r="Z226" s="60">
        <f t="shared" ca="1" si="48"/>
        <v>0.89732780052698602</v>
      </c>
      <c r="AA226" s="92">
        <f ca="1"/>
        <v>44727</v>
      </c>
      <c r="AB226" s="62">
        <f t="shared" ca="1" si="51"/>
        <v>44727</v>
      </c>
      <c r="AC226" s="62">
        <f t="shared" ca="1" si="52"/>
        <v>151.27212501726325</v>
      </c>
      <c r="AD226" s="62">
        <f t="shared" ca="1" si="53"/>
        <v>0</v>
      </c>
      <c r="AE226" s="62">
        <f t="shared" ca="1" si="54"/>
        <v>0</v>
      </c>
    </row>
    <row r="227" spans="18:31" x14ac:dyDescent="0.25">
      <c r="R227" s="92">
        <f ca="1"/>
        <v>44502</v>
      </c>
      <c r="S227" s="62">
        <f t="shared" ca="1" si="49"/>
        <v>44502</v>
      </c>
      <c r="T227" s="62">
        <f t="shared" ca="1" si="43"/>
        <v>39.008701510794673</v>
      </c>
      <c r="U227" s="62">
        <f t="shared" ca="1" si="44"/>
        <v>144.78849159023699</v>
      </c>
      <c r="V227" s="62">
        <f t="shared" ca="1" si="45"/>
        <v>0</v>
      </c>
      <c r="W227" s="60">
        <f t="shared" ca="1" si="46"/>
        <v>107.8451749820242</v>
      </c>
      <c r="X227" s="60">
        <f t="shared" ca="1" si="50"/>
        <v>395.34299614115378</v>
      </c>
      <c r="Y227" s="60">
        <f t="shared" ca="1" si="47"/>
        <v>0</v>
      </c>
      <c r="Z227" s="60">
        <f t="shared" ca="1" si="48"/>
        <v>0.89748188451283495</v>
      </c>
      <c r="AA227" s="92">
        <f ca="1"/>
        <v>44728</v>
      </c>
      <c r="AB227" s="62">
        <f t="shared" ca="1" si="51"/>
        <v>44728</v>
      </c>
      <c r="AC227" s="62">
        <f t="shared" ca="1" si="52"/>
        <v>151.60078470859025</v>
      </c>
      <c r="AD227" s="62">
        <f t="shared" ca="1" si="53"/>
        <v>0</v>
      </c>
      <c r="AE227" s="62">
        <f t="shared" ca="1" si="54"/>
        <v>0</v>
      </c>
    </row>
    <row r="228" spans="18:31" x14ac:dyDescent="0.25">
      <c r="R228" s="92">
        <f ca="1"/>
        <v>44503</v>
      </c>
      <c r="S228" s="62">
        <f t="shared" ca="1" si="49"/>
        <v>44503</v>
      </c>
      <c r="T228" s="62">
        <f t="shared" ca="1" si="43"/>
        <v>38.349180557278316</v>
      </c>
      <c r="U228" s="62">
        <f t="shared" ca="1" si="44"/>
        <v>145.85604014422299</v>
      </c>
      <c r="V228" s="62">
        <f t="shared" ca="1" si="45"/>
        <v>0</v>
      </c>
      <c r="W228" s="60">
        <f t="shared" ca="1" si="46"/>
        <v>107.04921755462445</v>
      </c>
      <c r="X228" s="60">
        <f t="shared" ca="1" si="50"/>
        <v>395.34299614115378</v>
      </c>
      <c r="Y228" s="60">
        <f t="shared" ca="1" si="47"/>
        <v>0</v>
      </c>
      <c r="Z228" s="60">
        <f t="shared" ca="1" si="48"/>
        <v>0.89762605714063504</v>
      </c>
      <c r="AA228" s="92">
        <f ca="1"/>
        <v>44729</v>
      </c>
      <c r="AB228" s="62">
        <f t="shared" ca="1" si="51"/>
        <v>44729</v>
      </c>
      <c r="AC228" s="62">
        <f t="shared" ca="1" si="52"/>
        <v>151.93173539207865</v>
      </c>
      <c r="AD228" s="62">
        <f t="shared" ca="1" si="53"/>
        <v>0</v>
      </c>
      <c r="AE228" s="62">
        <f t="shared" ca="1" si="54"/>
        <v>0</v>
      </c>
    </row>
    <row r="229" spans="18:31" x14ac:dyDescent="0.25">
      <c r="R229" s="92">
        <f ca="1"/>
        <v>44504</v>
      </c>
      <c r="S229" s="62">
        <f t="shared" ca="1" si="49"/>
        <v>44504</v>
      </c>
      <c r="T229" s="62">
        <f t="shared" ca="1" si="43"/>
        <v>37.694032554941792</v>
      </c>
      <c r="U229" s="62">
        <f t="shared" ca="1" si="44"/>
        <v>146.925947180892</v>
      </c>
      <c r="V229" s="62">
        <f t="shared" ca="1" si="45"/>
        <v>0</v>
      </c>
      <c r="W229" s="60">
        <f t="shared" ca="1" si="46"/>
        <v>106.91490986465976</v>
      </c>
      <c r="X229" s="60">
        <f t="shared" ca="1" si="50"/>
        <v>395.34299614115378</v>
      </c>
      <c r="Y229" s="60">
        <f t="shared" ca="1" si="47"/>
        <v>0</v>
      </c>
      <c r="Z229" s="60">
        <f t="shared" ca="1" si="48"/>
        <v>0.89776395993087899</v>
      </c>
      <c r="AA229" s="92">
        <f ca="1"/>
        <v>44730</v>
      </c>
      <c r="AB229" s="62">
        <f t="shared" ca="1" si="51"/>
        <v>44730</v>
      </c>
      <c r="AC229" s="62">
        <f t="shared" ca="1" si="52"/>
        <v>152.27973863476612</v>
      </c>
      <c r="AD229" s="62">
        <f t="shared" ca="1" si="53"/>
        <v>0</v>
      </c>
      <c r="AE229" s="62">
        <f t="shared" ca="1" si="54"/>
        <v>0</v>
      </c>
    </row>
    <row r="230" spans="18:31" x14ac:dyDescent="0.25">
      <c r="R230" s="92">
        <f ca="1"/>
        <v>44505</v>
      </c>
      <c r="S230" s="62">
        <f t="shared" ca="1" si="49"/>
        <v>44505</v>
      </c>
      <c r="T230" s="62">
        <f t="shared" ca="1" si="43"/>
        <v>37.052041606938694</v>
      </c>
      <c r="U230" s="62">
        <f t="shared" ca="1" si="44"/>
        <v>148.00768785826099</v>
      </c>
      <c r="V230" s="62">
        <f t="shared" ca="1" si="45"/>
        <v>0</v>
      </c>
      <c r="W230" s="60">
        <f t="shared" ca="1" si="46"/>
        <v>109.67646879256424</v>
      </c>
      <c r="X230" s="60">
        <f t="shared" ca="1" si="50"/>
        <v>395.34299614115378</v>
      </c>
      <c r="Y230" s="60">
        <f t="shared" ca="1" si="47"/>
        <v>0</v>
      </c>
      <c r="Z230" s="60">
        <f t="shared" ca="1" si="48"/>
        <v>0.89789694589746805</v>
      </c>
      <c r="AA230" s="92">
        <f ca="1"/>
        <v>44731</v>
      </c>
      <c r="AB230" s="62">
        <f t="shared" ca="1" si="51"/>
        <v>44731</v>
      </c>
      <c r="AC230" s="62">
        <f t="shared" ca="1" si="52"/>
        <v>152.6162951005669</v>
      </c>
      <c r="AD230" s="62">
        <f t="shared" ca="1" si="53"/>
        <v>0</v>
      </c>
      <c r="AE230" s="62">
        <f t="shared" ca="1" si="54"/>
        <v>0</v>
      </c>
    </row>
    <row r="231" spans="18:31" x14ac:dyDescent="0.25">
      <c r="R231" s="92">
        <f ca="1"/>
        <v>44506</v>
      </c>
      <c r="S231" s="62">
        <f t="shared" ca="1" si="49"/>
        <v>44506</v>
      </c>
      <c r="T231" s="62">
        <f t="shared" ca="1" si="43"/>
        <v>36.441541644737775</v>
      </c>
      <c r="U231" s="62">
        <f t="shared" ca="1" si="44"/>
        <v>149.046302416402</v>
      </c>
      <c r="V231" s="62">
        <f t="shared" ca="1" si="45"/>
        <v>0</v>
      </c>
      <c r="W231" s="60">
        <f t="shared" ca="1" si="46"/>
        <v>110.27925598403222</v>
      </c>
      <c r="X231" s="60">
        <f t="shared" ca="1" si="50"/>
        <v>395.34299614115378</v>
      </c>
      <c r="Y231" s="60">
        <f t="shared" ca="1" si="47"/>
        <v>0</v>
      </c>
      <c r="Z231" s="60">
        <f t="shared" ca="1" si="48"/>
        <v>0.89801877163465904</v>
      </c>
      <c r="AA231" s="92">
        <f ca="1"/>
        <v>44732</v>
      </c>
      <c r="AB231" s="62">
        <f t="shared" ca="1" si="51"/>
        <v>44732</v>
      </c>
      <c r="AC231" s="62">
        <f t="shared" ca="1" si="52"/>
        <v>152.9581819886094</v>
      </c>
      <c r="AD231" s="62">
        <f t="shared" ca="1" si="53"/>
        <v>0</v>
      </c>
      <c r="AE231" s="62">
        <f t="shared" ca="1" si="54"/>
        <v>0</v>
      </c>
    </row>
    <row r="232" spans="18:31" x14ac:dyDescent="0.25">
      <c r="R232" s="92">
        <f ca="1"/>
        <v>44507</v>
      </c>
      <c r="S232" s="62">
        <f t="shared" ca="1" si="49"/>
        <v>44507</v>
      </c>
      <c r="T232" s="62">
        <f t="shared" ca="1" si="43"/>
        <v>35.83821576222541</v>
      </c>
      <c r="U232" s="62">
        <f t="shared" ca="1" si="44"/>
        <v>150.09327477327901</v>
      </c>
      <c r="V232" s="62">
        <f t="shared" ca="1" si="45"/>
        <v>0</v>
      </c>
      <c r="W232" s="60">
        <f t="shared" ca="1" si="46"/>
        <v>111.17030947682343</v>
      </c>
      <c r="X232" s="60">
        <f t="shared" ca="1" si="50"/>
        <v>395.34299614115378</v>
      </c>
      <c r="Y232" s="60">
        <f t="shared" ca="1" si="47"/>
        <v>0</v>
      </c>
      <c r="Z232" s="60">
        <f t="shared" ca="1" si="48"/>
        <v>0.89813599272705602</v>
      </c>
      <c r="AA232" s="92">
        <f ca="1"/>
        <v>44733</v>
      </c>
      <c r="AB232" s="62">
        <f t="shared" ca="1" si="51"/>
        <v>44733</v>
      </c>
      <c r="AC232" s="62">
        <f t="shared" ca="1" si="52"/>
        <v>153.30370802838371</v>
      </c>
      <c r="AD232" s="62">
        <f t="shared" ca="1" si="53"/>
        <v>0</v>
      </c>
      <c r="AE232" s="62">
        <f t="shared" ca="1" si="54"/>
        <v>0</v>
      </c>
    </row>
    <row r="233" spans="18:31" x14ac:dyDescent="0.25">
      <c r="R233" s="92">
        <f ca="1"/>
        <v>44508</v>
      </c>
      <c r="S233" s="62">
        <f t="shared" ca="1" si="49"/>
        <v>44508</v>
      </c>
      <c r="T233" s="62">
        <f t="shared" ca="1" si="43"/>
        <v>35.240570717956238</v>
      </c>
      <c r="U233" s="62">
        <f t="shared" ca="1" si="44"/>
        <v>151.144139953229</v>
      </c>
      <c r="V233" s="62">
        <f t="shared" ca="1" si="45"/>
        <v>0</v>
      </c>
      <c r="W233" s="60">
        <f t="shared" ca="1" si="46"/>
        <v>111.11089509407793</v>
      </c>
      <c r="X233" s="60">
        <f t="shared" ca="1" si="50"/>
        <v>395.34299614115378</v>
      </c>
      <c r="Y233" s="60">
        <f t="shared" ca="1" si="47"/>
        <v>0</v>
      </c>
      <c r="Z233" s="60">
        <f t="shared" ca="1" si="48"/>
        <v>0.89824822574445096</v>
      </c>
      <c r="AA233" s="92">
        <f ca="1"/>
        <v>44734</v>
      </c>
      <c r="AB233" s="62">
        <f t="shared" ca="1" si="51"/>
        <v>44734</v>
      </c>
      <c r="AC233" s="62">
        <f t="shared" ca="1" si="52"/>
        <v>153.6381250896477</v>
      </c>
      <c r="AD233" s="62">
        <f t="shared" ca="1" si="53"/>
        <v>0</v>
      </c>
      <c r="AE233" s="62">
        <f t="shared" ca="1" si="54"/>
        <v>0</v>
      </c>
    </row>
    <row r="234" spans="18:31" x14ac:dyDescent="0.25">
      <c r="R234" s="92">
        <f ca="1"/>
        <v>44509</v>
      </c>
      <c r="S234" s="62">
        <f t="shared" ca="1" si="49"/>
        <v>44509</v>
      </c>
      <c r="T234" s="62">
        <f t="shared" ca="1" si="43"/>
        <v>34.669620377919721</v>
      </c>
      <c r="U234" s="62">
        <f t="shared" ca="1" si="44"/>
        <v>152.15471886005</v>
      </c>
      <c r="V234" s="62">
        <f t="shared" ca="1" si="45"/>
        <v>0</v>
      </c>
      <c r="W234" s="60">
        <f t="shared" ca="1" si="46"/>
        <v>111.08145779181928</v>
      </c>
      <c r="X234" s="60">
        <f t="shared" ca="1" si="50"/>
        <v>395.34299614115378</v>
      </c>
      <c r="Y234" s="60">
        <f t="shared" ca="1" si="47"/>
        <v>0</v>
      </c>
      <c r="Z234" s="60">
        <f t="shared" ca="1" si="48"/>
        <v>0.89835122391364397</v>
      </c>
      <c r="AA234" s="92">
        <f ca="1"/>
        <v>44735</v>
      </c>
      <c r="AB234" s="62">
        <f t="shared" ca="1" si="51"/>
        <v>44735</v>
      </c>
      <c r="AC234" s="62">
        <f t="shared" ca="1" si="52"/>
        <v>153.96425644695728</v>
      </c>
      <c r="AD234" s="62">
        <f t="shared" ca="1" si="53"/>
        <v>0</v>
      </c>
      <c r="AE234" s="62">
        <f t="shared" ca="1" si="54"/>
        <v>0</v>
      </c>
    </row>
    <row r="235" spans="18:31" x14ac:dyDescent="0.25">
      <c r="R235" s="92">
        <f ca="1"/>
        <v>44510</v>
      </c>
      <c r="S235" s="62">
        <f t="shared" ca="1" si="49"/>
        <v>44510</v>
      </c>
      <c r="T235" s="62">
        <f t="shared" ca="1" si="43"/>
        <v>34.097781781070843</v>
      </c>
      <c r="U235" s="62">
        <f t="shared" ca="1" si="44"/>
        <v>153.17487517847999</v>
      </c>
      <c r="V235" s="62">
        <f t="shared" ca="1" si="45"/>
        <v>0</v>
      </c>
      <c r="W235" s="60">
        <f t="shared" ca="1" si="46"/>
        <v>110.12865257021132</v>
      </c>
      <c r="X235" s="60">
        <f t="shared" ca="1" si="50"/>
        <v>395.34299614115378</v>
      </c>
      <c r="Y235" s="60">
        <f t="shared" ca="1" si="47"/>
        <v>0</v>
      </c>
      <c r="Z235" s="60">
        <f t="shared" ca="1" si="48"/>
        <v>0.89845047651994503</v>
      </c>
      <c r="AA235" s="92">
        <f ca="1"/>
        <v>44736</v>
      </c>
      <c r="AB235" s="62">
        <f t="shared" ca="1" si="51"/>
        <v>44736</v>
      </c>
      <c r="AC235" s="62">
        <f t="shared" ca="1" si="52"/>
        <v>154.29399804016418</v>
      </c>
      <c r="AD235" s="62">
        <f t="shared" ca="1" si="53"/>
        <v>0</v>
      </c>
      <c r="AE235" s="62">
        <f t="shared" ca="1" si="54"/>
        <v>0</v>
      </c>
    </row>
    <row r="236" spans="18:31" x14ac:dyDescent="0.25">
      <c r="R236" s="92">
        <f ca="1"/>
        <v>44511</v>
      </c>
      <c r="S236" s="62">
        <f t="shared" ca="1" si="49"/>
        <v>44511</v>
      </c>
      <c r="T236" s="62">
        <f t="shared" ca="1" si="43"/>
        <v>33.529498388217505</v>
      </c>
      <c r="U236" s="62">
        <f t="shared" ca="1" si="44"/>
        <v>154.18606382413901</v>
      </c>
      <c r="V236" s="62">
        <f t="shared" ca="1" si="45"/>
        <v>0</v>
      </c>
      <c r="W236" s="60">
        <f t="shared" ca="1" si="46"/>
        <v>108.22432878429619</v>
      </c>
      <c r="X236" s="60">
        <f t="shared" ca="1" si="50"/>
        <v>395.34299614115378</v>
      </c>
      <c r="Y236" s="60">
        <f t="shared" ca="1" si="47"/>
        <v>0</v>
      </c>
      <c r="Z236" s="60">
        <f t="shared" ca="1" si="48"/>
        <v>0.898544347436394</v>
      </c>
      <c r="AA236" s="92">
        <f ca="1"/>
        <v>44737</v>
      </c>
      <c r="AB236" s="62">
        <f t="shared" ca="1" si="51"/>
        <v>44737</v>
      </c>
      <c r="AC236" s="62">
        <f t="shared" ca="1" si="52"/>
        <v>154.62919078207506</v>
      </c>
      <c r="AD236" s="62">
        <f t="shared" ca="1" si="53"/>
        <v>0</v>
      </c>
      <c r="AE236" s="62">
        <f t="shared" ca="1" si="54"/>
        <v>0</v>
      </c>
    </row>
    <row r="237" spans="18:31" x14ac:dyDescent="0.25">
      <c r="R237" s="92">
        <f ca="1"/>
        <v>44512</v>
      </c>
      <c r="S237" s="62">
        <f t="shared" ca="1" si="49"/>
        <v>44512</v>
      </c>
      <c r="T237" s="62">
        <f t="shared" ca="1" si="43"/>
        <v>32.978379960008915</v>
      </c>
      <c r="U237" s="62">
        <f t="shared" ca="1" si="44"/>
        <v>155.179711311831</v>
      </c>
      <c r="V237" s="62">
        <f t="shared" ca="1" si="45"/>
        <v>0</v>
      </c>
      <c r="W237" s="60">
        <f t="shared" ca="1" si="46"/>
        <v>108.36755397469062</v>
      </c>
      <c r="X237" s="60">
        <f t="shared" ca="1" si="50"/>
        <v>395.34299614115378</v>
      </c>
      <c r="Y237" s="60">
        <f t="shared" ca="1" si="47"/>
        <v>0</v>
      </c>
      <c r="Z237" s="60">
        <f t="shared" ca="1" si="48"/>
        <v>0.89863237681049002</v>
      </c>
      <c r="AA237" s="92">
        <f ca="1"/>
        <v>44738</v>
      </c>
      <c r="AB237" s="62">
        <f t="shared" ca="1" si="51"/>
        <v>44738</v>
      </c>
      <c r="AC237" s="62">
        <f t="shared" ca="1" si="52"/>
        <v>154.9526439757546</v>
      </c>
      <c r="AD237" s="62">
        <f t="shared" ca="1" si="53"/>
        <v>0</v>
      </c>
      <c r="AE237" s="62">
        <f t="shared" ca="1" si="54"/>
        <v>0</v>
      </c>
    </row>
    <row r="238" spans="18:31" x14ac:dyDescent="0.25">
      <c r="R238" s="92">
        <f ca="1"/>
        <v>44513</v>
      </c>
      <c r="S238" s="62">
        <f t="shared" ca="1" si="49"/>
        <v>44513</v>
      </c>
      <c r="T238" s="62">
        <f t="shared" ca="1" si="43"/>
        <v>32.446148466202906</v>
      </c>
      <c r="U238" s="62">
        <f t="shared" ca="1" si="44"/>
        <v>156.142637789215</v>
      </c>
      <c r="V238" s="62">
        <f t="shared" ca="1" si="45"/>
        <v>0</v>
      </c>
      <c r="W238" s="60">
        <f t="shared" ca="1" si="46"/>
        <v>107.62618135915628</v>
      </c>
      <c r="X238" s="60">
        <f t="shared" ca="1" si="50"/>
        <v>395.34299614115378</v>
      </c>
      <c r="Y238" s="60">
        <f t="shared" ca="1" si="47"/>
        <v>0</v>
      </c>
      <c r="Z238" s="60">
        <f t="shared" ca="1" si="48"/>
        <v>0.89871384291710998</v>
      </c>
      <c r="AA238" s="92">
        <f ca="1"/>
        <v>44739</v>
      </c>
      <c r="AB238" s="62">
        <f t="shared" ca="1" si="51"/>
        <v>44739</v>
      </c>
      <c r="AC238" s="62">
        <f t="shared" ca="1" si="52"/>
        <v>155.27923178784008</v>
      </c>
      <c r="AD238" s="62">
        <f t="shared" ca="1" si="53"/>
        <v>0</v>
      </c>
      <c r="AE238" s="62">
        <f t="shared" ca="1" si="54"/>
        <v>0</v>
      </c>
    </row>
    <row r="239" spans="18:31" x14ac:dyDescent="0.25">
      <c r="R239" s="92">
        <f ca="1"/>
        <v>44514</v>
      </c>
      <c r="S239" s="62">
        <f t="shared" ca="1" si="49"/>
        <v>44514</v>
      </c>
      <c r="T239" s="62">
        <f t="shared" ca="1" si="43"/>
        <v>31.927820540280038</v>
      </c>
      <c r="U239" s="62">
        <f t="shared" ca="1" si="44"/>
        <v>157.08705744986699</v>
      </c>
      <c r="V239" s="62">
        <f t="shared" ca="1" si="45"/>
        <v>0</v>
      </c>
      <c r="W239" s="60">
        <f t="shared" ca="1" si="46"/>
        <v>107.02223850210737</v>
      </c>
      <c r="X239" s="60">
        <f t="shared" ca="1" si="50"/>
        <v>395.34299614115378</v>
      </c>
      <c r="Y239" s="60">
        <f t="shared" ca="1" si="47"/>
        <v>0</v>
      </c>
      <c r="Z239" s="60">
        <f t="shared" ca="1" si="48"/>
        <v>0.89879019911644398</v>
      </c>
      <c r="AA239" s="92">
        <f ca="1"/>
        <v>44740</v>
      </c>
      <c r="AB239" s="62">
        <f t="shared" ca="1" si="51"/>
        <v>44740</v>
      </c>
      <c r="AC239" s="62">
        <f t="shared" ca="1" si="52"/>
        <v>155.60183131174347</v>
      </c>
      <c r="AD239" s="62">
        <f t="shared" ca="1" si="53"/>
        <v>0</v>
      </c>
      <c r="AE239" s="62">
        <f t="shared" ca="1" si="54"/>
        <v>0</v>
      </c>
    </row>
    <row r="240" spans="18:31" x14ac:dyDescent="0.25">
      <c r="R240" s="92">
        <f ca="1"/>
        <v>44515</v>
      </c>
      <c r="S240" s="62">
        <f t="shared" ca="1" si="49"/>
        <v>44515</v>
      </c>
      <c r="T240" s="62">
        <f t="shared" ca="1" si="43"/>
        <v>31.406910138360892</v>
      </c>
      <c r="U240" s="62">
        <f t="shared" ca="1" si="44"/>
        <v>158.03906389947699</v>
      </c>
      <c r="V240" s="62">
        <f t="shared" ca="1" si="45"/>
        <v>0</v>
      </c>
      <c r="W240" s="60">
        <f t="shared" ca="1" si="46"/>
        <v>105.31005987265125</v>
      </c>
      <c r="X240" s="60">
        <f t="shared" ca="1" si="50"/>
        <v>395.34299614115378</v>
      </c>
      <c r="Y240" s="60">
        <f t="shared" ca="1" si="47"/>
        <v>0</v>
      </c>
      <c r="Z240" s="60">
        <f t="shared" ca="1" si="48"/>
        <v>0.89886373926119101</v>
      </c>
      <c r="AA240" s="92">
        <f ca="1"/>
        <v>44741</v>
      </c>
      <c r="AB240" s="62">
        <f t="shared" ca="1" si="51"/>
        <v>44741</v>
      </c>
      <c r="AC240" s="62">
        <f t="shared" ca="1" si="52"/>
        <v>155.92777674547136</v>
      </c>
      <c r="AD240" s="62">
        <f t="shared" ca="1" si="53"/>
        <v>0</v>
      </c>
      <c r="AE240" s="62">
        <f t="shared" ca="1" si="54"/>
        <v>0</v>
      </c>
    </row>
    <row r="241" spans="18:31" x14ac:dyDescent="0.25">
      <c r="R241" s="92">
        <f ca="1"/>
        <v>44516</v>
      </c>
      <c r="S241" s="62">
        <f t="shared" ca="1" si="49"/>
        <v>44516</v>
      </c>
      <c r="T241" s="62">
        <f t="shared" ca="1" si="43"/>
        <v>30.896509190316984</v>
      </c>
      <c r="U241" s="62">
        <f t="shared" ca="1" si="44"/>
        <v>158.995751708547</v>
      </c>
      <c r="V241" s="62">
        <f t="shared" ca="1" si="45"/>
        <v>0</v>
      </c>
      <c r="W241" s="60">
        <f t="shared" ca="1" si="46"/>
        <v>106.01018311414438</v>
      </c>
      <c r="X241" s="60">
        <f t="shared" ca="1" si="50"/>
        <v>395.34299614115378</v>
      </c>
      <c r="Y241" s="60">
        <f t="shared" ca="1" si="47"/>
        <v>0</v>
      </c>
      <c r="Z241" s="60">
        <f t="shared" ca="1" si="48"/>
        <v>0.89893429199515895</v>
      </c>
      <c r="AA241" s="92">
        <f ca="1"/>
        <v>44742</v>
      </c>
      <c r="AB241" s="62">
        <f t="shared" ca="1" si="51"/>
        <v>44742</v>
      </c>
      <c r="AC241" s="62">
        <f t="shared" ca="1" si="52"/>
        <v>156.25633342326003</v>
      </c>
      <c r="AD241" s="62">
        <f t="shared" ca="1" si="53"/>
        <v>0</v>
      </c>
      <c r="AE241" s="62">
        <f t="shared" ca="1" si="54"/>
        <v>0</v>
      </c>
    </row>
    <row r="242" spans="18:31" x14ac:dyDescent="0.25">
      <c r="R242" s="92">
        <f ca="1"/>
        <v>44517</v>
      </c>
      <c r="S242" s="62">
        <f t="shared" ca="1" si="49"/>
        <v>44517</v>
      </c>
      <c r="T242" s="62">
        <f t="shared" ca="1" si="43"/>
        <v>30.405086765565251</v>
      </c>
      <c r="U242" s="62">
        <f t="shared" ca="1" si="44"/>
        <v>159.91220309087601</v>
      </c>
      <c r="V242" s="62">
        <f t="shared" ca="1" si="45"/>
        <v>0</v>
      </c>
      <c r="W242" s="60">
        <f t="shared" ca="1" si="46"/>
        <v>104.43607105531495</v>
      </c>
      <c r="X242" s="60">
        <f t="shared" ca="1" si="50"/>
        <v>395.34299614115378</v>
      </c>
      <c r="Y242" s="60">
        <f t="shared" ca="1" si="47"/>
        <v>0</v>
      </c>
      <c r="Z242" s="60">
        <f t="shared" ca="1" si="48"/>
        <v>0.89899883649354795</v>
      </c>
      <c r="AA242" s="92">
        <f ca="1"/>
        <v>44743</v>
      </c>
      <c r="AB242" s="62">
        <f t="shared" ca="1" si="51"/>
        <v>44743</v>
      </c>
      <c r="AC242" s="62">
        <f t="shared" ca="1" si="52"/>
        <v>156.56618860607227</v>
      </c>
      <c r="AD242" s="62">
        <f t="shared" ca="1" si="53"/>
        <v>0</v>
      </c>
      <c r="AE242" s="62">
        <f t="shared" ca="1" si="54"/>
        <v>0</v>
      </c>
    </row>
    <row r="243" spans="18:31" x14ac:dyDescent="0.25">
      <c r="R243" s="92">
        <f ca="1"/>
        <v>44518</v>
      </c>
      <c r="S243" s="62">
        <f t="shared" ca="1" si="49"/>
        <v>44518</v>
      </c>
      <c r="T243" s="62">
        <f t="shared" ca="1" si="43"/>
        <v>29.931663770224525</v>
      </c>
      <c r="U243" s="62">
        <f t="shared" ca="1" si="44"/>
        <v>160.79077902460401</v>
      </c>
      <c r="V243" s="62">
        <f t="shared" ca="1" si="45"/>
        <v>0</v>
      </c>
      <c r="W243" s="60">
        <f t="shared" ca="1" si="46"/>
        <v>102.84662833606198</v>
      </c>
      <c r="X243" s="60">
        <f t="shared" ca="1" si="50"/>
        <v>395.34299614115378</v>
      </c>
      <c r="Y243" s="60">
        <f t="shared" ca="1" si="47"/>
        <v>0</v>
      </c>
      <c r="Z243" s="60">
        <f t="shared" ca="1" si="48"/>
        <v>0.89905801275835695</v>
      </c>
      <c r="AA243" s="92">
        <f ca="1"/>
        <v>44744</v>
      </c>
      <c r="AB243" s="62">
        <f t="shared" ca="1" si="51"/>
        <v>44744</v>
      </c>
      <c r="AC243" s="62">
        <f t="shared" ca="1" si="52"/>
        <v>156.86154959558581</v>
      </c>
      <c r="AD243" s="62">
        <f t="shared" ca="1" si="53"/>
        <v>0</v>
      </c>
      <c r="AE243" s="62">
        <f t="shared" ca="1" si="54"/>
        <v>0</v>
      </c>
    </row>
    <row r="244" spans="18:31" x14ac:dyDescent="0.25">
      <c r="R244" s="92" t="e">
        <f ca="1"/>
        <v>#N/A</v>
      </c>
      <c r="S244" s="62" t="e">
        <f t="shared" ca="1" si="49"/>
        <v>#N/A</v>
      </c>
      <c r="T244" s="62" t="e">
        <f t="shared" ca="1" si="43"/>
        <v>#N/A</v>
      </c>
      <c r="U244" s="62" t="e">
        <f t="shared" ca="1" si="44"/>
        <v>#N/A</v>
      </c>
      <c r="V244" s="62" t="e">
        <f t="shared" ca="1" si="45"/>
        <v>#N/A</v>
      </c>
      <c r="W244" s="60" t="e">
        <f t="shared" ca="1" si="46"/>
        <v>#N/A</v>
      </c>
      <c r="X244" s="60" t="e">
        <f t="shared" ca="1" si="50"/>
        <v>#N/A</v>
      </c>
      <c r="Y244" s="60" t="e">
        <f t="shared" ca="1" si="47"/>
        <v>#N/A</v>
      </c>
      <c r="Z244" s="60" t="e">
        <f t="shared" ca="1" si="48"/>
        <v>#N/A</v>
      </c>
      <c r="AA244" s="92">
        <f ca="1"/>
        <v>44745</v>
      </c>
      <c r="AB244" s="62">
        <f t="shared" ca="1" si="51"/>
        <v>44745</v>
      </c>
      <c r="AC244" s="62">
        <f t="shared" ca="1" si="52"/>
        <v>157.16093069922138</v>
      </c>
      <c r="AD244" s="62">
        <f t="shared" ca="1" si="53"/>
        <v>0</v>
      </c>
      <c r="AE244" s="62">
        <f t="shared" ca="1" si="54"/>
        <v>0</v>
      </c>
    </row>
    <row r="245" spans="18:31" x14ac:dyDescent="0.25">
      <c r="R245" s="92" t="e">
        <f ca="1"/>
        <v>#N/A</v>
      </c>
      <c r="S245" s="62" t="e">
        <f t="shared" ca="1" si="49"/>
        <v>#N/A</v>
      </c>
      <c r="T245" s="62" t="e">
        <f t="shared" ca="1" si="43"/>
        <v>#N/A</v>
      </c>
      <c r="U245" s="62" t="e">
        <f t="shared" ca="1" si="44"/>
        <v>#N/A</v>
      </c>
      <c r="V245" s="62" t="e">
        <f t="shared" ca="1" si="45"/>
        <v>#N/A</v>
      </c>
      <c r="W245" s="60" t="e">
        <f t="shared" ca="1" si="46"/>
        <v>#N/A</v>
      </c>
      <c r="X245" s="60" t="e">
        <f t="shared" ca="1" si="50"/>
        <v>#N/A</v>
      </c>
      <c r="Y245" s="60" t="e">
        <f t="shared" ca="1" si="47"/>
        <v>#N/A</v>
      </c>
      <c r="Z245" s="60" t="e">
        <f t="shared" ca="1" si="48"/>
        <v>#N/A</v>
      </c>
      <c r="AA245" s="92">
        <f ca="1"/>
        <v>44746</v>
      </c>
      <c r="AB245" s="62">
        <f t="shared" ca="1" si="51"/>
        <v>44746</v>
      </c>
      <c r="AC245" s="62">
        <f t="shared" ca="1" si="52"/>
        <v>157.47465665483944</v>
      </c>
      <c r="AD245" s="62">
        <f t="shared" ca="1" si="53"/>
        <v>2.08795730046899</v>
      </c>
      <c r="AE245" s="62">
        <f t="shared" ca="1" si="54"/>
        <v>0</v>
      </c>
    </row>
    <row r="246" spans="18:31" x14ac:dyDescent="0.25">
      <c r="R246" s="92" t="e">
        <f ca="1"/>
        <v>#N/A</v>
      </c>
      <c r="S246" s="62" t="e">
        <f t="shared" ca="1" si="49"/>
        <v>#N/A</v>
      </c>
      <c r="T246" s="62" t="e">
        <f t="shared" ca="1" si="43"/>
        <v>#N/A</v>
      </c>
      <c r="U246" s="62" t="e">
        <f t="shared" ca="1" si="44"/>
        <v>#N/A</v>
      </c>
      <c r="V246" s="62" t="e">
        <f t="shared" ca="1" si="45"/>
        <v>#N/A</v>
      </c>
      <c r="W246" s="60" t="e">
        <f t="shared" ca="1" si="46"/>
        <v>#N/A</v>
      </c>
      <c r="X246" s="60" t="e">
        <f t="shared" ca="1" si="50"/>
        <v>#N/A</v>
      </c>
      <c r="Y246" s="60" t="e">
        <f t="shared" ca="1" si="47"/>
        <v>#N/A</v>
      </c>
      <c r="Z246" s="60" t="e">
        <f t="shared" ca="1" si="48"/>
        <v>#N/A</v>
      </c>
      <c r="AA246" s="92">
        <f ca="1"/>
        <v>44747</v>
      </c>
      <c r="AB246" s="62">
        <f t="shared" ca="1" si="51"/>
        <v>44747</v>
      </c>
      <c r="AC246" s="62">
        <f t="shared" ca="1" si="52"/>
        <v>157.72647718767439</v>
      </c>
      <c r="AD246" s="62">
        <f t="shared" ca="1" si="53"/>
        <v>2.16531377890312</v>
      </c>
      <c r="AE246" s="62">
        <f t="shared" ca="1" si="54"/>
        <v>0</v>
      </c>
    </row>
    <row r="247" spans="18:31" x14ac:dyDescent="0.25">
      <c r="R247" s="92" t="e">
        <f ca="1"/>
        <v>#N/A</v>
      </c>
      <c r="S247" s="62" t="e">
        <f t="shared" ca="1" si="49"/>
        <v>#N/A</v>
      </c>
      <c r="T247" s="62" t="e">
        <f t="shared" ca="1" si="43"/>
        <v>#N/A</v>
      </c>
      <c r="U247" s="62" t="e">
        <f t="shared" ca="1" si="44"/>
        <v>#N/A</v>
      </c>
      <c r="V247" s="62" t="e">
        <f t="shared" ca="1" si="45"/>
        <v>#N/A</v>
      </c>
      <c r="W247" s="60" t="e">
        <f t="shared" ca="1" si="46"/>
        <v>#N/A</v>
      </c>
      <c r="X247" s="60" t="e">
        <f t="shared" ca="1" si="50"/>
        <v>#N/A</v>
      </c>
      <c r="Y247" s="60" t="e">
        <f t="shared" ca="1" si="47"/>
        <v>#N/A</v>
      </c>
      <c r="Z247" s="60" t="e">
        <f t="shared" ca="1" si="48"/>
        <v>#N/A</v>
      </c>
      <c r="AA247" s="92">
        <f ca="1"/>
        <v>44748</v>
      </c>
      <c r="AB247" s="62">
        <f t="shared" ca="1" si="51"/>
        <v>44748</v>
      </c>
      <c r="AC247" s="62">
        <f t="shared" ca="1" si="52"/>
        <v>157.97442268079075</v>
      </c>
      <c r="AD247" s="62">
        <f t="shared" ca="1" si="53"/>
        <v>2.2451365185809999</v>
      </c>
      <c r="AE247" s="62">
        <f t="shared" ca="1" si="54"/>
        <v>0</v>
      </c>
    </row>
    <row r="248" spans="18:31" x14ac:dyDescent="0.25">
      <c r="R248" s="92" t="e">
        <f ca="1"/>
        <v>#N/A</v>
      </c>
      <c r="S248" s="62" t="e">
        <f t="shared" ca="1" si="49"/>
        <v>#N/A</v>
      </c>
      <c r="T248" s="62" t="e">
        <f t="shared" ca="1" si="43"/>
        <v>#N/A</v>
      </c>
      <c r="U248" s="62" t="e">
        <f t="shared" ca="1" si="44"/>
        <v>#N/A</v>
      </c>
      <c r="V248" s="62" t="e">
        <f t="shared" ca="1" si="45"/>
        <v>#N/A</v>
      </c>
      <c r="W248" s="60" t="e">
        <f t="shared" ca="1" si="46"/>
        <v>#N/A</v>
      </c>
      <c r="X248" s="60" t="e">
        <f t="shared" ca="1" si="50"/>
        <v>#N/A</v>
      </c>
      <c r="Y248" s="60" t="e">
        <f t="shared" ca="1" si="47"/>
        <v>#N/A</v>
      </c>
      <c r="Z248" s="60" t="e">
        <f t="shared" ca="1" si="48"/>
        <v>#N/A</v>
      </c>
      <c r="AA248" s="92">
        <f ca="1"/>
        <v>44749</v>
      </c>
      <c r="AB248" s="62">
        <f t="shared" ca="1" si="51"/>
        <v>44749</v>
      </c>
      <c r="AC248" s="62">
        <f t="shared" ca="1" si="52"/>
        <v>158.21810070082626</v>
      </c>
      <c r="AD248" s="62">
        <f t="shared" ca="1" si="53"/>
        <v>2.3273729945040298</v>
      </c>
      <c r="AE248" s="62">
        <f t="shared" ca="1" si="54"/>
        <v>0</v>
      </c>
    </row>
    <row r="249" spans="18:31" x14ac:dyDescent="0.25">
      <c r="R249" s="92" t="e">
        <f ca="1"/>
        <v>#N/A</v>
      </c>
      <c r="S249" s="62" t="e">
        <f t="shared" ca="1" si="49"/>
        <v>#N/A</v>
      </c>
      <c r="T249" s="62" t="e">
        <f t="shared" ca="1" si="43"/>
        <v>#N/A</v>
      </c>
      <c r="U249" s="62" t="e">
        <f t="shared" ca="1" si="44"/>
        <v>#N/A</v>
      </c>
      <c r="V249" s="62" t="e">
        <f t="shared" ca="1" si="45"/>
        <v>#N/A</v>
      </c>
      <c r="W249" s="60" t="e">
        <f t="shared" ca="1" si="46"/>
        <v>#N/A</v>
      </c>
      <c r="X249" s="60" t="e">
        <f t="shared" ca="1" si="50"/>
        <v>#N/A</v>
      </c>
      <c r="Y249" s="60" t="e">
        <f t="shared" ca="1" si="47"/>
        <v>#N/A</v>
      </c>
      <c r="Z249" s="60" t="e">
        <f t="shared" ca="1" si="48"/>
        <v>#N/A</v>
      </c>
      <c r="AA249" s="92">
        <f ca="1"/>
        <v>44750</v>
      </c>
      <c r="AB249" s="62">
        <f t="shared" ca="1" si="51"/>
        <v>44750</v>
      </c>
      <c r="AC249" s="62">
        <f t="shared" ca="1" si="52"/>
        <v>158.45189144363593</v>
      </c>
      <c r="AD249" s="62">
        <f t="shared" ca="1" si="53"/>
        <v>2.41007284785357</v>
      </c>
      <c r="AE249" s="62">
        <f t="shared" ca="1" si="54"/>
        <v>0</v>
      </c>
    </row>
    <row r="250" spans="18:31" x14ac:dyDescent="0.25">
      <c r="R250" s="92" t="e">
        <f ca="1"/>
        <v>#N/A</v>
      </c>
      <c r="S250" s="62" t="e">
        <f t="shared" ca="1" si="49"/>
        <v>#N/A</v>
      </c>
      <c r="T250" s="62" t="e">
        <f t="shared" ca="1" si="43"/>
        <v>#N/A</v>
      </c>
      <c r="U250" s="62" t="e">
        <f t="shared" ca="1" si="44"/>
        <v>#N/A</v>
      </c>
      <c r="V250" s="62" t="e">
        <f t="shared" ca="1" si="45"/>
        <v>#N/A</v>
      </c>
      <c r="W250" s="60" t="e">
        <f t="shared" ca="1" si="46"/>
        <v>#N/A</v>
      </c>
      <c r="X250" s="60" t="e">
        <f t="shared" ca="1" si="50"/>
        <v>#N/A</v>
      </c>
      <c r="Y250" s="60" t="e">
        <f t="shared" ca="1" si="47"/>
        <v>#N/A</v>
      </c>
      <c r="Z250" s="60" t="e">
        <f t="shared" ca="1" si="48"/>
        <v>#N/A</v>
      </c>
      <c r="AA250" s="92">
        <f ca="1"/>
        <v>44751</v>
      </c>
      <c r="AB250" s="62">
        <f t="shared" ca="1" si="51"/>
        <v>44751</v>
      </c>
      <c r="AC250" s="62">
        <f t="shared" ca="1" si="52"/>
        <v>158.68614146290969</v>
      </c>
      <c r="AD250" s="62">
        <f t="shared" ca="1" si="53"/>
        <v>2.49690058530128</v>
      </c>
      <c r="AE250" s="62">
        <f t="shared" ca="1" si="54"/>
        <v>0</v>
      </c>
    </row>
    <row r="251" spans="18:31" x14ac:dyDescent="0.25">
      <c r="R251" s="92" t="e">
        <f ca="1"/>
        <v>#N/A</v>
      </c>
      <c r="S251" s="62" t="e">
        <f t="shared" ca="1" si="49"/>
        <v>#N/A</v>
      </c>
      <c r="T251" s="62" t="e">
        <f t="shared" ca="1" si="43"/>
        <v>#N/A</v>
      </c>
      <c r="U251" s="62" t="e">
        <f t="shared" ca="1" si="44"/>
        <v>#N/A</v>
      </c>
      <c r="V251" s="62" t="e">
        <f t="shared" ca="1" si="45"/>
        <v>#N/A</v>
      </c>
      <c r="W251" s="60" t="e">
        <f t="shared" ca="1" si="46"/>
        <v>#N/A</v>
      </c>
      <c r="X251" s="60" t="e">
        <f t="shared" ca="1" si="50"/>
        <v>#N/A</v>
      </c>
      <c r="Y251" s="60" t="e">
        <f t="shared" ca="1" si="47"/>
        <v>#N/A</v>
      </c>
      <c r="Z251" s="60" t="e">
        <f t="shared" ca="1" si="48"/>
        <v>#N/A</v>
      </c>
      <c r="AA251" s="92">
        <f ca="1"/>
        <v>44752</v>
      </c>
      <c r="AB251" s="62">
        <f t="shared" ca="1" si="51"/>
        <v>44752</v>
      </c>
      <c r="AC251" s="62">
        <f t="shared" ca="1" si="52"/>
        <v>158.90329938179826</v>
      </c>
      <c r="AD251" s="62">
        <f t="shared" ca="1" si="53"/>
        <v>2.58111524972569</v>
      </c>
      <c r="AE251" s="62">
        <f t="shared" ca="1" si="54"/>
        <v>0</v>
      </c>
    </row>
    <row r="252" spans="18:31" x14ac:dyDescent="0.25">
      <c r="R252" s="92" t="e">
        <f ca="1"/>
        <v>#N/A</v>
      </c>
      <c r="S252" s="62" t="e">
        <f t="shared" ca="1" si="49"/>
        <v>#N/A</v>
      </c>
      <c r="T252" s="62" t="e">
        <f t="shared" ca="1" si="43"/>
        <v>#N/A</v>
      </c>
      <c r="U252" s="62" t="e">
        <f t="shared" ca="1" si="44"/>
        <v>#N/A</v>
      </c>
      <c r="V252" s="62" t="e">
        <f t="shared" ca="1" si="45"/>
        <v>#N/A</v>
      </c>
      <c r="W252" s="60" t="e">
        <f t="shared" ca="1" si="46"/>
        <v>#N/A</v>
      </c>
      <c r="X252" s="60" t="e">
        <f t="shared" ca="1" si="50"/>
        <v>#N/A</v>
      </c>
      <c r="Y252" s="60" t="e">
        <f t="shared" ca="1" si="47"/>
        <v>#N/A</v>
      </c>
      <c r="Z252" s="60" t="e">
        <f t="shared" ca="1" si="48"/>
        <v>#N/A</v>
      </c>
      <c r="AA252" s="92">
        <f ca="1"/>
        <v>44753</v>
      </c>
      <c r="AB252" s="62">
        <f t="shared" ca="1" si="51"/>
        <v>44753</v>
      </c>
      <c r="AC252" s="62">
        <f t="shared" ca="1" si="52"/>
        <v>159.11021542315652</v>
      </c>
      <c r="AD252" s="62">
        <f t="shared" ca="1" si="53"/>
        <v>2.6648043106861898</v>
      </c>
      <c r="AE252" s="62">
        <f t="shared" ca="1" si="54"/>
        <v>0</v>
      </c>
    </row>
    <row r="253" spans="18:31" x14ac:dyDescent="0.25">
      <c r="R253" s="92" t="e">
        <f ca="1"/>
        <v>#N/A</v>
      </c>
      <c r="S253" s="62" t="e">
        <f t="shared" ca="1" si="49"/>
        <v>#N/A</v>
      </c>
      <c r="T253" s="62" t="e">
        <f t="shared" ca="1" si="43"/>
        <v>#N/A</v>
      </c>
      <c r="U253" s="62" t="e">
        <f t="shared" ca="1" si="44"/>
        <v>#N/A</v>
      </c>
      <c r="V253" s="62" t="e">
        <f t="shared" ca="1" si="45"/>
        <v>#N/A</v>
      </c>
      <c r="W253" s="60" t="e">
        <f t="shared" ca="1" si="46"/>
        <v>#N/A</v>
      </c>
      <c r="X253" s="60" t="e">
        <f t="shared" ca="1" si="50"/>
        <v>#N/A</v>
      </c>
      <c r="Y253" s="60" t="e">
        <f t="shared" ca="1" si="47"/>
        <v>#N/A</v>
      </c>
      <c r="Z253" s="60" t="e">
        <f t="shared" ca="1" si="48"/>
        <v>#N/A</v>
      </c>
      <c r="AA253" s="92">
        <f ca="1"/>
        <v>44754</v>
      </c>
      <c r="AB253" s="62">
        <f t="shared" ca="1" si="51"/>
        <v>44754</v>
      </c>
      <c r="AC253" s="62">
        <f t="shared" ca="1" si="52"/>
        <v>159.32048724900974</v>
      </c>
      <c r="AD253" s="62">
        <f t="shared" ca="1" si="53"/>
        <v>2.7539175236625999</v>
      </c>
      <c r="AE253" s="62">
        <f t="shared" ca="1" si="54"/>
        <v>0</v>
      </c>
    </row>
    <row r="254" spans="18:31" x14ac:dyDescent="0.25">
      <c r="R254" s="92" t="e">
        <f ca="1"/>
        <v>#N/A</v>
      </c>
      <c r="S254" s="62" t="e">
        <f t="shared" ca="1" si="49"/>
        <v>#N/A</v>
      </c>
      <c r="T254" s="62" t="e">
        <f t="shared" ca="1" si="43"/>
        <v>#N/A</v>
      </c>
      <c r="U254" s="62" t="e">
        <f t="shared" ca="1" si="44"/>
        <v>#N/A</v>
      </c>
      <c r="V254" s="62" t="e">
        <f t="shared" ca="1" si="45"/>
        <v>#N/A</v>
      </c>
      <c r="W254" s="60" t="e">
        <f t="shared" ca="1" si="46"/>
        <v>#N/A</v>
      </c>
      <c r="X254" s="60" t="e">
        <f t="shared" ca="1" si="50"/>
        <v>#N/A</v>
      </c>
      <c r="Y254" s="60" t="e">
        <f t="shared" ca="1" si="47"/>
        <v>#N/A</v>
      </c>
      <c r="Z254" s="60" t="e">
        <f t="shared" ca="1" si="48"/>
        <v>#N/A</v>
      </c>
      <c r="AA254" s="92">
        <f ca="1"/>
        <v>44755</v>
      </c>
      <c r="AB254" s="62">
        <f t="shared" ca="1" si="51"/>
        <v>44755</v>
      </c>
      <c r="AC254" s="62">
        <f t="shared" ca="1" si="52"/>
        <v>159.53132943706191</v>
      </c>
      <c r="AD254" s="62">
        <f t="shared" ca="1" si="53"/>
        <v>2.8475842066125598</v>
      </c>
      <c r="AE254" s="62">
        <f t="shared" ca="1" si="54"/>
        <v>0</v>
      </c>
    </row>
    <row r="255" spans="18:31" x14ac:dyDescent="0.25">
      <c r="R255" s="92" t="e">
        <f ca="1"/>
        <v>#N/A</v>
      </c>
      <c r="S255" s="62" t="e">
        <f t="shared" ca="1" si="49"/>
        <v>#N/A</v>
      </c>
      <c r="T255" s="62" t="e">
        <f t="shared" ca="1" si="43"/>
        <v>#N/A</v>
      </c>
      <c r="U255" s="62" t="e">
        <f t="shared" ca="1" si="44"/>
        <v>#N/A</v>
      </c>
      <c r="V255" s="62" t="e">
        <f t="shared" ca="1" si="45"/>
        <v>#N/A</v>
      </c>
      <c r="W255" s="60" t="e">
        <f t="shared" ca="1" si="46"/>
        <v>#N/A</v>
      </c>
      <c r="X255" s="60" t="e">
        <f t="shared" ca="1" si="50"/>
        <v>#N/A</v>
      </c>
      <c r="Y255" s="60" t="e">
        <f t="shared" ca="1" si="47"/>
        <v>#N/A</v>
      </c>
      <c r="Z255" s="60" t="e">
        <f t="shared" ca="1" si="48"/>
        <v>#N/A</v>
      </c>
      <c r="AA255" s="92">
        <f ca="1"/>
        <v>44756</v>
      </c>
      <c r="AB255" s="62">
        <f t="shared" ca="1" si="51"/>
        <v>44756</v>
      </c>
      <c r="AC255" s="62">
        <f t="shared" ca="1" si="52"/>
        <v>159.73113962946206</v>
      </c>
      <c r="AD255" s="62">
        <f t="shared" ca="1" si="53"/>
        <v>2.9403520454162302</v>
      </c>
      <c r="AE255" s="62">
        <f t="shared" ca="1" si="54"/>
        <v>0</v>
      </c>
    </row>
    <row r="256" spans="18:31" x14ac:dyDescent="0.25">
      <c r="R256" s="92" t="e">
        <f ca="1"/>
        <v>#N/A</v>
      </c>
      <c r="S256" s="62" t="e">
        <f t="shared" ca="1" si="49"/>
        <v>#N/A</v>
      </c>
      <c r="T256" s="62" t="e">
        <f t="shared" ca="1" si="43"/>
        <v>#N/A</v>
      </c>
      <c r="U256" s="62" t="e">
        <f t="shared" ca="1" si="44"/>
        <v>#N/A</v>
      </c>
      <c r="V256" s="62" t="e">
        <f t="shared" ca="1" si="45"/>
        <v>#N/A</v>
      </c>
      <c r="W256" s="60" t="e">
        <f t="shared" ca="1" si="46"/>
        <v>#N/A</v>
      </c>
      <c r="X256" s="60" t="e">
        <f t="shared" ca="1" si="50"/>
        <v>#N/A</v>
      </c>
      <c r="Y256" s="60" t="e">
        <f t="shared" ca="1" si="47"/>
        <v>#N/A</v>
      </c>
      <c r="Z256" s="60" t="e">
        <f t="shared" ca="1" si="48"/>
        <v>#N/A</v>
      </c>
      <c r="AA256" s="92">
        <f ca="1"/>
        <v>44757</v>
      </c>
      <c r="AB256" s="62">
        <f t="shared" ca="1" si="51"/>
        <v>44757</v>
      </c>
      <c r="AC256" s="62">
        <f t="shared" ca="1" si="52"/>
        <v>159.94591305550574</v>
      </c>
      <c r="AD256" s="62">
        <f t="shared" ca="1" si="53"/>
        <v>3.0453066030343399</v>
      </c>
      <c r="AE256" s="62">
        <f t="shared" ca="1" si="54"/>
        <v>0</v>
      </c>
    </row>
    <row r="257" spans="18:31" x14ac:dyDescent="0.25">
      <c r="R257" s="92" t="e">
        <f ca="1"/>
        <v>#N/A</v>
      </c>
      <c r="S257" s="62" t="e">
        <f t="shared" ca="1" si="49"/>
        <v>#N/A</v>
      </c>
      <c r="T257" s="62" t="e">
        <f t="shared" ca="1" si="43"/>
        <v>#N/A</v>
      </c>
      <c r="U257" s="62" t="e">
        <f t="shared" ca="1" si="44"/>
        <v>#N/A</v>
      </c>
      <c r="V257" s="62" t="e">
        <f t="shared" ca="1" si="45"/>
        <v>#N/A</v>
      </c>
      <c r="W257" s="60" t="e">
        <f t="shared" ca="1" si="46"/>
        <v>#N/A</v>
      </c>
      <c r="X257" s="60" t="e">
        <f t="shared" ca="1" si="50"/>
        <v>#N/A</v>
      </c>
      <c r="Y257" s="60" t="e">
        <f t="shared" ca="1" si="47"/>
        <v>#N/A</v>
      </c>
      <c r="Z257" s="60" t="e">
        <f t="shared" ca="1" si="48"/>
        <v>#N/A</v>
      </c>
      <c r="AA257" s="92">
        <f ca="1"/>
        <v>44758</v>
      </c>
      <c r="AB257" s="62">
        <f t="shared" ca="1" si="51"/>
        <v>44758</v>
      </c>
      <c r="AC257" s="62">
        <f t="shared" ca="1" si="52"/>
        <v>160.16895942849425</v>
      </c>
      <c r="AD257" s="62">
        <f t="shared" ca="1" si="53"/>
        <v>3.1599703041263001</v>
      </c>
      <c r="AE257" s="62">
        <f t="shared" ca="1" si="54"/>
        <v>0</v>
      </c>
    </row>
    <row r="258" spans="18:31" x14ac:dyDescent="0.25">
      <c r="R258" s="92" t="e">
        <f ca="1"/>
        <v>#N/A</v>
      </c>
      <c r="S258" s="62" t="e">
        <f t="shared" ca="1" si="49"/>
        <v>#N/A</v>
      </c>
      <c r="T258" s="62" t="e">
        <f t="shared" ca="1" si="43"/>
        <v>#N/A</v>
      </c>
      <c r="U258" s="62" t="e">
        <f t="shared" ca="1" si="44"/>
        <v>#N/A</v>
      </c>
      <c r="V258" s="62" t="e">
        <f t="shared" ca="1" si="45"/>
        <v>#N/A</v>
      </c>
      <c r="W258" s="60" t="e">
        <f t="shared" ca="1" si="46"/>
        <v>#N/A</v>
      </c>
      <c r="X258" s="60" t="e">
        <f t="shared" ca="1" si="50"/>
        <v>#N/A</v>
      </c>
      <c r="Y258" s="60" t="e">
        <f t="shared" ca="1" si="47"/>
        <v>#N/A</v>
      </c>
      <c r="Z258" s="60" t="e">
        <f t="shared" ca="1" si="48"/>
        <v>#N/A</v>
      </c>
      <c r="AA258" s="92">
        <f ca="1"/>
        <v>44759</v>
      </c>
      <c r="AB258" s="62">
        <f t="shared" ca="1" si="51"/>
        <v>44759</v>
      </c>
      <c r="AC258" s="62">
        <f t="shared" ca="1" si="52"/>
        <v>160.38254686095831</v>
      </c>
      <c r="AD258" s="62">
        <f t="shared" ca="1" si="53"/>
        <v>3.2760231844623</v>
      </c>
      <c r="AE258" s="62">
        <f t="shared" ca="1" si="54"/>
        <v>0</v>
      </c>
    </row>
    <row r="259" spans="18:31" x14ac:dyDescent="0.25">
      <c r="R259" s="92" t="e">
        <f ca="1"/>
        <v>#N/A</v>
      </c>
      <c r="S259" s="62" t="e">
        <f t="shared" ca="1" si="49"/>
        <v>#N/A</v>
      </c>
      <c r="T259" s="62" t="e">
        <f t="shared" ca="1" si="43"/>
        <v>#N/A</v>
      </c>
      <c r="U259" s="62" t="e">
        <f t="shared" ca="1" si="44"/>
        <v>#N/A</v>
      </c>
      <c r="V259" s="62" t="e">
        <f t="shared" ca="1" si="45"/>
        <v>#N/A</v>
      </c>
      <c r="W259" s="60" t="e">
        <f t="shared" ca="1" si="46"/>
        <v>#N/A</v>
      </c>
      <c r="X259" s="60" t="e">
        <f t="shared" ca="1" si="50"/>
        <v>#N/A</v>
      </c>
      <c r="Y259" s="60" t="e">
        <f t="shared" ca="1" si="47"/>
        <v>#N/A</v>
      </c>
      <c r="Z259" s="60" t="e">
        <f t="shared" ca="1" si="48"/>
        <v>#N/A</v>
      </c>
      <c r="AA259" s="92">
        <f ca="1"/>
        <v>44760</v>
      </c>
      <c r="AB259" s="62">
        <f t="shared" ca="1" si="51"/>
        <v>44760</v>
      </c>
      <c r="AC259" s="62">
        <f t="shared" ca="1" si="52"/>
        <v>160.58471800837049</v>
      </c>
      <c r="AD259" s="62">
        <f t="shared" ca="1" si="53"/>
        <v>3.3920065630221199</v>
      </c>
      <c r="AE259" s="62">
        <f t="shared" ca="1" si="54"/>
        <v>0</v>
      </c>
    </row>
    <row r="260" spans="18:31" x14ac:dyDescent="0.25">
      <c r="R260" s="92" t="e">
        <f ca="1"/>
        <v>#N/A</v>
      </c>
      <c r="S260" s="62" t="e">
        <f t="shared" ca="1" si="49"/>
        <v>#N/A</v>
      </c>
      <c r="T260" s="62" t="e">
        <f t="shared" ca="1" si="43"/>
        <v>#N/A</v>
      </c>
      <c r="U260" s="62" t="e">
        <f t="shared" ca="1" si="44"/>
        <v>#N/A</v>
      </c>
      <c r="V260" s="62" t="e">
        <f t="shared" ca="1" si="45"/>
        <v>#N/A</v>
      </c>
      <c r="W260" s="60" t="e">
        <f t="shared" ca="1" si="46"/>
        <v>#N/A</v>
      </c>
      <c r="X260" s="60" t="e">
        <f t="shared" ca="1" si="50"/>
        <v>#N/A</v>
      </c>
      <c r="Y260" s="60" t="e">
        <f t="shared" ca="1" si="47"/>
        <v>#N/A</v>
      </c>
      <c r="Z260" s="60" t="e">
        <f t="shared" ca="1" si="48"/>
        <v>#N/A</v>
      </c>
      <c r="AA260" s="92">
        <f ca="1"/>
        <v>44761</v>
      </c>
      <c r="AB260" s="62">
        <f t="shared" ca="1" si="51"/>
        <v>44761</v>
      </c>
      <c r="AC260" s="62">
        <f t="shared" ca="1" si="52"/>
        <v>160.78039521521498</v>
      </c>
      <c r="AD260" s="62">
        <f t="shared" ca="1" si="53"/>
        <v>3.51039515256375</v>
      </c>
      <c r="AE260" s="62">
        <f t="shared" ca="1" si="54"/>
        <v>0</v>
      </c>
    </row>
    <row r="261" spans="18:31" x14ac:dyDescent="0.25">
      <c r="R261" s="92" t="e">
        <f ca="1"/>
        <v>#N/A</v>
      </c>
      <c r="S261" s="62" t="e">
        <f t="shared" ca="1" si="49"/>
        <v>#N/A</v>
      </c>
      <c r="T261" s="62" t="e">
        <f t="shared" ca="1" si="43"/>
        <v>#N/A</v>
      </c>
      <c r="U261" s="62" t="e">
        <f t="shared" ca="1" si="44"/>
        <v>#N/A</v>
      </c>
      <c r="V261" s="62" t="e">
        <f t="shared" ca="1" si="45"/>
        <v>#N/A</v>
      </c>
      <c r="W261" s="60" t="e">
        <f t="shared" ca="1" si="46"/>
        <v>#N/A</v>
      </c>
      <c r="X261" s="60" t="e">
        <f t="shared" ca="1" si="50"/>
        <v>#N/A</v>
      </c>
      <c r="Y261" s="60" t="e">
        <f t="shared" ca="1" si="47"/>
        <v>#N/A</v>
      </c>
      <c r="Z261" s="60" t="e">
        <f t="shared" ca="1" si="48"/>
        <v>#N/A</v>
      </c>
      <c r="AA261" s="92">
        <f ca="1"/>
        <v>44762</v>
      </c>
      <c r="AB261" s="62">
        <f t="shared" ca="1" si="51"/>
        <v>44762</v>
      </c>
      <c r="AC261" s="62">
        <f t="shared" ca="1" si="52"/>
        <v>160.98112958676262</v>
      </c>
      <c r="AD261" s="62">
        <f t="shared" ca="1" si="53"/>
        <v>3.6386271718819501</v>
      </c>
      <c r="AE261" s="62">
        <f t="shared" ca="1" si="54"/>
        <v>0</v>
      </c>
    </row>
    <row r="262" spans="18:31" x14ac:dyDescent="0.25">
      <c r="R262" s="92" t="e">
        <f ca="1"/>
        <v>#N/A</v>
      </c>
      <c r="S262" s="62" t="e">
        <f t="shared" ca="1" si="49"/>
        <v>#N/A</v>
      </c>
      <c r="T262" s="62" t="e">
        <f t="shared" ca="1" si="43"/>
        <v>#N/A</v>
      </c>
      <c r="U262" s="62" t="e">
        <f t="shared" ca="1" si="44"/>
        <v>#N/A</v>
      </c>
      <c r="V262" s="62" t="e">
        <f t="shared" ca="1" si="45"/>
        <v>#N/A</v>
      </c>
      <c r="W262" s="60" t="e">
        <f t="shared" ca="1" si="46"/>
        <v>#N/A</v>
      </c>
      <c r="X262" s="60" t="e">
        <f t="shared" ca="1" si="50"/>
        <v>#N/A</v>
      </c>
      <c r="Y262" s="60" t="e">
        <f t="shared" ca="1" si="47"/>
        <v>#N/A</v>
      </c>
      <c r="Z262" s="60" t="e">
        <f t="shared" ca="1" si="48"/>
        <v>#N/A</v>
      </c>
      <c r="AA262" s="92">
        <f ca="1"/>
        <v>44763</v>
      </c>
      <c r="AB262" s="62">
        <f t="shared" ca="1" si="51"/>
        <v>44763</v>
      </c>
      <c r="AC262" s="62">
        <f t="shared" ca="1" si="52"/>
        <v>161.16835327232491</v>
      </c>
      <c r="AD262" s="62">
        <f t="shared" ca="1" si="53"/>
        <v>3.7652243220809001</v>
      </c>
      <c r="AE262" s="62">
        <f t="shared" ca="1" si="54"/>
        <v>0</v>
      </c>
    </row>
    <row r="263" spans="18:31" x14ac:dyDescent="0.25">
      <c r="R263" s="92" t="e">
        <f ca="1"/>
        <v>#N/A</v>
      </c>
      <c r="S263" s="62" t="e">
        <f t="shared" ca="1" si="49"/>
        <v>#N/A</v>
      </c>
      <c r="T263" s="62" t="e">
        <f t="shared" ca="1" si="43"/>
        <v>#N/A</v>
      </c>
      <c r="U263" s="62" t="e">
        <f t="shared" ca="1" si="44"/>
        <v>#N/A</v>
      </c>
      <c r="V263" s="62" t="e">
        <f t="shared" ca="1" si="45"/>
        <v>#N/A</v>
      </c>
      <c r="W263" s="60" t="e">
        <f t="shared" ca="1" si="46"/>
        <v>#N/A</v>
      </c>
      <c r="X263" s="60" t="e">
        <f t="shared" ca="1" si="50"/>
        <v>#N/A</v>
      </c>
      <c r="Y263" s="60" t="e">
        <f t="shared" ca="1" si="47"/>
        <v>#N/A</v>
      </c>
      <c r="Z263" s="60" t="e">
        <f t="shared" ca="1" si="48"/>
        <v>#N/A</v>
      </c>
      <c r="AA263" s="92">
        <f ca="1"/>
        <v>44764</v>
      </c>
      <c r="AB263" s="62">
        <f t="shared" ca="1" si="51"/>
        <v>44764</v>
      </c>
      <c r="AC263" s="62">
        <f t="shared" ca="1" si="52"/>
        <v>161.3618484474872</v>
      </c>
      <c r="AD263" s="62">
        <f t="shared" ca="1" si="53"/>
        <v>3.9036519865700798</v>
      </c>
      <c r="AE263" s="62">
        <f t="shared" ca="1" si="54"/>
        <v>0</v>
      </c>
    </row>
    <row r="264" spans="18:31" x14ac:dyDescent="0.25">
      <c r="R264" s="92" t="e">
        <f ca="1"/>
        <v>#N/A</v>
      </c>
      <c r="S264" s="62" t="e">
        <f t="shared" ca="1" si="49"/>
        <v>#N/A</v>
      </c>
      <c r="T264" s="62" t="e">
        <f t="shared" ca="1" si="43"/>
        <v>#N/A</v>
      </c>
      <c r="U264" s="62" t="e">
        <f t="shared" ca="1" si="44"/>
        <v>#N/A</v>
      </c>
      <c r="V264" s="62" t="e">
        <f t="shared" ca="1" si="45"/>
        <v>#N/A</v>
      </c>
      <c r="W264" s="60" t="e">
        <f t="shared" ca="1" si="46"/>
        <v>#N/A</v>
      </c>
      <c r="X264" s="60" t="e">
        <f t="shared" ca="1" si="50"/>
        <v>#N/A</v>
      </c>
      <c r="Y264" s="60" t="e">
        <f t="shared" ca="1" si="47"/>
        <v>#N/A</v>
      </c>
      <c r="Z264" s="60" t="e">
        <f t="shared" ca="1" si="48"/>
        <v>#N/A</v>
      </c>
      <c r="AA264" s="92">
        <f ca="1"/>
        <v>44765</v>
      </c>
      <c r="AB264" s="62">
        <f t="shared" ca="1" si="51"/>
        <v>44765</v>
      </c>
      <c r="AC264" s="62">
        <f t="shared" ca="1" si="52"/>
        <v>161.54794263158274</v>
      </c>
      <c r="AD264" s="62">
        <f t="shared" ca="1" si="53"/>
        <v>4.0451047354271301</v>
      </c>
      <c r="AE264" s="62">
        <f t="shared" ca="1" si="54"/>
        <v>0</v>
      </c>
    </row>
    <row r="265" spans="18:31" x14ac:dyDescent="0.25">
      <c r="R265" s="92" t="e">
        <f ca="1"/>
        <v>#N/A</v>
      </c>
      <c r="S265" s="62" t="e">
        <f t="shared" ca="1" si="49"/>
        <v>#N/A</v>
      </c>
      <c r="T265" s="62" t="e">
        <f t="shared" ca="1" si="43"/>
        <v>#N/A</v>
      </c>
      <c r="U265" s="62" t="e">
        <f t="shared" ca="1" si="44"/>
        <v>#N/A</v>
      </c>
      <c r="V265" s="62" t="e">
        <f t="shared" ca="1" si="45"/>
        <v>#N/A</v>
      </c>
      <c r="W265" s="60" t="e">
        <f t="shared" ca="1" si="46"/>
        <v>#N/A</v>
      </c>
      <c r="X265" s="60" t="e">
        <f t="shared" ca="1" si="50"/>
        <v>#N/A</v>
      </c>
      <c r="Y265" s="60" t="e">
        <f t="shared" ca="1" si="47"/>
        <v>#N/A</v>
      </c>
      <c r="Z265" s="60" t="e">
        <f t="shared" ca="1" si="48"/>
        <v>#N/A</v>
      </c>
      <c r="AA265" s="92">
        <f ca="1"/>
        <v>44766</v>
      </c>
      <c r="AB265" s="62">
        <f t="shared" ca="1" si="51"/>
        <v>44766</v>
      </c>
      <c r="AC265" s="62">
        <f t="shared" ca="1" si="52"/>
        <v>161.72966426578313</v>
      </c>
      <c r="AD265" s="62">
        <f t="shared" ca="1" si="53"/>
        <v>4.1919285070759198</v>
      </c>
      <c r="AE265" s="62">
        <f t="shared" ca="1" si="54"/>
        <v>0</v>
      </c>
    </row>
    <row r="266" spans="18:31" x14ac:dyDescent="0.25">
      <c r="R266" s="92" t="e">
        <f ca="1"/>
        <v>#N/A</v>
      </c>
      <c r="S266" s="62" t="e">
        <f t="shared" ca="1" si="49"/>
        <v>#N/A</v>
      </c>
      <c r="T266" s="62" t="e">
        <f t="shared" ca="1" si="43"/>
        <v>#N/A</v>
      </c>
      <c r="U266" s="62" t="e">
        <f t="shared" ca="1" si="44"/>
        <v>#N/A</v>
      </c>
      <c r="V266" s="62" t="e">
        <f t="shared" ca="1" si="45"/>
        <v>#N/A</v>
      </c>
      <c r="W266" s="60" t="e">
        <f t="shared" ca="1" si="46"/>
        <v>#N/A</v>
      </c>
      <c r="X266" s="60" t="e">
        <f t="shared" ca="1" si="50"/>
        <v>#N/A</v>
      </c>
      <c r="Y266" s="60" t="e">
        <f t="shared" ca="1" si="47"/>
        <v>#N/A</v>
      </c>
      <c r="Z266" s="60" t="e">
        <f t="shared" ca="1" si="48"/>
        <v>#N/A</v>
      </c>
      <c r="AA266" s="92">
        <f ca="1"/>
        <v>44767</v>
      </c>
      <c r="AB266" s="62">
        <f t="shared" ca="1" si="51"/>
        <v>44767</v>
      </c>
      <c r="AC266" s="62">
        <f t="shared" ca="1" si="52"/>
        <v>161.8968519971578</v>
      </c>
      <c r="AD266" s="62">
        <f t="shared" ca="1" si="53"/>
        <v>4.3356070372073701</v>
      </c>
      <c r="AE266" s="62">
        <f t="shared" ca="1" si="54"/>
        <v>0</v>
      </c>
    </row>
    <row r="267" spans="18:31" x14ac:dyDescent="0.25">
      <c r="R267" s="92" t="e">
        <f ca="1"/>
        <v>#N/A</v>
      </c>
      <c r="S267" s="62" t="e">
        <f t="shared" ca="1" si="49"/>
        <v>#N/A</v>
      </c>
      <c r="T267" s="62" t="e">
        <f t="shared" ca="1" si="43"/>
        <v>#N/A</v>
      </c>
      <c r="U267" s="62" t="e">
        <f t="shared" ca="1" si="44"/>
        <v>#N/A</v>
      </c>
      <c r="V267" s="62" t="e">
        <f t="shared" ca="1" si="45"/>
        <v>#N/A</v>
      </c>
      <c r="W267" s="60" t="e">
        <f t="shared" ca="1" si="46"/>
        <v>#N/A</v>
      </c>
      <c r="X267" s="60" t="e">
        <f t="shared" ca="1" si="50"/>
        <v>#N/A</v>
      </c>
      <c r="Y267" s="60" t="e">
        <f t="shared" ca="1" si="47"/>
        <v>#N/A</v>
      </c>
      <c r="Z267" s="60" t="e">
        <f t="shared" ca="1" si="48"/>
        <v>#N/A</v>
      </c>
      <c r="AA267" s="92">
        <f ca="1"/>
        <v>44768</v>
      </c>
      <c r="AB267" s="62">
        <f t="shared" ca="1" si="51"/>
        <v>44768</v>
      </c>
      <c r="AC267" s="62">
        <f t="shared" ca="1" si="52"/>
        <v>162.05785375805957</v>
      </c>
      <c r="AD267" s="62">
        <f t="shared" ca="1" si="53"/>
        <v>4.4825852098808996</v>
      </c>
      <c r="AE267" s="62">
        <f t="shared" ca="1" si="54"/>
        <v>0</v>
      </c>
    </row>
    <row r="268" spans="18:31" x14ac:dyDescent="0.25">
      <c r="R268" s="92" t="e">
        <f ca="1"/>
        <v>#N/A</v>
      </c>
      <c r="S268" s="62" t="e">
        <f t="shared" ca="1" si="49"/>
        <v>#N/A</v>
      </c>
      <c r="T268" s="62" t="e">
        <f t="shared" ca="1" si="43"/>
        <v>#N/A</v>
      </c>
      <c r="U268" s="62" t="e">
        <f t="shared" ca="1" si="44"/>
        <v>#N/A</v>
      </c>
      <c r="V268" s="62" t="e">
        <f t="shared" ca="1" si="45"/>
        <v>#N/A</v>
      </c>
      <c r="W268" s="60" t="e">
        <f t="shared" ca="1" si="46"/>
        <v>#N/A</v>
      </c>
      <c r="X268" s="60" t="e">
        <f t="shared" ca="1" si="50"/>
        <v>#N/A</v>
      </c>
      <c r="Y268" s="60" t="e">
        <f t="shared" ca="1" si="47"/>
        <v>#N/A</v>
      </c>
      <c r="Z268" s="60" t="e">
        <f t="shared" ca="1" si="48"/>
        <v>#N/A</v>
      </c>
      <c r="AA268" s="92">
        <f ca="1"/>
        <v>44769</v>
      </c>
      <c r="AB268" s="62">
        <f t="shared" ca="1" si="51"/>
        <v>44769</v>
      </c>
      <c r="AC268" s="62">
        <f t="shared" ca="1" si="52"/>
        <v>162.22051744828784</v>
      </c>
      <c r="AD268" s="62">
        <f t="shared" ca="1" si="53"/>
        <v>4.6408437763605503</v>
      </c>
      <c r="AE268" s="62">
        <f t="shared" ca="1" si="54"/>
        <v>0</v>
      </c>
    </row>
    <row r="269" spans="18:31" x14ac:dyDescent="0.25">
      <c r="R269" s="92" t="e">
        <f ca="1"/>
        <v>#N/A</v>
      </c>
      <c r="S269" s="62" t="e">
        <f t="shared" ca="1" si="49"/>
        <v>#N/A</v>
      </c>
      <c r="T269" s="62" t="e">
        <f t="shared" ca="1" si="43"/>
        <v>#N/A</v>
      </c>
      <c r="U269" s="62" t="e">
        <f t="shared" ca="1" si="44"/>
        <v>#N/A</v>
      </c>
      <c r="V269" s="62" t="e">
        <f t="shared" ca="1" si="45"/>
        <v>#N/A</v>
      </c>
      <c r="W269" s="60" t="e">
        <f t="shared" ca="1" si="46"/>
        <v>#N/A</v>
      </c>
      <c r="X269" s="60" t="e">
        <f t="shared" ca="1" si="50"/>
        <v>#N/A</v>
      </c>
      <c r="Y269" s="60" t="e">
        <f t="shared" ca="1" si="47"/>
        <v>#N/A</v>
      </c>
      <c r="Z269" s="60" t="e">
        <f t="shared" ca="1" si="48"/>
        <v>#N/A</v>
      </c>
      <c r="AA269" s="92">
        <f ca="1"/>
        <v>44770</v>
      </c>
      <c r="AB269" s="62">
        <f t="shared" ca="1" si="51"/>
        <v>44770</v>
      </c>
      <c r="AC269" s="62">
        <f t="shared" ca="1" si="52"/>
        <v>162.37910970464799</v>
      </c>
      <c r="AD269" s="62">
        <f t="shared" ca="1" si="53"/>
        <v>4.8057716833636404</v>
      </c>
      <c r="AE269" s="62">
        <f t="shared" ca="1" si="54"/>
        <v>0</v>
      </c>
    </row>
    <row r="270" spans="18:31" x14ac:dyDescent="0.25">
      <c r="R270" s="92" t="e">
        <f ca="1"/>
        <v>#N/A</v>
      </c>
      <c r="S270" s="62" t="e">
        <f t="shared" ca="1" si="49"/>
        <v>#N/A</v>
      </c>
      <c r="T270" s="62" t="e">
        <f t="shared" ca="1" si="43"/>
        <v>#N/A</v>
      </c>
      <c r="U270" s="62" t="e">
        <f t="shared" ca="1" si="44"/>
        <v>#N/A</v>
      </c>
      <c r="V270" s="62" t="e">
        <f t="shared" ca="1" si="45"/>
        <v>#N/A</v>
      </c>
      <c r="W270" s="60" t="e">
        <f t="shared" ca="1" si="46"/>
        <v>#N/A</v>
      </c>
      <c r="X270" s="60" t="e">
        <f t="shared" ca="1" si="50"/>
        <v>#N/A</v>
      </c>
      <c r="Y270" s="60" t="e">
        <f t="shared" ca="1" si="47"/>
        <v>#N/A</v>
      </c>
      <c r="Z270" s="60" t="e">
        <f t="shared" ca="1" si="48"/>
        <v>#N/A</v>
      </c>
      <c r="AA270" s="92">
        <f ca="1"/>
        <v>44771</v>
      </c>
      <c r="AB270" s="62">
        <f t="shared" ca="1" si="51"/>
        <v>44771</v>
      </c>
      <c r="AC270" s="62">
        <f t="shared" ca="1" si="52"/>
        <v>162.53494540213001</v>
      </c>
      <c r="AD270" s="62">
        <f t="shared" ca="1" si="53"/>
        <v>4.9794290876483904</v>
      </c>
      <c r="AE270" s="62">
        <f t="shared" ca="1" si="54"/>
        <v>0</v>
      </c>
    </row>
    <row r="271" spans="18:31" x14ac:dyDescent="0.25">
      <c r="R271" s="92" t="e">
        <f ca="1"/>
        <v>#N/A</v>
      </c>
      <c r="S271" s="62" t="e">
        <f t="shared" ca="1" si="49"/>
        <v>#N/A</v>
      </c>
      <c r="T271" s="62" t="e">
        <f t="shared" ca="1" si="43"/>
        <v>#N/A</v>
      </c>
      <c r="U271" s="62" t="e">
        <f t="shared" ca="1" si="44"/>
        <v>#N/A</v>
      </c>
      <c r="V271" s="62" t="e">
        <f t="shared" ca="1" si="45"/>
        <v>#N/A</v>
      </c>
      <c r="W271" s="60" t="e">
        <f t="shared" ca="1" si="46"/>
        <v>#N/A</v>
      </c>
      <c r="X271" s="60" t="e">
        <f t="shared" ca="1" si="50"/>
        <v>#N/A</v>
      </c>
      <c r="Y271" s="60" t="e">
        <f t="shared" ca="1" si="47"/>
        <v>#N/A</v>
      </c>
      <c r="Z271" s="60" t="e">
        <f t="shared" ca="1" si="48"/>
        <v>#N/A</v>
      </c>
      <c r="AA271" s="92">
        <f ca="1"/>
        <v>44772</v>
      </c>
      <c r="AB271" s="62">
        <f t="shared" ca="1" si="51"/>
        <v>44772</v>
      </c>
      <c r="AC271" s="62">
        <f t="shared" ca="1" si="52"/>
        <v>162.68471084304321</v>
      </c>
      <c r="AD271" s="62">
        <f t="shared" ca="1" si="53"/>
        <v>5.1589460001833798</v>
      </c>
      <c r="AE271" s="62">
        <f t="shared" ca="1" si="54"/>
        <v>0</v>
      </c>
    </row>
    <row r="272" spans="18:31" x14ac:dyDescent="0.25">
      <c r="R272" s="92" t="e">
        <f ca="1"/>
        <v>#N/A</v>
      </c>
      <c r="S272" s="62" t="e">
        <f t="shared" ca="1" si="49"/>
        <v>#N/A</v>
      </c>
      <c r="T272" s="62" t="e">
        <f t="shared" ca="1" si="43"/>
        <v>#N/A</v>
      </c>
      <c r="U272" s="62" t="e">
        <f t="shared" ca="1" si="44"/>
        <v>#N/A</v>
      </c>
      <c r="V272" s="62" t="e">
        <f t="shared" ca="1" si="45"/>
        <v>#N/A</v>
      </c>
      <c r="W272" s="60" t="e">
        <f t="shared" ca="1" si="46"/>
        <v>#N/A</v>
      </c>
      <c r="X272" s="60" t="e">
        <f t="shared" ca="1" si="50"/>
        <v>#N/A</v>
      </c>
      <c r="Y272" s="60" t="e">
        <f t="shared" ca="1" si="47"/>
        <v>#N/A</v>
      </c>
      <c r="Z272" s="60" t="e">
        <f t="shared" ca="1" si="48"/>
        <v>#N/A</v>
      </c>
      <c r="AA272" s="92">
        <f ca="1"/>
        <v>44773</v>
      </c>
      <c r="AB272" s="62">
        <f t="shared" ca="1" si="51"/>
        <v>44773</v>
      </c>
      <c r="AC272" s="62">
        <f t="shared" ca="1" si="52"/>
        <v>162.82957262655907</v>
      </c>
      <c r="AD272" s="62">
        <f t="shared" ca="1" si="53"/>
        <v>5.3461841716626699</v>
      </c>
      <c r="AE272" s="62">
        <f t="shared" ca="1" si="54"/>
        <v>0</v>
      </c>
    </row>
    <row r="273" spans="18:31" x14ac:dyDescent="0.25">
      <c r="R273" s="92" t="e">
        <f ca="1"/>
        <v>#N/A</v>
      </c>
      <c r="S273" s="62" t="e">
        <f t="shared" ca="1" si="49"/>
        <v>#N/A</v>
      </c>
      <c r="T273" s="62" t="e">
        <f t="shared" ca="1" si="43"/>
        <v>#N/A</v>
      </c>
      <c r="U273" s="62" t="e">
        <f t="shared" ca="1" si="44"/>
        <v>#N/A</v>
      </c>
      <c r="V273" s="62" t="e">
        <f t="shared" ca="1" si="45"/>
        <v>#N/A</v>
      </c>
      <c r="W273" s="60" t="e">
        <f t="shared" ca="1" si="46"/>
        <v>#N/A</v>
      </c>
      <c r="X273" s="60" t="e">
        <f t="shared" ca="1" si="50"/>
        <v>#N/A</v>
      </c>
      <c r="Y273" s="60" t="e">
        <f t="shared" ca="1" si="47"/>
        <v>#N/A</v>
      </c>
      <c r="Z273" s="60" t="e">
        <f t="shared" ca="1" si="48"/>
        <v>#N/A</v>
      </c>
      <c r="AA273" s="92">
        <f ca="1"/>
        <v>44774</v>
      </c>
      <c r="AB273" s="62">
        <f t="shared" ca="1" si="51"/>
        <v>44774</v>
      </c>
      <c r="AC273" s="62">
        <f t="shared" ca="1" si="52"/>
        <v>162.968636823559</v>
      </c>
      <c r="AD273" s="62">
        <f t="shared" ca="1" si="53"/>
        <v>5.5407397261155804</v>
      </c>
      <c r="AE273" s="62">
        <f t="shared" ca="1" si="54"/>
        <v>0</v>
      </c>
    </row>
    <row r="274" spans="18:31" x14ac:dyDescent="0.25">
      <c r="R274" s="92" t="e">
        <f ca="1"/>
        <v>#N/A</v>
      </c>
      <c r="S274" s="62" t="e">
        <f t="shared" ca="1" si="49"/>
        <v>#N/A</v>
      </c>
      <c r="T274" s="62" t="e">
        <f t="shared" ref="T274:T337" ca="1" si="55">VLOOKUP(S274,ModelOutputs,2,FALSE)</f>
        <v>#N/A</v>
      </c>
      <c r="U274" s="62" t="e">
        <f t="shared" ref="U274:U337" ca="1" si="56">VLOOKUP(S274,ModelOutputs,7,FALSE)</f>
        <v>#N/A</v>
      </c>
      <c r="V274" s="62" t="e">
        <f t="shared" ref="V274:V337" ca="1" si="57">VLOOKUP(S274,ModelOutputs,6,FALSE)</f>
        <v>#N/A</v>
      </c>
      <c r="W274" s="60" t="e">
        <f t="shared" ref="W274:W337" ca="1" si="58">VLOOKUP(S274,ModelOutputs,10,FALSE)*AWC</f>
        <v>#N/A</v>
      </c>
      <c r="X274" s="60" t="e">
        <f t="shared" ca="1" si="50"/>
        <v>#N/A</v>
      </c>
      <c r="Y274" s="60" t="e">
        <f t="shared" ref="Y274:Y337" ca="1" si="59">VLOOKUP(S274,ModelOutputs,12,FALSE)</f>
        <v>#N/A</v>
      </c>
      <c r="Z274" s="60" t="e">
        <f t="shared" ref="Z274:Z337" ca="1" si="60">VLOOKUP(S274,ModelOutputs,13,FALSE)</f>
        <v>#N/A</v>
      </c>
      <c r="AA274" s="92">
        <f ca="1"/>
        <v>44775</v>
      </c>
      <c r="AB274" s="62">
        <f t="shared" ca="1" si="51"/>
        <v>44775</v>
      </c>
      <c r="AC274" s="62">
        <f t="shared" ca="1" si="52"/>
        <v>163.10553292895167</v>
      </c>
      <c r="AD274" s="62">
        <f t="shared" ca="1" si="53"/>
        <v>5.7484641407496202</v>
      </c>
      <c r="AE274" s="62">
        <f t="shared" ca="1" si="54"/>
        <v>0</v>
      </c>
    </row>
    <row r="275" spans="18:31" x14ac:dyDescent="0.25">
      <c r="R275" s="92" t="e">
        <f ca="1"/>
        <v>#N/A</v>
      </c>
      <c r="S275" s="62" t="e">
        <f t="shared" ref="S275:S338" ca="1" si="61">IF(R275&gt;1,R275,"")</f>
        <v>#N/A</v>
      </c>
      <c r="T275" s="62" t="e">
        <f t="shared" ca="1" si="55"/>
        <v>#N/A</v>
      </c>
      <c r="U275" s="62" t="e">
        <f t="shared" ca="1" si="56"/>
        <v>#N/A</v>
      </c>
      <c r="V275" s="62" t="e">
        <f t="shared" ca="1" si="57"/>
        <v>#N/A</v>
      </c>
      <c r="W275" s="60" t="e">
        <f t="shared" ca="1" si="58"/>
        <v>#N/A</v>
      </c>
      <c r="X275" s="60" t="e">
        <f t="shared" ref="X275:X338" ca="1" si="62">VLOOKUP(S275,ModelOutputs,11,FALSE)+X274</f>
        <v>#N/A</v>
      </c>
      <c r="Y275" s="60" t="e">
        <f t="shared" ca="1" si="59"/>
        <v>#N/A</v>
      </c>
      <c r="Z275" s="60" t="e">
        <f t="shared" ca="1" si="60"/>
        <v>#N/A</v>
      </c>
      <c r="AA275" s="92">
        <f ca="1"/>
        <v>44776</v>
      </c>
      <c r="AB275" s="62">
        <f t="shared" ca="1" si="51"/>
        <v>44776</v>
      </c>
      <c r="AC275" s="62">
        <f t="shared" ca="1" si="52"/>
        <v>163.23419393949081</v>
      </c>
      <c r="AD275" s="62">
        <f t="shared" ca="1" si="53"/>
        <v>5.96219245417198</v>
      </c>
      <c r="AE275" s="62">
        <f t="shared" ca="1" si="54"/>
        <v>0</v>
      </c>
    </row>
    <row r="276" spans="18:31" x14ac:dyDescent="0.25">
      <c r="R276" s="92" t="e">
        <f ca="1"/>
        <v>#N/A</v>
      </c>
      <c r="S276" s="62" t="e">
        <f t="shared" ca="1" si="61"/>
        <v>#N/A</v>
      </c>
      <c r="T276" s="62" t="e">
        <f t="shared" ca="1" si="55"/>
        <v>#N/A</v>
      </c>
      <c r="U276" s="62" t="e">
        <f t="shared" ca="1" si="56"/>
        <v>#N/A</v>
      </c>
      <c r="V276" s="62" t="e">
        <f t="shared" ca="1" si="57"/>
        <v>#N/A</v>
      </c>
      <c r="W276" s="60" t="e">
        <f t="shared" ca="1" si="58"/>
        <v>#N/A</v>
      </c>
      <c r="X276" s="60" t="e">
        <f t="shared" ca="1" si="62"/>
        <v>#N/A</v>
      </c>
      <c r="Y276" s="60" t="e">
        <f t="shared" ca="1" si="59"/>
        <v>#N/A</v>
      </c>
      <c r="Z276" s="60" t="e">
        <f t="shared" ca="1" si="60"/>
        <v>#N/A</v>
      </c>
      <c r="AA276" s="92">
        <f ca="1"/>
        <v>44777</v>
      </c>
      <c r="AB276" s="62">
        <f t="shared" ca="1" si="51"/>
        <v>44777</v>
      </c>
      <c r="AC276" s="62">
        <f t="shared" ca="1" si="52"/>
        <v>163.35427260441094</v>
      </c>
      <c r="AD276" s="62">
        <f t="shared" ca="1" si="53"/>
        <v>6.1815510114529797</v>
      </c>
      <c r="AE276" s="62">
        <f t="shared" ca="1" si="54"/>
        <v>0</v>
      </c>
    </row>
    <row r="277" spans="18:31" x14ac:dyDescent="0.25">
      <c r="R277" s="92" t="e">
        <f ca="1"/>
        <v>#N/A</v>
      </c>
      <c r="S277" s="62" t="e">
        <f t="shared" ca="1" si="61"/>
        <v>#N/A</v>
      </c>
      <c r="T277" s="62" t="e">
        <f t="shared" ca="1" si="55"/>
        <v>#N/A</v>
      </c>
      <c r="U277" s="62" t="e">
        <f t="shared" ca="1" si="56"/>
        <v>#N/A</v>
      </c>
      <c r="V277" s="62" t="e">
        <f t="shared" ca="1" si="57"/>
        <v>#N/A</v>
      </c>
      <c r="W277" s="60" t="e">
        <f t="shared" ca="1" si="58"/>
        <v>#N/A</v>
      </c>
      <c r="X277" s="60" t="e">
        <f t="shared" ca="1" si="62"/>
        <v>#N/A</v>
      </c>
      <c r="Y277" s="60" t="e">
        <f t="shared" ca="1" si="59"/>
        <v>#N/A</v>
      </c>
      <c r="Z277" s="60" t="e">
        <f t="shared" ca="1" si="60"/>
        <v>#N/A</v>
      </c>
      <c r="AA277" s="92">
        <f ca="1"/>
        <v>44778</v>
      </c>
      <c r="AB277" s="62">
        <f t="shared" ref="AB277:AB340" ca="1" si="63">IF(AA277&gt;1,AA277,"")</f>
        <v>44778</v>
      </c>
      <c r="AC277" s="62">
        <f t="shared" ref="AC277:AC340" ca="1" si="64">VLOOKUP(AB277,ModelOutputs,2,FALSE)</f>
        <v>163.46358813331284</v>
      </c>
      <c r="AD277" s="62">
        <f t="shared" ref="AD277:AD340" ca="1" si="65">VLOOKUP(AB277,ModelOutputs,7,FALSE)</f>
        <v>6.4024055359773504</v>
      </c>
      <c r="AE277" s="62">
        <f t="shared" ref="AE277:AE340" ca="1" si="66">VLOOKUP(AB277,ModelOutputs,6,FALSE)</f>
        <v>0</v>
      </c>
    </row>
    <row r="278" spans="18:31" x14ac:dyDescent="0.25">
      <c r="R278" s="92" t="e">
        <f ca="1"/>
        <v>#N/A</v>
      </c>
      <c r="S278" s="62" t="e">
        <f t="shared" ca="1" si="61"/>
        <v>#N/A</v>
      </c>
      <c r="T278" s="62" t="e">
        <f t="shared" ca="1" si="55"/>
        <v>#N/A</v>
      </c>
      <c r="U278" s="62" t="e">
        <f t="shared" ca="1" si="56"/>
        <v>#N/A</v>
      </c>
      <c r="V278" s="62" t="e">
        <f t="shared" ca="1" si="57"/>
        <v>#N/A</v>
      </c>
      <c r="W278" s="60" t="e">
        <f t="shared" ca="1" si="58"/>
        <v>#N/A</v>
      </c>
      <c r="X278" s="60" t="e">
        <f t="shared" ca="1" si="62"/>
        <v>#N/A</v>
      </c>
      <c r="Y278" s="60" t="e">
        <f t="shared" ca="1" si="59"/>
        <v>#N/A</v>
      </c>
      <c r="Z278" s="60" t="e">
        <f t="shared" ca="1" si="60"/>
        <v>#N/A</v>
      </c>
      <c r="AA278" s="92">
        <f ca="1"/>
        <v>44779</v>
      </c>
      <c r="AB278" s="62">
        <f t="shared" ca="1" si="63"/>
        <v>44779</v>
      </c>
      <c r="AC278" s="62">
        <f t="shared" ca="1" si="64"/>
        <v>163.56477630939713</v>
      </c>
      <c r="AD278" s="62">
        <f t="shared" ca="1" si="65"/>
        <v>6.6290612779792397</v>
      </c>
      <c r="AE278" s="62">
        <f t="shared" ca="1" si="66"/>
        <v>0</v>
      </c>
    </row>
    <row r="279" spans="18:31" x14ac:dyDescent="0.25">
      <c r="R279" s="92" t="e">
        <f ca="1"/>
        <v>#N/A</v>
      </c>
      <c r="S279" s="62" t="e">
        <f t="shared" ca="1" si="61"/>
        <v>#N/A</v>
      </c>
      <c r="T279" s="62" t="e">
        <f t="shared" ca="1" si="55"/>
        <v>#N/A</v>
      </c>
      <c r="U279" s="62" t="e">
        <f t="shared" ca="1" si="56"/>
        <v>#N/A</v>
      </c>
      <c r="V279" s="62" t="e">
        <f t="shared" ca="1" si="57"/>
        <v>#N/A</v>
      </c>
      <c r="W279" s="60" t="e">
        <f t="shared" ca="1" si="58"/>
        <v>#N/A</v>
      </c>
      <c r="X279" s="60" t="e">
        <f t="shared" ca="1" si="62"/>
        <v>#N/A</v>
      </c>
      <c r="Y279" s="60" t="e">
        <f t="shared" ca="1" si="59"/>
        <v>#N/A</v>
      </c>
      <c r="Z279" s="60" t="e">
        <f t="shared" ca="1" si="60"/>
        <v>#N/A</v>
      </c>
      <c r="AA279" s="92">
        <f ca="1"/>
        <v>44780</v>
      </c>
      <c r="AB279" s="62">
        <f t="shared" ca="1" si="63"/>
        <v>44780</v>
      </c>
      <c r="AC279" s="62">
        <f t="shared" ca="1" si="64"/>
        <v>163.65941645385902</v>
      </c>
      <c r="AD279" s="62">
        <f t="shared" ca="1" si="65"/>
        <v>6.8655358444903696</v>
      </c>
      <c r="AE279" s="62">
        <f t="shared" ca="1" si="66"/>
        <v>0</v>
      </c>
    </row>
    <row r="280" spans="18:31" x14ac:dyDescent="0.25">
      <c r="R280" s="92" t="e">
        <f ca="1"/>
        <v>#N/A</v>
      </c>
      <c r="S280" s="62" t="e">
        <f t="shared" ca="1" si="61"/>
        <v>#N/A</v>
      </c>
      <c r="T280" s="62" t="e">
        <f t="shared" ca="1" si="55"/>
        <v>#N/A</v>
      </c>
      <c r="U280" s="62" t="e">
        <f t="shared" ca="1" si="56"/>
        <v>#N/A</v>
      </c>
      <c r="V280" s="62" t="e">
        <f t="shared" ca="1" si="57"/>
        <v>#N/A</v>
      </c>
      <c r="W280" s="60" t="e">
        <f t="shared" ca="1" si="58"/>
        <v>#N/A</v>
      </c>
      <c r="X280" s="60" t="e">
        <f t="shared" ca="1" si="62"/>
        <v>#N/A</v>
      </c>
      <c r="Y280" s="60" t="e">
        <f t="shared" ca="1" si="59"/>
        <v>#N/A</v>
      </c>
      <c r="Z280" s="60" t="e">
        <f t="shared" ca="1" si="60"/>
        <v>#N/A</v>
      </c>
      <c r="AA280" s="92">
        <f ca="1"/>
        <v>44781</v>
      </c>
      <c r="AB280" s="62">
        <f t="shared" ca="1" si="63"/>
        <v>44781</v>
      </c>
      <c r="AC280" s="62">
        <f t="shared" ca="1" si="64"/>
        <v>163.7461648293816</v>
      </c>
      <c r="AD280" s="62">
        <f t="shared" ca="1" si="65"/>
        <v>7.10981104721757</v>
      </c>
      <c r="AE280" s="62">
        <f t="shared" ca="1" si="66"/>
        <v>0</v>
      </c>
    </row>
    <row r="281" spans="18:31" x14ac:dyDescent="0.25">
      <c r="R281" s="92" t="e">
        <f ca="1"/>
        <v>#N/A</v>
      </c>
      <c r="S281" s="62" t="e">
        <f t="shared" ca="1" si="61"/>
        <v>#N/A</v>
      </c>
      <c r="T281" s="62" t="e">
        <f t="shared" ca="1" si="55"/>
        <v>#N/A</v>
      </c>
      <c r="U281" s="62" t="e">
        <f t="shared" ca="1" si="56"/>
        <v>#N/A</v>
      </c>
      <c r="V281" s="62" t="e">
        <f t="shared" ca="1" si="57"/>
        <v>#N/A</v>
      </c>
      <c r="W281" s="60" t="e">
        <f t="shared" ca="1" si="58"/>
        <v>#N/A</v>
      </c>
      <c r="X281" s="60" t="e">
        <f t="shared" ca="1" si="62"/>
        <v>#N/A</v>
      </c>
      <c r="Y281" s="60" t="e">
        <f t="shared" ca="1" si="59"/>
        <v>#N/A</v>
      </c>
      <c r="Z281" s="60" t="e">
        <f t="shared" ca="1" si="60"/>
        <v>#N/A</v>
      </c>
      <c r="AA281" s="92">
        <f ca="1"/>
        <v>44782</v>
      </c>
      <c r="AB281" s="62">
        <f t="shared" ca="1" si="63"/>
        <v>44782</v>
      </c>
      <c r="AC281" s="62">
        <f t="shared" ca="1" si="64"/>
        <v>163.8258347003042</v>
      </c>
      <c r="AD281" s="62">
        <f t="shared" ca="1" si="65"/>
        <v>7.3651969509346102</v>
      </c>
      <c r="AE281" s="62">
        <f t="shared" ca="1" si="66"/>
        <v>0</v>
      </c>
    </row>
    <row r="282" spans="18:31" x14ac:dyDescent="0.25">
      <c r="R282" s="92" t="e">
        <f ca="1"/>
        <v>#N/A</v>
      </c>
      <c r="S282" s="62" t="e">
        <f t="shared" ca="1" si="61"/>
        <v>#N/A</v>
      </c>
      <c r="T282" s="62" t="e">
        <f t="shared" ca="1" si="55"/>
        <v>#N/A</v>
      </c>
      <c r="U282" s="62" t="e">
        <f t="shared" ca="1" si="56"/>
        <v>#N/A</v>
      </c>
      <c r="V282" s="62" t="e">
        <f t="shared" ca="1" si="57"/>
        <v>#N/A</v>
      </c>
      <c r="W282" s="60" t="e">
        <f t="shared" ca="1" si="58"/>
        <v>#N/A</v>
      </c>
      <c r="X282" s="60" t="e">
        <f t="shared" ca="1" si="62"/>
        <v>#N/A</v>
      </c>
      <c r="Y282" s="60" t="e">
        <f t="shared" ca="1" si="59"/>
        <v>#N/A</v>
      </c>
      <c r="Z282" s="60" t="e">
        <f t="shared" ca="1" si="60"/>
        <v>#N/A</v>
      </c>
      <c r="AA282" s="92">
        <f ca="1"/>
        <v>44783</v>
      </c>
      <c r="AB282" s="62">
        <f t="shared" ca="1" si="63"/>
        <v>44783</v>
      </c>
      <c r="AC282" s="62">
        <f t="shared" ca="1" si="64"/>
        <v>163.89545718537209</v>
      </c>
      <c r="AD282" s="62">
        <f t="shared" ca="1" si="65"/>
        <v>7.6236992276945603</v>
      </c>
      <c r="AE282" s="62">
        <f t="shared" ca="1" si="66"/>
        <v>0</v>
      </c>
    </row>
    <row r="283" spans="18:31" x14ac:dyDescent="0.25">
      <c r="R283" s="92" t="e">
        <f ca="1"/>
        <v>#N/A</v>
      </c>
      <c r="S283" s="62" t="e">
        <f t="shared" ca="1" si="61"/>
        <v>#N/A</v>
      </c>
      <c r="T283" s="62" t="e">
        <f t="shared" ca="1" si="55"/>
        <v>#N/A</v>
      </c>
      <c r="U283" s="62" t="e">
        <f t="shared" ca="1" si="56"/>
        <v>#N/A</v>
      </c>
      <c r="V283" s="62" t="e">
        <f t="shared" ca="1" si="57"/>
        <v>#N/A</v>
      </c>
      <c r="W283" s="60" t="e">
        <f t="shared" ca="1" si="58"/>
        <v>#N/A</v>
      </c>
      <c r="X283" s="60" t="e">
        <f t="shared" ca="1" si="62"/>
        <v>#N/A</v>
      </c>
      <c r="Y283" s="60" t="e">
        <f t="shared" ca="1" si="59"/>
        <v>#N/A</v>
      </c>
      <c r="Z283" s="60" t="e">
        <f t="shared" ca="1" si="60"/>
        <v>#N/A</v>
      </c>
      <c r="AA283" s="92">
        <f ca="1"/>
        <v>44784</v>
      </c>
      <c r="AB283" s="62">
        <f t="shared" ca="1" si="63"/>
        <v>44784</v>
      </c>
      <c r="AC283" s="62">
        <f t="shared" ca="1" si="64"/>
        <v>163.95830489549934</v>
      </c>
      <c r="AD283" s="62">
        <f t="shared" ca="1" si="65"/>
        <v>7.8971336441877202</v>
      </c>
      <c r="AE283" s="62">
        <f t="shared" ca="1" si="66"/>
        <v>0</v>
      </c>
    </row>
    <row r="284" spans="18:31" x14ac:dyDescent="0.25">
      <c r="R284" s="92" t="e">
        <f ca="1"/>
        <v>#N/A</v>
      </c>
      <c r="S284" s="62" t="e">
        <f t="shared" ca="1" si="61"/>
        <v>#N/A</v>
      </c>
      <c r="T284" s="62" t="e">
        <f t="shared" ca="1" si="55"/>
        <v>#N/A</v>
      </c>
      <c r="U284" s="62" t="e">
        <f t="shared" ca="1" si="56"/>
        <v>#N/A</v>
      </c>
      <c r="V284" s="62" t="e">
        <f t="shared" ca="1" si="57"/>
        <v>#N/A</v>
      </c>
      <c r="W284" s="60" t="e">
        <f t="shared" ca="1" si="58"/>
        <v>#N/A</v>
      </c>
      <c r="X284" s="60" t="e">
        <f t="shared" ca="1" si="62"/>
        <v>#N/A</v>
      </c>
      <c r="Y284" s="60" t="e">
        <f t="shared" ca="1" si="59"/>
        <v>#N/A</v>
      </c>
      <c r="Z284" s="60" t="e">
        <f t="shared" ca="1" si="60"/>
        <v>#N/A</v>
      </c>
      <c r="AA284" s="92">
        <f ca="1"/>
        <v>44785</v>
      </c>
      <c r="AB284" s="62">
        <f t="shared" ca="1" si="63"/>
        <v>44785</v>
      </c>
      <c r="AC284" s="62">
        <f t="shared" ca="1" si="64"/>
        <v>164.01060153085137</v>
      </c>
      <c r="AD284" s="62">
        <f t="shared" ca="1" si="65"/>
        <v>8.1722789512292096</v>
      </c>
      <c r="AE284" s="62">
        <f t="shared" ca="1" si="66"/>
        <v>0</v>
      </c>
    </row>
    <row r="285" spans="18:31" x14ac:dyDescent="0.25">
      <c r="R285" s="92" t="e">
        <f ca="1"/>
        <v>#N/A</v>
      </c>
      <c r="S285" s="62" t="e">
        <f t="shared" ca="1" si="61"/>
        <v>#N/A</v>
      </c>
      <c r="T285" s="62" t="e">
        <f t="shared" ca="1" si="55"/>
        <v>#N/A</v>
      </c>
      <c r="U285" s="62" t="e">
        <f t="shared" ca="1" si="56"/>
        <v>#N/A</v>
      </c>
      <c r="V285" s="62" t="e">
        <f t="shared" ca="1" si="57"/>
        <v>#N/A</v>
      </c>
      <c r="W285" s="60" t="e">
        <f t="shared" ca="1" si="58"/>
        <v>#N/A</v>
      </c>
      <c r="X285" s="60" t="e">
        <f t="shared" ca="1" si="62"/>
        <v>#N/A</v>
      </c>
      <c r="Y285" s="60" t="e">
        <f t="shared" ca="1" si="59"/>
        <v>#N/A</v>
      </c>
      <c r="Z285" s="60" t="e">
        <f t="shared" ca="1" si="60"/>
        <v>#N/A</v>
      </c>
      <c r="AA285" s="92">
        <f ca="1"/>
        <v>44786</v>
      </c>
      <c r="AB285" s="62">
        <f t="shared" ca="1" si="63"/>
        <v>44786</v>
      </c>
      <c r="AC285" s="62">
        <f t="shared" ca="1" si="64"/>
        <v>164.05514304743605</v>
      </c>
      <c r="AD285" s="62">
        <f t="shared" ca="1" si="65"/>
        <v>8.4625269851957192</v>
      </c>
      <c r="AE285" s="62">
        <f t="shared" ca="1" si="66"/>
        <v>0</v>
      </c>
    </row>
    <row r="286" spans="18:31" x14ac:dyDescent="0.25">
      <c r="R286" s="92" t="e">
        <f ca="1"/>
        <v>#N/A</v>
      </c>
      <c r="S286" s="62" t="e">
        <f t="shared" ca="1" si="61"/>
        <v>#N/A</v>
      </c>
      <c r="T286" s="62" t="e">
        <f t="shared" ca="1" si="55"/>
        <v>#N/A</v>
      </c>
      <c r="U286" s="62" t="e">
        <f t="shared" ca="1" si="56"/>
        <v>#N/A</v>
      </c>
      <c r="V286" s="62" t="e">
        <f t="shared" ca="1" si="57"/>
        <v>#N/A</v>
      </c>
      <c r="W286" s="60" t="e">
        <f t="shared" ca="1" si="58"/>
        <v>#N/A</v>
      </c>
      <c r="X286" s="60" t="e">
        <f t="shared" ca="1" si="62"/>
        <v>#N/A</v>
      </c>
      <c r="Y286" s="60" t="e">
        <f t="shared" ca="1" si="59"/>
        <v>#N/A</v>
      </c>
      <c r="Z286" s="60" t="e">
        <f t="shared" ca="1" si="60"/>
        <v>#N/A</v>
      </c>
      <c r="AA286" s="92">
        <f ca="1"/>
        <v>44787</v>
      </c>
      <c r="AB286" s="62">
        <f t="shared" ca="1" si="63"/>
        <v>44787</v>
      </c>
      <c r="AC286" s="62">
        <f t="shared" ca="1" si="64"/>
        <v>164.08973380005102</v>
      </c>
      <c r="AD286" s="62">
        <f t="shared" ca="1" si="65"/>
        <v>8.7583951418533807</v>
      </c>
      <c r="AE286" s="62">
        <f t="shared" ca="1" si="66"/>
        <v>0</v>
      </c>
    </row>
    <row r="287" spans="18:31" x14ac:dyDescent="0.25">
      <c r="R287" s="92" t="e">
        <f ca="1"/>
        <v>#N/A</v>
      </c>
      <c r="S287" s="62" t="e">
        <f t="shared" ca="1" si="61"/>
        <v>#N/A</v>
      </c>
      <c r="T287" s="62" t="e">
        <f t="shared" ca="1" si="55"/>
        <v>#N/A</v>
      </c>
      <c r="U287" s="62" t="e">
        <f t="shared" ca="1" si="56"/>
        <v>#N/A</v>
      </c>
      <c r="V287" s="62" t="e">
        <f t="shared" ca="1" si="57"/>
        <v>#N/A</v>
      </c>
      <c r="W287" s="60" t="e">
        <f t="shared" ca="1" si="58"/>
        <v>#N/A</v>
      </c>
      <c r="X287" s="60" t="e">
        <f t="shared" ca="1" si="62"/>
        <v>#N/A</v>
      </c>
      <c r="Y287" s="60" t="e">
        <f t="shared" ca="1" si="59"/>
        <v>#N/A</v>
      </c>
      <c r="Z287" s="60" t="e">
        <f t="shared" ca="1" si="60"/>
        <v>#N/A</v>
      </c>
      <c r="AA287" s="92">
        <f ca="1"/>
        <v>44788</v>
      </c>
      <c r="AB287" s="62">
        <f t="shared" ca="1" si="63"/>
        <v>44788</v>
      </c>
      <c r="AC287" s="62">
        <f t="shared" ca="1" si="64"/>
        <v>164.1136668139668</v>
      </c>
      <c r="AD287" s="62">
        <f t="shared" ca="1" si="65"/>
        <v>9.0479764935743106</v>
      </c>
      <c r="AE287" s="62">
        <f t="shared" ca="1" si="66"/>
        <v>0</v>
      </c>
    </row>
    <row r="288" spans="18:31" x14ac:dyDescent="0.25">
      <c r="R288" s="92" t="e">
        <f ca="1"/>
        <v>#N/A</v>
      </c>
      <c r="S288" s="62" t="e">
        <f t="shared" ca="1" si="61"/>
        <v>#N/A</v>
      </c>
      <c r="T288" s="62" t="e">
        <f t="shared" ca="1" si="55"/>
        <v>#N/A</v>
      </c>
      <c r="U288" s="62" t="e">
        <f t="shared" ca="1" si="56"/>
        <v>#N/A</v>
      </c>
      <c r="V288" s="62" t="e">
        <f t="shared" ca="1" si="57"/>
        <v>#N/A</v>
      </c>
      <c r="W288" s="60" t="e">
        <f t="shared" ca="1" si="58"/>
        <v>#N/A</v>
      </c>
      <c r="X288" s="60" t="e">
        <f t="shared" ca="1" si="62"/>
        <v>#N/A</v>
      </c>
      <c r="Y288" s="60" t="e">
        <f t="shared" ca="1" si="59"/>
        <v>#N/A</v>
      </c>
      <c r="Z288" s="60" t="e">
        <f t="shared" ca="1" si="60"/>
        <v>#N/A</v>
      </c>
      <c r="AA288" s="92">
        <f ca="1"/>
        <v>44789</v>
      </c>
      <c r="AB288" s="62">
        <f t="shared" ca="1" si="63"/>
        <v>44789</v>
      </c>
      <c r="AC288" s="62">
        <f t="shared" ca="1" si="64"/>
        <v>164.12891970680323</v>
      </c>
      <c r="AD288" s="62">
        <f t="shared" ca="1" si="65"/>
        <v>9.3472091082624704</v>
      </c>
      <c r="AE288" s="62">
        <f t="shared" ca="1" si="66"/>
        <v>0</v>
      </c>
    </row>
    <row r="289" spans="18:31" x14ac:dyDescent="0.25">
      <c r="R289" s="92" t="e">
        <f ca="1"/>
        <v>#N/A</v>
      </c>
      <c r="S289" s="62" t="e">
        <f t="shared" ca="1" si="61"/>
        <v>#N/A</v>
      </c>
      <c r="T289" s="62" t="e">
        <f t="shared" ca="1" si="55"/>
        <v>#N/A</v>
      </c>
      <c r="U289" s="62" t="e">
        <f t="shared" ca="1" si="56"/>
        <v>#N/A</v>
      </c>
      <c r="V289" s="62" t="e">
        <f t="shared" ca="1" si="57"/>
        <v>#N/A</v>
      </c>
      <c r="W289" s="60" t="e">
        <f t="shared" ca="1" si="58"/>
        <v>#N/A</v>
      </c>
      <c r="X289" s="60" t="e">
        <f t="shared" ca="1" si="62"/>
        <v>#N/A</v>
      </c>
      <c r="Y289" s="60" t="e">
        <f t="shared" ca="1" si="59"/>
        <v>#N/A</v>
      </c>
      <c r="Z289" s="60" t="e">
        <f t="shared" ca="1" si="60"/>
        <v>#N/A</v>
      </c>
      <c r="AA289" s="92">
        <f ca="1"/>
        <v>44790</v>
      </c>
      <c r="AB289" s="62">
        <f t="shared" ca="1" si="63"/>
        <v>44790</v>
      </c>
      <c r="AC289" s="62">
        <f t="shared" ca="1" si="64"/>
        <v>164.13521103264708</v>
      </c>
      <c r="AD289" s="62">
        <f t="shared" ca="1" si="65"/>
        <v>9.6517332588311504</v>
      </c>
      <c r="AE289" s="62">
        <f t="shared" ca="1" si="66"/>
        <v>0</v>
      </c>
    </row>
    <row r="290" spans="18:31" x14ac:dyDescent="0.25">
      <c r="R290" s="92" t="e">
        <f ca="1"/>
        <v>#N/A</v>
      </c>
      <c r="S290" s="62" t="e">
        <f t="shared" ca="1" si="61"/>
        <v>#N/A</v>
      </c>
      <c r="T290" s="62" t="e">
        <f t="shared" ca="1" si="55"/>
        <v>#N/A</v>
      </c>
      <c r="U290" s="62" t="e">
        <f t="shared" ca="1" si="56"/>
        <v>#N/A</v>
      </c>
      <c r="V290" s="62" t="e">
        <f t="shared" ca="1" si="57"/>
        <v>#N/A</v>
      </c>
      <c r="W290" s="60" t="e">
        <f t="shared" ca="1" si="58"/>
        <v>#N/A</v>
      </c>
      <c r="X290" s="60" t="e">
        <f t="shared" ca="1" si="62"/>
        <v>#N/A</v>
      </c>
      <c r="Y290" s="60" t="e">
        <f t="shared" ca="1" si="59"/>
        <v>#N/A</v>
      </c>
      <c r="Z290" s="60" t="e">
        <f t="shared" ca="1" si="60"/>
        <v>#N/A</v>
      </c>
      <c r="AA290" s="92">
        <f ca="1"/>
        <v>44791</v>
      </c>
      <c r="AB290" s="62">
        <f t="shared" ca="1" si="63"/>
        <v>44791</v>
      </c>
      <c r="AC290" s="62">
        <f t="shared" ca="1" si="64"/>
        <v>164.13254315032469</v>
      </c>
      <c r="AD290" s="62">
        <f t="shared" ca="1" si="65"/>
        <v>9.9652166175660604</v>
      </c>
      <c r="AE290" s="62">
        <f t="shared" ca="1" si="66"/>
        <v>0</v>
      </c>
    </row>
    <row r="291" spans="18:31" x14ac:dyDescent="0.25">
      <c r="R291" s="92" t="e">
        <f ca="1"/>
        <v>#N/A</v>
      </c>
      <c r="S291" s="62" t="e">
        <f t="shared" ca="1" si="61"/>
        <v>#N/A</v>
      </c>
      <c r="T291" s="62" t="e">
        <f t="shared" ca="1" si="55"/>
        <v>#N/A</v>
      </c>
      <c r="U291" s="62" t="e">
        <f t="shared" ca="1" si="56"/>
        <v>#N/A</v>
      </c>
      <c r="V291" s="62" t="e">
        <f t="shared" ca="1" si="57"/>
        <v>#N/A</v>
      </c>
      <c r="W291" s="60" t="e">
        <f t="shared" ca="1" si="58"/>
        <v>#N/A</v>
      </c>
      <c r="X291" s="60" t="e">
        <f t="shared" ca="1" si="62"/>
        <v>#N/A</v>
      </c>
      <c r="Y291" s="60" t="e">
        <f t="shared" ca="1" si="59"/>
        <v>#N/A</v>
      </c>
      <c r="Z291" s="60" t="e">
        <f t="shared" ca="1" si="60"/>
        <v>#N/A</v>
      </c>
      <c r="AA291" s="92">
        <f ca="1"/>
        <v>44792</v>
      </c>
      <c r="AB291" s="62">
        <f t="shared" ca="1" si="63"/>
        <v>44792</v>
      </c>
      <c r="AC291" s="62">
        <f t="shared" ca="1" si="64"/>
        <v>164.12060902306911</v>
      </c>
      <c r="AD291" s="62">
        <f t="shared" ca="1" si="65"/>
        <v>10.2896449179639</v>
      </c>
      <c r="AE291" s="62">
        <f t="shared" ca="1" si="66"/>
        <v>0</v>
      </c>
    </row>
    <row r="292" spans="18:31" x14ac:dyDescent="0.25">
      <c r="R292" s="92" t="e">
        <f ca="1"/>
        <v>#N/A</v>
      </c>
      <c r="S292" s="62" t="e">
        <f t="shared" ca="1" si="61"/>
        <v>#N/A</v>
      </c>
      <c r="T292" s="62" t="e">
        <f t="shared" ca="1" si="55"/>
        <v>#N/A</v>
      </c>
      <c r="U292" s="62" t="e">
        <f t="shared" ca="1" si="56"/>
        <v>#N/A</v>
      </c>
      <c r="V292" s="62" t="e">
        <f t="shared" ca="1" si="57"/>
        <v>#N/A</v>
      </c>
      <c r="W292" s="60" t="e">
        <f t="shared" ca="1" si="58"/>
        <v>#N/A</v>
      </c>
      <c r="X292" s="60" t="e">
        <f t="shared" ca="1" si="62"/>
        <v>#N/A</v>
      </c>
      <c r="Y292" s="60" t="e">
        <f t="shared" ca="1" si="59"/>
        <v>#N/A</v>
      </c>
      <c r="Z292" s="60" t="e">
        <f t="shared" ca="1" si="60"/>
        <v>#N/A</v>
      </c>
      <c r="AA292" s="92">
        <f ca="1"/>
        <v>44793</v>
      </c>
      <c r="AB292" s="62">
        <f t="shared" ca="1" si="63"/>
        <v>44793</v>
      </c>
      <c r="AC292" s="62">
        <f t="shared" ca="1" si="64"/>
        <v>164.09848113909493</v>
      </c>
      <c r="AD292" s="62">
        <f t="shared" ca="1" si="65"/>
        <v>10.6330061064487</v>
      </c>
      <c r="AE292" s="62">
        <f t="shared" ca="1" si="66"/>
        <v>0</v>
      </c>
    </row>
    <row r="293" spans="18:31" x14ac:dyDescent="0.25">
      <c r="R293" s="92" t="e">
        <f ca="1"/>
        <v>#N/A</v>
      </c>
      <c r="S293" s="62" t="e">
        <f t="shared" ca="1" si="61"/>
        <v>#N/A</v>
      </c>
      <c r="T293" s="62" t="e">
        <f t="shared" ca="1" si="55"/>
        <v>#N/A</v>
      </c>
      <c r="U293" s="62" t="e">
        <f t="shared" ca="1" si="56"/>
        <v>#N/A</v>
      </c>
      <c r="V293" s="62" t="e">
        <f t="shared" ca="1" si="57"/>
        <v>#N/A</v>
      </c>
      <c r="W293" s="60" t="e">
        <f t="shared" ca="1" si="58"/>
        <v>#N/A</v>
      </c>
      <c r="X293" s="60" t="e">
        <f t="shared" ca="1" si="62"/>
        <v>#N/A</v>
      </c>
      <c r="Y293" s="60" t="e">
        <f t="shared" ca="1" si="59"/>
        <v>#N/A</v>
      </c>
      <c r="Z293" s="60" t="e">
        <f t="shared" ca="1" si="60"/>
        <v>#N/A</v>
      </c>
      <c r="AA293" s="92">
        <f ca="1"/>
        <v>44794</v>
      </c>
      <c r="AB293" s="62">
        <f t="shared" ca="1" si="63"/>
        <v>44794</v>
      </c>
      <c r="AC293" s="62">
        <f t="shared" ca="1" si="64"/>
        <v>164.06527111639525</v>
      </c>
      <c r="AD293" s="62">
        <f t="shared" ca="1" si="65"/>
        <v>10.996289228582199</v>
      </c>
      <c r="AE293" s="62">
        <f t="shared" ca="1" si="66"/>
        <v>0</v>
      </c>
    </row>
    <row r="294" spans="18:31" x14ac:dyDescent="0.25">
      <c r="R294" s="92" t="e">
        <f ca="1"/>
        <v>#N/A</v>
      </c>
      <c r="S294" s="62" t="e">
        <f t="shared" ca="1" si="61"/>
        <v>#N/A</v>
      </c>
      <c r="T294" s="62" t="e">
        <f t="shared" ca="1" si="55"/>
        <v>#N/A</v>
      </c>
      <c r="U294" s="62" t="e">
        <f t="shared" ca="1" si="56"/>
        <v>#N/A</v>
      </c>
      <c r="V294" s="62" t="e">
        <f t="shared" ca="1" si="57"/>
        <v>#N/A</v>
      </c>
      <c r="W294" s="60" t="e">
        <f t="shared" ca="1" si="58"/>
        <v>#N/A</v>
      </c>
      <c r="X294" s="60" t="e">
        <f t="shared" ca="1" si="62"/>
        <v>#N/A</v>
      </c>
      <c r="Y294" s="60" t="e">
        <f t="shared" ca="1" si="59"/>
        <v>#N/A</v>
      </c>
      <c r="Z294" s="60" t="e">
        <f t="shared" ca="1" si="60"/>
        <v>#N/A</v>
      </c>
      <c r="AA294" s="92">
        <f ca="1"/>
        <v>44795</v>
      </c>
      <c r="AB294" s="62">
        <f t="shared" ca="1" si="63"/>
        <v>44795</v>
      </c>
      <c r="AC294" s="62">
        <f t="shared" ca="1" si="64"/>
        <v>164.02058018334259</v>
      </c>
      <c r="AD294" s="62">
        <f t="shared" ca="1" si="65"/>
        <v>11.374971841427</v>
      </c>
      <c r="AE294" s="62">
        <f t="shared" ca="1" si="66"/>
        <v>0</v>
      </c>
    </row>
    <row r="295" spans="18:31" x14ac:dyDescent="0.25">
      <c r="R295" s="92" t="e">
        <f ca="1"/>
        <v>#N/A</v>
      </c>
      <c r="S295" s="62" t="e">
        <f t="shared" ca="1" si="61"/>
        <v>#N/A</v>
      </c>
      <c r="T295" s="62" t="e">
        <f t="shared" ca="1" si="55"/>
        <v>#N/A</v>
      </c>
      <c r="U295" s="62" t="e">
        <f t="shared" ca="1" si="56"/>
        <v>#N/A</v>
      </c>
      <c r="V295" s="62" t="e">
        <f t="shared" ca="1" si="57"/>
        <v>#N/A</v>
      </c>
      <c r="W295" s="60" t="e">
        <f t="shared" ca="1" si="58"/>
        <v>#N/A</v>
      </c>
      <c r="X295" s="60" t="e">
        <f t="shared" ca="1" si="62"/>
        <v>#N/A</v>
      </c>
      <c r="Y295" s="60" t="e">
        <f t="shared" ca="1" si="59"/>
        <v>#N/A</v>
      </c>
      <c r="Z295" s="60" t="e">
        <f t="shared" ca="1" si="60"/>
        <v>#N/A</v>
      </c>
      <c r="AA295" s="92">
        <f ca="1"/>
        <v>44796</v>
      </c>
      <c r="AB295" s="62">
        <f t="shared" ca="1" si="63"/>
        <v>44796</v>
      </c>
      <c r="AC295" s="62">
        <f t="shared" ca="1" si="64"/>
        <v>163.96325005468071</v>
      </c>
      <c r="AD295" s="62">
        <f t="shared" ca="1" si="65"/>
        <v>11.774326516558</v>
      </c>
      <c r="AE295" s="62">
        <f t="shared" ca="1" si="66"/>
        <v>0</v>
      </c>
    </row>
    <row r="296" spans="18:31" x14ac:dyDescent="0.25">
      <c r="R296" s="92" t="e">
        <f ca="1"/>
        <v>#N/A</v>
      </c>
      <c r="S296" s="62" t="e">
        <f t="shared" ca="1" si="61"/>
        <v>#N/A</v>
      </c>
      <c r="T296" s="62" t="e">
        <f t="shared" ca="1" si="55"/>
        <v>#N/A</v>
      </c>
      <c r="U296" s="62" t="e">
        <f t="shared" ca="1" si="56"/>
        <v>#N/A</v>
      </c>
      <c r="V296" s="62" t="e">
        <f t="shared" ca="1" si="57"/>
        <v>#N/A</v>
      </c>
      <c r="W296" s="60" t="e">
        <f t="shared" ca="1" si="58"/>
        <v>#N/A</v>
      </c>
      <c r="X296" s="60" t="e">
        <f t="shared" ca="1" si="62"/>
        <v>#N/A</v>
      </c>
      <c r="Y296" s="60" t="e">
        <f t="shared" ca="1" si="59"/>
        <v>#N/A</v>
      </c>
      <c r="Z296" s="60" t="e">
        <f t="shared" ca="1" si="60"/>
        <v>#N/A</v>
      </c>
      <c r="AA296" s="92">
        <f ca="1"/>
        <v>44797</v>
      </c>
      <c r="AB296" s="62">
        <f t="shared" ca="1" si="63"/>
        <v>44797</v>
      </c>
      <c r="AC296" s="62">
        <f t="shared" ca="1" si="64"/>
        <v>163.89353273233553</v>
      </c>
      <c r="AD296" s="62">
        <f t="shared" ca="1" si="65"/>
        <v>12.1864461951621</v>
      </c>
      <c r="AE296" s="62">
        <f t="shared" ca="1" si="66"/>
        <v>0</v>
      </c>
    </row>
    <row r="297" spans="18:31" x14ac:dyDescent="0.25">
      <c r="R297" s="92" t="e">
        <f ca="1"/>
        <v>#N/A</v>
      </c>
      <c r="S297" s="62" t="e">
        <f t="shared" ca="1" si="61"/>
        <v>#N/A</v>
      </c>
      <c r="T297" s="62" t="e">
        <f t="shared" ca="1" si="55"/>
        <v>#N/A</v>
      </c>
      <c r="U297" s="62" t="e">
        <f t="shared" ca="1" si="56"/>
        <v>#N/A</v>
      </c>
      <c r="V297" s="62" t="e">
        <f t="shared" ca="1" si="57"/>
        <v>#N/A</v>
      </c>
      <c r="W297" s="60" t="e">
        <f t="shared" ca="1" si="58"/>
        <v>#N/A</v>
      </c>
      <c r="X297" s="60" t="e">
        <f t="shared" ca="1" si="62"/>
        <v>#N/A</v>
      </c>
      <c r="Y297" s="60" t="e">
        <f t="shared" ca="1" si="59"/>
        <v>#N/A</v>
      </c>
      <c r="Z297" s="60" t="e">
        <f t="shared" ca="1" si="60"/>
        <v>#N/A</v>
      </c>
      <c r="AA297" s="92">
        <f ca="1"/>
        <v>44798</v>
      </c>
      <c r="AB297" s="62">
        <f t="shared" ca="1" si="63"/>
        <v>44798</v>
      </c>
      <c r="AC297" s="62">
        <f t="shared" ca="1" si="64"/>
        <v>163.80997333387302</v>
      </c>
      <c r="AD297" s="62">
        <f t="shared" ca="1" si="65"/>
        <v>12.6187617019937</v>
      </c>
      <c r="AE297" s="62">
        <f t="shared" ca="1" si="66"/>
        <v>0</v>
      </c>
    </row>
    <row r="298" spans="18:31" x14ac:dyDescent="0.25">
      <c r="R298" s="92" t="e">
        <f ca="1"/>
        <v>#N/A</v>
      </c>
      <c r="S298" s="62" t="e">
        <f t="shared" ca="1" si="61"/>
        <v>#N/A</v>
      </c>
      <c r="T298" s="62" t="e">
        <f t="shared" ca="1" si="55"/>
        <v>#N/A</v>
      </c>
      <c r="U298" s="62" t="e">
        <f t="shared" ca="1" si="56"/>
        <v>#N/A</v>
      </c>
      <c r="V298" s="62" t="e">
        <f t="shared" ca="1" si="57"/>
        <v>#N/A</v>
      </c>
      <c r="W298" s="60" t="e">
        <f t="shared" ca="1" si="58"/>
        <v>#N/A</v>
      </c>
      <c r="X298" s="60" t="e">
        <f t="shared" ca="1" si="62"/>
        <v>#N/A</v>
      </c>
      <c r="Y298" s="60" t="e">
        <f t="shared" ca="1" si="59"/>
        <v>#N/A</v>
      </c>
      <c r="Z298" s="60" t="e">
        <f t="shared" ca="1" si="60"/>
        <v>#N/A</v>
      </c>
      <c r="AA298" s="92">
        <f ca="1"/>
        <v>44799</v>
      </c>
      <c r="AB298" s="62">
        <f t="shared" ca="1" si="63"/>
        <v>44799</v>
      </c>
      <c r="AC298" s="62">
        <f t="shared" ca="1" si="64"/>
        <v>163.71416334572262</v>
      </c>
      <c r="AD298" s="62">
        <f t="shared" ca="1" si="65"/>
        <v>13.0585962077975</v>
      </c>
      <c r="AE298" s="62">
        <f t="shared" ca="1" si="66"/>
        <v>0</v>
      </c>
    </row>
    <row r="299" spans="18:31" x14ac:dyDescent="0.25">
      <c r="R299" s="92" t="e">
        <f ca="1"/>
        <v>#N/A</v>
      </c>
      <c r="S299" s="62" t="e">
        <f t="shared" ca="1" si="61"/>
        <v>#N/A</v>
      </c>
      <c r="T299" s="62" t="e">
        <f t="shared" ca="1" si="55"/>
        <v>#N/A</v>
      </c>
      <c r="U299" s="62" t="e">
        <f t="shared" ca="1" si="56"/>
        <v>#N/A</v>
      </c>
      <c r="V299" s="62" t="e">
        <f t="shared" ca="1" si="57"/>
        <v>#N/A</v>
      </c>
      <c r="W299" s="60" t="e">
        <f t="shared" ca="1" si="58"/>
        <v>#N/A</v>
      </c>
      <c r="X299" s="60" t="e">
        <f t="shared" ca="1" si="62"/>
        <v>#N/A</v>
      </c>
      <c r="Y299" s="60" t="e">
        <f t="shared" ca="1" si="59"/>
        <v>#N/A</v>
      </c>
      <c r="Z299" s="60" t="e">
        <f t="shared" ca="1" si="60"/>
        <v>#N/A</v>
      </c>
      <c r="AA299" s="92">
        <f ca="1"/>
        <v>44800</v>
      </c>
      <c r="AB299" s="62">
        <f t="shared" ca="1" si="63"/>
        <v>44800</v>
      </c>
      <c r="AC299" s="62">
        <f t="shared" ca="1" si="64"/>
        <v>163.60532463652868</v>
      </c>
      <c r="AD299" s="62">
        <f t="shared" ca="1" si="65"/>
        <v>13.510647750481599</v>
      </c>
      <c r="AE299" s="62">
        <f t="shared" ca="1" si="66"/>
        <v>0</v>
      </c>
    </row>
    <row r="300" spans="18:31" x14ac:dyDescent="0.25">
      <c r="R300" s="92" t="e">
        <f ca="1"/>
        <v>#N/A</v>
      </c>
      <c r="S300" s="62" t="e">
        <f t="shared" ca="1" si="61"/>
        <v>#N/A</v>
      </c>
      <c r="T300" s="62" t="e">
        <f t="shared" ca="1" si="55"/>
        <v>#N/A</v>
      </c>
      <c r="U300" s="62" t="e">
        <f t="shared" ca="1" si="56"/>
        <v>#N/A</v>
      </c>
      <c r="V300" s="62" t="e">
        <f t="shared" ca="1" si="57"/>
        <v>#N/A</v>
      </c>
      <c r="W300" s="60" t="e">
        <f t="shared" ca="1" si="58"/>
        <v>#N/A</v>
      </c>
      <c r="X300" s="60" t="e">
        <f t="shared" ca="1" si="62"/>
        <v>#N/A</v>
      </c>
      <c r="Y300" s="60" t="e">
        <f t="shared" ca="1" si="59"/>
        <v>#N/A</v>
      </c>
      <c r="Z300" s="60" t="e">
        <f t="shared" ca="1" si="60"/>
        <v>#N/A</v>
      </c>
      <c r="AA300" s="92">
        <f ca="1"/>
        <v>44801</v>
      </c>
      <c r="AB300" s="62">
        <f t="shared" ca="1" si="63"/>
        <v>44801</v>
      </c>
      <c r="AC300" s="62">
        <f t="shared" ca="1" si="64"/>
        <v>163.48657836426889</v>
      </c>
      <c r="AD300" s="62">
        <f t="shared" ca="1" si="65"/>
        <v>13.961658364963199</v>
      </c>
      <c r="AE300" s="62">
        <f t="shared" ca="1" si="66"/>
        <v>0</v>
      </c>
    </row>
    <row r="301" spans="18:31" x14ac:dyDescent="0.25">
      <c r="R301" s="92" t="e">
        <f ca="1"/>
        <v>#N/A</v>
      </c>
      <c r="S301" s="62" t="e">
        <f t="shared" ca="1" si="61"/>
        <v>#N/A</v>
      </c>
      <c r="T301" s="62" t="e">
        <f t="shared" ca="1" si="55"/>
        <v>#N/A</v>
      </c>
      <c r="U301" s="62" t="e">
        <f t="shared" ca="1" si="56"/>
        <v>#N/A</v>
      </c>
      <c r="V301" s="62" t="e">
        <f t="shared" ca="1" si="57"/>
        <v>#N/A</v>
      </c>
      <c r="W301" s="60" t="e">
        <f t="shared" ca="1" si="58"/>
        <v>#N/A</v>
      </c>
      <c r="X301" s="60" t="e">
        <f t="shared" ca="1" si="62"/>
        <v>#N/A</v>
      </c>
      <c r="Y301" s="60" t="e">
        <f t="shared" ca="1" si="59"/>
        <v>#N/A</v>
      </c>
      <c r="Z301" s="60" t="e">
        <f t="shared" ca="1" si="60"/>
        <v>#N/A</v>
      </c>
      <c r="AA301" s="92">
        <f ca="1"/>
        <v>44802</v>
      </c>
      <c r="AB301" s="62">
        <f t="shared" ca="1" si="63"/>
        <v>44802</v>
      </c>
      <c r="AC301" s="62">
        <f t="shared" ca="1" si="64"/>
        <v>163.35520443447177</v>
      </c>
      <c r="AD301" s="62">
        <f t="shared" ca="1" si="65"/>
        <v>14.4246941351138</v>
      </c>
      <c r="AE301" s="62">
        <f t="shared" ca="1" si="66"/>
        <v>0</v>
      </c>
    </row>
    <row r="302" spans="18:31" x14ac:dyDescent="0.25">
      <c r="R302" s="92" t="e">
        <f ca="1"/>
        <v>#N/A</v>
      </c>
      <c r="S302" s="62" t="e">
        <f t="shared" ca="1" si="61"/>
        <v>#N/A</v>
      </c>
      <c r="T302" s="62" t="e">
        <f t="shared" ca="1" si="55"/>
        <v>#N/A</v>
      </c>
      <c r="U302" s="62" t="e">
        <f t="shared" ca="1" si="56"/>
        <v>#N/A</v>
      </c>
      <c r="V302" s="62" t="e">
        <f t="shared" ca="1" si="57"/>
        <v>#N/A</v>
      </c>
      <c r="W302" s="60" t="e">
        <f t="shared" ca="1" si="58"/>
        <v>#N/A</v>
      </c>
      <c r="X302" s="60" t="e">
        <f t="shared" ca="1" si="62"/>
        <v>#N/A</v>
      </c>
      <c r="Y302" s="60" t="e">
        <f t="shared" ca="1" si="59"/>
        <v>#N/A</v>
      </c>
      <c r="Z302" s="60" t="e">
        <f t="shared" ca="1" si="60"/>
        <v>#N/A</v>
      </c>
      <c r="AA302" s="92">
        <f ca="1"/>
        <v>44803</v>
      </c>
      <c r="AB302" s="62">
        <f t="shared" ca="1" si="63"/>
        <v>44803</v>
      </c>
      <c r="AC302" s="62">
        <f t="shared" ca="1" si="64"/>
        <v>163.20901081166386</v>
      </c>
      <c r="AD302" s="62">
        <f t="shared" ca="1" si="65"/>
        <v>14.9069472029</v>
      </c>
      <c r="AE302" s="62">
        <f t="shared" ca="1" si="66"/>
        <v>0</v>
      </c>
    </row>
    <row r="303" spans="18:31" x14ac:dyDescent="0.25">
      <c r="R303" s="92" t="e">
        <f ca="1"/>
        <v>#N/A</v>
      </c>
      <c r="S303" s="62" t="e">
        <f t="shared" ca="1" si="61"/>
        <v>#N/A</v>
      </c>
      <c r="T303" s="62" t="e">
        <f t="shared" ca="1" si="55"/>
        <v>#N/A</v>
      </c>
      <c r="U303" s="62" t="e">
        <f t="shared" ca="1" si="56"/>
        <v>#N/A</v>
      </c>
      <c r="V303" s="62" t="e">
        <f t="shared" ca="1" si="57"/>
        <v>#N/A</v>
      </c>
      <c r="W303" s="60" t="e">
        <f t="shared" ca="1" si="58"/>
        <v>#N/A</v>
      </c>
      <c r="X303" s="60" t="e">
        <f t="shared" ca="1" si="62"/>
        <v>#N/A</v>
      </c>
      <c r="Y303" s="60" t="e">
        <f t="shared" ca="1" si="59"/>
        <v>#N/A</v>
      </c>
      <c r="Z303" s="60" t="e">
        <f t="shared" ca="1" si="60"/>
        <v>#N/A</v>
      </c>
      <c r="AA303" s="92">
        <f ca="1"/>
        <v>44804</v>
      </c>
      <c r="AB303" s="62">
        <f t="shared" ca="1" si="63"/>
        <v>44804</v>
      </c>
      <c r="AC303" s="62">
        <f t="shared" ca="1" si="64"/>
        <v>163.04836190173569</v>
      </c>
      <c r="AD303" s="62">
        <f t="shared" ca="1" si="65"/>
        <v>15.405646423072801</v>
      </c>
      <c r="AE303" s="62">
        <f t="shared" ca="1" si="66"/>
        <v>0</v>
      </c>
    </row>
    <row r="304" spans="18:31" x14ac:dyDescent="0.25">
      <c r="R304" s="92" t="e">
        <f ca="1"/>
        <v>#N/A</v>
      </c>
      <c r="S304" s="62" t="e">
        <f t="shared" ca="1" si="61"/>
        <v>#N/A</v>
      </c>
      <c r="T304" s="62" t="e">
        <f t="shared" ca="1" si="55"/>
        <v>#N/A</v>
      </c>
      <c r="U304" s="62" t="e">
        <f t="shared" ca="1" si="56"/>
        <v>#N/A</v>
      </c>
      <c r="V304" s="62" t="e">
        <f t="shared" ca="1" si="57"/>
        <v>#N/A</v>
      </c>
      <c r="W304" s="60" t="e">
        <f t="shared" ca="1" si="58"/>
        <v>#N/A</v>
      </c>
      <c r="X304" s="60" t="e">
        <f t="shared" ca="1" si="62"/>
        <v>#N/A</v>
      </c>
      <c r="Y304" s="60" t="e">
        <f t="shared" ca="1" si="59"/>
        <v>#N/A</v>
      </c>
      <c r="Z304" s="60" t="e">
        <f t="shared" ca="1" si="60"/>
        <v>#N/A</v>
      </c>
      <c r="AA304" s="92">
        <f ca="1"/>
        <v>44805</v>
      </c>
      <c r="AB304" s="62">
        <f t="shared" ca="1" si="63"/>
        <v>44805</v>
      </c>
      <c r="AC304" s="62">
        <f t="shared" ca="1" si="64"/>
        <v>162.87607992393089</v>
      </c>
      <c r="AD304" s="62">
        <f t="shared" ca="1" si="65"/>
        <v>15.9111764856956</v>
      </c>
      <c r="AE304" s="62">
        <f t="shared" ca="1" si="66"/>
        <v>0</v>
      </c>
    </row>
    <row r="305" spans="18:31" x14ac:dyDescent="0.25">
      <c r="R305" s="92" t="e">
        <f ca="1"/>
        <v>#N/A</v>
      </c>
      <c r="S305" s="62" t="e">
        <f t="shared" ca="1" si="61"/>
        <v>#N/A</v>
      </c>
      <c r="T305" s="62" t="e">
        <f t="shared" ca="1" si="55"/>
        <v>#N/A</v>
      </c>
      <c r="U305" s="62" t="e">
        <f t="shared" ca="1" si="56"/>
        <v>#N/A</v>
      </c>
      <c r="V305" s="62" t="e">
        <f t="shared" ca="1" si="57"/>
        <v>#N/A</v>
      </c>
      <c r="W305" s="60" t="e">
        <f t="shared" ca="1" si="58"/>
        <v>#N/A</v>
      </c>
      <c r="X305" s="60" t="e">
        <f t="shared" ca="1" si="62"/>
        <v>#N/A</v>
      </c>
      <c r="Y305" s="60" t="e">
        <f t="shared" ca="1" si="59"/>
        <v>#N/A</v>
      </c>
      <c r="Z305" s="60" t="e">
        <f t="shared" ca="1" si="60"/>
        <v>#N/A</v>
      </c>
      <c r="AA305" s="92">
        <f ca="1"/>
        <v>44806</v>
      </c>
      <c r="AB305" s="62">
        <f t="shared" ca="1" si="63"/>
        <v>44806</v>
      </c>
      <c r="AC305" s="62">
        <f t="shared" ca="1" si="64"/>
        <v>162.68903968977867</v>
      </c>
      <c r="AD305" s="62">
        <f t="shared" ca="1" si="65"/>
        <v>16.4333386122061</v>
      </c>
      <c r="AE305" s="62">
        <f t="shared" ca="1" si="66"/>
        <v>0</v>
      </c>
    </row>
    <row r="306" spans="18:31" x14ac:dyDescent="0.25">
      <c r="R306" s="92" t="e">
        <f ca="1"/>
        <v>#N/A</v>
      </c>
      <c r="S306" s="62" t="e">
        <f t="shared" ca="1" si="61"/>
        <v>#N/A</v>
      </c>
      <c r="T306" s="62" t="e">
        <f t="shared" ca="1" si="55"/>
        <v>#N/A</v>
      </c>
      <c r="U306" s="62" t="e">
        <f t="shared" ca="1" si="56"/>
        <v>#N/A</v>
      </c>
      <c r="V306" s="62" t="e">
        <f t="shared" ca="1" si="57"/>
        <v>#N/A</v>
      </c>
      <c r="W306" s="60" t="e">
        <f t="shared" ca="1" si="58"/>
        <v>#N/A</v>
      </c>
      <c r="X306" s="60" t="e">
        <f t="shared" ca="1" si="62"/>
        <v>#N/A</v>
      </c>
      <c r="Y306" s="60" t="e">
        <f t="shared" ca="1" si="59"/>
        <v>#N/A</v>
      </c>
      <c r="Z306" s="60" t="e">
        <f t="shared" ca="1" si="60"/>
        <v>#N/A</v>
      </c>
      <c r="AA306" s="92">
        <f ca="1"/>
        <v>44807</v>
      </c>
      <c r="AB306" s="62">
        <f t="shared" ca="1" si="63"/>
        <v>44807</v>
      </c>
      <c r="AC306" s="62">
        <f t="shared" ca="1" si="64"/>
        <v>162.47778099322278</v>
      </c>
      <c r="AD306" s="62">
        <f t="shared" ca="1" si="65"/>
        <v>16.998443026723599</v>
      </c>
      <c r="AE306" s="62">
        <f t="shared" ca="1" si="66"/>
        <v>0</v>
      </c>
    </row>
    <row r="307" spans="18:31" x14ac:dyDescent="0.25">
      <c r="R307" s="92" t="e">
        <f ca="1"/>
        <v>#N/A</v>
      </c>
      <c r="S307" s="62" t="e">
        <f t="shared" ca="1" si="61"/>
        <v>#N/A</v>
      </c>
      <c r="T307" s="62" t="e">
        <f t="shared" ca="1" si="55"/>
        <v>#N/A</v>
      </c>
      <c r="U307" s="62" t="e">
        <f t="shared" ca="1" si="56"/>
        <v>#N/A</v>
      </c>
      <c r="V307" s="62" t="e">
        <f t="shared" ca="1" si="57"/>
        <v>#N/A</v>
      </c>
      <c r="W307" s="60" t="e">
        <f t="shared" ca="1" si="58"/>
        <v>#N/A</v>
      </c>
      <c r="X307" s="60" t="e">
        <f t="shared" ca="1" si="62"/>
        <v>#N/A</v>
      </c>
      <c r="Y307" s="60" t="e">
        <f t="shared" ca="1" si="59"/>
        <v>#N/A</v>
      </c>
      <c r="Z307" s="60" t="e">
        <f t="shared" ca="1" si="60"/>
        <v>#N/A</v>
      </c>
      <c r="AA307" s="92">
        <f ca="1"/>
        <v>44808</v>
      </c>
      <c r="AB307" s="62">
        <f t="shared" ca="1" si="63"/>
        <v>44808</v>
      </c>
      <c r="AC307" s="62">
        <f t="shared" ca="1" si="64"/>
        <v>162.24870082376293</v>
      </c>
      <c r="AD307" s="62">
        <f t="shared" ca="1" si="65"/>
        <v>17.584915229358799</v>
      </c>
      <c r="AE307" s="62">
        <f t="shared" ca="1" si="66"/>
        <v>0</v>
      </c>
    </row>
    <row r="308" spans="18:31" x14ac:dyDescent="0.25">
      <c r="R308" s="92" t="e">
        <f ca="1"/>
        <v>#N/A</v>
      </c>
      <c r="S308" s="62" t="e">
        <f t="shared" ca="1" si="61"/>
        <v>#N/A</v>
      </c>
      <c r="T308" s="62" t="e">
        <f t="shared" ca="1" si="55"/>
        <v>#N/A</v>
      </c>
      <c r="U308" s="62" t="e">
        <f t="shared" ca="1" si="56"/>
        <v>#N/A</v>
      </c>
      <c r="V308" s="62" t="e">
        <f t="shared" ca="1" si="57"/>
        <v>#N/A</v>
      </c>
      <c r="W308" s="60" t="e">
        <f t="shared" ca="1" si="58"/>
        <v>#N/A</v>
      </c>
      <c r="X308" s="60" t="e">
        <f t="shared" ca="1" si="62"/>
        <v>#N/A</v>
      </c>
      <c r="Y308" s="60" t="e">
        <f t="shared" ca="1" si="59"/>
        <v>#N/A</v>
      </c>
      <c r="Z308" s="60" t="e">
        <f t="shared" ca="1" si="60"/>
        <v>#N/A</v>
      </c>
      <c r="AA308" s="92">
        <f ca="1"/>
        <v>44809</v>
      </c>
      <c r="AB308" s="62">
        <f t="shared" ca="1" si="63"/>
        <v>44809</v>
      </c>
      <c r="AC308" s="62">
        <f t="shared" ca="1" si="64"/>
        <v>161.99956063020096</v>
      </c>
      <c r="AD308" s="62">
        <f t="shared" ca="1" si="65"/>
        <v>18.197793953468999</v>
      </c>
      <c r="AE308" s="62">
        <f t="shared" ca="1" si="66"/>
        <v>0</v>
      </c>
    </row>
    <row r="309" spans="18:31" x14ac:dyDescent="0.25">
      <c r="R309" s="92" t="e">
        <f ca="1"/>
        <v>#N/A</v>
      </c>
      <c r="S309" s="62" t="e">
        <f t="shared" ca="1" si="61"/>
        <v>#N/A</v>
      </c>
      <c r="T309" s="62" t="e">
        <f t="shared" ca="1" si="55"/>
        <v>#N/A</v>
      </c>
      <c r="U309" s="62" t="e">
        <f t="shared" ca="1" si="56"/>
        <v>#N/A</v>
      </c>
      <c r="V309" s="62" t="e">
        <f t="shared" ca="1" si="57"/>
        <v>#N/A</v>
      </c>
      <c r="W309" s="60" t="e">
        <f t="shared" ca="1" si="58"/>
        <v>#N/A</v>
      </c>
      <c r="X309" s="60" t="e">
        <f t="shared" ca="1" si="62"/>
        <v>#N/A</v>
      </c>
      <c r="Y309" s="60" t="e">
        <f t="shared" ca="1" si="59"/>
        <v>#N/A</v>
      </c>
      <c r="Z309" s="60" t="e">
        <f t="shared" ca="1" si="60"/>
        <v>#N/A</v>
      </c>
      <c r="AA309" s="92">
        <f ca="1"/>
        <v>44810</v>
      </c>
      <c r="AB309" s="62">
        <f t="shared" ca="1" si="63"/>
        <v>44810</v>
      </c>
      <c r="AC309" s="62">
        <f t="shared" ca="1" si="64"/>
        <v>161.73439085432966</v>
      </c>
      <c r="AD309" s="62">
        <f t="shared" ca="1" si="65"/>
        <v>18.824964457446502</v>
      </c>
      <c r="AE309" s="62">
        <f t="shared" ca="1" si="66"/>
        <v>0</v>
      </c>
    </row>
    <row r="310" spans="18:31" x14ac:dyDescent="0.25">
      <c r="R310" s="92" t="e">
        <f ca="1"/>
        <v>#N/A</v>
      </c>
      <c r="S310" s="62" t="e">
        <f t="shared" ca="1" si="61"/>
        <v>#N/A</v>
      </c>
      <c r="T310" s="62" t="e">
        <f t="shared" ca="1" si="55"/>
        <v>#N/A</v>
      </c>
      <c r="U310" s="62" t="e">
        <f t="shared" ca="1" si="56"/>
        <v>#N/A</v>
      </c>
      <c r="V310" s="62" t="e">
        <f t="shared" ca="1" si="57"/>
        <v>#N/A</v>
      </c>
      <c r="W310" s="60" t="e">
        <f t="shared" ca="1" si="58"/>
        <v>#N/A</v>
      </c>
      <c r="X310" s="60" t="e">
        <f t="shared" ca="1" si="62"/>
        <v>#N/A</v>
      </c>
      <c r="Y310" s="60" t="e">
        <f t="shared" ca="1" si="59"/>
        <v>#N/A</v>
      </c>
      <c r="Z310" s="60" t="e">
        <f t="shared" ca="1" si="60"/>
        <v>#N/A</v>
      </c>
      <c r="AA310" s="92">
        <f ca="1"/>
        <v>44811</v>
      </c>
      <c r="AB310" s="62">
        <f t="shared" ca="1" si="63"/>
        <v>44811</v>
      </c>
      <c r="AC310" s="62">
        <f t="shared" ca="1" si="64"/>
        <v>161.45871274101552</v>
      </c>
      <c r="AD310" s="62">
        <f t="shared" ca="1" si="65"/>
        <v>19.4528939945396</v>
      </c>
      <c r="AE310" s="62">
        <f t="shared" ca="1" si="66"/>
        <v>0</v>
      </c>
    </row>
    <row r="311" spans="18:31" x14ac:dyDescent="0.25">
      <c r="R311" s="92" t="e">
        <f ca="1"/>
        <v>#N/A</v>
      </c>
      <c r="S311" s="62" t="e">
        <f t="shared" ca="1" si="61"/>
        <v>#N/A</v>
      </c>
      <c r="T311" s="62" t="e">
        <f t="shared" ca="1" si="55"/>
        <v>#N/A</v>
      </c>
      <c r="U311" s="62" t="e">
        <f t="shared" ca="1" si="56"/>
        <v>#N/A</v>
      </c>
      <c r="V311" s="62" t="e">
        <f t="shared" ca="1" si="57"/>
        <v>#N/A</v>
      </c>
      <c r="W311" s="60" t="e">
        <f t="shared" ca="1" si="58"/>
        <v>#N/A</v>
      </c>
      <c r="X311" s="60" t="e">
        <f t="shared" ca="1" si="62"/>
        <v>#N/A</v>
      </c>
      <c r="Y311" s="60" t="e">
        <f t="shared" ca="1" si="59"/>
        <v>#N/A</v>
      </c>
      <c r="Z311" s="60" t="e">
        <f t="shared" ca="1" si="60"/>
        <v>#N/A</v>
      </c>
      <c r="AA311" s="92">
        <f ca="1"/>
        <v>44812</v>
      </c>
      <c r="AB311" s="62">
        <f t="shared" ca="1" si="63"/>
        <v>44812</v>
      </c>
      <c r="AC311" s="62">
        <f t="shared" ca="1" si="64"/>
        <v>161.15596141442671</v>
      </c>
      <c r="AD311" s="62">
        <f t="shared" ca="1" si="65"/>
        <v>20.122758379595201</v>
      </c>
      <c r="AE311" s="62">
        <f t="shared" ca="1" si="66"/>
        <v>0</v>
      </c>
    </row>
    <row r="312" spans="18:31" x14ac:dyDescent="0.25">
      <c r="R312" s="92" t="e">
        <f ca="1"/>
        <v>#N/A</v>
      </c>
      <c r="S312" s="62" t="e">
        <f t="shared" ca="1" si="61"/>
        <v>#N/A</v>
      </c>
      <c r="T312" s="62" t="e">
        <f t="shared" ca="1" si="55"/>
        <v>#N/A</v>
      </c>
      <c r="U312" s="62" t="e">
        <f t="shared" ca="1" si="56"/>
        <v>#N/A</v>
      </c>
      <c r="V312" s="62" t="e">
        <f t="shared" ca="1" si="57"/>
        <v>#N/A</v>
      </c>
      <c r="W312" s="60" t="e">
        <f t="shared" ca="1" si="58"/>
        <v>#N/A</v>
      </c>
      <c r="X312" s="60" t="e">
        <f t="shared" ca="1" si="62"/>
        <v>#N/A</v>
      </c>
      <c r="Y312" s="60" t="e">
        <f t="shared" ca="1" si="59"/>
        <v>#N/A</v>
      </c>
      <c r="Z312" s="60" t="e">
        <f t="shared" ca="1" si="60"/>
        <v>#N/A</v>
      </c>
      <c r="AA312" s="92">
        <f ca="1"/>
        <v>44813</v>
      </c>
      <c r="AB312" s="62">
        <f t="shared" ca="1" si="63"/>
        <v>44813</v>
      </c>
      <c r="AC312" s="62">
        <f t="shared" ca="1" si="64"/>
        <v>160.84469557345261</v>
      </c>
      <c r="AD312" s="62">
        <f t="shared" ca="1" si="65"/>
        <v>20.788765859987201</v>
      </c>
      <c r="AE312" s="62">
        <f t="shared" ca="1" si="66"/>
        <v>0</v>
      </c>
    </row>
    <row r="313" spans="18:31" x14ac:dyDescent="0.25">
      <c r="R313" s="92" t="e">
        <f ca="1"/>
        <v>#N/A</v>
      </c>
      <c r="S313" s="62" t="e">
        <f t="shared" ca="1" si="61"/>
        <v>#N/A</v>
      </c>
      <c r="T313" s="62" t="e">
        <f t="shared" ca="1" si="55"/>
        <v>#N/A</v>
      </c>
      <c r="U313" s="62" t="e">
        <f t="shared" ca="1" si="56"/>
        <v>#N/A</v>
      </c>
      <c r="V313" s="62" t="e">
        <f t="shared" ca="1" si="57"/>
        <v>#N/A</v>
      </c>
      <c r="W313" s="60" t="e">
        <f t="shared" ca="1" si="58"/>
        <v>#N/A</v>
      </c>
      <c r="X313" s="60" t="e">
        <f t="shared" ca="1" si="62"/>
        <v>#N/A</v>
      </c>
      <c r="Y313" s="60" t="e">
        <f t="shared" ca="1" si="59"/>
        <v>#N/A</v>
      </c>
      <c r="Z313" s="60" t="e">
        <f t="shared" ca="1" si="60"/>
        <v>#N/A</v>
      </c>
      <c r="AA313" s="92">
        <f ca="1"/>
        <v>44814</v>
      </c>
      <c r="AB313" s="62">
        <f t="shared" ca="1" si="63"/>
        <v>44814</v>
      </c>
      <c r="AC313" s="62">
        <f t="shared" ca="1" si="64"/>
        <v>160.51233995415723</v>
      </c>
      <c r="AD313" s="62">
        <f t="shared" ca="1" si="65"/>
        <v>21.481020664610099</v>
      </c>
      <c r="AE313" s="62">
        <f t="shared" ca="1" si="66"/>
        <v>0</v>
      </c>
    </row>
    <row r="314" spans="18:31" x14ac:dyDescent="0.25">
      <c r="R314" s="92" t="e">
        <f ca="1"/>
        <v>#N/A</v>
      </c>
      <c r="S314" s="62" t="e">
        <f t="shared" ca="1" si="61"/>
        <v>#N/A</v>
      </c>
      <c r="T314" s="62" t="e">
        <f t="shared" ca="1" si="55"/>
        <v>#N/A</v>
      </c>
      <c r="U314" s="62" t="e">
        <f t="shared" ca="1" si="56"/>
        <v>#N/A</v>
      </c>
      <c r="V314" s="62" t="e">
        <f t="shared" ca="1" si="57"/>
        <v>#N/A</v>
      </c>
      <c r="W314" s="60" t="e">
        <f t="shared" ca="1" si="58"/>
        <v>#N/A</v>
      </c>
      <c r="X314" s="60" t="e">
        <f t="shared" ca="1" si="62"/>
        <v>#N/A</v>
      </c>
      <c r="Y314" s="60" t="e">
        <f t="shared" ca="1" si="59"/>
        <v>#N/A</v>
      </c>
      <c r="Z314" s="60" t="e">
        <f t="shared" ca="1" si="60"/>
        <v>#N/A</v>
      </c>
      <c r="AA314" s="92">
        <f ca="1"/>
        <v>44815</v>
      </c>
      <c r="AB314" s="62">
        <f t="shared" ca="1" si="63"/>
        <v>44815</v>
      </c>
      <c r="AC314" s="62">
        <f t="shared" ca="1" si="64"/>
        <v>160.15848048889316</v>
      </c>
      <c r="AD314" s="62">
        <f t="shared" ca="1" si="65"/>
        <v>22.199590231288798</v>
      </c>
      <c r="AE314" s="62">
        <f t="shared" ca="1" si="66"/>
        <v>0</v>
      </c>
    </row>
    <row r="315" spans="18:31" x14ac:dyDescent="0.25">
      <c r="R315" s="92" t="e">
        <f ca="1"/>
        <v>#N/A</v>
      </c>
      <c r="S315" s="62" t="e">
        <f t="shared" ca="1" si="61"/>
        <v>#N/A</v>
      </c>
      <c r="T315" s="62" t="e">
        <f t="shared" ca="1" si="55"/>
        <v>#N/A</v>
      </c>
      <c r="U315" s="62" t="e">
        <f t="shared" ca="1" si="56"/>
        <v>#N/A</v>
      </c>
      <c r="V315" s="62" t="e">
        <f t="shared" ca="1" si="57"/>
        <v>#N/A</v>
      </c>
      <c r="W315" s="60" t="e">
        <f t="shared" ca="1" si="58"/>
        <v>#N/A</v>
      </c>
      <c r="X315" s="60" t="e">
        <f t="shared" ca="1" si="62"/>
        <v>#N/A</v>
      </c>
      <c r="Y315" s="60" t="e">
        <f t="shared" ca="1" si="59"/>
        <v>#N/A</v>
      </c>
      <c r="Z315" s="60" t="e">
        <f t="shared" ca="1" si="60"/>
        <v>#N/A</v>
      </c>
      <c r="AA315" s="92">
        <f ca="1"/>
        <v>44816</v>
      </c>
      <c r="AB315" s="62">
        <f t="shared" ca="1" si="63"/>
        <v>44816</v>
      </c>
      <c r="AC315" s="62">
        <f t="shared" ca="1" si="64"/>
        <v>159.77508751558639</v>
      </c>
      <c r="AD315" s="62">
        <f t="shared" ca="1" si="65"/>
        <v>22.9611586420233</v>
      </c>
      <c r="AE315" s="62">
        <f t="shared" ca="1" si="66"/>
        <v>0</v>
      </c>
    </row>
    <row r="316" spans="18:31" x14ac:dyDescent="0.25">
      <c r="R316" s="92" t="e">
        <f ca="1"/>
        <v>#N/A</v>
      </c>
      <c r="S316" s="62" t="e">
        <f t="shared" ca="1" si="61"/>
        <v>#N/A</v>
      </c>
      <c r="T316" s="62" t="e">
        <f t="shared" ca="1" si="55"/>
        <v>#N/A</v>
      </c>
      <c r="U316" s="62" t="e">
        <f t="shared" ca="1" si="56"/>
        <v>#N/A</v>
      </c>
      <c r="V316" s="62" t="e">
        <f t="shared" ca="1" si="57"/>
        <v>#N/A</v>
      </c>
      <c r="W316" s="60" t="e">
        <f t="shared" ca="1" si="58"/>
        <v>#N/A</v>
      </c>
      <c r="X316" s="60" t="e">
        <f t="shared" ca="1" si="62"/>
        <v>#N/A</v>
      </c>
      <c r="Y316" s="60" t="e">
        <f t="shared" ca="1" si="59"/>
        <v>#N/A</v>
      </c>
      <c r="Z316" s="60" t="e">
        <f t="shared" ca="1" si="60"/>
        <v>#N/A</v>
      </c>
      <c r="AA316" s="92">
        <f ca="1"/>
        <v>44817</v>
      </c>
      <c r="AB316" s="62">
        <f t="shared" ca="1" si="63"/>
        <v>44817</v>
      </c>
      <c r="AC316" s="62">
        <f t="shared" ca="1" si="64"/>
        <v>159.38015697905348</v>
      </c>
      <c r="AD316" s="62">
        <f t="shared" ca="1" si="65"/>
        <v>23.725706861263799</v>
      </c>
      <c r="AE316" s="62">
        <f t="shared" ca="1" si="66"/>
        <v>0</v>
      </c>
    </row>
    <row r="317" spans="18:31" x14ac:dyDescent="0.25">
      <c r="R317" s="92" t="e">
        <f ca="1"/>
        <v>#N/A</v>
      </c>
      <c r="S317" s="62" t="e">
        <f t="shared" ca="1" si="61"/>
        <v>#N/A</v>
      </c>
      <c r="T317" s="62" t="e">
        <f t="shared" ca="1" si="55"/>
        <v>#N/A</v>
      </c>
      <c r="U317" s="62" t="e">
        <f t="shared" ca="1" si="56"/>
        <v>#N/A</v>
      </c>
      <c r="V317" s="62" t="e">
        <f t="shared" ca="1" si="57"/>
        <v>#N/A</v>
      </c>
      <c r="W317" s="60" t="e">
        <f t="shared" ca="1" si="58"/>
        <v>#N/A</v>
      </c>
      <c r="X317" s="60" t="e">
        <f t="shared" ca="1" si="62"/>
        <v>#N/A</v>
      </c>
      <c r="Y317" s="60" t="e">
        <f t="shared" ca="1" si="59"/>
        <v>#N/A</v>
      </c>
      <c r="Z317" s="60" t="e">
        <f t="shared" ca="1" si="60"/>
        <v>#N/A</v>
      </c>
      <c r="AA317" s="92">
        <f ca="1"/>
        <v>44818</v>
      </c>
      <c r="AB317" s="62">
        <f t="shared" ca="1" si="63"/>
        <v>44818</v>
      </c>
      <c r="AC317" s="62">
        <f t="shared" ca="1" si="64"/>
        <v>158.96136823070441</v>
      </c>
      <c r="AD317" s="62">
        <f t="shared" ca="1" si="65"/>
        <v>24.519804885240699</v>
      </c>
      <c r="AE317" s="62">
        <f t="shared" ca="1" si="66"/>
        <v>0</v>
      </c>
    </row>
    <row r="318" spans="18:31" x14ac:dyDescent="0.25">
      <c r="R318" s="92" t="e">
        <f ca="1"/>
        <v>#N/A</v>
      </c>
      <c r="S318" s="62" t="e">
        <f t="shared" ca="1" si="61"/>
        <v>#N/A</v>
      </c>
      <c r="T318" s="62" t="e">
        <f t="shared" ca="1" si="55"/>
        <v>#N/A</v>
      </c>
      <c r="U318" s="62" t="e">
        <f t="shared" ca="1" si="56"/>
        <v>#N/A</v>
      </c>
      <c r="V318" s="62" t="e">
        <f t="shared" ca="1" si="57"/>
        <v>#N/A</v>
      </c>
      <c r="W318" s="60" t="e">
        <f t="shared" ca="1" si="58"/>
        <v>#N/A</v>
      </c>
      <c r="X318" s="60" t="e">
        <f t="shared" ca="1" si="62"/>
        <v>#N/A</v>
      </c>
      <c r="Y318" s="60" t="e">
        <f t="shared" ca="1" si="59"/>
        <v>#N/A</v>
      </c>
      <c r="Z318" s="60" t="e">
        <f t="shared" ca="1" si="60"/>
        <v>#N/A</v>
      </c>
      <c r="AA318" s="92">
        <f ca="1"/>
        <v>44819</v>
      </c>
      <c r="AB318" s="62">
        <f t="shared" ca="1" si="63"/>
        <v>44819</v>
      </c>
      <c r="AC318" s="62">
        <f t="shared" ca="1" si="64"/>
        <v>158.51311493657897</v>
      </c>
      <c r="AD318" s="62">
        <f t="shared" ca="1" si="65"/>
        <v>25.354214807180401</v>
      </c>
      <c r="AE318" s="62">
        <f t="shared" ca="1" si="66"/>
        <v>0</v>
      </c>
    </row>
    <row r="319" spans="18:31" x14ac:dyDescent="0.25">
      <c r="R319" s="92" t="e">
        <f ca="1"/>
        <v>#N/A</v>
      </c>
      <c r="S319" s="62" t="e">
        <f t="shared" ca="1" si="61"/>
        <v>#N/A</v>
      </c>
      <c r="T319" s="62" t="e">
        <f t="shared" ca="1" si="55"/>
        <v>#N/A</v>
      </c>
      <c r="U319" s="62" t="e">
        <f t="shared" ca="1" si="56"/>
        <v>#N/A</v>
      </c>
      <c r="V319" s="62" t="e">
        <f t="shared" ca="1" si="57"/>
        <v>#N/A</v>
      </c>
      <c r="W319" s="60" t="e">
        <f t="shared" ca="1" si="58"/>
        <v>#N/A</v>
      </c>
      <c r="X319" s="60" t="e">
        <f t="shared" ca="1" si="62"/>
        <v>#N/A</v>
      </c>
      <c r="Y319" s="60" t="e">
        <f t="shared" ca="1" si="59"/>
        <v>#N/A</v>
      </c>
      <c r="Z319" s="60" t="e">
        <f t="shared" ca="1" si="60"/>
        <v>#N/A</v>
      </c>
      <c r="AA319" s="92">
        <f ca="1"/>
        <v>44820</v>
      </c>
      <c r="AB319" s="62">
        <f t="shared" ca="1" si="63"/>
        <v>44820</v>
      </c>
      <c r="AC319" s="62">
        <f t="shared" ca="1" si="64"/>
        <v>158.03843324936423</v>
      </c>
      <c r="AD319" s="62">
        <f t="shared" ca="1" si="65"/>
        <v>26.221665761085799</v>
      </c>
      <c r="AE319" s="62">
        <f t="shared" ca="1" si="66"/>
        <v>0</v>
      </c>
    </row>
    <row r="320" spans="18:31" x14ac:dyDescent="0.25">
      <c r="R320" s="92" t="e">
        <f ca="1"/>
        <v>#N/A</v>
      </c>
      <c r="S320" s="62" t="e">
        <f t="shared" ca="1" si="61"/>
        <v>#N/A</v>
      </c>
      <c r="T320" s="62" t="e">
        <f t="shared" ca="1" si="55"/>
        <v>#N/A</v>
      </c>
      <c r="U320" s="62" t="e">
        <f t="shared" ca="1" si="56"/>
        <v>#N/A</v>
      </c>
      <c r="V320" s="62" t="e">
        <f t="shared" ca="1" si="57"/>
        <v>#N/A</v>
      </c>
      <c r="W320" s="60" t="e">
        <f t="shared" ca="1" si="58"/>
        <v>#N/A</v>
      </c>
      <c r="X320" s="60" t="e">
        <f t="shared" ca="1" si="62"/>
        <v>#N/A</v>
      </c>
      <c r="Y320" s="60" t="e">
        <f t="shared" ca="1" si="59"/>
        <v>#N/A</v>
      </c>
      <c r="Z320" s="60" t="e">
        <f t="shared" ca="1" si="60"/>
        <v>#N/A</v>
      </c>
      <c r="AA320" s="92">
        <f ca="1"/>
        <v>44821</v>
      </c>
      <c r="AB320" s="62">
        <f t="shared" ca="1" si="63"/>
        <v>44821</v>
      </c>
      <c r="AC320" s="62">
        <f t="shared" ca="1" si="64"/>
        <v>157.54676237590618</v>
      </c>
      <c r="AD320" s="62">
        <f t="shared" ca="1" si="65"/>
        <v>27.102782374420901</v>
      </c>
      <c r="AE320" s="62">
        <f t="shared" ca="1" si="66"/>
        <v>0</v>
      </c>
    </row>
    <row r="321" spans="18:31" x14ac:dyDescent="0.25">
      <c r="R321" s="92" t="e">
        <f ca="1"/>
        <v>#N/A</v>
      </c>
      <c r="S321" s="62" t="e">
        <f t="shared" ca="1" si="61"/>
        <v>#N/A</v>
      </c>
      <c r="T321" s="62" t="e">
        <f t="shared" ca="1" si="55"/>
        <v>#N/A</v>
      </c>
      <c r="U321" s="62" t="e">
        <f t="shared" ca="1" si="56"/>
        <v>#N/A</v>
      </c>
      <c r="V321" s="62" t="e">
        <f t="shared" ca="1" si="57"/>
        <v>#N/A</v>
      </c>
      <c r="W321" s="60" t="e">
        <f t="shared" ca="1" si="58"/>
        <v>#N/A</v>
      </c>
      <c r="X321" s="60" t="e">
        <f t="shared" ca="1" si="62"/>
        <v>#N/A</v>
      </c>
      <c r="Y321" s="60" t="e">
        <f t="shared" ca="1" si="59"/>
        <v>#N/A</v>
      </c>
      <c r="Z321" s="60" t="e">
        <f t="shared" ca="1" si="60"/>
        <v>#N/A</v>
      </c>
      <c r="AA321" s="92">
        <f ca="1"/>
        <v>44822</v>
      </c>
      <c r="AB321" s="62">
        <f t="shared" ca="1" si="63"/>
        <v>44822</v>
      </c>
      <c r="AC321" s="62">
        <f t="shared" ca="1" si="64"/>
        <v>157.04354880532463</v>
      </c>
      <c r="AD321" s="62">
        <f t="shared" ca="1" si="65"/>
        <v>27.987731254901799</v>
      </c>
      <c r="AE321" s="62">
        <f t="shared" ca="1" si="66"/>
        <v>0</v>
      </c>
    </row>
    <row r="322" spans="18:31" x14ac:dyDescent="0.25">
      <c r="R322" s="92" t="e">
        <f ca="1"/>
        <v>#N/A</v>
      </c>
      <c r="S322" s="62" t="e">
        <f t="shared" ca="1" si="61"/>
        <v>#N/A</v>
      </c>
      <c r="T322" s="62" t="e">
        <f t="shared" ca="1" si="55"/>
        <v>#N/A</v>
      </c>
      <c r="U322" s="62" t="e">
        <f t="shared" ca="1" si="56"/>
        <v>#N/A</v>
      </c>
      <c r="V322" s="62" t="e">
        <f t="shared" ca="1" si="57"/>
        <v>#N/A</v>
      </c>
      <c r="W322" s="60" t="e">
        <f t="shared" ca="1" si="58"/>
        <v>#N/A</v>
      </c>
      <c r="X322" s="60" t="e">
        <f t="shared" ca="1" si="62"/>
        <v>#N/A</v>
      </c>
      <c r="Y322" s="60" t="e">
        <f t="shared" ca="1" si="59"/>
        <v>#N/A</v>
      </c>
      <c r="Z322" s="60" t="e">
        <f t="shared" ca="1" si="60"/>
        <v>#N/A</v>
      </c>
      <c r="AA322" s="92">
        <f ca="1"/>
        <v>44823</v>
      </c>
      <c r="AB322" s="62">
        <f t="shared" ca="1" si="63"/>
        <v>44823</v>
      </c>
      <c r="AC322" s="62">
        <f t="shared" ca="1" si="64"/>
        <v>156.52499261914727</v>
      </c>
      <c r="AD322" s="62">
        <f t="shared" ca="1" si="65"/>
        <v>28.8847873312885</v>
      </c>
      <c r="AE322" s="62">
        <f t="shared" ca="1" si="66"/>
        <v>0</v>
      </c>
    </row>
    <row r="323" spans="18:31" x14ac:dyDescent="0.25">
      <c r="R323" s="92" t="e">
        <f ca="1"/>
        <v>#N/A</v>
      </c>
      <c r="S323" s="62" t="e">
        <f t="shared" ca="1" si="61"/>
        <v>#N/A</v>
      </c>
      <c r="T323" s="62" t="e">
        <f t="shared" ca="1" si="55"/>
        <v>#N/A</v>
      </c>
      <c r="U323" s="62" t="e">
        <f t="shared" ca="1" si="56"/>
        <v>#N/A</v>
      </c>
      <c r="V323" s="62" t="e">
        <f t="shared" ca="1" si="57"/>
        <v>#N/A</v>
      </c>
      <c r="W323" s="60" t="e">
        <f t="shared" ca="1" si="58"/>
        <v>#N/A</v>
      </c>
      <c r="X323" s="60" t="e">
        <f t="shared" ca="1" si="62"/>
        <v>#N/A</v>
      </c>
      <c r="Y323" s="60" t="e">
        <f t="shared" ca="1" si="59"/>
        <v>#N/A</v>
      </c>
      <c r="Z323" s="60" t="e">
        <f t="shared" ca="1" si="60"/>
        <v>#N/A</v>
      </c>
      <c r="AA323" s="92">
        <f ca="1"/>
        <v>44824</v>
      </c>
      <c r="AB323" s="62">
        <f t="shared" ca="1" si="63"/>
        <v>44824</v>
      </c>
      <c r="AC323" s="62">
        <f t="shared" ca="1" si="64"/>
        <v>155.99041550582348</v>
      </c>
      <c r="AD323" s="62">
        <f t="shared" ca="1" si="65"/>
        <v>29.7957538687835</v>
      </c>
      <c r="AE323" s="62">
        <f t="shared" ca="1" si="66"/>
        <v>0</v>
      </c>
    </row>
    <row r="324" spans="18:31" x14ac:dyDescent="0.25">
      <c r="R324" s="92" t="e">
        <f ca="1"/>
        <v>#N/A</v>
      </c>
      <c r="S324" s="62" t="e">
        <f t="shared" ca="1" si="61"/>
        <v>#N/A</v>
      </c>
      <c r="T324" s="62" t="e">
        <f t="shared" ca="1" si="55"/>
        <v>#N/A</v>
      </c>
      <c r="U324" s="62" t="e">
        <f t="shared" ca="1" si="56"/>
        <v>#N/A</v>
      </c>
      <c r="V324" s="62" t="e">
        <f t="shared" ca="1" si="57"/>
        <v>#N/A</v>
      </c>
      <c r="W324" s="60" t="e">
        <f t="shared" ca="1" si="58"/>
        <v>#N/A</v>
      </c>
      <c r="X324" s="60" t="e">
        <f t="shared" ca="1" si="62"/>
        <v>#N/A</v>
      </c>
      <c r="Y324" s="60" t="e">
        <f t="shared" ca="1" si="59"/>
        <v>#N/A</v>
      </c>
      <c r="Z324" s="60" t="e">
        <f t="shared" ca="1" si="60"/>
        <v>#N/A</v>
      </c>
      <c r="AA324" s="92">
        <f ca="1"/>
        <v>44825</v>
      </c>
      <c r="AB324" s="62">
        <f t="shared" ca="1" si="63"/>
        <v>44825</v>
      </c>
      <c r="AC324" s="62">
        <f t="shared" ca="1" si="64"/>
        <v>155.44175369982037</v>
      </c>
      <c r="AD324" s="62">
        <f t="shared" ca="1" si="65"/>
        <v>30.717598029235301</v>
      </c>
      <c r="AE324" s="62">
        <f t="shared" ca="1" si="66"/>
        <v>0</v>
      </c>
    </row>
    <row r="325" spans="18:31" x14ac:dyDescent="0.25">
      <c r="R325" s="92" t="e">
        <f ca="1"/>
        <v>#N/A</v>
      </c>
      <c r="S325" s="62" t="e">
        <f t="shared" ca="1" si="61"/>
        <v>#N/A</v>
      </c>
      <c r="T325" s="62" t="e">
        <f t="shared" ca="1" si="55"/>
        <v>#N/A</v>
      </c>
      <c r="U325" s="62" t="e">
        <f t="shared" ca="1" si="56"/>
        <v>#N/A</v>
      </c>
      <c r="V325" s="62" t="e">
        <f t="shared" ca="1" si="57"/>
        <v>#N/A</v>
      </c>
      <c r="W325" s="60" t="e">
        <f t="shared" ca="1" si="58"/>
        <v>#N/A</v>
      </c>
      <c r="X325" s="60" t="e">
        <f t="shared" ca="1" si="62"/>
        <v>#N/A</v>
      </c>
      <c r="Y325" s="60" t="e">
        <f t="shared" ca="1" si="59"/>
        <v>#N/A</v>
      </c>
      <c r="Z325" s="60" t="e">
        <f t="shared" ca="1" si="60"/>
        <v>#N/A</v>
      </c>
      <c r="AA325" s="92">
        <f ca="1"/>
        <v>44826</v>
      </c>
      <c r="AB325" s="62">
        <f t="shared" ca="1" si="63"/>
        <v>44826</v>
      </c>
      <c r="AC325" s="62">
        <f t="shared" ca="1" si="64"/>
        <v>154.86892060340608</v>
      </c>
      <c r="AD325" s="62">
        <f t="shared" ca="1" si="65"/>
        <v>31.668708515276599</v>
      </c>
      <c r="AE325" s="62">
        <f t="shared" ca="1" si="66"/>
        <v>0</v>
      </c>
    </row>
    <row r="326" spans="18:31" x14ac:dyDescent="0.25">
      <c r="R326" s="92" t="e">
        <f ca="1"/>
        <v>#N/A</v>
      </c>
      <c r="S326" s="62" t="e">
        <f t="shared" ca="1" si="61"/>
        <v>#N/A</v>
      </c>
      <c r="T326" s="62" t="e">
        <f t="shared" ca="1" si="55"/>
        <v>#N/A</v>
      </c>
      <c r="U326" s="62" t="e">
        <f t="shared" ca="1" si="56"/>
        <v>#N/A</v>
      </c>
      <c r="V326" s="62" t="e">
        <f t="shared" ca="1" si="57"/>
        <v>#N/A</v>
      </c>
      <c r="W326" s="60" t="e">
        <f t="shared" ca="1" si="58"/>
        <v>#N/A</v>
      </c>
      <c r="X326" s="60" t="e">
        <f t="shared" ca="1" si="62"/>
        <v>#N/A</v>
      </c>
      <c r="Y326" s="60" t="e">
        <f t="shared" ca="1" si="59"/>
        <v>#N/A</v>
      </c>
      <c r="Z326" s="60" t="e">
        <f t="shared" ca="1" si="60"/>
        <v>#N/A</v>
      </c>
      <c r="AA326" s="92">
        <f ca="1"/>
        <v>44827</v>
      </c>
      <c r="AB326" s="62">
        <f t="shared" ca="1" si="63"/>
        <v>44827</v>
      </c>
      <c r="AC326" s="62">
        <f t="shared" ca="1" si="64"/>
        <v>154.27275937562885</v>
      </c>
      <c r="AD326" s="62">
        <f t="shared" ca="1" si="65"/>
        <v>32.647444590442198</v>
      </c>
      <c r="AE326" s="62">
        <f t="shared" ca="1" si="66"/>
        <v>0</v>
      </c>
    </row>
    <row r="327" spans="18:31" x14ac:dyDescent="0.25">
      <c r="R327" s="92" t="e">
        <f ca="1"/>
        <v>#N/A</v>
      </c>
      <c r="S327" s="62" t="e">
        <f t="shared" ca="1" si="61"/>
        <v>#N/A</v>
      </c>
      <c r="T327" s="62" t="e">
        <f t="shared" ca="1" si="55"/>
        <v>#N/A</v>
      </c>
      <c r="U327" s="62" t="e">
        <f t="shared" ca="1" si="56"/>
        <v>#N/A</v>
      </c>
      <c r="V327" s="62" t="e">
        <f t="shared" ca="1" si="57"/>
        <v>#N/A</v>
      </c>
      <c r="W327" s="60" t="e">
        <f t="shared" ca="1" si="58"/>
        <v>#N/A</v>
      </c>
      <c r="X327" s="60" t="e">
        <f t="shared" ca="1" si="62"/>
        <v>#N/A</v>
      </c>
      <c r="Y327" s="60" t="e">
        <f t="shared" ca="1" si="59"/>
        <v>#N/A</v>
      </c>
      <c r="Z327" s="60" t="e">
        <f t="shared" ca="1" si="60"/>
        <v>#N/A</v>
      </c>
      <c r="AA327" s="92">
        <f ca="1"/>
        <v>44828</v>
      </c>
      <c r="AB327" s="62">
        <f t="shared" ca="1" si="63"/>
        <v>44828</v>
      </c>
      <c r="AC327" s="62">
        <f t="shared" ca="1" si="64"/>
        <v>153.63837345406773</v>
      </c>
      <c r="AD327" s="62">
        <f t="shared" ca="1" si="65"/>
        <v>33.679943183036301</v>
      </c>
      <c r="AE327" s="62">
        <f t="shared" ca="1" si="66"/>
        <v>0</v>
      </c>
    </row>
    <row r="328" spans="18:31" x14ac:dyDescent="0.25">
      <c r="R328" s="92" t="e">
        <f ca="1"/>
        <v>#N/A</v>
      </c>
      <c r="S328" s="62" t="e">
        <f t="shared" ca="1" si="61"/>
        <v>#N/A</v>
      </c>
      <c r="T328" s="62" t="e">
        <f t="shared" ca="1" si="55"/>
        <v>#N/A</v>
      </c>
      <c r="U328" s="62" t="e">
        <f t="shared" ca="1" si="56"/>
        <v>#N/A</v>
      </c>
      <c r="V328" s="62" t="e">
        <f t="shared" ca="1" si="57"/>
        <v>#N/A</v>
      </c>
      <c r="W328" s="60" t="e">
        <f t="shared" ca="1" si="58"/>
        <v>#N/A</v>
      </c>
      <c r="X328" s="60" t="e">
        <f t="shared" ca="1" si="62"/>
        <v>#N/A</v>
      </c>
      <c r="Y328" s="60" t="e">
        <f t="shared" ca="1" si="59"/>
        <v>#N/A</v>
      </c>
      <c r="Z328" s="60" t="e">
        <f t="shared" ca="1" si="60"/>
        <v>#N/A</v>
      </c>
      <c r="AA328" s="92">
        <f ca="1"/>
        <v>44829</v>
      </c>
      <c r="AB328" s="62">
        <f t="shared" ca="1" si="63"/>
        <v>44829</v>
      </c>
      <c r="AC328" s="62">
        <f t="shared" ca="1" si="64"/>
        <v>152.99968039919474</v>
      </c>
      <c r="AD328" s="62">
        <f t="shared" ca="1" si="65"/>
        <v>34.706385365827799</v>
      </c>
      <c r="AE328" s="62">
        <f t="shared" ca="1" si="66"/>
        <v>0</v>
      </c>
    </row>
    <row r="329" spans="18:31" x14ac:dyDescent="0.25">
      <c r="R329" s="92" t="e">
        <f ca="1"/>
        <v>#N/A</v>
      </c>
      <c r="S329" s="62" t="e">
        <f t="shared" ca="1" si="61"/>
        <v>#N/A</v>
      </c>
      <c r="T329" s="62" t="e">
        <f t="shared" ca="1" si="55"/>
        <v>#N/A</v>
      </c>
      <c r="U329" s="62" t="e">
        <f t="shared" ca="1" si="56"/>
        <v>#N/A</v>
      </c>
      <c r="V329" s="62" t="e">
        <f t="shared" ca="1" si="57"/>
        <v>#N/A</v>
      </c>
      <c r="W329" s="60" t="e">
        <f t="shared" ca="1" si="58"/>
        <v>#N/A</v>
      </c>
      <c r="X329" s="60" t="e">
        <f t="shared" ca="1" si="62"/>
        <v>#N/A</v>
      </c>
      <c r="Y329" s="60" t="e">
        <f t="shared" ca="1" si="59"/>
        <v>#N/A</v>
      </c>
      <c r="Z329" s="60" t="e">
        <f t="shared" ca="1" si="60"/>
        <v>#N/A</v>
      </c>
      <c r="AA329" s="92">
        <f ca="1"/>
        <v>44830</v>
      </c>
      <c r="AB329" s="62">
        <f t="shared" ca="1" si="63"/>
        <v>44830</v>
      </c>
      <c r="AC329" s="62">
        <f t="shared" ca="1" si="64"/>
        <v>152.34854013235787</v>
      </c>
      <c r="AD329" s="62">
        <f t="shared" ca="1" si="65"/>
        <v>35.742054500182903</v>
      </c>
      <c r="AE329" s="62">
        <f t="shared" ca="1" si="66"/>
        <v>0</v>
      </c>
    </row>
    <row r="330" spans="18:31" x14ac:dyDescent="0.25">
      <c r="R330" s="92" t="e">
        <f ca="1"/>
        <v>#N/A</v>
      </c>
      <c r="S330" s="62" t="e">
        <f t="shared" ca="1" si="61"/>
        <v>#N/A</v>
      </c>
      <c r="T330" s="62" t="e">
        <f t="shared" ca="1" si="55"/>
        <v>#N/A</v>
      </c>
      <c r="U330" s="62" t="e">
        <f t="shared" ca="1" si="56"/>
        <v>#N/A</v>
      </c>
      <c r="V330" s="62" t="e">
        <f t="shared" ca="1" si="57"/>
        <v>#N/A</v>
      </c>
      <c r="W330" s="60" t="e">
        <f t="shared" ca="1" si="58"/>
        <v>#N/A</v>
      </c>
      <c r="X330" s="60" t="e">
        <f t="shared" ca="1" si="62"/>
        <v>#N/A</v>
      </c>
      <c r="Y330" s="60" t="e">
        <f t="shared" ca="1" si="59"/>
        <v>#N/A</v>
      </c>
      <c r="Z330" s="60" t="e">
        <f t="shared" ca="1" si="60"/>
        <v>#N/A</v>
      </c>
      <c r="AA330" s="92">
        <f ca="1"/>
        <v>44831</v>
      </c>
      <c r="AB330" s="62">
        <f t="shared" ca="1" si="63"/>
        <v>44831</v>
      </c>
      <c r="AC330" s="62">
        <f t="shared" ca="1" si="64"/>
        <v>151.66209065558058</v>
      </c>
      <c r="AD330" s="62">
        <f t="shared" ca="1" si="65"/>
        <v>36.826293327999501</v>
      </c>
      <c r="AE330" s="62">
        <f t="shared" ca="1" si="66"/>
        <v>0</v>
      </c>
    </row>
    <row r="331" spans="18:31" x14ac:dyDescent="0.25">
      <c r="R331" s="92" t="e">
        <f ca="1"/>
        <v>#N/A</v>
      </c>
      <c r="S331" s="62" t="e">
        <f t="shared" ca="1" si="61"/>
        <v>#N/A</v>
      </c>
      <c r="T331" s="62" t="e">
        <f t="shared" ca="1" si="55"/>
        <v>#N/A</v>
      </c>
      <c r="U331" s="62" t="e">
        <f t="shared" ca="1" si="56"/>
        <v>#N/A</v>
      </c>
      <c r="V331" s="62" t="e">
        <f t="shared" ca="1" si="57"/>
        <v>#N/A</v>
      </c>
      <c r="W331" s="60" t="e">
        <f t="shared" ca="1" si="58"/>
        <v>#N/A</v>
      </c>
      <c r="X331" s="60" t="e">
        <f t="shared" ca="1" si="62"/>
        <v>#N/A</v>
      </c>
      <c r="Y331" s="60" t="e">
        <f t="shared" ca="1" si="59"/>
        <v>#N/A</v>
      </c>
      <c r="Z331" s="60" t="e">
        <f t="shared" ca="1" si="60"/>
        <v>#N/A</v>
      </c>
      <c r="AA331" s="92">
        <f ca="1"/>
        <v>44832</v>
      </c>
      <c r="AB331" s="62">
        <f t="shared" ca="1" si="63"/>
        <v>44832</v>
      </c>
      <c r="AC331" s="62">
        <f t="shared" ca="1" si="64"/>
        <v>150.94257782054223</v>
      </c>
      <c r="AD331" s="62">
        <f t="shared" ca="1" si="65"/>
        <v>37.955140977051101</v>
      </c>
      <c r="AE331" s="62">
        <f t="shared" ca="1" si="66"/>
        <v>0</v>
      </c>
    </row>
    <row r="332" spans="18:31" x14ac:dyDescent="0.25">
      <c r="R332" s="92" t="e">
        <f ca="1"/>
        <v>#N/A</v>
      </c>
      <c r="S332" s="62" t="e">
        <f t="shared" ca="1" si="61"/>
        <v>#N/A</v>
      </c>
      <c r="T332" s="62" t="e">
        <f t="shared" ca="1" si="55"/>
        <v>#N/A</v>
      </c>
      <c r="U332" s="62" t="e">
        <f t="shared" ca="1" si="56"/>
        <v>#N/A</v>
      </c>
      <c r="V332" s="62" t="e">
        <f t="shared" ca="1" si="57"/>
        <v>#N/A</v>
      </c>
      <c r="W332" s="60" t="e">
        <f t="shared" ca="1" si="58"/>
        <v>#N/A</v>
      </c>
      <c r="X332" s="60" t="e">
        <f t="shared" ca="1" si="62"/>
        <v>#N/A</v>
      </c>
      <c r="Y332" s="60" t="e">
        <f t="shared" ca="1" si="59"/>
        <v>#N/A</v>
      </c>
      <c r="Z332" s="60" t="e">
        <f t="shared" ca="1" si="60"/>
        <v>#N/A</v>
      </c>
      <c r="AA332" s="92">
        <f ca="1"/>
        <v>44833</v>
      </c>
      <c r="AB332" s="62">
        <f t="shared" ca="1" si="63"/>
        <v>44833</v>
      </c>
      <c r="AC332" s="62">
        <f t="shared" ca="1" si="64"/>
        <v>150.18872062599206</v>
      </c>
      <c r="AD332" s="62">
        <f t="shared" ca="1" si="65"/>
        <v>39.130797024284298</v>
      </c>
      <c r="AE332" s="62">
        <f t="shared" ca="1" si="66"/>
        <v>0</v>
      </c>
    </row>
    <row r="333" spans="18:31" x14ac:dyDescent="0.25">
      <c r="R333" s="92" t="e">
        <f ca="1"/>
        <v>#N/A</v>
      </c>
      <c r="S333" s="62" t="e">
        <f t="shared" ca="1" si="61"/>
        <v>#N/A</v>
      </c>
      <c r="T333" s="62" t="e">
        <f t="shared" ca="1" si="55"/>
        <v>#N/A</v>
      </c>
      <c r="U333" s="62" t="e">
        <f t="shared" ca="1" si="56"/>
        <v>#N/A</v>
      </c>
      <c r="V333" s="62" t="e">
        <f t="shared" ca="1" si="57"/>
        <v>#N/A</v>
      </c>
      <c r="W333" s="60" t="e">
        <f t="shared" ca="1" si="58"/>
        <v>#N/A</v>
      </c>
      <c r="X333" s="60" t="e">
        <f t="shared" ca="1" si="62"/>
        <v>#N/A</v>
      </c>
      <c r="Y333" s="60" t="e">
        <f t="shared" ca="1" si="59"/>
        <v>#N/A</v>
      </c>
      <c r="Z333" s="60" t="e">
        <f t="shared" ca="1" si="60"/>
        <v>#N/A</v>
      </c>
      <c r="AA333" s="92">
        <f ca="1"/>
        <v>44834</v>
      </c>
      <c r="AB333" s="62">
        <f t="shared" ca="1" si="63"/>
        <v>44834</v>
      </c>
      <c r="AC333" s="62">
        <f t="shared" ca="1" si="64"/>
        <v>149.42390147870555</v>
      </c>
      <c r="AD333" s="62">
        <f t="shared" ca="1" si="65"/>
        <v>40.313483409110603</v>
      </c>
      <c r="AE333" s="62">
        <f t="shared" ca="1" si="66"/>
        <v>0</v>
      </c>
    </row>
    <row r="334" spans="18:31" x14ac:dyDescent="0.25">
      <c r="R334" s="92" t="e">
        <f ca="1"/>
        <v>#N/A</v>
      </c>
      <c r="S334" s="62" t="e">
        <f t="shared" ca="1" si="61"/>
        <v>#N/A</v>
      </c>
      <c r="T334" s="62" t="e">
        <f t="shared" ca="1" si="55"/>
        <v>#N/A</v>
      </c>
      <c r="U334" s="62" t="e">
        <f t="shared" ca="1" si="56"/>
        <v>#N/A</v>
      </c>
      <c r="V334" s="62" t="e">
        <f t="shared" ca="1" si="57"/>
        <v>#N/A</v>
      </c>
      <c r="W334" s="60" t="e">
        <f t="shared" ca="1" si="58"/>
        <v>#N/A</v>
      </c>
      <c r="X334" s="60" t="e">
        <f t="shared" ca="1" si="62"/>
        <v>#N/A</v>
      </c>
      <c r="Y334" s="60" t="e">
        <f t="shared" ca="1" si="59"/>
        <v>#N/A</v>
      </c>
      <c r="Z334" s="60" t="e">
        <f t="shared" ca="1" si="60"/>
        <v>#N/A</v>
      </c>
      <c r="AA334" s="92">
        <f ca="1"/>
        <v>44835</v>
      </c>
      <c r="AB334" s="62">
        <f t="shared" ca="1" si="63"/>
        <v>44835</v>
      </c>
      <c r="AC334" s="62">
        <f t="shared" ca="1" si="64"/>
        <v>148.65730337102957</v>
      </c>
      <c r="AD334" s="62">
        <f t="shared" ca="1" si="65"/>
        <v>41.488813101336802</v>
      </c>
      <c r="AE334" s="62">
        <f t="shared" ca="1" si="66"/>
        <v>0</v>
      </c>
    </row>
    <row r="335" spans="18:31" x14ac:dyDescent="0.25">
      <c r="R335" s="92" t="e">
        <f ca="1"/>
        <v>#N/A</v>
      </c>
      <c r="S335" s="62" t="e">
        <f t="shared" ca="1" si="61"/>
        <v>#N/A</v>
      </c>
      <c r="T335" s="62" t="e">
        <f t="shared" ca="1" si="55"/>
        <v>#N/A</v>
      </c>
      <c r="U335" s="62" t="e">
        <f t="shared" ca="1" si="56"/>
        <v>#N/A</v>
      </c>
      <c r="V335" s="62" t="e">
        <f t="shared" ca="1" si="57"/>
        <v>#N/A</v>
      </c>
      <c r="W335" s="60" t="e">
        <f t="shared" ca="1" si="58"/>
        <v>#N/A</v>
      </c>
      <c r="X335" s="60" t="e">
        <f t="shared" ca="1" si="62"/>
        <v>#N/A</v>
      </c>
      <c r="Y335" s="60" t="e">
        <f t="shared" ca="1" si="59"/>
        <v>#N/A</v>
      </c>
      <c r="Z335" s="60" t="e">
        <f t="shared" ca="1" si="60"/>
        <v>#N/A</v>
      </c>
      <c r="AA335" s="92">
        <f ca="1"/>
        <v>44836</v>
      </c>
      <c r="AB335" s="62">
        <f t="shared" ca="1" si="63"/>
        <v>44836</v>
      </c>
      <c r="AC335" s="62">
        <f t="shared" ca="1" si="64"/>
        <v>147.88154008107546</v>
      </c>
      <c r="AD335" s="62">
        <f t="shared" ca="1" si="65"/>
        <v>42.670240044325503</v>
      </c>
      <c r="AE335" s="62">
        <f t="shared" ca="1" si="66"/>
        <v>0</v>
      </c>
    </row>
    <row r="336" spans="18:31" x14ac:dyDescent="0.25">
      <c r="R336" s="92" t="e">
        <f ca="1"/>
        <v>#N/A</v>
      </c>
      <c r="S336" s="62" t="e">
        <f t="shared" ca="1" si="61"/>
        <v>#N/A</v>
      </c>
      <c r="T336" s="62" t="e">
        <f t="shared" ca="1" si="55"/>
        <v>#N/A</v>
      </c>
      <c r="U336" s="62" t="e">
        <f t="shared" ca="1" si="56"/>
        <v>#N/A</v>
      </c>
      <c r="V336" s="62" t="e">
        <f t="shared" ca="1" si="57"/>
        <v>#N/A</v>
      </c>
      <c r="W336" s="60" t="e">
        <f t="shared" ca="1" si="58"/>
        <v>#N/A</v>
      </c>
      <c r="X336" s="60" t="e">
        <f t="shared" ca="1" si="62"/>
        <v>#N/A</v>
      </c>
      <c r="Y336" s="60" t="e">
        <f t="shared" ca="1" si="59"/>
        <v>#N/A</v>
      </c>
      <c r="Z336" s="60" t="e">
        <f t="shared" ca="1" si="60"/>
        <v>#N/A</v>
      </c>
      <c r="AA336" s="92">
        <f ca="1"/>
        <v>44837</v>
      </c>
      <c r="AB336" s="62">
        <f t="shared" ca="1" si="63"/>
        <v>44837</v>
      </c>
      <c r="AC336" s="62">
        <f t="shared" ca="1" si="64"/>
        <v>147.07580413775275</v>
      </c>
      <c r="AD336" s="62">
        <f t="shared" ca="1" si="65"/>
        <v>43.892714447497298</v>
      </c>
      <c r="AE336" s="62">
        <f t="shared" ca="1" si="66"/>
        <v>0</v>
      </c>
    </row>
    <row r="337" spans="18:31" x14ac:dyDescent="0.25">
      <c r="R337" s="92" t="e">
        <f ca="1"/>
        <v>#N/A</v>
      </c>
      <c r="S337" s="62" t="e">
        <f t="shared" ca="1" si="61"/>
        <v>#N/A</v>
      </c>
      <c r="T337" s="62" t="e">
        <f t="shared" ca="1" si="55"/>
        <v>#N/A</v>
      </c>
      <c r="U337" s="62" t="e">
        <f t="shared" ca="1" si="56"/>
        <v>#N/A</v>
      </c>
      <c r="V337" s="62" t="e">
        <f t="shared" ca="1" si="57"/>
        <v>#N/A</v>
      </c>
      <c r="W337" s="60" t="e">
        <f t="shared" ca="1" si="58"/>
        <v>#N/A</v>
      </c>
      <c r="X337" s="60" t="e">
        <f t="shared" ca="1" si="62"/>
        <v>#N/A</v>
      </c>
      <c r="Y337" s="60" t="e">
        <f t="shared" ca="1" si="59"/>
        <v>#N/A</v>
      </c>
      <c r="Z337" s="60" t="e">
        <f t="shared" ca="1" si="60"/>
        <v>#N/A</v>
      </c>
      <c r="AA337" s="92">
        <f ca="1"/>
        <v>44838</v>
      </c>
      <c r="AB337" s="62">
        <f t="shared" ca="1" si="63"/>
        <v>44838</v>
      </c>
      <c r="AC337" s="62">
        <f t="shared" ca="1" si="64"/>
        <v>146.28039115076172</v>
      </c>
      <c r="AD337" s="62">
        <f t="shared" ca="1" si="65"/>
        <v>45.090617963781497</v>
      </c>
      <c r="AE337" s="62">
        <f t="shared" ca="1" si="66"/>
        <v>0</v>
      </c>
    </row>
    <row r="338" spans="18:31" x14ac:dyDescent="0.25">
      <c r="R338" s="92" t="e">
        <f ca="1"/>
        <v>#N/A</v>
      </c>
      <c r="S338" s="62" t="e">
        <f t="shared" ca="1" si="61"/>
        <v>#N/A</v>
      </c>
      <c r="T338" s="62" t="e">
        <f t="shared" ref="T338:T395" ca="1" si="67">VLOOKUP(S338,ModelOutputs,2,FALSE)</f>
        <v>#N/A</v>
      </c>
      <c r="U338" s="62" t="e">
        <f t="shared" ref="U338:U395" ca="1" si="68">VLOOKUP(S338,ModelOutputs,7,FALSE)</f>
        <v>#N/A</v>
      </c>
      <c r="V338" s="62" t="e">
        <f t="shared" ref="V338:V395" ca="1" si="69">VLOOKUP(S338,ModelOutputs,6,FALSE)</f>
        <v>#N/A</v>
      </c>
      <c r="W338" s="60" t="e">
        <f t="shared" ref="W338:W395" ca="1" si="70">VLOOKUP(S338,ModelOutputs,10,FALSE)*AWC</f>
        <v>#N/A</v>
      </c>
      <c r="X338" s="60" t="e">
        <f t="shared" ca="1" si="62"/>
        <v>#N/A</v>
      </c>
      <c r="Y338" s="60" t="e">
        <f t="shared" ref="Y338:Y395" ca="1" si="71">VLOOKUP(S338,ModelOutputs,12,FALSE)</f>
        <v>#N/A</v>
      </c>
      <c r="Z338" s="60" t="e">
        <f t="shared" ref="Z338:Z395" ca="1" si="72">VLOOKUP(S338,ModelOutputs,13,FALSE)</f>
        <v>#N/A</v>
      </c>
      <c r="AA338" s="92">
        <f ca="1"/>
        <v>44839</v>
      </c>
      <c r="AB338" s="62">
        <f t="shared" ca="1" si="63"/>
        <v>44839</v>
      </c>
      <c r="AC338" s="62">
        <f t="shared" ca="1" si="64"/>
        <v>145.47295742475023</v>
      </c>
      <c r="AD338" s="62">
        <f t="shared" ca="1" si="65"/>
        <v>46.301467649944101</v>
      </c>
      <c r="AE338" s="62">
        <f t="shared" ca="1" si="66"/>
        <v>0</v>
      </c>
    </row>
    <row r="339" spans="18:31" x14ac:dyDescent="0.25">
      <c r="R339" s="92" t="e">
        <f ca="1"/>
        <v>#N/A</v>
      </c>
      <c r="S339" s="62" t="e">
        <f t="shared" ref="S339:S395" ca="1" si="73">IF(R339&gt;1,R339,"")</f>
        <v>#N/A</v>
      </c>
      <c r="T339" s="62" t="e">
        <f t="shared" ca="1" si="67"/>
        <v>#N/A</v>
      </c>
      <c r="U339" s="62" t="e">
        <f t="shared" ca="1" si="68"/>
        <v>#N/A</v>
      </c>
      <c r="V339" s="62" t="e">
        <f t="shared" ca="1" si="69"/>
        <v>#N/A</v>
      </c>
      <c r="W339" s="60" t="e">
        <f t="shared" ca="1" si="70"/>
        <v>#N/A</v>
      </c>
      <c r="X339" s="60" t="e">
        <f t="shared" ref="X339:X395" ca="1" si="74">VLOOKUP(S339,ModelOutputs,11,FALSE)+X338</f>
        <v>#N/A</v>
      </c>
      <c r="Y339" s="60" t="e">
        <f t="shared" ca="1" si="71"/>
        <v>#N/A</v>
      </c>
      <c r="Z339" s="60" t="e">
        <f t="shared" ca="1" si="72"/>
        <v>#N/A</v>
      </c>
      <c r="AA339" s="92">
        <f ca="1"/>
        <v>44840</v>
      </c>
      <c r="AB339" s="62">
        <f t="shared" ca="1" si="63"/>
        <v>44840</v>
      </c>
      <c r="AC339" s="62">
        <f t="shared" ca="1" si="64"/>
        <v>144.64891413289553</v>
      </c>
      <c r="AD339" s="62">
        <f t="shared" ca="1" si="65"/>
        <v>47.5332785012301</v>
      </c>
      <c r="AE339" s="62">
        <f t="shared" ca="1" si="66"/>
        <v>0</v>
      </c>
    </row>
    <row r="340" spans="18:31" x14ac:dyDescent="0.25">
      <c r="R340" s="92" t="e">
        <f ca="1"/>
        <v>#N/A</v>
      </c>
      <c r="S340" s="62" t="e">
        <f t="shared" ca="1" si="73"/>
        <v>#N/A</v>
      </c>
      <c r="T340" s="62" t="e">
        <f t="shared" ca="1" si="67"/>
        <v>#N/A</v>
      </c>
      <c r="U340" s="62" t="e">
        <f t="shared" ca="1" si="68"/>
        <v>#N/A</v>
      </c>
      <c r="V340" s="62" t="e">
        <f t="shared" ca="1" si="69"/>
        <v>#N/A</v>
      </c>
      <c r="W340" s="60" t="e">
        <f t="shared" ca="1" si="70"/>
        <v>#N/A</v>
      </c>
      <c r="X340" s="60" t="e">
        <f t="shared" ca="1" si="74"/>
        <v>#N/A</v>
      </c>
      <c r="Y340" s="60" t="e">
        <f t="shared" ca="1" si="71"/>
        <v>#N/A</v>
      </c>
      <c r="Z340" s="60" t="e">
        <f t="shared" ca="1" si="72"/>
        <v>#N/A</v>
      </c>
      <c r="AA340" s="92">
        <f ca="1"/>
        <v>44841</v>
      </c>
      <c r="AB340" s="62">
        <f t="shared" ca="1" si="63"/>
        <v>44841</v>
      </c>
      <c r="AC340" s="62">
        <f t="shared" ca="1" si="64"/>
        <v>143.83034193909515</v>
      </c>
      <c r="AD340" s="62">
        <f t="shared" ca="1" si="65"/>
        <v>48.751242933378201</v>
      </c>
      <c r="AE340" s="62">
        <f t="shared" ca="1" si="66"/>
        <v>0</v>
      </c>
    </row>
    <row r="341" spans="18:31" x14ac:dyDescent="0.25">
      <c r="R341" s="92" t="e">
        <f ca="1"/>
        <v>#N/A</v>
      </c>
      <c r="S341" s="62" t="e">
        <f t="shared" ca="1" si="73"/>
        <v>#N/A</v>
      </c>
      <c r="T341" s="62" t="e">
        <f t="shared" ca="1" si="67"/>
        <v>#N/A</v>
      </c>
      <c r="U341" s="62" t="e">
        <f t="shared" ca="1" si="68"/>
        <v>#N/A</v>
      </c>
      <c r="V341" s="62" t="e">
        <f t="shared" ca="1" si="69"/>
        <v>#N/A</v>
      </c>
      <c r="W341" s="60" t="e">
        <f t="shared" ca="1" si="70"/>
        <v>#N/A</v>
      </c>
      <c r="X341" s="60" t="e">
        <f t="shared" ca="1" si="74"/>
        <v>#N/A</v>
      </c>
      <c r="Y341" s="60" t="e">
        <f t="shared" ca="1" si="71"/>
        <v>#N/A</v>
      </c>
      <c r="Z341" s="60" t="e">
        <f t="shared" ca="1" si="72"/>
        <v>#N/A</v>
      </c>
      <c r="AA341" s="92">
        <f ca="1"/>
        <v>44842</v>
      </c>
      <c r="AB341" s="62">
        <f t="shared" ref="AB341:AB395" ca="1" si="75">IF(AA341&gt;1,AA341,"")</f>
        <v>44842</v>
      </c>
      <c r="AC341" s="62">
        <f t="shared" ref="AC341:AC395" ca="1" si="76">VLOOKUP(AB341,ModelOutputs,2,FALSE)</f>
        <v>142.96170386010328</v>
      </c>
      <c r="AD341" s="62">
        <f t="shared" ref="AD341:AD395" ca="1" si="77">VLOOKUP(AB341,ModelOutputs,7,FALSE)</f>
        <v>50.045401792173301</v>
      </c>
      <c r="AE341" s="62">
        <f t="shared" ref="AE341:AE395" ca="1" si="78">VLOOKUP(AB341,ModelOutputs,6,FALSE)</f>
        <v>0</v>
      </c>
    </row>
    <row r="342" spans="18:31" x14ac:dyDescent="0.25">
      <c r="R342" s="92" t="e">
        <f ca="1"/>
        <v>#N/A</v>
      </c>
      <c r="S342" s="62" t="e">
        <f t="shared" ca="1" si="73"/>
        <v>#N/A</v>
      </c>
      <c r="T342" s="62" t="e">
        <f t="shared" ca="1" si="67"/>
        <v>#N/A</v>
      </c>
      <c r="U342" s="62" t="e">
        <f t="shared" ca="1" si="68"/>
        <v>#N/A</v>
      </c>
      <c r="V342" s="62" t="e">
        <f t="shared" ca="1" si="69"/>
        <v>#N/A</v>
      </c>
      <c r="W342" s="60" t="e">
        <f t="shared" ca="1" si="70"/>
        <v>#N/A</v>
      </c>
      <c r="X342" s="60" t="e">
        <f t="shared" ca="1" si="74"/>
        <v>#N/A</v>
      </c>
      <c r="Y342" s="60" t="e">
        <f t="shared" ca="1" si="71"/>
        <v>#N/A</v>
      </c>
      <c r="Z342" s="60" t="e">
        <f t="shared" ca="1" si="72"/>
        <v>#N/A</v>
      </c>
      <c r="AA342" s="92">
        <f ca="1"/>
        <v>44843</v>
      </c>
      <c r="AB342" s="62">
        <f t="shared" ca="1" si="75"/>
        <v>44843</v>
      </c>
      <c r="AC342" s="62">
        <f t="shared" ca="1" si="76"/>
        <v>142.07397355633717</v>
      </c>
      <c r="AD342" s="62">
        <f t="shared" ca="1" si="77"/>
        <v>51.366547112160703</v>
      </c>
      <c r="AE342" s="62">
        <f t="shared" ca="1" si="78"/>
        <v>0</v>
      </c>
    </row>
    <row r="343" spans="18:31" x14ac:dyDescent="0.25">
      <c r="R343" s="92" t="e">
        <f ca="1"/>
        <v>#N/A</v>
      </c>
      <c r="S343" s="62" t="e">
        <f t="shared" ca="1" si="73"/>
        <v>#N/A</v>
      </c>
      <c r="T343" s="62" t="e">
        <f t="shared" ca="1" si="67"/>
        <v>#N/A</v>
      </c>
      <c r="U343" s="62" t="e">
        <f t="shared" ca="1" si="68"/>
        <v>#N/A</v>
      </c>
      <c r="V343" s="62" t="e">
        <f t="shared" ca="1" si="69"/>
        <v>#N/A</v>
      </c>
      <c r="W343" s="60" t="e">
        <f t="shared" ca="1" si="70"/>
        <v>#N/A</v>
      </c>
      <c r="X343" s="60" t="e">
        <f t="shared" ca="1" si="74"/>
        <v>#N/A</v>
      </c>
      <c r="Y343" s="60" t="e">
        <f t="shared" ca="1" si="71"/>
        <v>#N/A</v>
      </c>
      <c r="Z343" s="60" t="e">
        <f t="shared" ca="1" si="72"/>
        <v>#N/A</v>
      </c>
      <c r="AA343" s="92">
        <f ca="1"/>
        <v>44844</v>
      </c>
      <c r="AB343" s="62">
        <f t="shared" ca="1" si="75"/>
        <v>44844</v>
      </c>
      <c r="AC343" s="62">
        <f t="shared" ca="1" si="76"/>
        <v>141.22533224344414</v>
      </c>
      <c r="AD343" s="62">
        <f t="shared" ca="1" si="77"/>
        <v>52.621520867876797</v>
      </c>
      <c r="AE343" s="62">
        <f t="shared" ca="1" si="78"/>
        <v>0</v>
      </c>
    </row>
    <row r="344" spans="18:31" x14ac:dyDescent="0.25">
      <c r="R344" s="92" t="e">
        <f ca="1"/>
        <v>#N/A</v>
      </c>
      <c r="S344" s="62" t="e">
        <f t="shared" ca="1" si="73"/>
        <v>#N/A</v>
      </c>
      <c r="T344" s="62" t="e">
        <f t="shared" ca="1" si="67"/>
        <v>#N/A</v>
      </c>
      <c r="U344" s="62" t="e">
        <f t="shared" ca="1" si="68"/>
        <v>#N/A</v>
      </c>
      <c r="V344" s="62" t="e">
        <f t="shared" ca="1" si="69"/>
        <v>#N/A</v>
      </c>
      <c r="W344" s="60" t="e">
        <f t="shared" ca="1" si="70"/>
        <v>#N/A</v>
      </c>
      <c r="X344" s="60" t="e">
        <f t="shared" ca="1" si="74"/>
        <v>#N/A</v>
      </c>
      <c r="Y344" s="60" t="e">
        <f t="shared" ca="1" si="71"/>
        <v>#N/A</v>
      </c>
      <c r="Z344" s="60" t="e">
        <f t="shared" ca="1" si="72"/>
        <v>#N/A</v>
      </c>
      <c r="AA344" s="92">
        <f ca="1"/>
        <v>44845</v>
      </c>
      <c r="AB344" s="62">
        <f t="shared" ca="1" si="75"/>
        <v>44845</v>
      </c>
      <c r="AC344" s="62">
        <f t="shared" ca="1" si="76"/>
        <v>140.35662552845957</v>
      </c>
      <c r="AD344" s="62">
        <f t="shared" ca="1" si="77"/>
        <v>53.906452818835</v>
      </c>
      <c r="AE344" s="62">
        <f t="shared" ca="1" si="78"/>
        <v>0</v>
      </c>
    </row>
    <row r="345" spans="18:31" x14ac:dyDescent="0.25">
      <c r="R345" s="92" t="e">
        <f ca="1"/>
        <v>#N/A</v>
      </c>
      <c r="S345" s="62" t="e">
        <f t="shared" ca="1" si="73"/>
        <v>#N/A</v>
      </c>
      <c r="T345" s="62" t="e">
        <f t="shared" ca="1" si="67"/>
        <v>#N/A</v>
      </c>
      <c r="U345" s="62" t="e">
        <f t="shared" ca="1" si="68"/>
        <v>#N/A</v>
      </c>
      <c r="V345" s="62" t="e">
        <f t="shared" ca="1" si="69"/>
        <v>#N/A</v>
      </c>
      <c r="W345" s="60" t="e">
        <f t="shared" ca="1" si="70"/>
        <v>#N/A</v>
      </c>
      <c r="X345" s="60" t="e">
        <f t="shared" ca="1" si="74"/>
        <v>#N/A</v>
      </c>
      <c r="Y345" s="60" t="e">
        <f t="shared" ca="1" si="71"/>
        <v>#N/A</v>
      </c>
      <c r="Z345" s="60" t="e">
        <f t="shared" ca="1" si="72"/>
        <v>#N/A</v>
      </c>
      <c r="AA345" s="92">
        <f ca="1"/>
        <v>44846</v>
      </c>
      <c r="AB345" s="62">
        <f t="shared" ca="1" si="75"/>
        <v>44846</v>
      </c>
      <c r="AC345" s="62">
        <f t="shared" ca="1" si="76"/>
        <v>139.45468547889303</v>
      </c>
      <c r="AD345" s="62">
        <f t="shared" ca="1" si="77"/>
        <v>55.243677027740397</v>
      </c>
      <c r="AE345" s="62">
        <f t="shared" ca="1" si="78"/>
        <v>0</v>
      </c>
    </row>
    <row r="346" spans="18:31" x14ac:dyDescent="0.25">
      <c r="R346" s="92" t="e">
        <f ca="1"/>
        <v>#N/A</v>
      </c>
      <c r="S346" s="62" t="e">
        <f t="shared" ca="1" si="73"/>
        <v>#N/A</v>
      </c>
      <c r="T346" s="62" t="e">
        <f t="shared" ca="1" si="67"/>
        <v>#N/A</v>
      </c>
      <c r="U346" s="62" t="e">
        <f t="shared" ca="1" si="68"/>
        <v>#N/A</v>
      </c>
      <c r="V346" s="62" t="e">
        <f t="shared" ca="1" si="69"/>
        <v>#N/A</v>
      </c>
      <c r="W346" s="60" t="e">
        <f t="shared" ca="1" si="70"/>
        <v>#N/A</v>
      </c>
      <c r="X346" s="60" t="e">
        <f t="shared" ca="1" si="74"/>
        <v>#N/A</v>
      </c>
      <c r="Y346" s="60" t="e">
        <f t="shared" ca="1" si="71"/>
        <v>#N/A</v>
      </c>
      <c r="Z346" s="60" t="e">
        <f t="shared" ca="1" si="72"/>
        <v>#N/A</v>
      </c>
      <c r="AA346" s="92">
        <f ca="1"/>
        <v>44847</v>
      </c>
      <c r="AB346" s="62">
        <f t="shared" ca="1" si="75"/>
        <v>44847</v>
      </c>
      <c r="AC346" s="62">
        <f t="shared" ca="1" si="76"/>
        <v>138.55707475379515</v>
      </c>
      <c r="AD346" s="62">
        <f t="shared" ca="1" si="77"/>
        <v>56.573272953337799</v>
      </c>
      <c r="AE346" s="62">
        <f t="shared" ca="1" si="78"/>
        <v>0</v>
      </c>
    </row>
    <row r="347" spans="18:31" x14ac:dyDescent="0.25">
      <c r="R347" s="92" t="e">
        <f ca="1"/>
        <v>#N/A</v>
      </c>
      <c r="S347" s="62" t="e">
        <f t="shared" ca="1" si="73"/>
        <v>#N/A</v>
      </c>
      <c r="T347" s="62" t="e">
        <f t="shared" ca="1" si="67"/>
        <v>#N/A</v>
      </c>
      <c r="U347" s="62" t="e">
        <f t="shared" ca="1" si="68"/>
        <v>#N/A</v>
      </c>
      <c r="V347" s="62" t="e">
        <f t="shared" ca="1" si="69"/>
        <v>#N/A</v>
      </c>
      <c r="W347" s="60" t="e">
        <f t="shared" ca="1" si="70"/>
        <v>#N/A</v>
      </c>
      <c r="X347" s="60" t="e">
        <f t="shared" ca="1" si="74"/>
        <v>#N/A</v>
      </c>
      <c r="Y347" s="60" t="e">
        <f t="shared" ca="1" si="71"/>
        <v>#N/A</v>
      </c>
      <c r="Z347" s="60" t="e">
        <f t="shared" ca="1" si="72"/>
        <v>#N/A</v>
      </c>
      <c r="AA347" s="92">
        <f ca="1"/>
        <v>44848</v>
      </c>
      <c r="AB347" s="62">
        <f t="shared" ca="1" si="75"/>
        <v>44848</v>
      </c>
      <c r="AC347" s="62">
        <f t="shared" ca="1" si="76"/>
        <v>137.67933043048302</v>
      </c>
      <c r="AD347" s="62">
        <f t="shared" ca="1" si="77"/>
        <v>57.871101189507101</v>
      </c>
      <c r="AE347" s="62">
        <f t="shared" ca="1" si="78"/>
        <v>0</v>
      </c>
    </row>
    <row r="348" spans="18:31" x14ac:dyDescent="0.25">
      <c r="R348" s="92" t="e">
        <f ca="1"/>
        <v>#N/A</v>
      </c>
      <c r="S348" s="62" t="e">
        <f t="shared" ca="1" si="73"/>
        <v>#N/A</v>
      </c>
      <c r="T348" s="62" t="e">
        <f t="shared" ca="1" si="67"/>
        <v>#N/A</v>
      </c>
      <c r="U348" s="62" t="e">
        <f t="shared" ca="1" si="68"/>
        <v>#N/A</v>
      </c>
      <c r="V348" s="62" t="e">
        <f t="shared" ca="1" si="69"/>
        <v>#N/A</v>
      </c>
      <c r="W348" s="60" t="e">
        <f t="shared" ca="1" si="70"/>
        <v>#N/A</v>
      </c>
      <c r="X348" s="60" t="e">
        <f t="shared" ca="1" si="74"/>
        <v>#N/A</v>
      </c>
      <c r="Y348" s="60" t="e">
        <f t="shared" ca="1" si="71"/>
        <v>#N/A</v>
      </c>
      <c r="Z348" s="60" t="e">
        <f t="shared" ca="1" si="72"/>
        <v>#N/A</v>
      </c>
      <c r="AA348" s="92">
        <f ca="1"/>
        <v>44849</v>
      </c>
      <c r="AB348" s="62">
        <f t="shared" ca="1" si="75"/>
        <v>44849</v>
      </c>
      <c r="AC348" s="62">
        <f t="shared" ca="1" si="76"/>
        <v>136.82148793434885</v>
      </c>
      <c r="AD348" s="62">
        <f t="shared" ca="1" si="77"/>
        <v>59.1382035861444</v>
      </c>
      <c r="AE348" s="62">
        <f t="shared" ca="1" si="78"/>
        <v>0</v>
      </c>
    </row>
    <row r="349" spans="18:31" x14ac:dyDescent="0.25">
      <c r="R349" s="92" t="e">
        <f ca="1"/>
        <v>#N/A</v>
      </c>
      <c r="S349" s="62" t="e">
        <f t="shared" ca="1" si="73"/>
        <v>#N/A</v>
      </c>
      <c r="T349" s="62" t="e">
        <f t="shared" ca="1" si="67"/>
        <v>#N/A</v>
      </c>
      <c r="U349" s="62" t="e">
        <f t="shared" ca="1" si="68"/>
        <v>#N/A</v>
      </c>
      <c r="V349" s="62" t="e">
        <f t="shared" ca="1" si="69"/>
        <v>#N/A</v>
      </c>
      <c r="W349" s="60" t="e">
        <f t="shared" ca="1" si="70"/>
        <v>#N/A</v>
      </c>
      <c r="X349" s="60" t="e">
        <f t="shared" ca="1" si="74"/>
        <v>#N/A</v>
      </c>
      <c r="Y349" s="60" t="e">
        <f t="shared" ca="1" si="71"/>
        <v>#N/A</v>
      </c>
      <c r="Z349" s="60" t="e">
        <f t="shared" ca="1" si="72"/>
        <v>#N/A</v>
      </c>
      <c r="AA349" s="92">
        <f ca="1"/>
        <v>44850</v>
      </c>
      <c r="AB349" s="62">
        <f t="shared" ca="1" si="75"/>
        <v>44850</v>
      </c>
      <c r="AC349" s="62">
        <f t="shared" ca="1" si="76"/>
        <v>135.96334488361961</v>
      </c>
      <c r="AD349" s="62">
        <f t="shared" ca="1" si="77"/>
        <v>60.407669743056701</v>
      </c>
      <c r="AE349" s="62">
        <f t="shared" ca="1" si="78"/>
        <v>0</v>
      </c>
    </row>
    <row r="350" spans="18:31" x14ac:dyDescent="0.25">
      <c r="R350" s="92" t="e">
        <f ca="1"/>
        <v>#N/A</v>
      </c>
      <c r="S350" s="62" t="e">
        <f t="shared" ca="1" si="73"/>
        <v>#N/A</v>
      </c>
      <c r="T350" s="62" t="e">
        <f t="shared" ca="1" si="67"/>
        <v>#N/A</v>
      </c>
      <c r="U350" s="62" t="e">
        <f t="shared" ca="1" si="68"/>
        <v>#N/A</v>
      </c>
      <c r="V350" s="62" t="e">
        <f t="shared" ca="1" si="69"/>
        <v>#N/A</v>
      </c>
      <c r="W350" s="60" t="e">
        <f t="shared" ca="1" si="70"/>
        <v>#N/A</v>
      </c>
      <c r="X350" s="60" t="e">
        <f t="shared" ca="1" si="74"/>
        <v>#N/A</v>
      </c>
      <c r="Y350" s="60" t="e">
        <f t="shared" ca="1" si="71"/>
        <v>#N/A</v>
      </c>
      <c r="Z350" s="60" t="e">
        <f t="shared" ca="1" si="72"/>
        <v>#N/A</v>
      </c>
      <c r="AA350" s="92">
        <f ca="1"/>
        <v>44851</v>
      </c>
      <c r="AB350" s="62">
        <f t="shared" ca="1" si="75"/>
        <v>44851</v>
      </c>
      <c r="AC350" s="62">
        <f t="shared" ca="1" si="76"/>
        <v>135.07499754733976</v>
      </c>
      <c r="AD350" s="62">
        <f t="shared" ca="1" si="77"/>
        <v>61.72884173021</v>
      </c>
      <c r="AE350" s="62">
        <f t="shared" ca="1" si="78"/>
        <v>0</v>
      </c>
    </row>
    <row r="351" spans="18:31" x14ac:dyDescent="0.25">
      <c r="R351" s="92" t="e">
        <f ca="1"/>
        <v>#N/A</v>
      </c>
      <c r="S351" s="62" t="e">
        <f t="shared" ca="1" si="73"/>
        <v>#N/A</v>
      </c>
      <c r="T351" s="62" t="e">
        <f t="shared" ca="1" si="67"/>
        <v>#N/A</v>
      </c>
      <c r="U351" s="62" t="e">
        <f t="shared" ca="1" si="68"/>
        <v>#N/A</v>
      </c>
      <c r="V351" s="62" t="e">
        <f t="shared" ca="1" si="69"/>
        <v>#N/A</v>
      </c>
      <c r="W351" s="60" t="e">
        <f t="shared" ca="1" si="70"/>
        <v>#N/A</v>
      </c>
      <c r="X351" s="60" t="e">
        <f t="shared" ca="1" si="74"/>
        <v>#N/A</v>
      </c>
      <c r="Y351" s="60" t="e">
        <f t="shared" ca="1" si="71"/>
        <v>#N/A</v>
      </c>
      <c r="Z351" s="60" t="e">
        <f t="shared" ca="1" si="72"/>
        <v>#N/A</v>
      </c>
      <c r="AA351" s="92">
        <f ca="1"/>
        <v>44852</v>
      </c>
      <c r="AB351" s="62">
        <f t="shared" ca="1" si="75"/>
        <v>44852</v>
      </c>
      <c r="AC351" s="62">
        <f t="shared" ca="1" si="76"/>
        <v>134.22170940017415</v>
      </c>
      <c r="AD351" s="62">
        <f t="shared" ca="1" si="77"/>
        <v>62.996905891483202</v>
      </c>
      <c r="AE351" s="62">
        <f t="shared" ca="1" si="78"/>
        <v>0</v>
      </c>
    </row>
    <row r="352" spans="18:31" x14ac:dyDescent="0.25">
      <c r="R352" s="92" t="e">
        <f ca="1"/>
        <v>#N/A</v>
      </c>
      <c r="S352" s="62" t="e">
        <f t="shared" ca="1" si="73"/>
        <v>#N/A</v>
      </c>
      <c r="T352" s="62" t="e">
        <f t="shared" ca="1" si="67"/>
        <v>#N/A</v>
      </c>
      <c r="U352" s="62" t="e">
        <f t="shared" ca="1" si="68"/>
        <v>#N/A</v>
      </c>
      <c r="V352" s="62" t="e">
        <f t="shared" ca="1" si="69"/>
        <v>#N/A</v>
      </c>
      <c r="W352" s="60" t="e">
        <f t="shared" ca="1" si="70"/>
        <v>#N/A</v>
      </c>
      <c r="X352" s="60" t="e">
        <f t="shared" ca="1" si="74"/>
        <v>#N/A</v>
      </c>
      <c r="Y352" s="60" t="e">
        <f t="shared" ca="1" si="71"/>
        <v>#N/A</v>
      </c>
      <c r="Z352" s="60" t="e">
        <f t="shared" ca="1" si="72"/>
        <v>#N/A</v>
      </c>
      <c r="AA352" s="92">
        <f ca="1"/>
        <v>44853</v>
      </c>
      <c r="AB352" s="62">
        <f t="shared" ca="1" si="75"/>
        <v>44853</v>
      </c>
      <c r="AC352" s="62">
        <f t="shared" ca="1" si="76"/>
        <v>133.39015582522345</v>
      </c>
      <c r="AD352" s="62">
        <f t="shared" ca="1" si="77"/>
        <v>64.234286039134204</v>
      </c>
      <c r="AE352" s="62">
        <f t="shared" ca="1" si="78"/>
        <v>0</v>
      </c>
    </row>
    <row r="353" spans="18:31" x14ac:dyDescent="0.25">
      <c r="R353" s="92" t="e">
        <f ca="1"/>
        <v>#N/A</v>
      </c>
      <c r="S353" s="62" t="e">
        <f t="shared" ca="1" si="73"/>
        <v>#N/A</v>
      </c>
      <c r="T353" s="62" t="e">
        <f t="shared" ca="1" si="67"/>
        <v>#N/A</v>
      </c>
      <c r="U353" s="62" t="e">
        <f t="shared" ca="1" si="68"/>
        <v>#N/A</v>
      </c>
      <c r="V353" s="62" t="e">
        <f t="shared" ca="1" si="69"/>
        <v>#N/A</v>
      </c>
      <c r="W353" s="60" t="e">
        <f t="shared" ca="1" si="70"/>
        <v>#N/A</v>
      </c>
      <c r="X353" s="60" t="e">
        <f t="shared" ca="1" si="74"/>
        <v>#N/A</v>
      </c>
      <c r="Y353" s="60" t="e">
        <f t="shared" ca="1" si="71"/>
        <v>#N/A</v>
      </c>
      <c r="Z353" s="60" t="e">
        <f t="shared" ca="1" si="72"/>
        <v>#N/A</v>
      </c>
      <c r="AA353" s="92">
        <f ca="1"/>
        <v>44854</v>
      </c>
      <c r="AB353" s="62">
        <f t="shared" ca="1" si="75"/>
        <v>44854</v>
      </c>
      <c r="AC353" s="62">
        <f t="shared" ca="1" si="76"/>
        <v>132.57392094401106</v>
      </c>
      <c r="AD353" s="62">
        <f t="shared" ca="1" si="77"/>
        <v>65.451924510949297</v>
      </c>
      <c r="AE353" s="62">
        <f t="shared" ca="1" si="78"/>
        <v>0</v>
      </c>
    </row>
    <row r="354" spans="18:31" x14ac:dyDescent="0.25">
      <c r="R354" s="92" t="e">
        <f ca="1"/>
        <v>#N/A</v>
      </c>
      <c r="S354" s="62" t="e">
        <f t="shared" ca="1" si="73"/>
        <v>#N/A</v>
      </c>
      <c r="T354" s="62" t="e">
        <f t="shared" ca="1" si="67"/>
        <v>#N/A</v>
      </c>
      <c r="U354" s="62" t="e">
        <f t="shared" ca="1" si="68"/>
        <v>#N/A</v>
      </c>
      <c r="V354" s="62" t="e">
        <f t="shared" ca="1" si="69"/>
        <v>#N/A</v>
      </c>
      <c r="W354" s="60" t="e">
        <f t="shared" ca="1" si="70"/>
        <v>#N/A</v>
      </c>
      <c r="X354" s="60" t="e">
        <f t="shared" ca="1" si="74"/>
        <v>#N/A</v>
      </c>
      <c r="Y354" s="60" t="e">
        <f t="shared" ca="1" si="71"/>
        <v>#N/A</v>
      </c>
      <c r="Z354" s="60" t="e">
        <f t="shared" ca="1" si="72"/>
        <v>#N/A</v>
      </c>
      <c r="AA354" s="92">
        <f ca="1"/>
        <v>44855</v>
      </c>
      <c r="AB354" s="62">
        <f t="shared" ca="1" si="75"/>
        <v>44855</v>
      </c>
      <c r="AC354" s="62">
        <f t="shared" ca="1" si="76"/>
        <v>131.74027314660958</v>
      </c>
      <c r="AD354" s="62">
        <f t="shared" ca="1" si="77"/>
        <v>66.703602158012799</v>
      </c>
      <c r="AE354" s="62">
        <f t="shared" ca="1" si="78"/>
        <v>0</v>
      </c>
    </row>
    <row r="355" spans="18:31" x14ac:dyDescent="0.25">
      <c r="R355" s="92" t="e">
        <f ca="1"/>
        <v>#N/A</v>
      </c>
      <c r="S355" s="62" t="e">
        <f t="shared" ca="1" si="73"/>
        <v>#N/A</v>
      </c>
      <c r="T355" s="62" t="e">
        <f t="shared" ca="1" si="67"/>
        <v>#N/A</v>
      </c>
      <c r="U355" s="62" t="e">
        <f t="shared" ca="1" si="68"/>
        <v>#N/A</v>
      </c>
      <c r="V355" s="62" t="e">
        <f t="shared" ca="1" si="69"/>
        <v>#N/A</v>
      </c>
      <c r="W355" s="60" t="e">
        <f t="shared" ca="1" si="70"/>
        <v>#N/A</v>
      </c>
      <c r="X355" s="60" t="e">
        <f t="shared" ca="1" si="74"/>
        <v>#N/A</v>
      </c>
      <c r="Y355" s="60" t="e">
        <f t="shared" ca="1" si="71"/>
        <v>#N/A</v>
      </c>
      <c r="Z355" s="60" t="e">
        <f t="shared" ca="1" si="72"/>
        <v>#N/A</v>
      </c>
      <c r="AA355" s="92">
        <f ca="1"/>
        <v>44856</v>
      </c>
      <c r="AB355" s="62">
        <f t="shared" ca="1" si="75"/>
        <v>44856</v>
      </c>
      <c r="AC355" s="62">
        <f t="shared" ca="1" si="76"/>
        <v>130.90162572254701</v>
      </c>
      <c r="AD355" s="62">
        <f t="shared" ca="1" si="77"/>
        <v>67.970774581133497</v>
      </c>
      <c r="AE355" s="62">
        <f t="shared" ca="1" si="78"/>
        <v>0</v>
      </c>
    </row>
    <row r="356" spans="18:31" x14ac:dyDescent="0.25">
      <c r="R356" s="92" t="e">
        <f ca="1"/>
        <v>#N/A</v>
      </c>
      <c r="S356" s="62" t="e">
        <f t="shared" ca="1" si="73"/>
        <v>#N/A</v>
      </c>
      <c r="T356" s="62" t="e">
        <f t="shared" ca="1" si="67"/>
        <v>#N/A</v>
      </c>
      <c r="U356" s="62" t="e">
        <f t="shared" ca="1" si="68"/>
        <v>#N/A</v>
      </c>
      <c r="V356" s="62" t="e">
        <f t="shared" ca="1" si="69"/>
        <v>#N/A</v>
      </c>
      <c r="W356" s="60" t="e">
        <f t="shared" ca="1" si="70"/>
        <v>#N/A</v>
      </c>
      <c r="X356" s="60" t="e">
        <f t="shared" ca="1" si="74"/>
        <v>#N/A</v>
      </c>
      <c r="Y356" s="60" t="e">
        <f t="shared" ca="1" si="71"/>
        <v>#N/A</v>
      </c>
      <c r="Z356" s="60" t="e">
        <f t="shared" ca="1" si="72"/>
        <v>#N/A</v>
      </c>
      <c r="AA356" s="92">
        <f ca="1"/>
        <v>44857</v>
      </c>
      <c r="AB356" s="62">
        <f t="shared" ca="1" si="75"/>
        <v>44857</v>
      </c>
      <c r="AC356" s="62">
        <f t="shared" ca="1" si="76"/>
        <v>130.05555161522267</v>
      </c>
      <c r="AD356" s="62">
        <f t="shared" ca="1" si="77"/>
        <v>69.259235170518295</v>
      </c>
      <c r="AE356" s="62">
        <f t="shared" ca="1" si="78"/>
        <v>0</v>
      </c>
    </row>
    <row r="357" spans="18:31" x14ac:dyDescent="0.25">
      <c r="R357" s="92" t="e">
        <f ca="1"/>
        <v>#N/A</v>
      </c>
      <c r="S357" s="62" t="e">
        <f t="shared" ca="1" si="73"/>
        <v>#N/A</v>
      </c>
      <c r="T357" s="62" t="e">
        <f t="shared" ca="1" si="67"/>
        <v>#N/A</v>
      </c>
      <c r="U357" s="62" t="e">
        <f t="shared" ca="1" si="68"/>
        <v>#N/A</v>
      </c>
      <c r="V357" s="62" t="e">
        <f t="shared" ca="1" si="69"/>
        <v>#N/A</v>
      </c>
      <c r="W357" s="60" t="e">
        <f t="shared" ca="1" si="70"/>
        <v>#N/A</v>
      </c>
      <c r="X357" s="60" t="e">
        <f t="shared" ca="1" si="74"/>
        <v>#N/A</v>
      </c>
      <c r="Y357" s="60" t="e">
        <f t="shared" ca="1" si="71"/>
        <v>#N/A</v>
      </c>
      <c r="Z357" s="60" t="e">
        <f t="shared" ca="1" si="72"/>
        <v>#N/A</v>
      </c>
      <c r="AA357" s="92">
        <f ca="1"/>
        <v>44858</v>
      </c>
      <c r="AB357" s="62">
        <f t="shared" ca="1" si="75"/>
        <v>44858</v>
      </c>
      <c r="AC357" s="62">
        <f t="shared" ca="1" si="76"/>
        <v>129.25590597779498</v>
      </c>
      <c r="AD357" s="62">
        <f t="shared" ca="1" si="77"/>
        <v>70.479028160457602</v>
      </c>
      <c r="AE357" s="62">
        <f t="shared" ca="1" si="78"/>
        <v>0</v>
      </c>
    </row>
    <row r="358" spans="18:31" x14ac:dyDescent="0.25">
      <c r="R358" s="92" t="e">
        <f ca="1"/>
        <v>#N/A</v>
      </c>
      <c r="S358" s="62" t="e">
        <f t="shared" ca="1" si="73"/>
        <v>#N/A</v>
      </c>
      <c r="T358" s="62" t="e">
        <f t="shared" ca="1" si="67"/>
        <v>#N/A</v>
      </c>
      <c r="U358" s="62" t="e">
        <f t="shared" ca="1" si="68"/>
        <v>#N/A</v>
      </c>
      <c r="V358" s="62" t="e">
        <f t="shared" ca="1" si="69"/>
        <v>#N/A</v>
      </c>
      <c r="W358" s="60" t="e">
        <f t="shared" ca="1" si="70"/>
        <v>#N/A</v>
      </c>
      <c r="X358" s="60" t="e">
        <f t="shared" ca="1" si="74"/>
        <v>#N/A</v>
      </c>
      <c r="Y358" s="60" t="e">
        <f t="shared" ca="1" si="71"/>
        <v>#N/A</v>
      </c>
      <c r="Z358" s="60" t="e">
        <f t="shared" ca="1" si="72"/>
        <v>#N/A</v>
      </c>
      <c r="AA358" s="92">
        <f ca="1"/>
        <v>44859</v>
      </c>
      <c r="AB358" s="62">
        <f t="shared" ca="1" si="75"/>
        <v>44859</v>
      </c>
      <c r="AC358" s="62">
        <f t="shared" ca="1" si="76"/>
        <v>128.44687446403879</v>
      </c>
      <c r="AD358" s="62">
        <f t="shared" ca="1" si="77"/>
        <v>71.725096570458206</v>
      </c>
      <c r="AE358" s="62">
        <f t="shared" ca="1" si="78"/>
        <v>0</v>
      </c>
    </row>
    <row r="359" spans="18:31" x14ac:dyDescent="0.25">
      <c r="R359" s="92" t="e">
        <f ca="1"/>
        <v>#N/A</v>
      </c>
      <c r="S359" s="62" t="e">
        <f t="shared" ca="1" si="73"/>
        <v>#N/A</v>
      </c>
      <c r="T359" s="62" t="e">
        <f t="shared" ca="1" si="67"/>
        <v>#N/A</v>
      </c>
      <c r="U359" s="62" t="e">
        <f t="shared" ca="1" si="68"/>
        <v>#N/A</v>
      </c>
      <c r="V359" s="62" t="e">
        <f t="shared" ca="1" si="69"/>
        <v>#N/A</v>
      </c>
      <c r="W359" s="60" t="e">
        <f t="shared" ca="1" si="70"/>
        <v>#N/A</v>
      </c>
      <c r="X359" s="60" t="e">
        <f t="shared" ca="1" si="74"/>
        <v>#N/A</v>
      </c>
      <c r="Y359" s="60" t="e">
        <f t="shared" ca="1" si="71"/>
        <v>#N/A</v>
      </c>
      <c r="Z359" s="60" t="e">
        <f t="shared" ca="1" si="72"/>
        <v>#N/A</v>
      </c>
      <c r="AA359" s="92">
        <f ca="1"/>
        <v>44860</v>
      </c>
      <c r="AB359" s="62">
        <f t="shared" ca="1" si="75"/>
        <v>44860</v>
      </c>
      <c r="AC359" s="62">
        <f t="shared" ca="1" si="76"/>
        <v>127.6378352164343</v>
      </c>
      <c r="AD359" s="62">
        <f t="shared" ca="1" si="77"/>
        <v>72.980397447165501</v>
      </c>
      <c r="AE359" s="62">
        <f t="shared" ca="1" si="78"/>
        <v>0</v>
      </c>
    </row>
    <row r="360" spans="18:31" x14ac:dyDescent="0.25">
      <c r="R360" s="92" t="e">
        <f ca="1"/>
        <v>#N/A</v>
      </c>
      <c r="S360" s="62" t="e">
        <f t="shared" ca="1" si="73"/>
        <v>#N/A</v>
      </c>
      <c r="T360" s="62" t="e">
        <f t="shared" ca="1" si="67"/>
        <v>#N/A</v>
      </c>
      <c r="U360" s="62" t="e">
        <f t="shared" ca="1" si="68"/>
        <v>#N/A</v>
      </c>
      <c r="V360" s="62" t="e">
        <f t="shared" ca="1" si="69"/>
        <v>#N/A</v>
      </c>
      <c r="W360" s="60" t="e">
        <f t="shared" ca="1" si="70"/>
        <v>#N/A</v>
      </c>
      <c r="X360" s="60" t="e">
        <f t="shared" ca="1" si="74"/>
        <v>#N/A</v>
      </c>
      <c r="Y360" s="60" t="e">
        <f t="shared" ca="1" si="71"/>
        <v>#N/A</v>
      </c>
      <c r="Z360" s="60" t="e">
        <f t="shared" ca="1" si="72"/>
        <v>#N/A</v>
      </c>
      <c r="AA360" s="92">
        <f ca="1"/>
        <v>44861</v>
      </c>
      <c r="AB360" s="62">
        <f t="shared" ca="1" si="75"/>
        <v>44861</v>
      </c>
      <c r="AC360" s="62">
        <f t="shared" ca="1" si="76"/>
        <v>126.81133549422987</v>
      </c>
      <c r="AD360" s="62">
        <f t="shared" ca="1" si="77"/>
        <v>74.2834058133664</v>
      </c>
      <c r="AE360" s="62">
        <f t="shared" ca="1" si="78"/>
        <v>0</v>
      </c>
    </row>
    <row r="361" spans="18:31" x14ac:dyDescent="0.25">
      <c r="R361" s="92" t="e">
        <f ca="1"/>
        <v>#N/A</v>
      </c>
      <c r="S361" s="62" t="e">
        <f t="shared" ca="1" si="73"/>
        <v>#N/A</v>
      </c>
      <c r="T361" s="62" t="e">
        <f t="shared" ca="1" si="67"/>
        <v>#N/A</v>
      </c>
      <c r="U361" s="62" t="e">
        <f t="shared" ca="1" si="68"/>
        <v>#N/A</v>
      </c>
      <c r="V361" s="62" t="e">
        <f t="shared" ca="1" si="69"/>
        <v>#N/A</v>
      </c>
      <c r="W361" s="60" t="e">
        <f t="shared" ca="1" si="70"/>
        <v>#N/A</v>
      </c>
      <c r="X361" s="60" t="e">
        <f t="shared" ca="1" si="74"/>
        <v>#N/A</v>
      </c>
      <c r="Y361" s="60" t="e">
        <f t="shared" ca="1" si="71"/>
        <v>#N/A</v>
      </c>
      <c r="Z361" s="60" t="e">
        <f t="shared" ca="1" si="72"/>
        <v>#N/A</v>
      </c>
      <c r="AA361" s="92">
        <f ca="1"/>
        <v>44862</v>
      </c>
      <c r="AB361" s="62">
        <f t="shared" ca="1" si="75"/>
        <v>44862</v>
      </c>
      <c r="AC361" s="62">
        <f t="shared" ca="1" si="76"/>
        <v>126.03392597551218</v>
      </c>
      <c r="AD361" s="62">
        <f t="shared" ca="1" si="77"/>
        <v>75.516350131042799</v>
      </c>
      <c r="AE361" s="62">
        <f t="shared" ca="1" si="78"/>
        <v>0</v>
      </c>
    </row>
    <row r="362" spans="18:31" x14ac:dyDescent="0.25">
      <c r="R362" s="92" t="e">
        <f ca="1"/>
        <v>#N/A</v>
      </c>
      <c r="S362" s="62" t="e">
        <f t="shared" ca="1" si="73"/>
        <v>#N/A</v>
      </c>
      <c r="T362" s="62" t="e">
        <f t="shared" ca="1" si="67"/>
        <v>#N/A</v>
      </c>
      <c r="U362" s="62" t="e">
        <f t="shared" ca="1" si="68"/>
        <v>#N/A</v>
      </c>
      <c r="V362" s="62" t="e">
        <f t="shared" ca="1" si="69"/>
        <v>#N/A</v>
      </c>
      <c r="W362" s="60" t="e">
        <f t="shared" ca="1" si="70"/>
        <v>#N/A</v>
      </c>
      <c r="X362" s="60" t="e">
        <f t="shared" ca="1" si="74"/>
        <v>#N/A</v>
      </c>
      <c r="Y362" s="60" t="e">
        <f t="shared" ca="1" si="71"/>
        <v>#N/A</v>
      </c>
      <c r="Z362" s="60" t="e">
        <f t="shared" ca="1" si="72"/>
        <v>#N/A</v>
      </c>
      <c r="AA362" s="92">
        <f ca="1"/>
        <v>44863</v>
      </c>
      <c r="AB362" s="62">
        <f t="shared" ca="1" si="75"/>
        <v>44863</v>
      </c>
      <c r="AC362" s="62">
        <f t="shared" ca="1" si="76"/>
        <v>125.27682332817932</v>
      </c>
      <c r="AD362" s="62">
        <f t="shared" ca="1" si="77"/>
        <v>76.729601125844994</v>
      </c>
      <c r="AE362" s="62">
        <f t="shared" ca="1" si="78"/>
        <v>0</v>
      </c>
    </row>
    <row r="363" spans="18:31" x14ac:dyDescent="0.25">
      <c r="R363" s="92" t="e">
        <f ca="1"/>
        <v>#N/A</v>
      </c>
      <c r="S363" s="62" t="e">
        <f t="shared" ca="1" si="73"/>
        <v>#N/A</v>
      </c>
      <c r="T363" s="62" t="e">
        <f t="shared" ca="1" si="67"/>
        <v>#N/A</v>
      </c>
      <c r="U363" s="62" t="e">
        <f t="shared" ca="1" si="68"/>
        <v>#N/A</v>
      </c>
      <c r="V363" s="62" t="e">
        <f t="shared" ca="1" si="69"/>
        <v>#N/A</v>
      </c>
      <c r="W363" s="60" t="e">
        <f t="shared" ca="1" si="70"/>
        <v>#N/A</v>
      </c>
      <c r="X363" s="60" t="e">
        <f t="shared" ca="1" si="74"/>
        <v>#N/A</v>
      </c>
      <c r="Y363" s="60" t="e">
        <f t="shared" ca="1" si="71"/>
        <v>#N/A</v>
      </c>
      <c r="Z363" s="60" t="e">
        <f t="shared" ca="1" si="72"/>
        <v>#N/A</v>
      </c>
      <c r="AA363" s="92">
        <f ca="1"/>
        <v>44864</v>
      </c>
      <c r="AB363" s="62">
        <f t="shared" ca="1" si="75"/>
        <v>44864</v>
      </c>
      <c r="AC363" s="62">
        <f t="shared" ca="1" si="76"/>
        <v>124.51868665476643</v>
      </c>
      <c r="AD363" s="62">
        <f t="shared" ca="1" si="77"/>
        <v>77.955940524950293</v>
      </c>
      <c r="AE363" s="62">
        <f t="shared" ca="1" si="78"/>
        <v>0</v>
      </c>
    </row>
    <row r="364" spans="18:31" x14ac:dyDescent="0.25">
      <c r="R364" s="92" t="e">
        <f ca="1"/>
        <v>#N/A</v>
      </c>
      <c r="S364" s="62" t="e">
        <f t="shared" ca="1" si="73"/>
        <v>#N/A</v>
      </c>
      <c r="T364" s="62" t="e">
        <f t="shared" ca="1" si="67"/>
        <v>#N/A</v>
      </c>
      <c r="U364" s="62" t="e">
        <f t="shared" ca="1" si="68"/>
        <v>#N/A</v>
      </c>
      <c r="V364" s="62" t="e">
        <f t="shared" ca="1" si="69"/>
        <v>#N/A</v>
      </c>
      <c r="W364" s="60" t="e">
        <f t="shared" ca="1" si="70"/>
        <v>#N/A</v>
      </c>
      <c r="X364" s="60" t="e">
        <f t="shared" ca="1" si="74"/>
        <v>#N/A</v>
      </c>
      <c r="Y364" s="60" t="e">
        <f t="shared" ca="1" si="71"/>
        <v>#N/A</v>
      </c>
      <c r="Z364" s="60" t="e">
        <f t="shared" ca="1" si="72"/>
        <v>#N/A</v>
      </c>
      <c r="AA364" s="92">
        <f ca="1"/>
        <v>44865</v>
      </c>
      <c r="AB364" s="62">
        <f t="shared" ca="1" si="75"/>
        <v>44865</v>
      </c>
      <c r="AC364" s="62">
        <f t="shared" ca="1" si="76"/>
        <v>123.78314188581584</v>
      </c>
      <c r="AD364" s="62">
        <f t="shared" ca="1" si="77"/>
        <v>79.142819152627993</v>
      </c>
      <c r="AE364" s="62">
        <f t="shared" ca="1" si="78"/>
        <v>0</v>
      </c>
    </row>
    <row r="365" spans="18:31" x14ac:dyDescent="0.25">
      <c r="R365" s="92" t="e">
        <f ca="1"/>
        <v>#N/A</v>
      </c>
      <c r="S365" s="62" t="e">
        <f t="shared" ca="1" si="73"/>
        <v>#N/A</v>
      </c>
      <c r="T365" s="62" t="e">
        <f t="shared" ca="1" si="67"/>
        <v>#N/A</v>
      </c>
      <c r="U365" s="62" t="e">
        <f t="shared" ca="1" si="68"/>
        <v>#N/A</v>
      </c>
      <c r="V365" s="62" t="e">
        <f t="shared" ca="1" si="69"/>
        <v>#N/A</v>
      </c>
      <c r="W365" s="60" t="e">
        <f t="shared" ca="1" si="70"/>
        <v>#N/A</v>
      </c>
      <c r="X365" s="60" t="e">
        <f t="shared" ca="1" si="74"/>
        <v>#N/A</v>
      </c>
      <c r="Y365" s="60" t="e">
        <f t="shared" ca="1" si="71"/>
        <v>#N/A</v>
      </c>
      <c r="Z365" s="60" t="e">
        <f t="shared" ca="1" si="72"/>
        <v>#N/A</v>
      </c>
      <c r="AA365" s="92">
        <f ca="1"/>
        <v>44866</v>
      </c>
      <c r="AB365" s="62">
        <f t="shared" ca="1" si="75"/>
        <v>44866</v>
      </c>
      <c r="AC365" s="62">
        <f t="shared" ca="1" si="76"/>
        <v>123.08518373009723</v>
      </c>
      <c r="AD365" s="62">
        <f t="shared" ca="1" si="77"/>
        <v>80.266889906499898</v>
      </c>
      <c r="AE365" s="62">
        <f t="shared" ca="1" si="78"/>
        <v>0</v>
      </c>
    </row>
    <row r="366" spans="18:31" x14ac:dyDescent="0.25">
      <c r="R366" s="92" t="e">
        <f ca="1"/>
        <v>#N/A</v>
      </c>
      <c r="S366" s="62" t="e">
        <f t="shared" ca="1" si="73"/>
        <v>#N/A</v>
      </c>
      <c r="T366" s="62" t="e">
        <f t="shared" ca="1" si="67"/>
        <v>#N/A</v>
      </c>
      <c r="U366" s="62" t="e">
        <f t="shared" ca="1" si="68"/>
        <v>#N/A</v>
      </c>
      <c r="V366" s="62" t="e">
        <f t="shared" ca="1" si="69"/>
        <v>#N/A</v>
      </c>
      <c r="W366" s="60" t="e">
        <f t="shared" ca="1" si="70"/>
        <v>#N/A</v>
      </c>
      <c r="X366" s="60" t="e">
        <f t="shared" ca="1" si="74"/>
        <v>#N/A</v>
      </c>
      <c r="Y366" s="60" t="e">
        <f t="shared" ca="1" si="71"/>
        <v>#N/A</v>
      </c>
      <c r="Z366" s="60" t="e">
        <f t="shared" ca="1" si="72"/>
        <v>#N/A</v>
      </c>
      <c r="AA366" s="92">
        <f ca="1"/>
        <v>44867</v>
      </c>
      <c r="AB366" s="62">
        <f t="shared" ca="1" si="75"/>
        <v>44867</v>
      </c>
      <c r="AC366" s="62">
        <f t="shared" ca="1" si="76"/>
        <v>122.39608949755633</v>
      </c>
      <c r="AD366" s="62">
        <f t="shared" ca="1" si="77"/>
        <v>81.371934467432695</v>
      </c>
      <c r="AE366" s="62">
        <f t="shared" ca="1" si="78"/>
        <v>0</v>
      </c>
    </row>
    <row r="367" spans="18:31" x14ac:dyDescent="0.25">
      <c r="R367" s="92" t="e">
        <f ca="1"/>
        <v>#N/A</v>
      </c>
      <c r="S367" s="62" t="e">
        <f t="shared" ca="1" si="73"/>
        <v>#N/A</v>
      </c>
      <c r="T367" s="62" t="e">
        <f t="shared" ca="1" si="67"/>
        <v>#N/A</v>
      </c>
      <c r="U367" s="62" t="e">
        <f t="shared" ca="1" si="68"/>
        <v>#N/A</v>
      </c>
      <c r="V367" s="62" t="e">
        <f t="shared" ca="1" si="69"/>
        <v>#N/A</v>
      </c>
      <c r="W367" s="60" t="e">
        <f t="shared" ca="1" si="70"/>
        <v>#N/A</v>
      </c>
      <c r="X367" s="60" t="e">
        <f t="shared" ca="1" si="74"/>
        <v>#N/A</v>
      </c>
      <c r="Y367" s="60" t="e">
        <f t="shared" ca="1" si="71"/>
        <v>#N/A</v>
      </c>
      <c r="Z367" s="60" t="e">
        <f t="shared" ca="1" si="72"/>
        <v>#N/A</v>
      </c>
      <c r="AA367" s="92">
        <f ca="1"/>
        <v>44868</v>
      </c>
      <c r="AB367" s="62">
        <f t="shared" ca="1" si="75"/>
        <v>44868</v>
      </c>
      <c r="AC367" s="62">
        <f t="shared" ca="1" si="76"/>
        <v>121.73208544564446</v>
      </c>
      <c r="AD367" s="62">
        <f t="shared" ca="1" si="77"/>
        <v>82.444860336313994</v>
      </c>
      <c r="AE367" s="62">
        <f t="shared" ca="1" si="78"/>
        <v>0</v>
      </c>
    </row>
    <row r="368" spans="18:31" x14ac:dyDescent="0.25">
      <c r="R368" s="92" t="e">
        <f ca="1"/>
        <v>#N/A</v>
      </c>
      <c r="S368" s="62" t="e">
        <f t="shared" ca="1" si="73"/>
        <v>#N/A</v>
      </c>
      <c r="T368" s="62" t="e">
        <f t="shared" ca="1" si="67"/>
        <v>#N/A</v>
      </c>
      <c r="U368" s="62" t="e">
        <f t="shared" ca="1" si="68"/>
        <v>#N/A</v>
      </c>
      <c r="V368" s="62" t="e">
        <f t="shared" ca="1" si="69"/>
        <v>#N/A</v>
      </c>
      <c r="W368" s="60" t="e">
        <f t="shared" ca="1" si="70"/>
        <v>#N/A</v>
      </c>
      <c r="X368" s="60" t="e">
        <f t="shared" ca="1" si="74"/>
        <v>#N/A</v>
      </c>
      <c r="Y368" s="60" t="e">
        <f t="shared" ca="1" si="71"/>
        <v>#N/A</v>
      </c>
      <c r="Z368" s="60" t="e">
        <f t="shared" ca="1" si="72"/>
        <v>#N/A</v>
      </c>
      <c r="AA368" s="92">
        <f ca="1"/>
        <v>44869</v>
      </c>
      <c r="AB368" s="62">
        <f t="shared" ca="1" si="75"/>
        <v>44869</v>
      </c>
      <c r="AC368" s="62">
        <f t="shared" ca="1" si="76"/>
        <v>121.08382708014614</v>
      </c>
      <c r="AD368" s="62">
        <f t="shared" ca="1" si="77"/>
        <v>83.508953374760296</v>
      </c>
      <c r="AE368" s="62">
        <f t="shared" ca="1" si="78"/>
        <v>0</v>
      </c>
    </row>
    <row r="369" spans="18:31" x14ac:dyDescent="0.25">
      <c r="R369" s="92" t="e">
        <f ca="1"/>
        <v>#N/A</v>
      </c>
      <c r="S369" s="62" t="e">
        <f t="shared" ca="1" si="73"/>
        <v>#N/A</v>
      </c>
      <c r="T369" s="62" t="e">
        <f t="shared" ca="1" si="67"/>
        <v>#N/A</v>
      </c>
      <c r="U369" s="62" t="e">
        <f t="shared" ca="1" si="68"/>
        <v>#N/A</v>
      </c>
      <c r="V369" s="62" t="e">
        <f t="shared" ca="1" si="69"/>
        <v>#N/A</v>
      </c>
      <c r="W369" s="60" t="e">
        <f t="shared" ca="1" si="70"/>
        <v>#N/A</v>
      </c>
      <c r="X369" s="60" t="e">
        <f t="shared" ca="1" si="74"/>
        <v>#N/A</v>
      </c>
      <c r="Y369" s="60" t="e">
        <f t="shared" ca="1" si="71"/>
        <v>#N/A</v>
      </c>
      <c r="Z369" s="60" t="e">
        <f t="shared" ca="1" si="72"/>
        <v>#N/A</v>
      </c>
      <c r="AA369" s="92">
        <f ca="1"/>
        <v>44870</v>
      </c>
      <c r="AB369" s="62">
        <f t="shared" ca="1" si="75"/>
        <v>44870</v>
      </c>
      <c r="AC369" s="62">
        <f t="shared" ca="1" si="76"/>
        <v>120.46114908860915</v>
      </c>
      <c r="AD369" s="62">
        <f t="shared" ca="1" si="77"/>
        <v>84.572693903733807</v>
      </c>
      <c r="AE369" s="62">
        <f t="shared" ca="1" si="78"/>
        <v>0</v>
      </c>
    </row>
    <row r="370" spans="18:31" x14ac:dyDescent="0.25">
      <c r="R370" s="92" t="e">
        <f ca="1"/>
        <v>#N/A</v>
      </c>
      <c r="S370" s="62" t="e">
        <f t="shared" ca="1" si="73"/>
        <v>#N/A</v>
      </c>
      <c r="T370" s="62" t="e">
        <f t="shared" ca="1" si="67"/>
        <v>#N/A</v>
      </c>
      <c r="U370" s="62" t="e">
        <f t="shared" ca="1" si="68"/>
        <v>#N/A</v>
      </c>
      <c r="V370" s="62" t="e">
        <f t="shared" ca="1" si="69"/>
        <v>#N/A</v>
      </c>
      <c r="W370" s="60" t="e">
        <f t="shared" ca="1" si="70"/>
        <v>#N/A</v>
      </c>
      <c r="X370" s="60" t="e">
        <f t="shared" ca="1" si="74"/>
        <v>#N/A</v>
      </c>
      <c r="Y370" s="60" t="e">
        <f t="shared" ca="1" si="71"/>
        <v>#N/A</v>
      </c>
      <c r="Z370" s="60" t="e">
        <f t="shared" ca="1" si="72"/>
        <v>#N/A</v>
      </c>
      <c r="AA370" s="92">
        <f ca="1"/>
        <v>44871</v>
      </c>
      <c r="AB370" s="62">
        <f t="shared" ca="1" si="75"/>
        <v>44871</v>
      </c>
      <c r="AC370" s="62">
        <f t="shared" ca="1" si="76"/>
        <v>119.88148006449866</v>
      </c>
      <c r="AD370" s="62">
        <f t="shared" ca="1" si="77"/>
        <v>85.581893884080401</v>
      </c>
      <c r="AE370" s="62">
        <f t="shared" ca="1" si="78"/>
        <v>0</v>
      </c>
    </row>
    <row r="371" spans="18:31" x14ac:dyDescent="0.25">
      <c r="R371" s="92" t="e">
        <f ca="1"/>
        <v>#N/A</v>
      </c>
      <c r="S371" s="62" t="e">
        <f t="shared" ca="1" si="73"/>
        <v>#N/A</v>
      </c>
      <c r="T371" s="62" t="e">
        <f t="shared" ca="1" si="67"/>
        <v>#N/A</v>
      </c>
      <c r="U371" s="62" t="e">
        <f t="shared" ca="1" si="68"/>
        <v>#N/A</v>
      </c>
      <c r="V371" s="62" t="e">
        <f t="shared" ca="1" si="69"/>
        <v>#N/A</v>
      </c>
      <c r="W371" s="60" t="e">
        <f t="shared" ca="1" si="70"/>
        <v>#N/A</v>
      </c>
      <c r="X371" s="60" t="e">
        <f t="shared" ca="1" si="74"/>
        <v>#N/A</v>
      </c>
      <c r="Y371" s="60" t="e">
        <f t="shared" ca="1" si="71"/>
        <v>#N/A</v>
      </c>
      <c r="Z371" s="60" t="e">
        <f t="shared" ca="1" si="72"/>
        <v>#N/A</v>
      </c>
      <c r="AA371" s="92">
        <f ca="1"/>
        <v>44872</v>
      </c>
      <c r="AB371" s="62">
        <f t="shared" ca="1" si="75"/>
        <v>44872</v>
      </c>
      <c r="AC371" s="62">
        <f t="shared" ca="1" si="76"/>
        <v>119.32206142774272</v>
      </c>
      <c r="AD371" s="62">
        <f t="shared" ca="1" si="77"/>
        <v>86.5865463656191</v>
      </c>
      <c r="AE371" s="62">
        <f t="shared" ca="1" si="78"/>
        <v>0</v>
      </c>
    </row>
    <row r="372" spans="18:31" x14ac:dyDescent="0.25">
      <c r="R372" s="92" t="e">
        <f ca="1"/>
        <v>#N/A</v>
      </c>
      <c r="S372" s="62" t="e">
        <f t="shared" ca="1" si="73"/>
        <v>#N/A</v>
      </c>
      <c r="T372" s="62" t="e">
        <f t="shared" ca="1" si="67"/>
        <v>#N/A</v>
      </c>
      <c r="U372" s="62" t="e">
        <f t="shared" ca="1" si="68"/>
        <v>#N/A</v>
      </c>
      <c r="V372" s="62" t="e">
        <f t="shared" ca="1" si="69"/>
        <v>#N/A</v>
      </c>
      <c r="W372" s="60" t="e">
        <f t="shared" ca="1" si="70"/>
        <v>#N/A</v>
      </c>
      <c r="X372" s="60" t="e">
        <f t="shared" ca="1" si="74"/>
        <v>#N/A</v>
      </c>
      <c r="Y372" s="60" t="e">
        <f t="shared" ca="1" si="71"/>
        <v>#N/A</v>
      </c>
      <c r="Z372" s="60" t="e">
        <f t="shared" ca="1" si="72"/>
        <v>#N/A</v>
      </c>
      <c r="AA372" s="92">
        <f ca="1"/>
        <v>44873</v>
      </c>
      <c r="AB372" s="62">
        <f t="shared" ca="1" si="75"/>
        <v>44873</v>
      </c>
      <c r="AC372" s="62">
        <f t="shared" ca="1" si="76"/>
        <v>118.78205174498622</v>
      </c>
      <c r="AD372" s="62">
        <f t="shared" ca="1" si="77"/>
        <v>87.581518664078203</v>
      </c>
      <c r="AE372" s="62">
        <f t="shared" ca="1" si="78"/>
        <v>0</v>
      </c>
    </row>
    <row r="373" spans="18:31" x14ac:dyDescent="0.25">
      <c r="R373" s="92" t="e">
        <f ca="1"/>
        <v>#N/A</v>
      </c>
      <c r="S373" s="62" t="e">
        <f t="shared" ca="1" si="73"/>
        <v>#N/A</v>
      </c>
      <c r="T373" s="62" t="e">
        <f t="shared" ca="1" si="67"/>
        <v>#N/A</v>
      </c>
      <c r="U373" s="62" t="e">
        <f t="shared" ca="1" si="68"/>
        <v>#N/A</v>
      </c>
      <c r="V373" s="62" t="e">
        <f t="shared" ca="1" si="69"/>
        <v>#N/A</v>
      </c>
      <c r="W373" s="60" t="e">
        <f t="shared" ca="1" si="70"/>
        <v>#N/A</v>
      </c>
      <c r="X373" s="60" t="e">
        <f t="shared" ca="1" si="74"/>
        <v>#N/A</v>
      </c>
      <c r="Y373" s="60" t="e">
        <f t="shared" ca="1" si="71"/>
        <v>#N/A</v>
      </c>
      <c r="Z373" s="60" t="e">
        <f t="shared" ca="1" si="72"/>
        <v>#N/A</v>
      </c>
      <c r="AA373" s="92">
        <f ca="1"/>
        <v>44874</v>
      </c>
      <c r="AB373" s="62">
        <f t="shared" ca="1" si="75"/>
        <v>44874</v>
      </c>
      <c r="AC373" s="62">
        <f t="shared" ca="1" si="76"/>
        <v>118.27990871056598</v>
      </c>
      <c r="AD373" s="62">
        <f t="shared" ca="1" si="77"/>
        <v>88.525098269012304</v>
      </c>
      <c r="AE373" s="62">
        <f t="shared" ca="1" si="78"/>
        <v>0</v>
      </c>
    </row>
    <row r="374" spans="18:31" x14ac:dyDescent="0.25">
      <c r="R374" s="92" t="e">
        <f ca="1"/>
        <v>#N/A</v>
      </c>
      <c r="S374" s="62" t="e">
        <f t="shared" ca="1" si="73"/>
        <v>#N/A</v>
      </c>
      <c r="T374" s="62" t="e">
        <f t="shared" ca="1" si="67"/>
        <v>#N/A</v>
      </c>
      <c r="U374" s="62" t="e">
        <f t="shared" ca="1" si="68"/>
        <v>#N/A</v>
      </c>
      <c r="V374" s="62" t="e">
        <f t="shared" ca="1" si="69"/>
        <v>#N/A</v>
      </c>
      <c r="W374" s="60" t="e">
        <f t="shared" ca="1" si="70"/>
        <v>#N/A</v>
      </c>
      <c r="X374" s="60" t="e">
        <f t="shared" ca="1" si="74"/>
        <v>#N/A</v>
      </c>
      <c r="Y374" s="60" t="e">
        <f t="shared" ca="1" si="71"/>
        <v>#N/A</v>
      </c>
      <c r="Z374" s="60" t="e">
        <f t="shared" ca="1" si="72"/>
        <v>#N/A</v>
      </c>
      <c r="AA374" s="92">
        <f ca="1"/>
        <v>44875</v>
      </c>
      <c r="AB374" s="62">
        <f t="shared" ca="1" si="75"/>
        <v>44875</v>
      </c>
      <c r="AC374" s="62">
        <f t="shared" ca="1" si="76"/>
        <v>117.79140603461559</v>
      </c>
      <c r="AD374" s="62">
        <f t="shared" ca="1" si="77"/>
        <v>89.463895984323102</v>
      </c>
      <c r="AE374" s="62">
        <f t="shared" ca="1" si="78"/>
        <v>0</v>
      </c>
    </row>
    <row r="375" spans="18:31" x14ac:dyDescent="0.25">
      <c r="R375" s="92" t="e">
        <f ca="1"/>
        <v>#N/A</v>
      </c>
      <c r="S375" s="62" t="e">
        <f t="shared" ca="1" si="73"/>
        <v>#N/A</v>
      </c>
      <c r="T375" s="62" t="e">
        <f t="shared" ca="1" si="67"/>
        <v>#N/A</v>
      </c>
      <c r="U375" s="62" t="e">
        <f t="shared" ca="1" si="68"/>
        <v>#N/A</v>
      </c>
      <c r="V375" s="62" t="e">
        <f t="shared" ca="1" si="69"/>
        <v>#N/A</v>
      </c>
      <c r="W375" s="60" t="e">
        <f t="shared" ca="1" si="70"/>
        <v>#N/A</v>
      </c>
      <c r="X375" s="60" t="e">
        <f t="shared" ca="1" si="74"/>
        <v>#N/A</v>
      </c>
      <c r="Y375" s="60" t="e">
        <f t="shared" ca="1" si="71"/>
        <v>#N/A</v>
      </c>
      <c r="Z375" s="60" t="e">
        <f t="shared" ca="1" si="72"/>
        <v>#N/A</v>
      </c>
      <c r="AA375" s="92">
        <f ca="1"/>
        <v>44876</v>
      </c>
      <c r="AB375" s="62">
        <f t="shared" ca="1" si="75"/>
        <v>44876</v>
      </c>
      <c r="AC375" s="62">
        <f t="shared" ca="1" si="76"/>
        <v>117.3199857217413</v>
      </c>
      <c r="AD375" s="62">
        <f t="shared" ca="1" si="77"/>
        <v>90.380311329392597</v>
      </c>
      <c r="AE375" s="62">
        <f t="shared" ca="1" si="78"/>
        <v>0</v>
      </c>
    </row>
    <row r="376" spans="18:31" x14ac:dyDescent="0.25">
      <c r="R376" s="92" t="e">
        <f ca="1"/>
        <v>#N/A</v>
      </c>
      <c r="S376" s="62" t="e">
        <f t="shared" ca="1" si="73"/>
        <v>#N/A</v>
      </c>
      <c r="T376" s="62" t="e">
        <f t="shared" ca="1" si="67"/>
        <v>#N/A</v>
      </c>
      <c r="U376" s="62" t="e">
        <f t="shared" ca="1" si="68"/>
        <v>#N/A</v>
      </c>
      <c r="V376" s="62" t="e">
        <f t="shared" ca="1" si="69"/>
        <v>#N/A</v>
      </c>
      <c r="W376" s="60" t="e">
        <f t="shared" ca="1" si="70"/>
        <v>#N/A</v>
      </c>
      <c r="X376" s="60" t="e">
        <f t="shared" ca="1" si="74"/>
        <v>#N/A</v>
      </c>
      <c r="Y376" s="60" t="e">
        <f t="shared" ca="1" si="71"/>
        <v>#N/A</v>
      </c>
      <c r="Z376" s="60" t="e">
        <f t="shared" ca="1" si="72"/>
        <v>#N/A</v>
      </c>
      <c r="AA376" s="92">
        <f ca="1"/>
        <v>44877</v>
      </c>
      <c r="AB376" s="62">
        <f t="shared" ca="1" si="75"/>
        <v>44877</v>
      </c>
      <c r="AC376" s="62">
        <f t="shared" ca="1" si="76"/>
        <v>116.87842883828797</v>
      </c>
      <c r="AD376" s="62">
        <f t="shared" ca="1" si="77"/>
        <v>91.266637588066899</v>
      </c>
      <c r="AE376" s="62">
        <f t="shared" ca="1" si="78"/>
        <v>0</v>
      </c>
    </row>
    <row r="377" spans="18:31" x14ac:dyDescent="0.25">
      <c r="R377" s="92" t="e">
        <f ca="1"/>
        <v>#N/A</v>
      </c>
      <c r="S377" s="62" t="e">
        <f t="shared" ca="1" si="73"/>
        <v>#N/A</v>
      </c>
      <c r="T377" s="62" t="e">
        <f t="shared" ca="1" si="67"/>
        <v>#N/A</v>
      </c>
      <c r="U377" s="62" t="e">
        <f t="shared" ca="1" si="68"/>
        <v>#N/A</v>
      </c>
      <c r="V377" s="62" t="e">
        <f t="shared" ca="1" si="69"/>
        <v>#N/A</v>
      </c>
      <c r="W377" s="60" t="e">
        <f t="shared" ca="1" si="70"/>
        <v>#N/A</v>
      </c>
      <c r="X377" s="60" t="e">
        <f t="shared" ca="1" si="74"/>
        <v>#N/A</v>
      </c>
      <c r="Y377" s="60" t="e">
        <f t="shared" ca="1" si="71"/>
        <v>#N/A</v>
      </c>
      <c r="Z377" s="60" t="e">
        <f t="shared" ca="1" si="72"/>
        <v>#N/A</v>
      </c>
      <c r="AA377" s="92">
        <f ca="1"/>
        <v>44878</v>
      </c>
      <c r="AB377" s="62">
        <f t="shared" ca="1" si="75"/>
        <v>44878</v>
      </c>
      <c r="AC377" s="62">
        <f t="shared" ca="1" si="76"/>
        <v>116.46640607365296</v>
      </c>
      <c r="AD377" s="62">
        <f t="shared" ca="1" si="77"/>
        <v>92.111700190522996</v>
      </c>
      <c r="AE377" s="62">
        <f t="shared" ca="1" si="78"/>
        <v>0</v>
      </c>
    </row>
    <row r="378" spans="18:31" x14ac:dyDescent="0.25">
      <c r="R378" s="92" t="e">
        <f ca="1"/>
        <v>#N/A</v>
      </c>
      <c r="S378" s="62" t="e">
        <f t="shared" ca="1" si="73"/>
        <v>#N/A</v>
      </c>
      <c r="T378" s="62" t="e">
        <f t="shared" ca="1" si="67"/>
        <v>#N/A</v>
      </c>
      <c r="U378" s="62" t="e">
        <f t="shared" ca="1" si="68"/>
        <v>#N/A</v>
      </c>
      <c r="V378" s="62" t="e">
        <f t="shared" ca="1" si="69"/>
        <v>#N/A</v>
      </c>
      <c r="W378" s="60" t="e">
        <f t="shared" ca="1" si="70"/>
        <v>#N/A</v>
      </c>
      <c r="X378" s="60" t="e">
        <f t="shared" ca="1" si="74"/>
        <v>#N/A</v>
      </c>
      <c r="Y378" s="60" t="e">
        <f t="shared" ca="1" si="71"/>
        <v>#N/A</v>
      </c>
      <c r="Z378" s="60" t="e">
        <f t="shared" ca="1" si="72"/>
        <v>#N/A</v>
      </c>
      <c r="AA378" s="92">
        <f ca="1"/>
        <v>44879</v>
      </c>
      <c r="AB378" s="62">
        <f t="shared" ca="1" si="75"/>
        <v>44879</v>
      </c>
      <c r="AC378" s="62">
        <f t="shared" ca="1" si="76"/>
        <v>116.07982113475828</v>
      </c>
      <c r="AD378" s="62">
        <f t="shared" ca="1" si="77"/>
        <v>92.926872864024006</v>
      </c>
      <c r="AE378" s="62">
        <f t="shared" ca="1" si="78"/>
        <v>0</v>
      </c>
    </row>
    <row r="379" spans="18:31" x14ac:dyDescent="0.25">
      <c r="R379" s="92" t="e">
        <f ca="1"/>
        <v>#N/A</v>
      </c>
      <c r="S379" s="62" t="e">
        <f t="shared" ca="1" si="73"/>
        <v>#N/A</v>
      </c>
      <c r="T379" s="62" t="e">
        <f t="shared" ca="1" si="67"/>
        <v>#N/A</v>
      </c>
      <c r="U379" s="62" t="e">
        <f t="shared" ca="1" si="68"/>
        <v>#N/A</v>
      </c>
      <c r="V379" s="62" t="e">
        <f t="shared" ca="1" si="69"/>
        <v>#N/A</v>
      </c>
      <c r="W379" s="60" t="e">
        <f t="shared" ca="1" si="70"/>
        <v>#N/A</v>
      </c>
      <c r="X379" s="60" t="e">
        <f t="shared" ca="1" si="74"/>
        <v>#N/A</v>
      </c>
      <c r="Y379" s="60" t="e">
        <f t="shared" ca="1" si="71"/>
        <v>#N/A</v>
      </c>
      <c r="Z379" s="60" t="e">
        <f t="shared" ca="1" si="72"/>
        <v>#N/A</v>
      </c>
      <c r="AA379" s="92">
        <f ca="1"/>
        <v>44880</v>
      </c>
      <c r="AB379" s="62">
        <f t="shared" ca="1" si="75"/>
        <v>44880</v>
      </c>
      <c r="AC379" s="62">
        <f t="shared" ca="1" si="76"/>
        <v>115.70596621326621</v>
      </c>
      <c r="AD379" s="62">
        <f t="shared" ca="1" si="77"/>
        <v>93.734537512894605</v>
      </c>
      <c r="AE379" s="62">
        <f t="shared" ca="1" si="78"/>
        <v>0</v>
      </c>
    </row>
    <row r="380" spans="18:31" x14ac:dyDescent="0.25">
      <c r="R380" s="92" t="e">
        <f ca="1"/>
        <v>#N/A</v>
      </c>
      <c r="S380" s="62" t="e">
        <f t="shared" ca="1" si="73"/>
        <v>#N/A</v>
      </c>
      <c r="T380" s="62" t="e">
        <f t="shared" ca="1" si="67"/>
        <v>#N/A</v>
      </c>
      <c r="U380" s="62" t="e">
        <f t="shared" ca="1" si="68"/>
        <v>#N/A</v>
      </c>
      <c r="V380" s="62" t="e">
        <f t="shared" ca="1" si="69"/>
        <v>#N/A</v>
      </c>
      <c r="W380" s="60" t="e">
        <f t="shared" ca="1" si="70"/>
        <v>#N/A</v>
      </c>
      <c r="X380" s="60" t="e">
        <f t="shared" ca="1" si="74"/>
        <v>#N/A</v>
      </c>
      <c r="Y380" s="60" t="e">
        <f t="shared" ca="1" si="71"/>
        <v>#N/A</v>
      </c>
      <c r="Z380" s="60" t="e">
        <f t="shared" ca="1" si="72"/>
        <v>#N/A</v>
      </c>
      <c r="AA380" s="92">
        <f ca="1"/>
        <v>44881</v>
      </c>
      <c r="AB380" s="62">
        <f t="shared" ca="1" si="75"/>
        <v>44881</v>
      </c>
      <c r="AC380" s="62">
        <f t="shared" ca="1" si="76"/>
        <v>115.35819404761222</v>
      </c>
      <c r="AD380" s="62">
        <f t="shared" ca="1" si="77"/>
        <v>94.531590357107305</v>
      </c>
      <c r="AE380" s="62">
        <f t="shared" ca="1" si="78"/>
        <v>0</v>
      </c>
    </row>
    <row r="381" spans="18:31" x14ac:dyDescent="0.25">
      <c r="R381" s="92" t="e">
        <f ca="1"/>
        <v>#N/A</v>
      </c>
      <c r="S381" s="62" t="e">
        <f t="shared" ca="1" si="73"/>
        <v>#N/A</v>
      </c>
      <c r="T381" s="62" t="e">
        <f t="shared" ca="1" si="67"/>
        <v>#N/A</v>
      </c>
      <c r="U381" s="62" t="e">
        <f t="shared" ca="1" si="68"/>
        <v>#N/A</v>
      </c>
      <c r="V381" s="62" t="e">
        <f t="shared" ca="1" si="69"/>
        <v>#N/A</v>
      </c>
      <c r="W381" s="60" t="e">
        <f t="shared" ca="1" si="70"/>
        <v>#N/A</v>
      </c>
      <c r="X381" s="60" t="e">
        <f t="shared" ca="1" si="74"/>
        <v>#N/A</v>
      </c>
      <c r="Y381" s="60" t="e">
        <f t="shared" ca="1" si="71"/>
        <v>#N/A</v>
      </c>
      <c r="Z381" s="60" t="e">
        <f t="shared" ca="1" si="72"/>
        <v>#N/A</v>
      </c>
      <c r="AA381" s="92">
        <f ca="1"/>
        <v>44882</v>
      </c>
      <c r="AB381" s="62">
        <f t="shared" ca="1" si="75"/>
        <v>44882</v>
      </c>
      <c r="AC381" s="62">
        <f t="shared" ca="1" si="76"/>
        <v>115.03677449952801</v>
      </c>
      <c r="AD381" s="62">
        <f t="shared" ca="1" si="77"/>
        <v>95.281083494251604</v>
      </c>
      <c r="AE381" s="62">
        <f t="shared" ca="1" si="78"/>
        <v>0</v>
      </c>
    </row>
    <row r="382" spans="18:31" x14ac:dyDescent="0.25">
      <c r="R382" s="92" t="e">
        <f ca="1"/>
        <v>#N/A</v>
      </c>
      <c r="S382" s="62" t="e">
        <f t="shared" ca="1" si="73"/>
        <v>#N/A</v>
      </c>
      <c r="T382" s="62" t="e">
        <f t="shared" ca="1" si="67"/>
        <v>#N/A</v>
      </c>
      <c r="U382" s="62" t="e">
        <f t="shared" ca="1" si="68"/>
        <v>#N/A</v>
      </c>
      <c r="V382" s="62" t="e">
        <f t="shared" ca="1" si="69"/>
        <v>#N/A</v>
      </c>
      <c r="W382" s="60" t="e">
        <f t="shared" ca="1" si="70"/>
        <v>#N/A</v>
      </c>
      <c r="X382" s="60" t="e">
        <f t="shared" ca="1" si="74"/>
        <v>#N/A</v>
      </c>
      <c r="Y382" s="60" t="e">
        <f t="shared" ca="1" si="71"/>
        <v>#N/A</v>
      </c>
      <c r="Z382" s="60" t="e">
        <f t="shared" ca="1" si="72"/>
        <v>#N/A</v>
      </c>
      <c r="AA382" s="92">
        <f ca="1"/>
        <v>44883</v>
      </c>
      <c r="AB382" s="62">
        <f t="shared" ca="1" si="75"/>
        <v>44883</v>
      </c>
      <c r="AC382" s="62">
        <f t="shared" ca="1" si="76"/>
        <v>114.7397033348534</v>
      </c>
      <c r="AD382" s="62">
        <f t="shared" ca="1" si="77"/>
        <v>95.986424653350596</v>
      </c>
      <c r="AE382" s="62">
        <f t="shared" ca="1" si="78"/>
        <v>0</v>
      </c>
    </row>
    <row r="383" spans="18:31" x14ac:dyDescent="0.25">
      <c r="R383" s="92" t="e">
        <f ca="1"/>
        <v>#N/A</v>
      </c>
      <c r="S383" s="62" t="e">
        <f t="shared" ca="1" si="73"/>
        <v>#N/A</v>
      </c>
      <c r="T383" s="62" t="e">
        <f t="shared" ca="1" si="67"/>
        <v>#N/A</v>
      </c>
      <c r="U383" s="62" t="e">
        <f t="shared" ca="1" si="68"/>
        <v>#N/A</v>
      </c>
      <c r="V383" s="62" t="e">
        <f t="shared" ca="1" si="69"/>
        <v>#N/A</v>
      </c>
      <c r="W383" s="60" t="e">
        <f t="shared" ca="1" si="70"/>
        <v>#N/A</v>
      </c>
      <c r="X383" s="60" t="e">
        <f t="shared" ca="1" si="74"/>
        <v>#N/A</v>
      </c>
      <c r="Y383" s="60" t="e">
        <f t="shared" ca="1" si="71"/>
        <v>#N/A</v>
      </c>
      <c r="Z383" s="60" t="e">
        <f t="shared" ca="1" si="72"/>
        <v>#N/A</v>
      </c>
      <c r="AA383" s="92">
        <f ca="1"/>
        <v>44884</v>
      </c>
      <c r="AB383" s="62">
        <f t="shared" ca="1" si="75"/>
        <v>44884</v>
      </c>
      <c r="AC383" s="62">
        <f t="shared" ca="1" si="76"/>
        <v>114.45839029428001</v>
      </c>
      <c r="AD383" s="62">
        <f t="shared" ca="1" si="77"/>
        <v>96.665943299792104</v>
      </c>
      <c r="AE383" s="62">
        <f t="shared" ca="1" si="78"/>
        <v>0</v>
      </c>
    </row>
    <row r="384" spans="18:31" x14ac:dyDescent="0.25">
      <c r="R384" s="92" t="e">
        <f ca="1"/>
        <v>#N/A</v>
      </c>
      <c r="S384" s="62" t="e">
        <f t="shared" ca="1" si="73"/>
        <v>#N/A</v>
      </c>
      <c r="T384" s="62" t="e">
        <f t="shared" ca="1" si="67"/>
        <v>#N/A</v>
      </c>
      <c r="U384" s="62" t="e">
        <f t="shared" ca="1" si="68"/>
        <v>#N/A</v>
      </c>
      <c r="V384" s="62" t="e">
        <f t="shared" ca="1" si="69"/>
        <v>#N/A</v>
      </c>
      <c r="W384" s="60" t="e">
        <f t="shared" ca="1" si="70"/>
        <v>#N/A</v>
      </c>
      <c r="X384" s="60" t="e">
        <f t="shared" ca="1" si="74"/>
        <v>#N/A</v>
      </c>
      <c r="Y384" s="60" t="e">
        <f t="shared" ca="1" si="71"/>
        <v>#N/A</v>
      </c>
      <c r="Z384" s="60" t="e">
        <f t="shared" ca="1" si="72"/>
        <v>#N/A</v>
      </c>
      <c r="AA384" s="92">
        <f ca="1"/>
        <v>44885</v>
      </c>
      <c r="AB384" s="62">
        <f t="shared" ca="1" si="75"/>
        <v>44885</v>
      </c>
      <c r="AC384" s="62">
        <f t="shared" ca="1" si="76"/>
        <v>114.19149857046672</v>
      </c>
      <c r="AD384" s="62">
        <f t="shared" ca="1" si="77"/>
        <v>97.339706263575806</v>
      </c>
      <c r="AE384" s="62">
        <f t="shared" ca="1" si="78"/>
        <v>0</v>
      </c>
    </row>
    <row r="385" spans="18:31" x14ac:dyDescent="0.25">
      <c r="R385" s="92" t="e">
        <f ca="1"/>
        <v>#N/A</v>
      </c>
      <c r="S385" s="62" t="e">
        <f t="shared" ca="1" si="73"/>
        <v>#N/A</v>
      </c>
      <c r="T385" s="62" t="e">
        <f t="shared" ca="1" si="67"/>
        <v>#N/A</v>
      </c>
      <c r="U385" s="62" t="e">
        <f t="shared" ca="1" si="68"/>
        <v>#N/A</v>
      </c>
      <c r="V385" s="62" t="e">
        <f t="shared" ca="1" si="69"/>
        <v>#N/A</v>
      </c>
      <c r="W385" s="60" t="e">
        <f t="shared" ca="1" si="70"/>
        <v>#N/A</v>
      </c>
      <c r="X385" s="60" t="e">
        <f t="shared" ca="1" si="74"/>
        <v>#N/A</v>
      </c>
      <c r="Y385" s="60" t="e">
        <f t="shared" ca="1" si="71"/>
        <v>#N/A</v>
      </c>
      <c r="Z385" s="60" t="e">
        <f t="shared" ca="1" si="72"/>
        <v>#N/A</v>
      </c>
      <c r="AA385" s="92">
        <f ca="1"/>
        <v>44886</v>
      </c>
      <c r="AB385" s="62">
        <f t="shared" ca="1" si="75"/>
        <v>44886</v>
      </c>
      <c r="AC385" s="62">
        <f t="shared" ca="1" si="76"/>
        <v>113.94640550575757</v>
      </c>
      <c r="AD385" s="62">
        <f t="shared" ca="1" si="77"/>
        <v>97.991548034842197</v>
      </c>
      <c r="AE385" s="62">
        <f t="shared" ca="1" si="78"/>
        <v>0</v>
      </c>
    </row>
    <row r="386" spans="18:31" x14ac:dyDescent="0.25">
      <c r="R386" s="92" t="e">
        <f ca="1"/>
        <v>#N/A</v>
      </c>
      <c r="S386" s="62" t="e">
        <f t="shared" ca="1" si="73"/>
        <v>#N/A</v>
      </c>
      <c r="T386" s="62" t="e">
        <f t="shared" ca="1" si="67"/>
        <v>#N/A</v>
      </c>
      <c r="U386" s="62" t="e">
        <f t="shared" ca="1" si="68"/>
        <v>#N/A</v>
      </c>
      <c r="V386" s="62" t="e">
        <f t="shared" ca="1" si="69"/>
        <v>#N/A</v>
      </c>
      <c r="W386" s="60" t="e">
        <f t="shared" ca="1" si="70"/>
        <v>#N/A</v>
      </c>
      <c r="X386" s="60" t="e">
        <f t="shared" ca="1" si="74"/>
        <v>#N/A</v>
      </c>
      <c r="Y386" s="60" t="e">
        <f t="shared" ca="1" si="71"/>
        <v>#N/A</v>
      </c>
      <c r="Z386" s="60" t="e">
        <f t="shared" ca="1" si="72"/>
        <v>#N/A</v>
      </c>
      <c r="AA386" s="92">
        <f ca="1"/>
        <v>44887</v>
      </c>
      <c r="AB386" s="62">
        <f t="shared" ca="1" si="75"/>
        <v>44887</v>
      </c>
      <c r="AC386" s="62">
        <f t="shared" ca="1" si="76"/>
        <v>113.72678077018944</v>
      </c>
      <c r="AD386" s="62">
        <f t="shared" ca="1" si="77"/>
        <v>98.627924794673802</v>
      </c>
      <c r="AE386" s="62">
        <f t="shared" ca="1" si="78"/>
        <v>0</v>
      </c>
    </row>
    <row r="387" spans="18:31" x14ac:dyDescent="0.25">
      <c r="R387" s="92" t="e">
        <f ca="1"/>
        <v>#N/A</v>
      </c>
      <c r="S387" s="62" t="e">
        <f t="shared" ca="1" si="73"/>
        <v>#N/A</v>
      </c>
      <c r="T387" s="62" t="e">
        <f t="shared" ca="1" si="67"/>
        <v>#N/A</v>
      </c>
      <c r="U387" s="62" t="e">
        <f t="shared" ca="1" si="68"/>
        <v>#N/A</v>
      </c>
      <c r="V387" s="62" t="e">
        <f t="shared" ca="1" si="69"/>
        <v>#N/A</v>
      </c>
      <c r="W387" s="60" t="e">
        <f t="shared" ca="1" si="70"/>
        <v>#N/A</v>
      </c>
      <c r="X387" s="60" t="e">
        <f t="shared" ca="1" si="74"/>
        <v>#N/A</v>
      </c>
      <c r="Y387" s="60" t="e">
        <f t="shared" ca="1" si="71"/>
        <v>#N/A</v>
      </c>
      <c r="Z387" s="60" t="e">
        <f t="shared" ca="1" si="72"/>
        <v>#N/A</v>
      </c>
      <c r="AA387" s="92">
        <f ca="1"/>
        <v>44888</v>
      </c>
      <c r="AB387" s="62">
        <f t="shared" ca="1" si="75"/>
        <v>44888</v>
      </c>
      <c r="AC387" s="62">
        <f t="shared" ca="1" si="76"/>
        <v>113.52735272459135</v>
      </c>
      <c r="AD387" s="62">
        <f t="shared" ca="1" si="77"/>
        <v>99.248660240958699</v>
      </c>
      <c r="AE387" s="62">
        <f t="shared" ca="1" si="78"/>
        <v>0</v>
      </c>
    </row>
    <row r="388" spans="18:31" x14ac:dyDescent="0.25">
      <c r="R388" s="92" t="e">
        <f ca="1"/>
        <v>#N/A</v>
      </c>
      <c r="S388" s="62" t="e">
        <f t="shared" ca="1" si="73"/>
        <v>#N/A</v>
      </c>
      <c r="T388" s="62" t="e">
        <f t="shared" ca="1" si="67"/>
        <v>#N/A</v>
      </c>
      <c r="U388" s="62" t="e">
        <f t="shared" ca="1" si="68"/>
        <v>#N/A</v>
      </c>
      <c r="V388" s="62" t="e">
        <f t="shared" ca="1" si="69"/>
        <v>#N/A</v>
      </c>
      <c r="W388" s="60" t="e">
        <f t="shared" ca="1" si="70"/>
        <v>#N/A</v>
      </c>
      <c r="X388" s="60" t="e">
        <f t="shared" ca="1" si="74"/>
        <v>#N/A</v>
      </c>
      <c r="Y388" s="60" t="e">
        <f t="shared" ca="1" si="71"/>
        <v>#N/A</v>
      </c>
      <c r="Z388" s="60" t="e">
        <f t="shared" ca="1" si="72"/>
        <v>#N/A</v>
      </c>
      <c r="AA388" s="92">
        <f ca="1"/>
        <v>44889</v>
      </c>
      <c r="AB388" s="62">
        <f t="shared" ca="1" si="75"/>
        <v>44889</v>
      </c>
      <c r="AC388" s="62">
        <f t="shared" ca="1" si="76"/>
        <v>113.34832395923993</v>
      </c>
      <c r="AD388" s="62">
        <f t="shared" ca="1" si="77"/>
        <v>99.838585202160502</v>
      </c>
      <c r="AE388" s="62">
        <f t="shared" ca="1" si="78"/>
        <v>0</v>
      </c>
    </row>
    <row r="389" spans="18:31" x14ac:dyDescent="0.25">
      <c r="R389" s="92" t="e">
        <f ca="1"/>
        <v>#N/A</v>
      </c>
      <c r="S389" s="62" t="e">
        <f t="shared" ca="1" si="73"/>
        <v>#N/A</v>
      </c>
      <c r="T389" s="62" t="e">
        <f t="shared" ca="1" si="67"/>
        <v>#N/A</v>
      </c>
      <c r="U389" s="62" t="e">
        <f t="shared" ca="1" si="68"/>
        <v>#N/A</v>
      </c>
      <c r="V389" s="62" t="e">
        <f t="shared" ca="1" si="69"/>
        <v>#N/A</v>
      </c>
      <c r="W389" s="60" t="e">
        <f t="shared" ca="1" si="70"/>
        <v>#N/A</v>
      </c>
      <c r="X389" s="60" t="e">
        <f t="shared" ca="1" si="74"/>
        <v>#N/A</v>
      </c>
      <c r="Y389" s="60" t="e">
        <f t="shared" ca="1" si="71"/>
        <v>#N/A</v>
      </c>
      <c r="Z389" s="60" t="e">
        <f t="shared" ca="1" si="72"/>
        <v>#N/A</v>
      </c>
      <c r="AA389" s="92">
        <f ca="1"/>
        <v>44890</v>
      </c>
      <c r="AB389" s="62">
        <f t="shared" ca="1" si="75"/>
        <v>44890</v>
      </c>
      <c r="AC389" s="62">
        <f t="shared" ca="1" si="76"/>
        <v>113.18640575522528</v>
      </c>
      <c r="AD389" s="62">
        <f t="shared" ca="1" si="77"/>
        <v>100.427602858062</v>
      </c>
      <c r="AE389" s="62">
        <f t="shared" ca="1" si="78"/>
        <v>0</v>
      </c>
    </row>
    <row r="390" spans="18:31" x14ac:dyDescent="0.25">
      <c r="R390" s="92" t="e">
        <f ca="1"/>
        <v>#N/A</v>
      </c>
      <c r="S390" s="62" t="e">
        <f t="shared" ca="1" si="73"/>
        <v>#N/A</v>
      </c>
      <c r="T390" s="62" t="e">
        <f t="shared" ca="1" si="67"/>
        <v>#N/A</v>
      </c>
      <c r="U390" s="62" t="e">
        <f t="shared" ca="1" si="68"/>
        <v>#N/A</v>
      </c>
      <c r="V390" s="62" t="e">
        <f t="shared" ca="1" si="69"/>
        <v>#N/A</v>
      </c>
      <c r="W390" s="60" t="e">
        <f t="shared" ca="1" si="70"/>
        <v>#N/A</v>
      </c>
      <c r="X390" s="60" t="e">
        <f t="shared" ca="1" si="74"/>
        <v>#N/A</v>
      </c>
      <c r="Y390" s="60" t="e">
        <f t="shared" ca="1" si="71"/>
        <v>#N/A</v>
      </c>
      <c r="Z390" s="60" t="e">
        <f t="shared" ca="1" si="72"/>
        <v>#N/A</v>
      </c>
      <c r="AA390" s="92">
        <f ca="1"/>
        <v>44891</v>
      </c>
      <c r="AB390" s="62">
        <f t="shared" ca="1" si="75"/>
        <v>44891</v>
      </c>
      <c r="AC390" s="62">
        <f t="shared" ca="1" si="76"/>
        <v>113.04197426441235</v>
      </c>
      <c r="AD390" s="62">
        <f t="shared" ca="1" si="77"/>
        <v>100.993004028732</v>
      </c>
      <c r="AE390" s="62">
        <f t="shared" ca="1" si="78"/>
        <v>0</v>
      </c>
    </row>
    <row r="391" spans="18:31" x14ac:dyDescent="0.25">
      <c r="R391" s="92" t="e">
        <f ca="1"/>
        <v>#N/A</v>
      </c>
      <c r="S391" s="62" t="e">
        <f t="shared" ca="1" si="73"/>
        <v>#N/A</v>
      </c>
      <c r="T391" s="62" t="e">
        <f t="shared" ca="1" si="67"/>
        <v>#N/A</v>
      </c>
      <c r="U391" s="62" t="e">
        <f t="shared" ca="1" si="68"/>
        <v>#N/A</v>
      </c>
      <c r="V391" s="62" t="e">
        <f t="shared" ca="1" si="69"/>
        <v>#N/A</v>
      </c>
      <c r="W391" s="60" t="e">
        <f t="shared" ca="1" si="70"/>
        <v>#N/A</v>
      </c>
      <c r="X391" s="60" t="e">
        <f t="shared" ca="1" si="74"/>
        <v>#N/A</v>
      </c>
      <c r="Y391" s="60" t="e">
        <f t="shared" ca="1" si="71"/>
        <v>#N/A</v>
      </c>
      <c r="Z391" s="60" t="e">
        <f t="shared" ca="1" si="72"/>
        <v>#N/A</v>
      </c>
      <c r="AA391" s="92">
        <f ca="1"/>
        <v>44892</v>
      </c>
      <c r="AB391" s="62">
        <f t="shared" ca="1" si="75"/>
        <v>44892</v>
      </c>
      <c r="AC391" s="62">
        <f t="shared" ca="1" si="76"/>
        <v>112.9201342535347</v>
      </c>
      <c r="AD391" s="62">
        <f t="shared" ca="1" si="77"/>
        <v>101.522071453371</v>
      </c>
      <c r="AE391" s="62">
        <f t="shared" ca="1" si="78"/>
        <v>0</v>
      </c>
    </row>
    <row r="392" spans="18:31" x14ac:dyDescent="0.25">
      <c r="R392" s="92" t="e">
        <f ca="1"/>
        <v>#N/A</v>
      </c>
      <c r="S392" s="62" t="e">
        <f t="shared" ca="1" si="73"/>
        <v>#N/A</v>
      </c>
      <c r="T392" s="62" t="e">
        <f t="shared" ca="1" si="67"/>
        <v>#N/A</v>
      </c>
      <c r="U392" s="62" t="e">
        <f t="shared" ca="1" si="68"/>
        <v>#N/A</v>
      </c>
      <c r="V392" s="62" t="e">
        <f t="shared" ca="1" si="69"/>
        <v>#N/A</v>
      </c>
      <c r="W392" s="60" t="e">
        <f t="shared" ca="1" si="70"/>
        <v>#N/A</v>
      </c>
      <c r="X392" s="60" t="e">
        <f t="shared" ca="1" si="74"/>
        <v>#N/A</v>
      </c>
      <c r="Y392" s="60" t="e">
        <f t="shared" ca="1" si="71"/>
        <v>#N/A</v>
      </c>
      <c r="Z392" s="60" t="e">
        <f t="shared" ca="1" si="72"/>
        <v>#N/A</v>
      </c>
      <c r="AA392" s="92">
        <f ca="1"/>
        <v>44893</v>
      </c>
      <c r="AB392" s="62">
        <f t="shared" ca="1" si="75"/>
        <v>44893</v>
      </c>
      <c r="AC392" s="62">
        <f t="shared" ca="1" si="76"/>
        <v>112.82527324543805</v>
      </c>
      <c r="AD392" s="62">
        <f t="shared" ca="1" si="77"/>
        <v>102.025903709692</v>
      </c>
      <c r="AE392" s="62">
        <f t="shared" ca="1" si="78"/>
        <v>0</v>
      </c>
    </row>
    <row r="393" spans="18:31" x14ac:dyDescent="0.25">
      <c r="R393" s="92" t="e">
        <f ca="1"/>
        <v>#N/A</v>
      </c>
      <c r="S393" s="62" t="e">
        <f t="shared" ca="1" si="73"/>
        <v>#N/A</v>
      </c>
      <c r="T393" s="62" t="e">
        <f t="shared" ca="1" si="67"/>
        <v>#N/A</v>
      </c>
      <c r="U393" s="62" t="e">
        <f t="shared" ca="1" si="68"/>
        <v>#N/A</v>
      </c>
      <c r="V393" s="62" t="e">
        <f t="shared" ca="1" si="69"/>
        <v>#N/A</v>
      </c>
      <c r="W393" s="60" t="e">
        <f t="shared" ca="1" si="70"/>
        <v>#N/A</v>
      </c>
      <c r="X393" s="60" t="e">
        <f t="shared" ca="1" si="74"/>
        <v>#N/A</v>
      </c>
      <c r="Y393" s="60" t="e">
        <f t="shared" ca="1" si="71"/>
        <v>#N/A</v>
      </c>
      <c r="Z393" s="60" t="e">
        <f t="shared" ca="1" si="72"/>
        <v>#N/A</v>
      </c>
      <c r="AA393" s="92">
        <f ca="1"/>
        <v>44894</v>
      </c>
      <c r="AB393" s="62">
        <f t="shared" ca="1" si="75"/>
        <v>44894</v>
      </c>
      <c r="AC393" s="62">
        <f t="shared" ca="1" si="76"/>
        <v>112.74764600176408</v>
      </c>
      <c r="AD393" s="62">
        <f t="shared" ca="1" si="77"/>
        <v>102.51152846358799</v>
      </c>
      <c r="AE393" s="62">
        <f t="shared" ca="1" si="78"/>
        <v>0</v>
      </c>
    </row>
    <row r="394" spans="18:31" x14ac:dyDescent="0.25">
      <c r="R394" s="92" t="e">
        <f ca="1"/>
        <v>#N/A</v>
      </c>
      <c r="S394" s="62" t="e">
        <f t="shared" ca="1" si="73"/>
        <v>#N/A</v>
      </c>
      <c r="T394" s="62" t="e">
        <f t="shared" ca="1" si="67"/>
        <v>#N/A</v>
      </c>
      <c r="U394" s="62" t="e">
        <f t="shared" ca="1" si="68"/>
        <v>#N/A</v>
      </c>
      <c r="V394" s="62" t="e">
        <f t="shared" ca="1" si="69"/>
        <v>#N/A</v>
      </c>
      <c r="W394" s="60" t="e">
        <f t="shared" ca="1" si="70"/>
        <v>#N/A</v>
      </c>
      <c r="X394" s="60" t="e">
        <f t="shared" ca="1" si="74"/>
        <v>#N/A</v>
      </c>
      <c r="Y394" s="60" t="e">
        <f t="shared" ca="1" si="71"/>
        <v>#N/A</v>
      </c>
      <c r="Z394" s="60" t="e">
        <f t="shared" ca="1" si="72"/>
        <v>#N/A</v>
      </c>
      <c r="AA394" s="92">
        <f ca="1"/>
        <v>44895</v>
      </c>
      <c r="AB394" s="62">
        <f t="shared" ca="1" si="75"/>
        <v>44895</v>
      </c>
      <c r="AC394" s="62">
        <f t="shared" ca="1" si="76"/>
        <v>112.68876401654155</v>
      </c>
      <c r="AD394" s="62">
        <f t="shared" ca="1" si="77"/>
        <v>102.984099067271</v>
      </c>
      <c r="AE394" s="62">
        <f t="shared" ca="1" si="78"/>
        <v>0</v>
      </c>
    </row>
    <row r="395" spans="18:31" x14ac:dyDescent="0.25">
      <c r="R395" s="92" t="e">
        <f ca="1"/>
        <v>#N/A</v>
      </c>
      <c r="S395" s="62" t="e">
        <f t="shared" ca="1" si="73"/>
        <v>#N/A</v>
      </c>
      <c r="T395" s="62" t="e">
        <f t="shared" ca="1" si="67"/>
        <v>#N/A</v>
      </c>
      <c r="U395" s="62" t="e">
        <f t="shared" ca="1" si="68"/>
        <v>#N/A</v>
      </c>
      <c r="V395" s="62" t="e">
        <f t="shared" ca="1" si="69"/>
        <v>#N/A</v>
      </c>
      <c r="W395" s="60" t="e">
        <f t="shared" ca="1" si="70"/>
        <v>#N/A</v>
      </c>
      <c r="X395" s="60" t="e">
        <f t="shared" ca="1" si="74"/>
        <v>#N/A</v>
      </c>
      <c r="Y395" s="60" t="e">
        <f t="shared" ca="1" si="71"/>
        <v>#N/A</v>
      </c>
      <c r="Z395" s="60" t="e">
        <f t="shared" ca="1" si="72"/>
        <v>#N/A</v>
      </c>
      <c r="AA395" s="92">
        <f ca="1"/>
        <v>44896</v>
      </c>
      <c r="AB395" s="62">
        <f t="shared" ca="1" si="75"/>
        <v>44896</v>
      </c>
      <c r="AC395" s="62">
        <f t="shared" ca="1" si="76"/>
        <v>112.64336169373193</v>
      </c>
      <c r="AD395" s="62">
        <f t="shared" ca="1" si="77"/>
        <v>103.442371550007</v>
      </c>
      <c r="AE395" s="62">
        <f t="shared" ca="1" si="78"/>
        <v>0</v>
      </c>
    </row>
    <row r="396" spans="18:31" x14ac:dyDescent="0.25">
      <c r="R396" s="62" t="e">
        <f ca="1"/>
        <v>#N/A</v>
      </c>
      <c r="S396" s="62" t="e">
        <f t="shared" ref="S396:S459" ca="1" si="79">IF(R396&gt;1,R396,"")</f>
        <v>#N/A</v>
      </c>
      <c r="T396" s="62" t="e">
        <f t="shared" ref="T396:T459" ca="1" si="80">VLOOKUP(S396,ModelOutputs,2,FALSE)</f>
        <v>#N/A</v>
      </c>
      <c r="U396" s="62" t="e">
        <f t="shared" ref="U396:U459" ca="1" si="81">VLOOKUP(S396,ModelOutputs,7,FALSE)</f>
        <v>#N/A</v>
      </c>
      <c r="V396" s="62" t="e">
        <f t="shared" ref="V396:V459" ca="1" si="82">VLOOKUP(S396,ModelOutputs,6,FALSE)</f>
        <v>#N/A</v>
      </c>
      <c r="W396" s="60" t="e">
        <f t="shared" ref="W396:W459" ca="1" si="83">VLOOKUP(S396,ModelOutputs,10,FALSE)*AWC</f>
        <v>#N/A</v>
      </c>
      <c r="X396" s="60" t="e">
        <f t="shared" ref="X396:X459" ca="1" si="84">VLOOKUP(S396,ModelOutputs,11,FALSE)+X395</f>
        <v>#N/A</v>
      </c>
      <c r="Y396" s="60" t="e">
        <f t="shared" ref="Y396:Y459" ca="1" si="85">VLOOKUP(S396,ModelOutputs,12,FALSE)</f>
        <v>#N/A</v>
      </c>
      <c r="Z396" s="60" t="e">
        <f t="shared" ref="Z396:Z459" ca="1" si="86">VLOOKUP(S396,ModelOutputs,13,FALSE)</f>
        <v>#N/A</v>
      </c>
      <c r="AA396" s="92">
        <f ca="1"/>
        <v>44897</v>
      </c>
      <c r="AB396" s="62">
        <f t="shared" ref="AB396:AB459" ca="1" si="87">IF(AA396&gt;1,AA396,"")</f>
        <v>44897</v>
      </c>
      <c r="AC396" s="62">
        <f t="shared" ref="AC396:AC459" ca="1" si="88">VLOOKUP(AB396,ModelOutputs,2,FALSE)</f>
        <v>112.63068671767547</v>
      </c>
      <c r="AD396" s="62">
        <f t="shared" ref="AD396:AD459" ca="1" si="89">VLOOKUP(AB396,ModelOutputs,7,FALSE)</f>
        <v>103.890395549179</v>
      </c>
      <c r="AE396" s="62">
        <f t="shared" ref="AE396:AE459" ca="1" si="90">VLOOKUP(AB396,ModelOutputs,6,FALSE)</f>
        <v>0</v>
      </c>
    </row>
    <row r="397" spans="18:31" x14ac:dyDescent="0.25">
      <c r="R397" s="62" t="e">
        <f ca="1"/>
        <v>#N/A</v>
      </c>
      <c r="S397" s="62" t="e">
        <f t="shared" ca="1" si="79"/>
        <v>#N/A</v>
      </c>
      <c r="T397" s="62" t="e">
        <f t="shared" ca="1" si="80"/>
        <v>#N/A</v>
      </c>
      <c r="U397" s="62" t="e">
        <f t="shared" ca="1" si="81"/>
        <v>#N/A</v>
      </c>
      <c r="V397" s="62" t="e">
        <f t="shared" ca="1" si="82"/>
        <v>#N/A</v>
      </c>
      <c r="W397" s="60" t="e">
        <f t="shared" ca="1" si="83"/>
        <v>#N/A</v>
      </c>
      <c r="X397" s="60" t="e">
        <f t="shared" ca="1" si="84"/>
        <v>#N/A</v>
      </c>
      <c r="Y397" s="60" t="e">
        <f t="shared" ca="1" si="85"/>
        <v>#N/A</v>
      </c>
      <c r="Z397" s="60" t="e">
        <f t="shared" ca="1" si="86"/>
        <v>#N/A</v>
      </c>
      <c r="AA397" s="92">
        <f ca="1"/>
        <v>44898</v>
      </c>
      <c r="AB397" s="62">
        <f t="shared" ca="1" si="87"/>
        <v>44898</v>
      </c>
      <c r="AC397" s="62">
        <f t="shared" ca="1" si="88"/>
        <v>112.63298534741857</v>
      </c>
      <c r="AD397" s="62">
        <f t="shared" ca="1" si="89"/>
        <v>104.324287374832</v>
      </c>
      <c r="AE397" s="62">
        <f t="shared" ca="1" si="90"/>
        <v>0</v>
      </c>
    </row>
    <row r="398" spans="18:31" x14ac:dyDescent="0.25">
      <c r="R398" s="62" t="e">
        <f ca="1"/>
        <v>#N/A</v>
      </c>
      <c r="S398" s="62" t="e">
        <f t="shared" ca="1" si="79"/>
        <v>#N/A</v>
      </c>
      <c r="T398" s="62" t="e">
        <f t="shared" ca="1" si="80"/>
        <v>#N/A</v>
      </c>
      <c r="U398" s="62" t="e">
        <f t="shared" ca="1" si="81"/>
        <v>#N/A</v>
      </c>
      <c r="V398" s="62" t="e">
        <f t="shared" ca="1" si="82"/>
        <v>#N/A</v>
      </c>
      <c r="W398" s="60" t="e">
        <f t="shared" ca="1" si="83"/>
        <v>#N/A</v>
      </c>
      <c r="X398" s="60" t="e">
        <f t="shared" ca="1" si="84"/>
        <v>#N/A</v>
      </c>
      <c r="Y398" s="60" t="e">
        <f t="shared" ca="1" si="85"/>
        <v>#N/A</v>
      </c>
      <c r="Z398" s="60" t="e">
        <f t="shared" ca="1" si="86"/>
        <v>#N/A</v>
      </c>
      <c r="AA398" s="92">
        <f ca="1"/>
        <v>44899</v>
      </c>
      <c r="AB398" s="62">
        <f t="shared" ca="1" si="87"/>
        <v>44899</v>
      </c>
      <c r="AC398" s="62">
        <f t="shared" ca="1" si="88"/>
        <v>112.67014334928757</v>
      </c>
      <c r="AD398" s="62">
        <f t="shared" ca="1" si="89"/>
        <v>104.738065049261</v>
      </c>
      <c r="AE398" s="62">
        <f t="shared" ca="1" si="90"/>
        <v>0</v>
      </c>
    </row>
    <row r="399" spans="18:31" x14ac:dyDescent="0.25">
      <c r="R399" s="62" t="e">
        <f ca="1"/>
        <v>#N/A</v>
      </c>
      <c r="S399" s="62" t="e">
        <f t="shared" ca="1" si="79"/>
        <v>#N/A</v>
      </c>
      <c r="T399" s="62" t="e">
        <f t="shared" ca="1" si="80"/>
        <v>#N/A</v>
      </c>
      <c r="U399" s="62" t="e">
        <f t="shared" ca="1" si="81"/>
        <v>#N/A</v>
      </c>
      <c r="V399" s="62" t="e">
        <f t="shared" ca="1" si="82"/>
        <v>#N/A</v>
      </c>
      <c r="W399" s="60" t="e">
        <f t="shared" ca="1" si="83"/>
        <v>#N/A</v>
      </c>
      <c r="X399" s="60" t="e">
        <f t="shared" ca="1" si="84"/>
        <v>#N/A</v>
      </c>
      <c r="Y399" s="60" t="e">
        <f t="shared" ca="1" si="85"/>
        <v>#N/A</v>
      </c>
      <c r="Z399" s="60" t="e">
        <f t="shared" ca="1" si="86"/>
        <v>#N/A</v>
      </c>
      <c r="AA399" s="92">
        <f ca="1"/>
        <v>44900</v>
      </c>
      <c r="AB399" s="62">
        <f t="shared" ca="1" si="87"/>
        <v>44900</v>
      </c>
      <c r="AC399" s="62">
        <f t="shared" ca="1" si="88"/>
        <v>112.73235569478734</v>
      </c>
      <c r="AD399" s="62">
        <f t="shared" ca="1" si="89"/>
        <v>105.12738134087201</v>
      </c>
      <c r="AE399" s="62">
        <f t="shared" ca="1" si="90"/>
        <v>0</v>
      </c>
    </row>
    <row r="400" spans="18:31" x14ac:dyDescent="0.25">
      <c r="R400" s="62" t="e">
        <f ca="1"/>
        <v>#N/A</v>
      </c>
      <c r="S400" s="62" t="e">
        <f t="shared" ca="1" si="79"/>
        <v>#N/A</v>
      </c>
      <c r="T400" s="62" t="e">
        <f t="shared" ca="1" si="80"/>
        <v>#N/A</v>
      </c>
      <c r="U400" s="62" t="e">
        <f t="shared" ca="1" si="81"/>
        <v>#N/A</v>
      </c>
      <c r="V400" s="62" t="e">
        <f t="shared" ca="1" si="82"/>
        <v>#N/A</v>
      </c>
      <c r="W400" s="60" t="e">
        <f t="shared" ca="1" si="83"/>
        <v>#N/A</v>
      </c>
      <c r="X400" s="60" t="e">
        <f t="shared" ca="1" si="84"/>
        <v>#N/A</v>
      </c>
      <c r="Y400" s="60" t="e">
        <f t="shared" ca="1" si="85"/>
        <v>#N/A</v>
      </c>
      <c r="Z400" s="60" t="e">
        <f t="shared" ca="1" si="86"/>
        <v>#N/A</v>
      </c>
      <c r="AA400" s="92">
        <f ca="1"/>
        <v>44901</v>
      </c>
      <c r="AB400" s="62">
        <f t="shared" ca="1" si="87"/>
        <v>44901</v>
      </c>
      <c r="AC400" s="62">
        <f t="shared" ca="1" si="88"/>
        <v>112.81443738816768</v>
      </c>
      <c r="AD400" s="62">
        <f t="shared" ca="1" si="89"/>
        <v>105.498095003209</v>
      </c>
      <c r="AE400" s="62">
        <f t="shared" ca="1" si="90"/>
        <v>0</v>
      </c>
    </row>
    <row r="401" spans="18:31" x14ac:dyDescent="0.25">
      <c r="R401" s="62" t="e">
        <f ca="1"/>
        <v>#N/A</v>
      </c>
      <c r="S401" s="62" t="e">
        <f t="shared" ca="1" si="79"/>
        <v>#N/A</v>
      </c>
      <c r="T401" s="62" t="e">
        <f t="shared" ca="1" si="80"/>
        <v>#N/A</v>
      </c>
      <c r="U401" s="62" t="e">
        <f t="shared" ca="1" si="81"/>
        <v>#N/A</v>
      </c>
      <c r="V401" s="62" t="e">
        <f t="shared" ca="1" si="82"/>
        <v>#N/A</v>
      </c>
      <c r="W401" s="60" t="e">
        <f t="shared" ca="1" si="83"/>
        <v>#N/A</v>
      </c>
      <c r="X401" s="60" t="e">
        <f t="shared" ca="1" si="84"/>
        <v>#N/A</v>
      </c>
      <c r="Y401" s="60" t="e">
        <f t="shared" ca="1" si="85"/>
        <v>#N/A</v>
      </c>
      <c r="Z401" s="60" t="e">
        <f t="shared" ca="1" si="86"/>
        <v>#N/A</v>
      </c>
      <c r="AA401" s="92">
        <f ca="1"/>
        <v>44902</v>
      </c>
      <c r="AB401" s="62">
        <f t="shared" ca="1" si="87"/>
        <v>44902</v>
      </c>
      <c r="AC401" s="62">
        <f t="shared" ca="1" si="88"/>
        <v>112.90877678725207</v>
      </c>
      <c r="AD401" s="62">
        <f t="shared" ca="1" si="89"/>
        <v>105.83960013960299</v>
      </c>
      <c r="AE401" s="62">
        <f t="shared" ca="1" si="90"/>
        <v>0</v>
      </c>
    </row>
    <row r="402" spans="18:31" x14ac:dyDescent="0.25">
      <c r="R402" s="62" t="e">
        <f ca="1"/>
        <v>#N/A</v>
      </c>
      <c r="S402" s="62" t="e">
        <f t="shared" ca="1" si="79"/>
        <v>#N/A</v>
      </c>
      <c r="T402" s="62" t="e">
        <f t="shared" ca="1" si="80"/>
        <v>#N/A</v>
      </c>
      <c r="U402" s="62" t="e">
        <f t="shared" ca="1" si="81"/>
        <v>#N/A</v>
      </c>
      <c r="V402" s="62" t="e">
        <f t="shared" ca="1" si="82"/>
        <v>#N/A</v>
      </c>
      <c r="W402" s="60" t="e">
        <f t="shared" ca="1" si="83"/>
        <v>#N/A</v>
      </c>
      <c r="X402" s="60" t="e">
        <f t="shared" ca="1" si="84"/>
        <v>#N/A</v>
      </c>
      <c r="Y402" s="60" t="e">
        <f t="shared" ca="1" si="85"/>
        <v>#N/A</v>
      </c>
      <c r="Z402" s="60" t="e">
        <f t="shared" ca="1" si="86"/>
        <v>#N/A</v>
      </c>
      <c r="AA402" s="92">
        <f ca="1"/>
        <v>44903</v>
      </c>
      <c r="AB402" s="62">
        <f t="shared" ca="1" si="87"/>
        <v>44903</v>
      </c>
      <c r="AC402" s="62">
        <f t="shared" ca="1" si="88"/>
        <v>113.0128152720501</v>
      </c>
      <c r="AD402" s="62">
        <f t="shared" ca="1" si="89"/>
        <v>106.163458214079</v>
      </c>
      <c r="AE402" s="62">
        <f t="shared" ca="1" si="90"/>
        <v>0</v>
      </c>
    </row>
    <row r="403" spans="18:31" x14ac:dyDescent="0.25">
      <c r="R403" s="62" t="e">
        <f ca="1"/>
        <v>#N/A</v>
      </c>
      <c r="S403" s="62" t="e">
        <f t="shared" ca="1" si="79"/>
        <v>#N/A</v>
      </c>
      <c r="T403" s="62" t="e">
        <f t="shared" ca="1" si="80"/>
        <v>#N/A</v>
      </c>
      <c r="U403" s="62" t="e">
        <f t="shared" ca="1" si="81"/>
        <v>#N/A</v>
      </c>
      <c r="V403" s="62" t="e">
        <f t="shared" ca="1" si="82"/>
        <v>#N/A</v>
      </c>
      <c r="W403" s="60" t="e">
        <f t="shared" ca="1" si="83"/>
        <v>#N/A</v>
      </c>
      <c r="X403" s="60" t="e">
        <f t="shared" ca="1" si="84"/>
        <v>#N/A</v>
      </c>
      <c r="Y403" s="60" t="e">
        <f t="shared" ca="1" si="85"/>
        <v>#N/A</v>
      </c>
      <c r="Z403" s="60" t="e">
        <f t="shared" ca="1" si="86"/>
        <v>#N/A</v>
      </c>
      <c r="AA403" s="92">
        <f ca="1"/>
        <v>44904</v>
      </c>
      <c r="AB403" s="62">
        <f t="shared" ca="1" si="87"/>
        <v>44904</v>
      </c>
      <c r="AC403" s="62">
        <f t="shared" ca="1" si="88"/>
        <v>113.12868088117825</v>
      </c>
      <c r="AD403" s="62">
        <f t="shared" ca="1" si="89"/>
        <v>106.48009799621801</v>
      </c>
      <c r="AE403" s="62">
        <f t="shared" ca="1" si="90"/>
        <v>0</v>
      </c>
    </row>
    <row r="404" spans="18:31" x14ac:dyDescent="0.25">
      <c r="R404" s="62" t="e">
        <f ca="1"/>
        <v>#N/A</v>
      </c>
      <c r="S404" s="62" t="e">
        <f t="shared" ca="1" si="79"/>
        <v>#N/A</v>
      </c>
      <c r="T404" s="62" t="e">
        <f t="shared" ca="1" si="80"/>
        <v>#N/A</v>
      </c>
      <c r="U404" s="62" t="e">
        <f t="shared" ca="1" si="81"/>
        <v>#N/A</v>
      </c>
      <c r="V404" s="62" t="e">
        <f t="shared" ca="1" si="82"/>
        <v>#N/A</v>
      </c>
      <c r="W404" s="60" t="e">
        <f t="shared" ca="1" si="83"/>
        <v>#N/A</v>
      </c>
      <c r="X404" s="60" t="e">
        <f t="shared" ca="1" si="84"/>
        <v>#N/A</v>
      </c>
      <c r="Y404" s="60" t="e">
        <f t="shared" ca="1" si="85"/>
        <v>#N/A</v>
      </c>
      <c r="Z404" s="60" t="e">
        <f t="shared" ca="1" si="86"/>
        <v>#N/A</v>
      </c>
      <c r="AA404" s="92">
        <f ca="1"/>
        <v>44905</v>
      </c>
      <c r="AB404" s="62">
        <f t="shared" ca="1" si="87"/>
        <v>44905</v>
      </c>
      <c r="AC404" s="62">
        <f t="shared" ca="1" si="88"/>
        <v>113.25605827246791</v>
      </c>
      <c r="AD404" s="62">
        <f t="shared" ca="1" si="89"/>
        <v>106.779325650633</v>
      </c>
      <c r="AE404" s="62">
        <f t="shared" ca="1" si="90"/>
        <v>0</v>
      </c>
    </row>
    <row r="405" spans="18:31" x14ac:dyDescent="0.25">
      <c r="R405" s="62" t="e">
        <f ca="1"/>
        <v>#N/A</v>
      </c>
      <c r="S405" s="62" t="e">
        <f t="shared" ca="1" si="79"/>
        <v>#N/A</v>
      </c>
      <c r="T405" s="62" t="e">
        <f t="shared" ca="1" si="80"/>
        <v>#N/A</v>
      </c>
      <c r="U405" s="62" t="e">
        <f t="shared" ca="1" si="81"/>
        <v>#N/A</v>
      </c>
      <c r="V405" s="62" t="e">
        <f t="shared" ca="1" si="82"/>
        <v>#N/A</v>
      </c>
      <c r="W405" s="60" t="e">
        <f t="shared" ca="1" si="83"/>
        <v>#N/A</v>
      </c>
      <c r="X405" s="60" t="e">
        <f t="shared" ca="1" si="84"/>
        <v>#N/A</v>
      </c>
      <c r="Y405" s="60" t="e">
        <f t="shared" ca="1" si="85"/>
        <v>#N/A</v>
      </c>
      <c r="Z405" s="60" t="e">
        <f t="shared" ca="1" si="86"/>
        <v>#N/A</v>
      </c>
      <c r="AA405" s="92">
        <f ca="1"/>
        <v>44906</v>
      </c>
      <c r="AB405" s="62">
        <f t="shared" ca="1" si="87"/>
        <v>44906</v>
      </c>
      <c r="AC405" s="62">
        <f t="shared" ca="1" si="88"/>
        <v>113.39538521295913</v>
      </c>
      <c r="AD405" s="62">
        <f t="shared" ca="1" si="89"/>
        <v>107.07236988554</v>
      </c>
      <c r="AE405" s="62">
        <f t="shared" ca="1" si="90"/>
        <v>0</v>
      </c>
    </row>
    <row r="406" spans="18:31" x14ac:dyDescent="0.25">
      <c r="R406" s="62" t="e">
        <f ca="1"/>
        <v>#N/A</v>
      </c>
      <c r="S406" s="62" t="e">
        <f t="shared" ca="1" si="79"/>
        <v>#N/A</v>
      </c>
      <c r="T406" s="62" t="e">
        <f t="shared" ca="1" si="80"/>
        <v>#N/A</v>
      </c>
      <c r="U406" s="62" t="e">
        <f t="shared" ca="1" si="81"/>
        <v>#N/A</v>
      </c>
      <c r="V406" s="62" t="e">
        <f t="shared" ca="1" si="82"/>
        <v>#N/A</v>
      </c>
      <c r="W406" s="60" t="e">
        <f t="shared" ca="1" si="83"/>
        <v>#N/A</v>
      </c>
      <c r="X406" s="60" t="e">
        <f t="shared" ca="1" si="84"/>
        <v>#N/A</v>
      </c>
      <c r="Y406" s="60" t="e">
        <f t="shared" ca="1" si="85"/>
        <v>#N/A</v>
      </c>
      <c r="Z406" s="60" t="e">
        <f t="shared" ca="1" si="86"/>
        <v>#N/A</v>
      </c>
      <c r="AA406" s="92">
        <f ca="1"/>
        <v>44907</v>
      </c>
      <c r="AB406" s="62">
        <f t="shared" ca="1" si="87"/>
        <v>44907</v>
      </c>
      <c r="AC406" s="62">
        <f t="shared" ca="1" si="88"/>
        <v>113.5512258167081</v>
      </c>
      <c r="AD406" s="62">
        <f t="shared" ca="1" si="89"/>
        <v>107.357505585791</v>
      </c>
      <c r="AE406" s="62">
        <f t="shared" ca="1" si="90"/>
        <v>0</v>
      </c>
    </row>
    <row r="407" spans="18:31" x14ac:dyDescent="0.25">
      <c r="R407" s="62" t="e">
        <f ca="1"/>
        <v>#N/A</v>
      </c>
      <c r="S407" s="62" t="e">
        <f t="shared" ca="1" si="79"/>
        <v>#N/A</v>
      </c>
      <c r="T407" s="62" t="e">
        <f t="shared" ca="1" si="80"/>
        <v>#N/A</v>
      </c>
      <c r="U407" s="62" t="e">
        <f t="shared" ca="1" si="81"/>
        <v>#N/A</v>
      </c>
      <c r="V407" s="62" t="e">
        <f t="shared" ca="1" si="82"/>
        <v>#N/A</v>
      </c>
      <c r="W407" s="60" t="e">
        <f t="shared" ca="1" si="83"/>
        <v>#N/A</v>
      </c>
      <c r="X407" s="60" t="e">
        <f t="shared" ca="1" si="84"/>
        <v>#N/A</v>
      </c>
      <c r="Y407" s="60" t="e">
        <f t="shared" ca="1" si="85"/>
        <v>#N/A</v>
      </c>
      <c r="Z407" s="60" t="e">
        <f t="shared" ca="1" si="86"/>
        <v>#N/A</v>
      </c>
      <c r="AA407" s="92">
        <f ca="1"/>
        <v>44908</v>
      </c>
      <c r="AB407" s="62">
        <f t="shared" ca="1" si="87"/>
        <v>44908</v>
      </c>
      <c r="AC407" s="62">
        <f t="shared" ca="1" si="88"/>
        <v>113.7093736606938</v>
      </c>
      <c r="AD407" s="62">
        <f t="shared" ca="1" si="89"/>
        <v>107.623753504421</v>
      </c>
      <c r="AE407" s="62">
        <f t="shared" ca="1" si="90"/>
        <v>0</v>
      </c>
    </row>
    <row r="408" spans="18:31" x14ac:dyDescent="0.25">
      <c r="R408" s="62" t="e">
        <f ca="1"/>
        <v>#N/A</v>
      </c>
      <c r="S408" s="62" t="e">
        <f t="shared" ca="1" si="79"/>
        <v>#N/A</v>
      </c>
      <c r="T408" s="62" t="e">
        <f t="shared" ca="1" si="80"/>
        <v>#N/A</v>
      </c>
      <c r="U408" s="62" t="e">
        <f t="shared" ca="1" si="81"/>
        <v>#N/A</v>
      </c>
      <c r="V408" s="62" t="e">
        <f t="shared" ca="1" si="82"/>
        <v>#N/A</v>
      </c>
      <c r="W408" s="60" t="e">
        <f t="shared" ca="1" si="83"/>
        <v>#N/A</v>
      </c>
      <c r="X408" s="60" t="e">
        <f t="shared" ca="1" si="84"/>
        <v>#N/A</v>
      </c>
      <c r="Y408" s="60" t="e">
        <f t="shared" ca="1" si="85"/>
        <v>#N/A</v>
      </c>
      <c r="Z408" s="60" t="e">
        <f t="shared" ca="1" si="86"/>
        <v>#N/A</v>
      </c>
      <c r="AA408" s="92">
        <f ca="1"/>
        <v>44909</v>
      </c>
      <c r="AB408" s="62">
        <f t="shared" ca="1" si="87"/>
        <v>44909</v>
      </c>
      <c r="AC408" s="62">
        <f t="shared" ca="1" si="88"/>
        <v>113.88352552821941</v>
      </c>
      <c r="AD408" s="62">
        <f t="shared" ca="1" si="89"/>
        <v>107.874611927823</v>
      </c>
      <c r="AE408" s="62">
        <f t="shared" ca="1" si="90"/>
        <v>0</v>
      </c>
    </row>
    <row r="409" spans="18:31" x14ac:dyDescent="0.25">
      <c r="R409" s="62" t="e">
        <f ca="1"/>
        <v>#N/A</v>
      </c>
      <c r="S409" s="62" t="e">
        <f t="shared" ca="1" si="79"/>
        <v>#N/A</v>
      </c>
      <c r="T409" s="62" t="e">
        <f t="shared" ca="1" si="80"/>
        <v>#N/A</v>
      </c>
      <c r="U409" s="62" t="e">
        <f t="shared" ca="1" si="81"/>
        <v>#N/A</v>
      </c>
      <c r="V409" s="62" t="e">
        <f t="shared" ca="1" si="82"/>
        <v>#N/A</v>
      </c>
      <c r="W409" s="60" t="e">
        <f t="shared" ca="1" si="83"/>
        <v>#N/A</v>
      </c>
      <c r="X409" s="60" t="e">
        <f t="shared" ca="1" si="84"/>
        <v>#N/A</v>
      </c>
      <c r="Y409" s="60" t="e">
        <f t="shared" ca="1" si="85"/>
        <v>#N/A</v>
      </c>
      <c r="Z409" s="60" t="e">
        <f t="shared" ca="1" si="86"/>
        <v>#N/A</v>
      </c>
      <c r="AA409" s="92">
        <f ca="1"/>
        <v>44910</v>
      </c>
      <c r="AB409" s="62">
        <f t="shared" ca="1" si="87"/>
        <v>44910</v>
      </c>
      <c r="AC409" s="62">
        <f t="shared" ca="1" si="88"/>
        <v>114.06338933144467</v>
      </c>
      <c r="AD409" s="62">
        <f t="shared" ca="1" si="89"/>
        <v>108.10977659262601</v>
      </c>
      <c r="AE409" s="62">
        <f t="shared" ca="1" si="90"/>
        <v>0</v>
      </c>
    </row>
    <row r="410" spans="18:31" x14ac:dyDescent="0.25">
      <c r="R410" s="62" t="e">
        <f ca="1"/>
        <v>#N/A</v>
      </c>
      <c r="S410" s="62" t="e">
        <f t="shared" ca="1" si="79"/>
        <v>#N/A</v>
      </c>
      <c r="T410" s="62" t="e">
        <f t="shared" ca="1" si="80"/>
        <v>#N/A</v>
      </c>
      <c r="U410" s="62" t="e">
        <f t="shared" ca="1" si="81"/>
        <v>#N/A</v>
      </c>
      <c r="V410" s="62" t="e">
        <f t="shared" ca="1" si="82"/>
        <v>#N/A</v>
      </c>
      <c r="W410" s="60" t="e">
        <f t="shared" ca="1" si="83"/>
        <v>#N/A</v>
      </c>
      <c r="X410" s="60" t="e">
        <f t="shared" ca="1" si="84"/>
        <v>#N/A</v>
      </c>
      <c r="Y410" s="60" t="e">
        <f t="shared" ca="1" si="85"/>
        <v>#N/A</v>
      </c>
      <c r="Z410" s="60" t="e">
        <f t="shared" ca="1" si="86"/>
        <v>#N/A</v>
      </c>
      <c r="AA410" s="92">
        <f ca="1"/>
        <v>44911</v>
      </c>
      <c r="AB410" s="62">
        <f t="shared" ca="1" si="87"/>
        <v>44911</v>
      </c>
      <c r="AC410" s="62">
        <f t="shared" ca="1" si="88"/>
        <v>114.26699101577843</v>
      </c>
      <c r="AD410" s="62">
        <f t="shared" ca="1" si="89"/>
        <v>108.333642527441</v>
      </c>
      <c r="AE410" s="62">
        <f t="shared" ca="1" si="90"/>
        <v>0</v>
      </c>
    </row>
    <row r="411" spans="18:31" x14ac:dyDescent="0.25">
      <c r="R411" s="62" t="e">
        <f ca="1"/>
        <v>#N/A</v>
      </c>
      <c r="S411" s="62" t="e">
        <f t="shared" ca="1" si="79"/>
        <v>#N/A</v>
      </c>
      <c r="T411" s="62" t="e">
        <f t="shared" ca="1" si="80"/>
        <v>#N/A</v>
      </c>
      <c r="U411" s="62" t="e">
        <f t="shared" ca="1" si="81"/>
        <v>#N/A</v>
      </c>
      <c r="V411" s="62" t="e">
        <f t="shared" ca="1" si="82"/>
        <v>#N/A</v>
      </c>
      <c r="W411" s="60" t="e">
        <f t="shared" ca="1" si="83"/>
        <v>#N/A</v>
      </c>
      <c r="X411" s="60" t="e">
        <f t="shared" ca="1" si="84"/>
        <v>#N/A</v>
      </c>
      <c r="Y411" s="60" t="e">
        <f t="shared" ca="1" si="85"/>
        <v>#N/A</v>
      </c>
      <c r="Z411" s="60" t="e">
        <f t="shared" ca="1" si="86"/>
        <v>#N/A</v>
      </c>
      <c r="AA411" s="92">
        <f ca="1"/>
        <v>44912</v>
      </c>
      <c r="AB411" s="62">
        <f t="shared" ca="1" si="87"/>
        <v>44912</v>
      </c>
      <c r="AC411" s="62">
        <f t="shared" ca="1" si="88"/>
        <v>114.48978673979474</v>
      </c>
      <c r="AD411" s="62">
        <f t="shared" ca="1" si="89"/>
        <v>108.54602540168599</v>
      </c>
      <c r="AE411" s="62">
        <f t="shared" ca="1" si="90"/>
        <v>0</v>
      </c>
    </row>
    <row r="412" spans="18:31" x14ac:dyDescent="0.25">
      <c r="R412" s="62" t="e">
        <f ca="1"/>
        <v>#N/A</v>
      </c>
      <c r="S412" s="62" t="e">
        <f t="shared" ca="1" si="79"/>
        <v>#N/A</v>
      </c>
      <c r="T412" s="62" t="e">
        <f t="shared" ca="1" si="80"/>
        <v>#N/A</v>
      </c>
      <c r="U412" s="62" t="e">
        <f t="shared" ca="1" si="81"/>
        <v>#N/A</v>
      </c>
      <c r="V412" s="62" t="e">
        <f t="shared" ca="1" si="82"/>
        <v>#N/A</v>
      </c>
      <c r="W412" s="60" t="e">
        <f t="shared" ca="1" si="83"/>
        <v>#N/A</v>
      </c>
      <c r="X412" s="60" t="e">
        <f t="shared" ca="1" si="84"/>
        <v>#N/A</v>
      </c>
      <c r="Y412" s="60" t="e">
        <f t="shared" ca="1" si="85"/>
        <v>#N/A</v>
      </c>
      <c r="Z412" s="60" t="e">
        <f t="shared" ca="1" si="86"/>
        <v>#N/A</v>
      </c>
      <c r="AA412" s="92">
        <f ca="1"/>
        <v>44913</v>
      </c>
      <c r="AB412" s="62">
        <f t="shared" ca="1" si="87"/>
        <v>44913</v>
      </c>
      <c r="AC412" s="62">
        <f t="shared" ca="1" si="88"/>
        <v>114.7228075352765</v>
      </c>
      <c r="AD412" s="62">
        <f t="shared" ca="1" si="89"/>
        <v>108.743468746822</v>
      </c>
      <c r="AE412" s="62">
        <f t="shared" ca="1" si="90"/>
        <v>0</v>
      </c>
    </row>
    <row r="413" spans="18:31" x14ac:dyDescent="0.25">
      <c r="R413" s="62" t="e">
        <f ca="1"/>
        <v>#N/A</v>
      </c>
      <c r="S413" s="62" t="e">
        <f t="shared" ca="1" si="79"/>
        <v>#N/A</v>
      </c>
      <c r="T413" s="62" t="e">
        <f t="shared" ca="1" si="80"/>
        <v>#N/A</v>
      </c>
      <c r="U413" s="62" t="e">
        <f t="shared" ca="1" si="81"/>
        <v>#N/A</v>
      </c>
      <c r="V413" s="62" t="e">
        <f t="shared" ca="1" si="82"/>
        <v>#N/A</v>
      </c>
      <c r="W413" s="60" t="e">
        <f t="shared" ca="1" si="83"/>
        <v>#N/A</v>
      </c>
      <c r="X413" s="60" t="e">
        <f t="shared" ca="1" si="84"/>
        <v>#N/A</v>
      </c>
      <c r="Y413" s="60" t="e">
        <f t="shared" ca="1" si="85"/>
        <v>#N/A</v>
      </c>
      <c r="Z413" s="60" t="e">
        <f t="shared" ca="1" si="86"/>
        <v>#N/A</v>
      </c>
      <c r="AA413" s="92">
        <f ca="1"/>
        <v>44914</v>
      </c>
      <c r="AB413" s="62">
        <f t="shared" ca="1" si="87"/>
        <v>44914</v>
      </c>
      <c r="AC413" s="62">
        <f t="shared" ca="1" si="88"/>
        <v>114.97421130064284</v>
      </c>
      <c r="AD413" s="62">
        <f t="shared" ca="1" si="89"/>
        <v>108.932251475261</v>
      </c>
      <c r="AE413" s="62">
        <f t="shared" ca="1" si="90"/>
        <v>0</v>
      </c>
    </row>
    <row r="414" spans="18:31" x14ac:dyDescent="0.25">
      <c r="R414" s="62" t="e">
        <f ca="1"/>
        <v>#N/A</v>
      </c>
      <c r="S414" s="62" t="e">
        <f t="shared" ca="1" si="79"/>
        <v>#N/A</v>
      </c>
      <c r="T414" s="62" t="e">
        <f t="shared" ca="1" si="80"/>
        <v>#N/A</v>
      </c>
      <c r="U414" s="62" t="e">
        <f t="shared" ca="1" si="81"/>
        <v>#N/A</v>
      </c>
      <c r="V414" s="62" t="e">
        <f t="shared" ca="1" si="82"/>
        <v>#N/A</v>
      </c>
      <c r="W414" s="60" t="e">
        <f t="shared" ca="1" si="83"/>
        <v>#N/A</v>
      </c>
      <c r="X414" s="60" t="e">
        <f t="shared" ca="1" si="84"/>
        <v>#N/A</v>
      </c>
      <c r="Y414" s="60" t="e">
        <f t="shared" ca="1" si="85"/>
        <v>#N/A</v>
      </c>
      <c r="Z414" s="60" t="e">
        <f t="shared" ca="1" si="86"/>
        <v>#N/A</v>
      </c>
      <c r="AA414" s="92">
        <f ca="1"/>
        <v>44915</v>
      </c>
      <c r="AB414" s="62">
        <f t="shared" ca="1" si="87"/>
        <v>44915</v>
      </c>
      <c r="AC414" s="62">
        <f t="shared" ca="1" si="88"/>
        <v>115.23173609657907</v>
      </c>
      <c r="AD414" s="62">
        <f t="shared" ca="1" si="89"/>
        <v>109.113626057209</v>
      </c>
      <c r="AE414" s="62">
        <f t="shared" ca="1" si="90"/>
        <v>0</v>
      </c>
    </row>
    <row r="415" spans="18:31" x14ac:dyDescent="0.25">
      <c r="R415" s="62" t="e">
        <f ca="1"/>
        <v>#N/A</v>
      </c>
      <c r="S415" s="62" t="e">
        <f t="shared" ca="1" si="79"/>
        <v>#N/A</v>
      </c>
      <c r="T415" s="62" t="e">
        <f t="shared" ca="1" si="80"/>
        <v>#N/A</v>
      </c>
      <c r="U415" s="62" t="e">
        <f t="shared" ca="1" si="81"/>
        <v>#N/A</v>
      </c>
      <c r="V415" s="62" t="e">
        <f t="shared" ca="1" si="82"/>
        <v>#N/A</v>
      </c>
      <c r="W415" s="60" t="e">
        <f t="shared" ca="1" si="83"/>
        <v>#N/A</v>
      </c>
      <c r="X415" s="60" t="e">
        <f t="shared" ca="1" si="84"/>
        <v>#N/A</v>
      </c>
      <c r="Y415" s="60" t="e">
        <f t="shared" ca="1" si="85"/>
        <v>#N/A</v>
      </c>
      <c r="Z415" s="60" t="e">
        <f t="shared" ca="1" si="86"/>
        <v>#N/A</v>
      </c>
      <c r="AA415" s="92">
        <f ca="1"/>
        <v>44916</v>
      </c>
      <c r="AB415" s="62">
        <f t="shared" ca="1" si="87"/>
        <v>44916</v>
      </c>
      <c r="AC415" s="62">
        <f t="shared" ca="1" si="88"/>
        <v>115.50122611140272</v>
      </c>
      <c r="AD415" s="62">
        <f t="shared" ca="1" si="89"/>
        <v>109.284969721519</v>
      </c>
      <c r="AE415" s="62">
        <f t="shared" ca="1" si="90"/>
        <v>0</v>
      </c>
    </row>
    <row r="416" spans="18:31" x14ac:dyDescent="0.25">
      <c r="R416" s="62" t="e">
        <f ca="1"/>
        <v>#N/A</v>
      </c>
      <c r="S416" s="62" t="e">
        <f t="shared" ca="1" si="79"/>
        <v>#N/A</v>
      </c>
      <c r="T416" s="62" t="e">
        <f t="shared" ca="1" si="80"/>
        <v>#N/A</v>
      </c>
      <c r="U416" s="62" t="e">
        <f t="shared" ca="1" si="81"/>
        <v>#N/A</v>
      </c>
      <c r="V416" s="62" t="e">
        <f t="shared" ca="1" si="82"/>
        <v>#N/A</v>
      </c>
      <c r="W416" s="60" t="e">
        <f t="shared" ca="1" si="83"/>
        <v>#N/A</v>
      </c>
      <c r="X416" s="60" t="e">
        <f t="shared" ca="1" si="84"/>
        <v>#N/A</v>
      </c>
      <c r="Y416" s="60" t="e">
        <f t="shared" ca="1" si="85"/>
        <v>#N/A</v>
      </c>
      <c r="Z416" s="60" t="e">
        <f t="shared" ca="1" si="86"/>
        <v>#N/A</v>
      </c>
      <c r="AA416" s="92">
        <f ca="1"/>
        <v>44917</v>
      </c>
      <c r="AB416" s="62">
        <f t="shared" ca="1" si="87"/>
        <v>44917</v>
      </c>
      <c r="AC416" s="62">
        <f t="shared" ca="1" si="88"/>
        <v>115.77562279239081</v>
      </c>
      <c r="AD416" s="62">
        <f t="shared" ca="1" si="89"/>
        <v>109.44831082995699</v>
      </c>
      <c r="AE416" s="62">
        <f t="shared" ca="1" si="90"/>
        <v>0</v>
      </c>
    </row>
    <row r="417" spans="18:31" x14ac:dyDescent="0.25">
      <c r="R417" s="62" t="e">
        <f ca="1"/>
        <v>#N/A</v>
      </c>
      <c r="S417" s="62" t="e">
        <f t="shared" ca="1" si="79"/>
        <v>#N/A</v>
      </c>
      <c r="T417" s="62" t="e">
        <f t="shared" ca="1" si="80"/>
        <v>#N/A</v>
      </c>
      <c r="U417" s="62" t="e">
        <f t="shared" ca="1" si="81"/>
        <v>#N/A</v>
      </c>
      <c r="V417" s="62" t="e">
        <f t="shared" ca="1" si="82"/>
        <v>#N/A</v>
      </c>
      <c r="W417" s="60" t="e">
        <f t="shared" ca="1" si="83"/>
        <v>#N/A</v>
      </c>
      <c r="X417" s="60" t="e">
        <f t="shared" ca="1" si="84"/>
        <v>#N/A</v>
      </c>
      <c r="Y417" s="60" t="e">
        <f t="shared" ca="1" si="85"/>
        <v>#N/A</v>
      </c>
      <c r="Z417" s="60" t="e">
        <f t="shared" ca="1" si="86"/>
        <v>#N/A</v>
      </c>
      <c r="AA417" s="92">
        <f ca="1"/>
        <v>44918</v>
      </c>
      <c r="AB417" s="62">
        <f t="shared" ca="1" si="87"/>
        <v>44918</v>
      </c>
      <c r="AC417" s="62">
        <f t="shared" ca="1" si="88"/>
        <v>116.04437211075461</v>
      </c>
      <c r="AD417" s="62">
        <f t="shared" ca="1" si="89"/>
        <v>109.599196356283</v>
      </c>
      <c r="AE417" s="62">
        <f t="shared" ca="1" si="90"/>
        <v>0</v>
      </c>
    </row>
    <row r="418" spans="18:31" x14ac:dyDescent="0.25">
      <c r="R418" s="62" t="e">
        <f ca="1"/>
        <v>#N/A</v>
      </c>
      <c r="S418" s="62" t="e">
        <f t="shared" ca="1" si="79"/>
        <v>#N/A</v>
      </c>
      <c r="T418" s="62" t="e">
        <f t="shared" ca="1" si="80"/>
        <v>#N/A</v>
      </c>
      <c r="U418" s="62" t="e">
        <f t="shared" ca="1" si="81"/>
        <v>#N/A</v>
      </c>
      <c r="V418" s="62" t="e">
        <f t="shared" ca="1" si="82"/>
        <v>#N/A</v>
      </c>
      <c r="W418" s="60" t="e">
        <f t="shared" ca="1" si="83"/>
        <v>#N/A</v>
      </c>
      <c r="X418" s="60" t="e">
        <f t="shared" ca="1" si="84"/>
        <v>#N/A</v>
      </c>
      <c r="Y418" s="60" t="e">
        <f t="shared" ca="1" si="85"/>
        <v>#N/A</v>
      </c>
      <c r="Z418" s="60" t="e">
        <f t="shared" ca="1" si="86"/>
        <v>#N/A</v>
      </c>
      <c r="AA418" s="92">
        <f ca="1"/>
        <v>44919</v>
      </c>
      <c r="AB418" s="62">
        <f t="shared" ca="1" si="87"/>
        <v>44919</v>
      </c>
      <c r="AC418" s="62">
        <f t="shared" ca="1" si="88"/>
        <v>116.32488302898716</v>
      </c>
      <c r="AD418" s="62">
        <f t="shared" ca="1" si="89"/>
        <v>109.742869579352</v>
      </c>
      <c r="AE418" s="62">
        <f t="shared" ca="1" si="90"/>
        <v>0</v>
      </c>
    </row>
    <row r="419" spans="18:31" x14ac:dyDescent="0.25">
      <c r="R419" s="62" t="e">
        <f ca="1"/>
        <v>#N/A</v>
      </c>
      <c r="S419" s="62" t="e">
        <f t="shared" ca="1" si="79"/>
        <v>#N/A</v>
      </c>
      <c r="T419" s="62" t="e">
        <f t="shared" ca="1" si="80"/>
        <v>#N/A</v>
      </c>
      <c r="U419" s="62" t="e">
        <f t="shared" ca="1" si="81"/>
        <v>#N/A</v>
      </c>
      <c r="V419" s="62" t="e">
        <f t="shared" ca="1" si="82"/>
        <v>#N/A</v>
      </c>
      <c r="W419" s="60" t="e">
        <f t="shared" ca="1" si="83"/>
        <v>#N/A</v>
      </c>
      <c r="X419" s="60" t="e">
        <f t="shared" ca="1" si="84"/>
        <v>#N/A</v>
      </c>
      <c r="Y419" s="60" t="e">
        <f t="shared" ca="1" si="85"/>
        <v>#N/A</v>
      </c>
      <c r="Z419" s="60" t="e">
        <f t="shared" ca="1" si="86"/>
        <v>#N/A</v>
      </c>
      <c r="AA419" s="92">
        <f ca="1"/>
        <v>44920</v>
      </c>
      <c r="AB419" s="62">
        <f t="shared" ca="1" si="87"/>
        <v>44920</v>
      </c>
      <c r="AC419" s="62">
        <f t="shared" ca="1" si="88"/>
        <v>116.62644562002546</v>
      </c>
      <c r="AD419" s="62">
        <f t="shared" ca="1" si="89"/>
        <v>109.880440789639</v>
      </c>
      <c r="AE419" s="62">
        <f t="shared" ca="1" si="90"/>
        <v>0</v>
      </c>
    </row>
    <row r="420" spans="18:31" x14ac:dyDescent="0.25">
      <c r="R420" s="62" t="e">
        <f ca="1"/>
        <v>#N/A</v>
      </c>
      <c r="S420" s="62" t="e">
        <f t="shared" ca="1" si="79"/>
        <v>#N/A</v>
      </c>
      <c r="T420" s="62" t="e">
        <f t="shared" ca="1" si="80"/>
        <v>#N/A</v>
      </c>
      <c r="U420" s="62" t="e">
        <f t="shared" ca="1" si="81"/>
        <v>#N/A</v>
      </c>
      <c r="V420" s="62" t="e">
        <f t="shared" ca="1" si="82"/>
        <v>#N/A</v>
      </c>
      <c r="W420" s="60" t="e">
        <f t="shared" ca="1" si="83"/>
        <v>#N/A</v>
      </c>
      <c r="X420" s="60" t="e">
        <f t="shared" ca="1" si="84"/>
        <v>#N/A</v>
      </c>
      <c r="Y420" s="60" t="e">
        <f t="shared" ca="1" si="85"/>
        <v>#N/A</v>
      </c>
      <c r="Z420" s="60" t="e">
        <f t="shared" ca="1" si="86"/>
        <v>#N/A</v>
      </c>
      <c r="AA420" s="92">
        <f ca="1"/>
        <v>44921</v>
      </c>
      <c r="AB420" s="62">
        <f t="shared" ca="1" si="87"/>
        <v>44921</v>
      </c>
      <c r="AC420" s="62">
        <f t="shared" ca="1" si="88"/>
        <v>116.91715548397474</v>
      </c>
      <c r="AD420" s="62">
        <f t="shared" ca="1" si="89"/>
        <v>110.008184175482</v>
      </c>
      <c r="AE420" s="62">
        <f t="shared" ca="1" si="90"/>
        <v>0</v>
      </c>
    </row>
    <row r="421" spans="18:31" x14ac:dyDescent="0.25">
      <c r="R421" s="62" t="e">
        <f ca="1"/>
        <v>#N/A</v>
      </c>
      <c r="S421" s="62" t="e">
        <f t="shared" ca="1" si="79"/>
        <v>#N/A</v>
      </c>
      <c r="T421" s="62" t="e">
        <f t="shared" ca="1" si="80"/>
        <v>#N/A</v>
      </c>
      <c r="U421" s="62" t="e">
        <f t="shared" ca="1" si="81"/>
        <v>#N/A</v>
      </c>
      <c r="V421" s="62" t="e">
        <f t="shared" ca="1" si="82"/>
        <v>#N/A</v>
      </c>
      <c r="W421" s="60" t="e">
        <f t="shared" ca="1" si="83"/>
        <v>#N/A</v>
      </c>
      <c r="X421" s="60" t="e">
        <f t="shared" ca="1" si="84"/>
        <v>#N/A</v>
      </c>
      <c r="Y421" s="60" t="e">
        <f t="shared" ca="1" si="85"/>
        <v>#N/A</v>
      </c>
      <c r="Z421" s="60" t="e">
        <f t="shared" ca="1" si="86"/>
        <v>#N/A</v>
      </c>
      <c r="AA421" s="92">
        <f ca="1"/>
        <v>44922</v>
      </c>
      <c r="AB421" s="62">
        <f t="shared" ca="1" si="87"/>
        <v>44922</v>
      </c>
      <c r="AC421" s="62">
        <f t="shared" ca="1" si="88"/>
        <v>117.21022428275162</v>
      </c>
      <c r="AD421" s="62">
        <f t="shared" ca="1" si="89"/>
        <v>110.129275187659</v>
      </c>
      <c r="AE421" s="62">
        <f t="shared" ca="1" si="90"/>
        <v>0</v>
      </c>
    </row>
    <row r="422" spans="18:31" x14ac:dyDescent="0.25">
      <c r="R422" s="62" t="e">
        <f ca="1"/>
        <v>#N/A</v>
      </c>
      <c r="S422" s="62" t="e">
        <f t="shared" ca="1" si="79"/>
        <v>#N/A</v>
      </c>
      <c r="T422" s="62" t="e">
        <f t="shared" ca="1" si="80"/>
        <v>#N/A</v>
      </c>
      <c r="U422" s="62" t="e">
        <f t="shared" ca="1" si="81"/>
        <v>#N/A</v>
      </c>
      <c r="V422" s="62" t="e">
        <f t="shared" ca="1" si="82"/>
        <v>#N/A</v>
      </c>
      <c r="W422" s="60" t="e">
        <f t="shared" ca="1" si="83"/>
        <v>#N/A</v>
      </c>
      <c r="X422" s="60" t="e">
        <f t="shared" ca="1" si="84"/>
        <v>#N/A</v>
      </c>
      <c r="Y422" s="60" t="e">
        <f t="shared" ca="1" si="85"/>
        <v>#N/A</v>
      </c>
      <c r="Z422" s="60" t="e">
        <f t="shared" ca="1" si="86"/>
        <v>#N/A</v>
      </c>
      <c r="AA422" s="92">
        <f ca="1"/>
        <v>44923</v>
      </c>
      <c r="AB422" s="62">
        <f t="shared" ca="1" si="87"/>
        <v>44923</v>
      </c>
      <c r="AC422" s="62">
        <f t="shared" ca="1" si="88"/>
        <v>117.5189276926326</v>
      </c>
      <c r="AD422" s="62">
        <f t="shared" ca="1" si="89"/>
        <v>110.248676941271</v>
      </c>
      <c r="AE422" s="62">
        <f t="shared" ca="1" si="90"/>
        <v>0</v>
      </c>
    </row>
    <row r="423" spans="18:31" x14ac:dyDescent="0.25">
      <c r="R423" s="62" t="e">
        <f ca="1"/>
        <v>#N/A</v>
      </c>
      <c r="S423" s="62" t="e">
        <f t="shared" ca="1" si="79"/>
        <v>#N/A</v>
      </c>
      <c r="T423" s="62" t="e">
        <f t="shared" ca="1" si="80"/>
        <v>#N/A</v>
      </c>
      <c r="U423" s="62" t="e">
        <f t="shared" ca="1" si="81"/>
        <v>#N/A</v>
      </c>
      <c r="V423" s="62" t="e">
        <f t="shared" ca="1" si="82"/>
        <v>#N/A</v>
      </c>
      <c r="W423" s="60" t="e">
        <f t="shared" ca="1" si="83"/>
        <v>#N/A</v>
      </c>
      <c r="X423" s="60" t="e">
        <f t="shared" ca="1" si="84"/>
        <v>#N/A</v>
      </c>
      <c r="Y423" s="60" t="e">
        <f t="shared" ca="1" si="85"/>
        <v>#N/A</v>
      </c>
      <c r="Z423" s="60" t="e">
        <f t="shared" ca="1" si="86"/>
        <v>#N/A</v>
      </c>
      <c r="AA423" s="92">
        <f ca="1"/>
        <v>44924</v>
      </c>
      <c r="AB423" s="62">
        <f t="shared" ca="1" si="87"/>
        <v>44924</v>
      </c>
      <c r="AC423" s="62">
        <f t="shared" ca="1" si="88"/>
        <v>117.84234602767724</v>
      </c>
      <c r="AD423" s="62">
        <f t="shared" ca="1" si="89"/>
        <v>110.363019521566</v>
      </c>
      <c r="AE423" s="62">
        <f t="shared" ca="1" si="90"/>
        <v>0</v>
      </c>
    </row>
    <row r="424" spans="18:31" x14ac:dyDescent="0.25">
      <c r="R424" s="62" t="e">
        <f ca="1"/>
        <v>#N/A</v>
      </c>
      <c r="S424" s="62" t="e">
        <f t="shared" ca="1" si="79"/>
        <v>#N/A</v>
      </c>
      <c r="T424" s="62" t="e">
        <f t="shared" ca="1" si="80"/>
        <v>#N/A</v>
      </c>
      <c r="U424" s="62" t="e">
        <f t="shared" ca="1" si="81"/>
        <v>#N/A</v>
      </c>
      <c r="V424" s="62" t="e">
        <f t="shared" ca="1" si="82"/>
        <v>#N/A</v>
      </c>
      <c r="W424" s="60" t="e">
        <f t="shared" ca="1" si="83"/>
        <v>#N/A</v>
      </c>
      <c r="X424" s="60" t="e">
        <f t="shared" ca="1" si="84"/>
        <v>#N/A</v>
      </c>
      <c r="Y424" s="60" t="e">
        <f t="shared" ca="1" si="85"/>
        <v>#N/A</v>
      </c>
      <c r="Z424" s="60" t="e">
        <f t="shared" ca="1" si="86"/>
        <v>#N/A</v>
      </c>
      <c r="AA424" s="92">
        <f ca="1"/>
        <v>44925</v>
      </c>
      <c r="AB424" s="62">
        <f t="shared" ca="1" si="87"/>
        <v>44925</v>
      </c>
      <c r="AC424" s="62">
        <f t="shared" ca="1" si="88"/>
        <v>118.17416565332469</v>
      </c>
      <c r="AD424" s="62">
        <f t="shared" ca="1" si="89"/>
        <v>110.469203362912</v>
      </c>
      <c r="AE424" s="62">
        <f t="shared" ca="1" si="90"/>
        <v>0</v>
      </c>
    </row>
    <row r="425" spans="18:31" x14ac:dyDescent="0.25">
      <c r="R425" s="62" t="e">
        <f ca="1"/>
        <v>#N/A</v>
      </c>
      <c r="S425" s="62" t="e">
        <f t="shared" ca="1" si="79"/>
        <v>#N/A</v>
      </c>
      <c r="T425" s="62" t="e">
        <f t="shared" ca="1" si="80"/>
        <v>#N/A</v>
      </c>
      <c r="U425" s="62" t="e">
        <f t="shared" ca="1" si="81"/>
        <v>#N/A</v>
      </c>
      <c r="V425" s="62" t="e">
        <f t="shared" ca="1" si="82"/>
        <v>#N/A</v>
      </c>
      <c r="W425" s="60" t="e">
        <f t="shared" ca="1" si="83"/>
        <v>#N/A</v>
      </c>
      <c r="X425" s="60" t="e">
        <f t="shared" ca="1" si="84"/>
        <v>#N/A</v>
      </c>
      <c r="Y425" s="60" t="e">
        <f t="shared" ca="1" si="85"/>
        <v>#N/A</v>
      </c>
      <c r="Z425" s="60" t="e">
        <f t="shared" ca="1" si="86"/>
        <v>#N/A</v>
      </c>
      <c r="AA425" s="92">
        <f ca="1"/>
        <v>44926</v>
      </c>
      <c r="AB425" s="62">
        <f t="shared" ca="1" si="87"/>
        <v>44926</v>
      </c>
      <c r="AC425" s="62">
        <f t="shared" ca="1" si="88"/>
        <v>118.53165626872648</v>
      </c>
      <c r="AD425" s="62">
        <f t="shared" ca="1" si="89"/>
        <v>110.56722407159</v>
      </c>
      <c r="AE425" s="62">
        <f t="shared" ca="1" si="90"/>
        <v>0</v>
      </c>
    </row>
    <row r="426" spans="18:31" x14ac:dyDescent="0.25">
      <c r="R426" s="62" t="e">
        <f ca="1"/>
        <v>#N/A</v>
      </c>
      <c r="S426" s="62" t="e">
        <f t="shared" ca="1" si="79"/>
        <v>#N/A</v>
      </c>
      <c r="T426" s="62" t="e">
        <f t="shared" ca="1" si="80"/>
        <v>#N/A</v>
      </c>
      <c r="U426" s="62" t="e">
        <f t="shared" ca="1" si="81"/>
        <v>#N/A</v>
      </c>
      <c r="V426" s="62" t="e">
        <f t="shared" ca="1" si="82"/>
        <v>#N/A</v>
      </c>
      <c r="W426" s="60" t="e">
        <f t="shared" ca="1" si="83"/>
        <v>#N/A</v>
      </c>
      <c r="X426" s="60" t="e">
        <f t="shared" ca="1" si="84"/>
        <v>#N/A</v>
      </c>
      <c r="Y426" s="60" t="e">
        <f t="shared" ca="1" si="85"/>
        <v>#N/A</v>
      </c>
      <c r="Z426" s="60" t="e">
        <f t="shared" ca="1" si="86"/>
        <v>#N/A</v>
      </c>
      <c r="AA426" s="92">
        <f ca="1"/>
        <v>44927</v>
      </c>
      <c r="AB426" s="62">
        <f t="shared" ca="1" si="87"/>
        <v>44927</v>
      </c>
      <c r="AC426" s="62">
        <f t="shared" ca="1" si="88"/>
        <v>118.88637599062297</v>
      </c>
      <c r="AD426" s="62">
        <f t="shared" ca="1" si="89"/>
        <v>110.65867358159601</v>
      </c>
      <c r="AE426" s="62">
        <f t="shared" ca="1" si="90"/>
        <v>0</v>
      </c>
    </row>
    <row r="427" spans="18:31" x14ac:dyDescent="0.25">
      <c r="R427" s="62" t="e">
        <f ca="1"/>
        <v>#N/A</v>
      </c>
      <c r="S427" s="62" t="e">
        <f t="shared" ca="1" si="79"/>
        <v>#N/A</v>
      </c>
      <c r="T427" s="62" t="e">
        <f t="shared" ca="1" si="80"/>
        <v>#N/A</v>
      </c>
      <c r="U427" s="62" t="e">
        <f t="shared" ca="1" si="81"/>
        <v>#N/A</v>
      </c>
      <c r="V427" s="62" t="e">
        <f t="shared" ca="1" si="82"/>
        <v>#N/A</v>
      </c>
      <c r="W427" s="60" t="e">
        <f t="shared" ca="1" si="83"/>
        <v>#N/A</v>
      </c>
      <c r="X427" s="60" t="e">
        <f t="shared" ca="1" si="84"/>
        <v>#N/A</v>
      </c>
      <c r="Y427" s="60" t="e">
        <f t="shared" ca="1" si="85"/>
        <v>#N/A</v>
      </c>
      <c r="Z427" s="60" t="e">
        <f t="shared" ca="1" si="86"/>
        <v>#N/A</v>
      </c>
      <c r="AA427" s="92">
        <f ca="1"/>
        <v>44928</v>
      </c>
      <c r="AB427" s="62">
        <f t="shared" ca="1" si="87"/>
        <v>44928</v>
      </c>
      <c r="AC427" s="62">
        <f t="shared" ca="1" si="88"/>
        <v>119.24646497576383</v>
      </c>
      <c r="AD427" s="62">
        <f t="shared" ca="1" si="89"/>
        <v>110.746597979889</v>
      </c>
      <c r="AE427" s="62">
        <f t="shared" ca="1" si="90"/>
        <v>0</v>
      </c>
    </row>
    <row r="428" spans="18:31" x14ac:dyDescent="0.25">
      <c r="R428" s="62" t="e">
        <f ca="1"/>
        <v>#N/A</v>
      </c>
      <c r="S428" s="62" t="e">
        <f t="shared" ca="1" si="79"/>
        <v>#N/A</v>
      </c>
      <c r="T428" s="62" t="e">
        <f t="shared" ca="1" si="80"/>
        <v>#N/A</v>
      </c>
      <c r="U428" s="62" t="e">
        <f t="shared" ca="1" si="81"/>
        <v>#N/A</v>
      </c>
      <c r="V428" s="62" t="e">
        <f t="shared" ca="1" si="82"/>
        <v>#N/A</v>
      </c>
      <c r="W428" s="60" t="e">
        <f t="shared" ca="1" si="83"/>
        <v>#N/A</v>
      </c>
      <c r="X428" s="60" t="e">
        <f t="shared" ca="1" si="84"/>
        <v>#N/A</v>
      </c>
      <c r="Y428" s="60" t="e">
        <f t="shared" ca="1" si="85"/>
        <v>#N/A</v>
      </c>
      <c r="Z428" s="60" t="e">
        <f t="shared" ca="1" si="86"/>
        <v>#N/A</v>
      </c>
      <c r="AA428" s="92">
        <f ca="1"/>
        <v>44929</v>
      </c>
      <c r="AB428" s="62">
        <f t="shared" ca="1" si="87"/>
        <v>44929</v>
      </c>
      <c r="AC428" s="62">
        <f t="shared" ca="1" si="88"/>
        <v>119.59608949264529</v>
      </c>
      <c r="AD428" s="62">
        <f t="shared" ca="1" si="89"/>
        <v>110.82848697650699</v>
      </c>
      <c r="AE428" s="62">
        <f t="shared" ca="1" si="90"/>
        <v>0</v>
      </c>
    </row>
    <row r="429" spans="18:31" x14ac:dyDescent="0.25">
      <c r="R429" s="62" t="e">
        <f ca="1"/>
        <v>#N/A</v>
      </c>
      <c r="S429" s="62" t="e">
        <f t="shared" ca="1" si="79"/>
        <v>#N/A</v>
      </c>
      <c r="T429" s="62" t="e">
        <f t="shared" ca="1" si="80"/>
        <v>#N/A</v>
      </c>
      <c r="U429" s="62" t="e">
        <f t="shared" ca="1" si="81"/>
        <v>#N/A</v>
      </c>
      <c r="V429" s="62" t="e">
        <f t="shared" ca="1" si="82"/>
        <v>#N/A</v>
      </c>
      <c r="W429" s="60" t="e">
        <f t="shared" ca="1" si="83"/>
        <v>#N/A</v>
      </c>
      <c r="X429" s="60" t="e">
        <f t="shared" ca="1" si="84"/>
        <v>#N/A</v>
      </c>
      <c r="Y429" s="60" t="e">
        <f t="shared" ca="1" si="85"/>
        <v>#N/A</v>
      </c>
      <c r="Z429" s="60" t="e">
        <f t="shared" ca="1" si="86"/>
        <v>#N/A</v>
      </c>
      <c r="AA429" s="92">
        <f ca="1"/>
        <v>44930</v>
      </c>
      <c r="AB429" s="62">
        <f t="shared" ca="1" si="87"/>
        <v>44930</v>
      </c>
      <c r="AC429" s="62">
        <f t="shared" ca="1" si="88"/>
        <v>119.94751166538292</v>
      </c>
      <c r="AD429" s="62">
        <f t="shared" ca="1" si="89"/>
        <v>110.90658099561399</v>
      </c>
      <c r="AE429" s="62">
        <f t="shared" ca="1" si="90"/>
        <v>0</v>
      </c>
    </row>
    <row r="430" spans="18:31" x14ac:dyDescent="0.25">
      <c r="R430" s="62" t="e">
        <f ca="1"/>
        <v>#N/A</v>
      </c>
      <c r="S430" s="62" t="e">
        <f t="shared" ca="1" si="79"/>
        <v>#N/A</v>
      </c>
      <c r="T430" s="62" t="e">
        <f t="shared" ca="1" si="80"/>
        <v>#N/A</v>
      </c>
      <c r="U430" s="62" t="e">
        <f t="shared" ca="1" si="81"/>
        <v>#N/A</v>
      </c>
      <c r="V430" s="62" t="e">
        <f t="shared" ca="1" si="82"/>
        <v>#N/A</v>
      </c>
      <c r="W430" s="60" t="e">
        <f t="shared" ca="1" si="83"/>
        <v>#N/A</v>
      </c>
      <c r="X430" s="60" t="e">
        <f t="shared" ca="1" si="84"/>
        <v>#N/A</v>
      </c>
      <c r="Y430" s="60" t="e">
        <f t="shared" ca="1" si="85"/>
        <v>#N/A</v>
      </c>
      <c r="Z430" s="60" t="e">
        <f t="shared" ca="1" si="86"/>
        <v>#N/A</v>
      </c>
      <c r="AA430" s="92">
        <f ca="1"/>
        <v>44931</v>
      </c>
      <c r="AB430" s="62">
        <f t="shared" ca="1" si="87"/>
        <v>44931</v>
      </c>
      <c r="AC430" s="62">
        <f t="shared" ca="1" si="88"/>
        <v>120.28414904124725</v>
      </c>
      <c r="AD430" s="62">
        <f t="shared" ca="1" si="89"/>
        <v>110.97840593353401</v>
      </c>
      <c r="AE430" s="62">
        <f t="shared" ca="1" si="90"/>
        <v>0</v>
      </c>
    </row>
    <row r="431" spans="18:31" x14ac:dyDescent="0.25">
      <c r="R431" s="62" t="e">
        <f ca="1"/>
        <v>#N/A</v>
      </c>
      <c r="S431" s="62" t="e">
        <f t="shared" ca="1" si="79"/>
        <v>#N/A</v>
      </c>
      <c r="T431" s="62" t="e">
        <f t="shared" ca="1" si="80"/>
        <v>#N/A</v>
      </c>
      <c r="U431" s="62" t="e">
        <f t="shared" ca="1" si="81"/>
        <v>#N/A</v>
      </c>
      <c r="V431" s="62" t="e">
        <f t="shared" ca="1" si="82"/>
        <v>#N/A</v>
      </c>
      <c r="W431" s="60" t="e">
        <f t="shared" ca="1" si="83"/>
        <v>#N/A</v>
      </c>
      <c r="X431" s="60" t="e">
        <f t="shared" ca="1" si="84"/>
        <v>#N/A</v>
      </c>
      <c r="Y431" s="60" t="e">
        <f t="shared" ca="1" si="85"/>
        <v>#N/A</v>
      </c>
      <c r="Z431" s="60" t="e">
        <f t="shared" ca="1" si="86"/>
        <v>#N/A</v>
      </c>
      <c r="AA431" s="92">
        <f ca="1"/>
        <v>44932</v>
      </c>
      <c r="AB431" s="62">
        <f t="shared" ca="1" si="87"/>
        <v>44932</v>
      </c>
      <c r="AC431" s="62">
        <f t="shared" ca="1" si="88"/>
        <v>120.62123735903144</v>
      </c>
      <c r="AD431" s="62">
        <f t="shared" ca="1" si="89"/>
        <v>111.046356273914</v>
      </c>
      <c r="AE431" s="62">
        <f t="shared" ca="1" si="90"/>
        <v>0</v>
      </c>
    </row>
    <row r="432" spans="18:31" x14ac:dyDescent="0.25">
      <c r="R432" s="62" t="e">
        <f ca="1"/>
        <v>#N/A</v>
      </c>
      <c r="S432" s="62" t="e">
        <f t="shared" ca="1" si="79"/>
        <v>#N/A</v>
      </c>
      <c r="T432" s="62" t="e">
        <f t="shared" ca="1" si="80"/>
        <v>#N/A</v>
      </c>
      <c r="U432" s="62" t="e">
        <f t="shared" ca="1" si="81"/>
        <v>#N/A</v>
      </c>
      <c r="V432" s="62" t="e">
        <f t="shared" ca="1" si="82"/>
        <v>#N/A</v>
      </c>
      <c r="W432" s="60" t="e">
        <f t="shared" ca="1" si="83"/>
        <v>#N/A</v>
      </c>
      <c r="X432" s="60" t="e">
        <f t="shared" ca="1" si="84"/>
        <v>#N/A</v>
      </c>
      <c r="Y432" s="60" t="e">
        <f t="shared" ca="1" si="85"/>
        <v>#N/A</v>
      </c>
      <c r="Z432" s="60" t="e">
        <f t="shared" ca="1" si="86"/>
        <v>#N/A</v>
      </c>
      <c r="AA432" s="92">
        <f ca="1"/>
        <v>44933</v>
      </c>
      <c r="AB432" s="62">
        <f t="shared" ca="1" si="87"/>
        <v>44933</v>
      </c>
      <c r="AC432" s="62">
        <f t="shared" ca="1" si="88"/>
        <v>120.96849780251247</v>
      </c>
      <c r="AD432" s="62">
        <f t="shared" ca="1" si="89"/>
        <v>111.111851227011</v>
      </c>
      <c r="AE432" s="62">
        <f t="shared" ca="1" si="90"/>
        <v>0</v>
      </c>
    </row>
    <row r="433" spans="18:31" x14ac:dyDescent="0.25">
      <c r="R433" s="62" t="e">
        <f ca="1"/>
        <v>#N/A</v>
      </c>
      <c r="S433" s="62" t="e">
        <f t="shared" ca="1" si="79"/>
        <v>#N/A</v>
      </c>
      <c r="T433" s="62" t="e">
        <f t="shared" ca="1" si="80"/>
        <v>#N/A</v>
      </c>
      <c r="U433" s="62" t="e">
        <f t="shared" ca="1" si="81"/>
        <v>#N/A</v>
      </c>
      <c r="V433" s="62" t="e">
        <f t="shared" ca="1" si="82"/>
        <v>#N/A</v>
      </c>
      <c r="W433" s="60" t="e">
        <f t="shared" ca="1" si="83"/>
        <v>#N/A</v>
      </c>
      <c r="X433" s="60" t="e">
        <f t="shared" ca="1" si="84"/>
        <v>#N/A</v>
      </c>
      <c r="Y433" s="60" t="e">
        <f t="shared" ca="1" si="85"/>
        <v>#N/A</v>
      </c>
      <c r="Z433" s="60" t="e">
        <f t="shared" ca="1" si="86"/>
        <v>#N/A</v>
      </c>
      <c r="AA433" s="92">
        <f ca="1"/>
        <v>44934</v>
      </c>
      <c r="AB433" s="62">
        <f t="shared" ca="1" si="87"/>
        <v>44934</v>
      </c>
      <c r="AC433" s="62">
        <f t="shared" ca="1" si="88"/>
        <v>121.32577465693717</v>
      </c>
      <c r="AD433" s="62">
        <f t="shared" ca="1" si="89"/>
        <v>111.17410373143601</v>
      </c>
      <c r="AE433" s="62">
        <f t="shared" ca="1" si="90"/>
        <v>0</v>
      </c>
    </row>
    <row r="434" spans="18:31" x14ac:dyDescent="0.25">
      <c r="R434" s="62" t="e">
        <f ca="1"/>
        <v>#N/A</v>
      </c>
      <c r="S434" s="62" t="e">
        <f t="shared" ca="1" si="79"/>
        <v>#N/A</v>
      </c>
      <c r="T434" s="62" t="e">
        <f t="shared" ca="1" si="80"/>
        <v>#N/A</v>
      </c>
      <c r="U434" s="62" t="e">
        <f t="shared" ca="1" si="81"/>
        <v>#N/A</v>
      </c>
      <c r="V434" s="62" t="e">
        <f t="shared" ca="1" si="82"/>
        <v>#N/A</v>
      </c>
      <c r="W434" s="60" t="e">
        <f t="shared" ca="1" si="83"/>
        <v>#N/A</v>
      </c>
      <c r="X434" s="60" t="e">
        <f t="shared" ca="1" si="84"/>
        <v>#N/A</v>
      </c>
      <c r="Y434" s="60" t="e">
        <f t="shared" ca="1" si="85"/>
        <v>#N/A</v>
      </c>
      <c r="Z434" s="60" t="e">
        <f t="shared" ca="1" si="86"/>
        <v>#N/A</v>
      </c>
      <c r="AA434" s="92">
        <f ca="1"/>
        <v>44935</v>
      </c>
      <c r="AB434" s="62">
        <f t="shared" ca="1" si="87"/>
        <v>44935</v>
      </c>
      <c r="AC434" s="62">
        <f t="shared" ca="1" si="88"/>
        <v>121.69440078649258</v>
      </c>
      <c r="AD434" s="62">
        <f t="shared" ca="1" si="89"/>
        <v>111.233235367047</v>
      </c>
      <c r="AE434" s="62">
        <f t="shared" ca="1" si="90"/>
        <v>0</v>
      </c>
    </row>
    <row r="435" spans="18:31" x14ac:dyDescent="0.25">
      <c r="R435" s="62" t="e">
        <f ca="1"/>
        <v>#N/A</v>
      </c>
      <c r="S435" s="62" t="e">
        <f t="shared" ca="1" si="79"/>
        <v>#N/A</v>
      </c>
      <c r="T435" s="62" t="e">
        <f t="shared" ca="1" si="80"/>
        <v>#N/A</v>
      </c>
      <c r="U435" s="62" t="e">
        <f t="shared" ca="1" si="81"/>
        <v>#N/A</v>
      </c>
      <c r="V435" s="62" t="e">
        <f t="shared" ca="1" si="82"/>
        <v>#N/A</v>
      </c>
      <c r="W435" s="60" t="e">
        <f t="shared" ca="1" si="83"/>
        <v>#N/A</v>
      </c>
      <c r="X435" s="60" t="e">
        <f t="shared" ca="1" si="84"/>
        <v>#N/A</v>
      </c>
      <c r="Y435" s="60" t="e">
        <f t="shared" ca="1" si="85"/>
        <v>#N/A</v>
      </c>
      <c r="Z435" s="60" t="e">
        <f t="shared" ca="1" si="86"/>
        <v>#N/A</v>
      </c>
      <c r="AA435" s="92">
        <f ca="1"/>
        <v>44936</v>
      </c>
      <c r="AB435" s="62">
        <f t="shared" ca="1" si="87"/>
        <v>44936</v>
      </c>
      <c r="AC435" s="62">
        <f t="shared" ca="1" si="88"/>
        <v>122.05447016414864</v>
      </c>
      <c r="AD435" s="62">
        <f t="shared" ca="1" si="89"/>
        <v>111.288269189991</v>
      </c>
      <c r="AE435" s="62">
        <f t="shared" ca="1" si="90"/>
        <v>0</v>
      </c>
    </row>
    <row r="436" spans="18:31" x14ac:dyDescent="0.25">
      <c r="R436" s="62" t="e">
        <f ca="1"/>
        <v>#N/A</v>
      </c>
      <c r="S436" s="62" t="e">
        <f t="shared" ca="1" si="79"/>
        <v>#N/A</v>
      </c>
      <c r="T436" s="62" t="e">
        <f t="shared" ca="1" si="80"/>
        <v>#N/A</v>
      </c>
      <c r="U436" s="62" t="e">
        <f t="shared" ca="1" si="81"/>
        <v>#N/A</v>
      </c>
      <c r="V436" s="62" t="e">
        <f t="shared" ca="1" si="82"/>
        <v>#N/A</v>
      </c>
      <c r="W436" s="60" t="e">
        <f t="shared" ca="1" si="83"/>
        <v>#N/A</v>
      </c>
      <c r="X436" s="60" t="e">
        <f t="shared" ca="1" si="84"/>
        <v>#N/A</v>
      </c>
      <c r="Y436" s="60" t="e">
        <f t="shared" ca="1" si="85"/>
        <v>#N/A</v>
      </c>
      <c r="Z436" s="60" t="e">
        <f t="shared" ca="1" si="86"/>
        <v>#N/A</v>
      </c>
      <c r="AA436" s="92" t="e">
        <f ca="1"/>
        <v>#N/A</v>
      </c>
      <c r="AB436" s="62" t="e">
        <f t="shared" ca="1" si="87"/>
        <v>#N/A</v>
      </c>
      <c r="AC436" s="62" t="e">
        <f t="shared" ca="1" si="88"/>
        <v>#N/A</v>
      </c>
      <c r="AD436" s="62" t="e">
        <f t="shared" ca="1" si="89"/>
        <v>#N/A</v>
      </c>
      <c r="AE436" s="62" t="e">
        <f t="shared" ca="1" si="90"/>
        <v>#N/A</v>
      </c>
    </row>
    <row r="437" spans="18:31" x14ac:dyDescent="0.25">
      <c r="R437" s="62" t="e">
        <f ca="1"/>
        <v>#N/A</v>
      </c>
      <c r="S437" s="62" t="e">
        <f t="shared" ca="1" si="79"/>
        <v>#N/A</v>
      </c>
      <c r="T437" s="62" t="e">
        <f t="shared" ca="1" si="80"/>
        <v>#N/A</v>
      </c>
      <c r="U437" s="62" t="e">
        <f t="shared" ca="1" si="81"/>
        <v>#N/A</v>
      </c>
      <c r="V437" s="62" t="e">
        <f t="shared" ca="1" si="82"/>
        <v>#N/A</v>
      </c>
      <c r="W437" s="60" t="e">
        <f t="shared" ca="1" si="83"/>
        <v>#N/A</v>
      </c>
      <c r="X437" s="60" t="e">
        <f t="shared" ca="1" si="84"/>
        <v>#N/A</v>
      </c>
      <c r="Y437" s="60" t="e">
        <f t="shared" ca="1" si="85"/>
        <v>#N/A</v>
      </c>
      <c r="Z437" s="60" t="e">
        <f t="shared" ca="1" si="86"/>
        <v>#N/A</v>
      </c>
      <c r="AA437" s="92" t="e">
        <f ca="1"/>
        <v>#N/A</v>
      </c>
      <c r="AB437" s="62" t="e">
        <f t="shared" ca="1" si="87"/>
        <v>#N/A</v>
      </c>
      <c r="AC437" s="62" t="e">
        <f t="shared" ca="1" si="88"/>
        <v>#N/A</v>
      </c>
      <c r="AD437" s="62" t="e">
        <f t="shared" ca="1" si="89"/>
        <v>#N/A</v>
      </c>
      <c r="AE437" s="62" t="e">
        <f t="shared" ca="1" si="90"/>
        <v>#N/A</v>
      </c>
    </row>
    <row r="438" spans="18:31" x14ac:dyDescent="0.25">
      <c r="R438" s="62" t="e">
        <f ca="1"/>
        <v>#N/A</v>
      </c>
      <c r="S438" s="62" t="e">
        <f t="shared" ca="1" si="79"/>
        <v>#N/A</v>
      </c>
      <c r="T438" s="62" t="e">
        <f t="shared" ca="1" si="80"/>
        <v>#N/A</v>
      </c>
      <c r="U438" s="62" t="e">
        <f t="shared" ca="1" si="81"/>
        <v>#N/A</v>
      </c>
      <c r="V438" s="62" t="e">
        <f t="shared" ca="1" si="82"/>
        <v>#N/A</v>
      </c>
      <c r="W438" s="60" t="e">
        <f t="shared" ca="1" si="83"/>
        <v>#N/A</v>
      </c>
      <c r="X438" s="60" t="e">
        <f t="shared" ca="1" si="84"/>
        <v>#N/A</v>
      </c>
      <c r="Y438" s="60" t="e">
        <f t="shared" ca="1" si="85"/>
        <v>#N/A</v>
      </c>
      <c r="Z438" s="60" t="e">
        <f t="shared" ca="1" si="86"/>
        <v>#N/A</v>
      </c>
      <c r="AA438" s="92" t="e">
        <f ca="1"/>
        <v>#N/A</v>
      </c>
      <c r="AB438" s="62" t="e">
        <f t="shared" ca="1" si="87"/>
        <v>#N/A</v>
      </c>
      <c r="AC438" s="62" t="e">
        <f t="shared" ca="1" si="88"/>
        <v>#N/A</v>
      </c>
      <c r="AD438" s="62" t="e">
        <f t="shared" ca="1" si="89"/>
        <v>#N/A</v>
      </c>
      <c r="AE438" s="62" t="e">
        <f t="shared" ca="1" si="90"/>
        <v>#N/A</v>
      </c>
    </row>
    <row r="439" spans="18:31" x14ac:dyDescent="0.25">
      <c r="R439" s="62" t="e">
        <f ca="1"/>
        <v>#N/A</v>
      </c>
      <c r="S439" s="62" t="e">
        <f t="shared" ca="1" si="79"/>
        <v>#N/A</v>
      </c>
      <c r="T439" s="62" t="e">
        <f t="shared" ca="1" si="80"/>
        <v>#N/A</v>
      </c>
      <c r="U439" s="62" t="e">
        <f t="shared" ca="1" si="81"/>
        <v>#N/A</v>
      </c>
      <c r="V439" s="62" t="e">
        <f t="shared" ca="1" si="82"/>
        <v>#N/A</v>
      </c>
      <c r="W439" s="60" t="e">
        <f t="shared" ca="1" si="83"/>
        <v>#N/A</v>
      </c>
      <c r="X439" s="60" t="e">
        <f t="shared" ca="1" si="84"/>
        <v>#N/A</v>
      </c>
      <c r="Y439" s="60" t="e">
        <f t="shared" ca="1" si="85"/>
        <v>#N/A</v>
      </c>
      <c r="Z439" s="60" t="e">
        <f t="shared" ca="1" si="86"/>
        <v>#N/A</v>
      </c>
      <c r="AA439" s="92" t="e">
        <f ca="1"/>
        <v>#N/A</v>
      </c>
      <c r="AB439" s="62" t="e">
        <f t="shared" ca="1" si="87"/>
        <v>#N/A</v>
      </c>
      <c r="AC439" s="62" t="e">
        <f t="shared" ca="1" si="88"/>
        <v>#N/A</v>
      </c>
      <c r="AD439" s="62" t="e">
        <f t="shared" ca="1" si="89"/>
        <v>#N/A</v>
      </c>
      <c r="AE439" s="62" t="e">
        <f t="shared" ca="1" si="90"/>
        <v>#N/A</v>
      </c>
    </row>
    <row r="440" spans="18:31" x14ac:dyDescent="0.25">
      <c r="R440" s="62" t="e">
        <f ca="1"/>
        <v>#N/A</v>
      </c>
      <c r="S440" s="62" t="e">
        <f t="shared" ca="1" si="79"/>
        <v>#N/A</v>
      </c>
      <c r="T440" s="62" t="e">
        <f t="shared" ca="1" si="80"/>
        <v>#N/A</v>
      </c>
      <c r="U440" s="62" t="e">
        <f t="shared" ca="1" si="81"/>
        <v>#N/A</v>
      </c>
      <c r="V440" s="62" t="e">
        <f t="shared" ca="1" si="82"/>
        <v>#N/A</v>
      </c>
      <c r="W440" s="60" t="e">
        <f t="shared" ca="1" si="83"/>
        <v>#N/A</v>
      </c>
      <c r="X440" s="60" t="e">
        <f t="shared" ca="1" si="84"/>
        <v>#N/A</v>
      </c>
      <c r="Y440" s="60" t="e">
        <f t="shared" ca="1" si="85"/>
        <v>#N/A</v>
      </c>
      <c r="Z440" s="60" t="e">
        <f t="shared" ca="1" si="86"/>
        <v>#N/A</v>
      </c>
      <c r="AA440" s="92" t="e">
        <f ca="1"/>
        <v>#N/A</v>
      </c>
      <c r="AB440" s="62" t="e">
        <f t="shared" ca="1" si="87"/>
        <v>#N/A</v>
      </c>
      <c r="AC440" s="62" t="e">
        <f t="shared" ca="1" si="88"/>
        <v>#N/A</v>
      </c>
      <c r="AD440" s="62" t="e">
        <f t="shared" ca="1" si="89"/>
        <v>#N/A</v>
      </c>
      <c r="AE440" s="62" t="e">
        <f t="shared" ca="1" si="90"/>
        <v>#N/A</v>
      </c>
    </row>
    <row r="441" spans="18:31" x14ac:dyDescent="0.25">
      <c r="R441" s="62" t="e">
        <f ca="1"/>
        <v>#N/A</v>
      </c>
      <c r="S441" s="62" t="e">
        <f t="shared" ca="1" si="79"/>
        <v>#N/A</v>
      </c>
      <c r="T441" s="62" t="e">
        <f t="shared" ca="1" si="80"/>
        <v>#N/A</v>
      </c>
      <c r="U441" s="62" t="e">
        <f t="shared" ca="1" si="81"/>
        <v>#N/A</v>
      </c>
      <c r="V441" s="62" t="e">
        <f t="shared" ca="1" si="82"/>
        <v>#N/A</v>
      </c>
      <c r="W441" s="60" t="e">
        <f t="shared" ca="1" si="83"/>
        <v>#N/A</v>
      </c>
      <c r="X441" s="60" t="e">
        <f t="shared" ca="1" si="84"/>
        <v>#N/A</v>
      </c>
      <c r="Y441" s="60" t="e">
        <f t="shared" ca="1" si="85"/>
        <v>#N/A</v>
      </c>
      <c r="Z441" s="60" t="e">
        <f t="shared" ca="1" si="86"/>
        <v>#N/A</v>
      </c>
      <c r="AA441" s="92" t="e">
        <f ca="1"/>
        <v>#N/A</v>
      </c>
      <c r="AB441" s="62" t="e">
        <f t="shared" ca="1" si="87"/>
        <v>#N/A</v>
      </c>
      <c r="AC441" s="62" t="e">
        <f t="shared" ca="1" si="88"/>
        <v>#N/A</v>
      </c>
      <c r="AD441" s="62" t="e">
        <f t="shared" ca="1" si="89"/>
        <v>#N/A</v>
      </c>
      <c r="AE441" s="62" t="e">
        <f t="shared" ca="1" si="90"/>
        <v>#N/A</v>
      </c>
    </row>
    <row r="442" spans="18:31" x14ac:dyDescent="0.25">
      <c r="R442" s="62" t="e">
        <f ca="1"/>
        <v>#N/A</v>
      </c>
      <c r="S442" s="62" t="e">
        <f t="shared" ca="1" si="79"/>
        <v>#N/A</v>
      </c>
      <c r="T442" s="62" t="e">
        <f t="shared" ca="1" si="80"/>
        <v>#N/A</v>
      </c>
      <c r="U442" s="62" t="e">
        <f t="shared" ca="1" si="81"/>
        <v>#N/A</v>
      </c>
      <c r="V442" s="62" t="e">
        <f t="shared" ca="1" si="82"/>
        <v>#N/A</v>
      </c>
      <c r="W442" s="60" t="e">
        <f t="shared" ca="1" si="83"/>
        <v>#N/A</v>
      </c>
      <c r="X442" s="60" t="e">
        <f t="shared" ca="1" si="84"/>
        <v>#N/A</v>
      </c>
      <c r="Y442" s="60" t="e">
        <f t="shared" ca="1" si="85"/>
        <v>#N/A</v>
      </c>
      <c r="Z442" s="60" t="e">
        <f t="shared" ca="1" si="86"/>
        <v>#N/A</v>
      </c>
      <c r="AA442" s="92" t="e">
        <f ca="1"/>
        <v>#N/A</v>
      </c>
      <c r="AB442" s="62" t="e">
        <f t="shared" ca="1" si="87"/>
        <v>#N/A</v>
      </c>
      <c r="AC442" s="62" t="e">
        <f t="shared" ca="1" si="88"/>
        <v>#N/A</v>
      </c>
      <c r="AD442" s="62" t="e">
        <f t="shared" ca="1" si="89"/>
        <v>#N/A</v>
      </c>
      <c r="AE442" s="62" t="e">
        <f t="shared" ca="1" si="90"/>
        <v>#N/A</v>
      </c>
    </row>
    <row r="443" spans="18:31" x14ac:dyDescent="0.25">
      <c r="R443" s="62" t="e">
        <f ca="1"/>
        <v>#N/A</v>
      </c>
      <c r="S443" s="62" t="e">
        <f t="shared" ca="1" si="79"/>
        <v>#N/A</v>
      </c>
      <c r="T443" s="62" t="e">
        <f t="shared" ca="1" si="80"/>
        <v>#N/A</v>
      </c>
      <c r="U443" s="62" t="e">
        <f t="shared" ca="1" si="81"/>
        <v>#N/A</v>
      </c>
      <c r="V443" s="62" t="e">
        <f t="shared" ca="1" si="82"/>
        <v>#N/A</v>
      </c>
      <c r="W443" s="60" t="e">
        <f t="shared" ca="1" si="83"/>
        <v>#N/A</v>
      </c>
      <c r="X443" s="60" t="e">
        <f t="shared" ca="1" si="84"/>
        <v>#N/A</v>
      </c>
      <c r="Y443" s="60" t="e">
        <f t="shared" ca="1" si="85"/>
        <v>#N/A</v>
      </c>
      <c r="Z443" s="60" t="e">
        <f t="shared" ca="1" si="86"/>
        <v>#N/A</v>
      </c>
      <c r="AA443" s="92" t="e">
        <f ca="1"/>
        <v>#N/A</v>
      </c>
      <c r="AB443" s="62" t="e">
        <f t="shared" ca="1" si="87"/>
        <v>#N/A</v>
      </c>
      <c r="AC443" s="62" t="e">
        <f t="shared" ca="1" si="88"/>
        <v>#N/A</v>
      </c>
      <c r="AD443" s="62" t="e">
        <f t="shared" ca="1" si="89"/>
        <v>#N/A</v>
      </c>
      <c r="AE443" s="62" t="e">
        <f t="shared" ca="1" si="90"/>
        <v>#N/A</v>
      </c>
    </row>
    <row r="444" spans="18:31" x14ac:dyDescent="0.25">
      <c r="R444" s="62" t="e">
        <f ca="1"/>
        <v>#N/A</v>
      </c>
      <c r="S444" s="62" t="e">
        <f t="shared" ca="1" si="79"/>
        <v>#N/A</v>
      </c>
      <c r="T444" s="62" t="e">
        <f t="shared" ca="1" si="80"/>
        <v>#N/A</v>
      </c>
      <c r="U444" s="62" t="e">
        <f t="shared" ca="1" si="81"/>
        <v>#N/A</v>
      </c>
      <c r="V444" s="62" t="e">
        <f t="shared" ca="1" si="82"/>
        <v>#N/A</v>
      </c>
      <c r="W444" s="60" t="e">
        <f t="shared" ca="1" si="83"/>
        <v>#N/A</v>
      </c>
      <c r="X444" s="60" t="e">
        <f t="shared" ca="1" si="84"/>
        <v>#N/A</v>
      </c>
      <c r="Y444" s="60" t="e">
        <f t="shared" ca="1" si="85"/>
        <v>#N/A</v>
      </c>
      <c r="Z444" s="60" t="e">
        <f t="shared" ca="1" si="86"/>
        <v>#N/A</v>
      </c>
      <c r="AA444" s="92" t="e">
        <f ca="1"/>
        <v>#N/A</v>
      </c>
      <c r="AB444" s="62" t="e">
        <f t="shared" ca="1" si="87"/>
        <v>#N/A</v>
      </c>
      <c r="AC444" s="62" t="e">
        <f t="shared" ca="1" si="88"/>
        <v>#N/A</v>
      </c>
      <c r="AD444" s="62" t="e">
        <f t="shared" ca="1" si="89"/>
        <v>#N/A</v>
      </c>
      <c r="AE444" s="62" t="e">
        <f t="shared" ca="1" si="90"/>
        <v>#N/A</v>
      </c>
    </row>
    <row r="445" spans="18:31" x14ac:dyDescent="0.25">
      <c r="R445" s="62" t="e">
        <f ca="1"/>
        <v>#N/A</v>
      </c>
      <c r="S445" s="62" t="e">
        <f t="shared" ca="1" si="79"/>
        <v>#N/A</v>
      </c>
      <c r="T445" s="62" t="e">
        <f t="shared" ca="1" si="80"/>
        <v>#N/A</v>
      </c>
      <c r="U445" s="62" t="e">
        <f t="shared" ca="1" si="81"/>
        <v>#N/A</v>
      </c>
      <c r="V445" s="62" t="e">
        <f t="shared" ca="1" si="82"/>
        <v>#N/A</v>
      </c>
      <c r="W445" s="60" t="e">
        <f t="shared" ca="1" si="83"/>
        <v>#N/A</v>
      </c>
      <c r="X445" s="60" t="e">
        <f t="shared" ca="1" si="84"/>
        <v>#N/A</v>
      </c>
      <c r="Y445" s="60" t="e">
        <f t="shared" ca="1" si="85"/>
        <v>#N/A</v>
      </c>
      <c r="Z445" s="60" t="e">
        <f t="shared" ca="1" si="86"/>
        <v>#N/A</v>
      </c>
      <c r="AA445" s="92" t="e">
        <f ca="1"/>
        <v>#N/A</v>
      </c>
      <c r="AB445" s="62" t="e">
        <f t="shared" ca="1" si="87"/>
        <v>#N/A</v>
      </c>
      <c r="AC445" s="62" t="e">
        <f t="shared" ca="1" si="88"/>
        <v>#N/A</v>
      </c>
      <c r="AD445" s="62" t="e">
        <f t="shared" ca="1" si="89"/>
        <v>#N/A</v>
      </c>
      <c r="AE445" s="62" t="e">
        <f t="shared" ca="1" si="90"/>
        <v>#N/A</v>
      </c>
    </row>
    <row r="446" spans="18:31" x14ac:dyDescent="0.25">
      <c r="R446" s="62" t="e">
        <f ca="1"/>
        <v>#N/A</v>
      </c>
      <c r="S446" s="62" t="e">
        <f t="shared" ca="1" si="79"/>
        <v>#N/A</v>
      </c>
      <c r="T446" s="62" t="e">
        <f t="shared" ca="1" si="80"/>
        <v>#N/A</v>
      </c>
      <c r="U446" s="62" t="e">
        <f t="shared" ca="1" si="81"/>
        <v>#N/A</v>
      </c>
      <c r="V446" s="62" t="e">
        <f t="shared" ca="1" si="82"/>
        <v>#N/A</v>
      </c>
      <c r="W446" s="60" t="e">
        <f t="shared" ca="1" si="83"/>
        <v>#N/A</v>
      </c>
      <c r="X446" s="60" t="e">
        <f t="shared" ca="1" si="84"/>
        <v>#N/A</v>
      </c>
      <c r="Y446" s="60" t="e">
        <f t="shared" ca="1" si="85"/>
        <v>#N/A</v>
      </c>
      <c r="Z446" s="60" t="e">
        <f t="shared" ca="1" si="86"/>
        <v>#N/A</v>
      </c>
      <c r="AA446" s="92" t="e">
        <f ca="1"/>
        <v>#N/A</v>
      </c>
      <c r="AB446" s="62" t="e">
        <f t="shared" ca="1" si="87"/>
        <v>#N/A</v>
      </c>
      <c r="AC446" s="62" t="e">
        <f t="shared" ca="1" si="88"/>
        <v>#N/A</v>
      </c>
      <c r="AD446" s="62" t="e">
        <f t="shared" ca="1" si="89"/>
        <v>#N/A</v>
      </c>
      <c r="AE446" s="62" t="e">
        <f t="shared" ca="1" si="90"/>
        <v>#N/A</v>
      </c>
    </row>
    <row r="447" spans="18:31" x14ac:dyDescent="0.25">
      <c r="R447" s="62" t="e">
        <f ca="1"/>
        <v>#N/A</v>
      </c>
      <c r="S447" s="62" t="e">
        <f t="shared" ca="1" si="79"/>
        <v>#N/A</v>
      </c>
      <c r="T447" s="62" t="e">
        <f t="shared" ca="1" si="80"/>
        <v>#N/A</v>
      </c>
      <c r="U447" s="62" t="e">
        <f t="shared" ca="1" si="81"/>
        <v>#N/A</v>
      </c>
      <c r="V447" s="62" t="e">
        <f t="shared" ca="1" si="82"/>
        <v>#N/A</v>
      </c>
      <c r="W447" s="60" t="e">
        <f t="shared" ca="1" si="83"/>
        <v>#N/A</v>
      </c>
      <c r="X447" s="60" t="e">
        <f t="shared" ca="1" si="84"/>
        <v>#N/A</v>
      </c>
      <c r="Y447" s="60" t="e">
        <f t="shared" ca="1" si="85"/>
        <v>#N/A</v>
      </c>
      <c r="Z447" s="60" t="e">
        <f t="shared" ca="1" si="86"/>
        <v>#N/A</v>
      </c>
      <c r="AA447" s="92" t="e">
        <f ca="1"/>
        <v>#N/A</v>
      </c>
      <c r="AB447" s="62" t="e">
        <f t="shared" ca="1" si="87"/>
        <v>#N/A</v>
      </c>
      <c r="AC447" s="62" t="e">
        <f t="shared" ca="1" si="88"/>
        <v>#N/A</v>
      </c>
      <c r="AD447" s="62" t="e">
        <f t="shared" ca="1" si="89"/>
        <v>#N/A</v>
      </c>
      <c r="AE447" s="62" t="e">
        <f t="shared" ca="1" si="90"/>
        <v>#N/A</v>
      </c>
    </row>
    <row r="448" spans="18:31" x14ac:dyDescent="0.25">
      <c r="R448" s="62" t="e">
        <f ca="1"/>
        <v>#N/A</v>
      </c>
      <c r="S448" s="62" t="e">
        <f t="shared" ca="1" si="79"/>
        <v>#N/A</v>
      </c>
      <c r="T448" s="62" t="e">
        <f t="shared" ca="1" si="80"/>
        <v>#N/A</v>
      </c>
      <c r="U448" s="62" t="e">
        <f t="shared" ca="1" si="81"/>
        <v>#N/A</v>
      </c>
      <c r="V448" s="62" t="e">
        <f t="shared" ca="1" si="82"/>
        <v>#N/A</v>
      </c>
      <c r="W448" s="60" t="e">
        <f t="shared" ca="1" si="83"/>
        <v>#N/A</v>
      </c>
      <c r="X448" s="60" t="e">
        <f t="shared" ca="1" si="84"/>
        <v>#N/A</v>
      </c>
      <c r="Y448" s="60" t="e">
        <f t="shared" ca="1" si="85"/>
        <v>#N/A</v>
      </c>
      <c r="Z448" s="60" t="e">
        <f t="shared" ca="1" si="86"/>
        <v>#N/A</v>
      </c>
      <c r="AA448" s="92" t="e">
        <f ca="1"/>
        <v>#N/A</v>
      </c>
      <c r="AB448" s="62" t="e">
        <f t="shared" ca="1" si="87"/>
        <v>#N/A</v>
      </c>
      <c r="AC448" s="62" t="e">
        <f t="shared" ca="1" si="88"/>
        <v>#N/A</v>
      </c>
      <c r="AD448" s="62" t="e">
        <f t="shared" ca="1" si="89"/>
        <v>#N/A</v>
      </c>
      <c r="AE448" s="62" t="e">
        <f t="shared" ca="1" si="90"/>
        <v>#N/A</v>
      </c>
    </row>
    <row r="449" spans="18:31" x14ac:dyDescent="0.25">
      <c r="R449" s="62" t="e">
        <f ca="1"/>
        <v>#N/A</v>
      </c>
      <c r="S449" s="62" t="e">
        <f t="shared" ca="1" si="79"/>
        <v>#N/A</v>
      </c>
      <c r="T449" s="62" t="e">
        <f t="shared" ca="1" si="80"/>
        <v>#N/A</v>
      </c>
      <c r="U449" s="62" t="e">
        <f t="shared" ca="1" si="81"/>
        <v>#N/A</v>
      </c>
      <c r="V449" s="62" t="e">
        <f t="shared" ca="1" si="82"/>
        <v>#N/A</v>
      </c>
      <c r="W449" s="60" t="e">
        <f t="shared" ca="1" si="83"/>
        <v>#N/A</v>
      </c>
      <c r="X449" s="60" t="e">
        <f t="shared" ca="1" si="84"/>
        <v>#N/A</v>
      </c>
      <c r="Y449" s="60" t="e">
        <f t="shared" ca="1" si="85"/>
        <v>#N/A</v>
      </c>
      <c r="Z449" s="60" t="e">
        <f t="shared" ca="1" si="86"/>
        <v>#N/A</v>
      </c>
      <c r="AA449" s="92" t="e">
        <f ca="1"/>
        <v>#N/A</v>
      </c>
      <c r="AB449" s="62" t="e">
        <f t="shared" ca="1" si="87"/>
        <v>#N/A</v>
      </c>
      <c r="AC449" s="62" t="e">
        <f t="shared" ca="1" si="88"/>
        <v>#N/A</v>
      </c>
      <c r="AD449" s="62" t="e">
        <f t="shared" ca="1" si="89"/>
        <v>#N/A</v>
      </c>
      <c r="AE449" s="62" t="e">
        <f t="shared" ca="1" si="90"/>
        <v>#N/A</v>
      </c>
    </row>
    <row r="450" spans="18:31" x14ac:dyDescent="0.25">
      <c r="R450" s="62" t="e">
        <f ca="1"/>
        <v>#N/A</v>
      </c>
      <c r="S450" s="62" t="e">
        <f t="shared" ca="1" si="79"/>
        <v>#N/A</v>
      </c>
      <c r="T450" s="62" t="e">
        <f t="shared" ca="1" si="80"/>
        <v>#N/A</v>
      </c>
      <c r="U450" s="62" t="e">
        <f t="shared" ca="1" si="81"/>
        <v>#N/A</v>
      </c>
      <c r="V450" s="62" t="e">
        <f t="shared" ca="1" si="82"/>
        <v>#N/A</v>
      </c>
      <c r="W450" s="60" t="e">
        <f t="shared" ca="1" si="83"/>
        <v>#N/A</v>
      </c>
      <c r="X450" s="60" t="e">
        <f t="shared" ca="1" si="84"/>
        <v>#N/A</v>
      </c>
      <c r="Y450" s="60" t="e">
        <f t="shared" ca="1" si="85"/>
        <v>#N/A</v>
      </c>
      <c r="Z450" s="60" t="e">
        <f t="shared" ca="1" si="86"/>
        <v>#N/A</v>
      </c>
      <c r="AA450" s="92" t="e">
        <f ca="1"/>
        <v>#N/A</v>
      </c>
      <c r="AB450" s="62" t="e">
        <f t="shared" ca="1" si="87"/>
        <v>#N/A</v>
      </c>
      <c r="AC450" s="62" t="e">
        <f t="shared" ca="1" si="88"/>
        <v>#N/A</v>
      </c>
      <c r="AD450" s="62" t="e">
        <f t="shared" ca="1" si="89"/>
        <v>#N/A</v>
      </c>
      <c r="AE450" s="62" t="e">
        <f t="shared" ca="1" si="90"/>
        <v>#N/A</v>
      </c>
    </row>
    <row r="451" spans="18:31" x14ac:dyDescent="0.25">
      <c r="R451" s="62" t="e">
        <f ca="1"/>
        <v>#N/A</v>
      </c>
      <c r="S451" s="62" t="e">
        <f t="shared" ca="1" si="79"/>
        <v>#N/A</v>
      </c>
      <c r="T451" s="62" t="e">
        <f t="shared" ca="1" si="80"/>
        <v>#N/A</v>
      </c>
      <c r="U451" s="62" t="e">
        <f t="shared" ca="1" si="81"/>
        <v>#N/A</v>
      </c>
      <c r="V451" s="62" t="e">
        <f t="shared" ca="1" si="82"/>
        <v>#N/A</v>
      </c>
      <c r="W451" s="60" t="e">
        <f t="shared" ca="1" si="83"/>
        <v>#N/A</v>
      </c>
      <c r="X451" s="60" t="e">
        <f t="shared" ca="1" si="84"/>
        <v>#N/A</v>
      </c>
      <c r="Y451" s="60" t="e">
        <f t="shared" ca="1" si="85"/>
        <v>#N/A</v>
      </c>
      <c r="Z451" s="60" t="e">
        <f t="shared" ca="1" si="86"/>
        <v>#N/A</v>
      </c>
      <c r="AA451" s="92" t="e">
        <f ca="1"/>
        <v>#N/A</v>
      </c>
      <c r="AB451" s="62" t="e">
        <f t="shared" ca="1" si="87"/>
        <v>#N/A</v>
      </c>
      <c r="AC451" s="62" t="e">
        <f t="shared" ca="1" si="88"/>
        <v>#N/A</v>
      </c>
      <c r="AD451" s="62" t="e">
        <f t="shared" ca="1" si="89"/>
        <v>#N/A</v>
      </c>
      <c r="AE451" s="62" t="e">
        <f t="shared" ca="1" si="90"/>
        <v>#N/A</v>
      </c>
    </row>
    <row r="452" spans="18:31" x14ac:dyDescent="0.25">
      <c r="R452" s="62" t="e">
        <f ca="1"/>
        <v>#N/A</v>
      </c>
      <c r="S452" s="62" t="e">
        <f t="shared" ca="1" si="79"/>
        <v>#N/A</v>
      </c>
      <c r="T452" s="62" t="e">
        <f t="shared" ca="1" si="80"/>
        <v>#N/A</v>
      </c>
      <c r="U452" s="62" t="e">
        <f t="shared" ca="1" si="81"/>
        <v>#N/A</v>
      </c>
      <c r="V452" s="62" t="e">
        <f t="shared" ca="1" si="82"/>
        <v>#N/A</v>
      </c>
      <c r="W452" s="60" t="e">
        <f t="shared" ca="1" si="83"/>
        <v>#N/A</v>
      </c>
      <c r="X452" s="60" t="e">
        <f t="shared" ca="1" si="84"/>
        <v>#N/A</v>
      </c>
      <c r="Y452" s="60" t="e">
        <f t="shared" ca="1" si="85"/>
        <v>#N/A</v>
      </c>
      <c r="Z452" s="60" t="e">
        <f t="shared" ca="1" si="86"/>
        <v>#N/A</v>
      </c>
      <c r="AA452" s="92" t="e">
        <f ca="1"/>
        <v>#N/A</v>
      </c>
      <c r="AB452" s="62" t="e">
        <f t="shared" ca="1" si="87"/>
        <v>#N/A</v>
      </c>
      <c r="AC452" s="62" t="e">
        <f t="shared" ca="1" si="88"/>
        <v>#N/A</v>
      </c>
      <c r="AD452" s="62" t="e">
        <f t="shared" ca="1" si="89"/>
        <v>#N/A</v>
      </c>
      <c r="AE452" s="62" t="e">
        <f t="shared" ca="1" si="90"/>
        <v>#N/A</v>
      </c>
    </row>
    <row r="453" spans="18:31" x14ac:dyDescent="0.25">
      <c r="R453" s="62" t="e">
        <f ca="1"/>
        <v>#N/A</v>
      </c>
      <c r="S453" s="62" t="e">
        <f t="shared" ca="1" si="79"/>
        <v>#N/A</v>
      </c>
      <c r="T453" s="62" t="e">
        <f t="shared" ca="1" si="80"/>
        <v>#N/A</v>
      </c>
      <c r="U453" s="62" t="e">
        <f t="shared" ca="1" si="81"/>
        <v>#N/A</v>
      </c>
      <c r="V453" s="62" t="e">
        <f t="shared" ca="1" si="82"/>
        <v>#N/A</v>
      </c>
      <c r="W453" s="60" t="e">
        <f t="shared" ca="1" si="83"/>
        <v>#N/A</v>
      </c>
      <c r="X453" s="60" t="e">
        <f t="shared" ca="1" si="84"/>
        <v>#N/A</v>
      </c>
      <c r="Y453" s="60" t="e">
        <f t="shared" ca="1" si="85"/>
        <v>#N/A</v>
      </c>
      <c r="Z453" s="60" t="e">
        <f t="shared" ca="1" si="86"/>
        <v>#N/A</v>
      </c>
      <c r="AA453" s="92" t="e">
        <f ca="1"/>
        <v>#N/A</v>
      </c>
      <c r="AB453" s="62" t="e">
        <f t="shared" ca="1" si="87"/>
        <v>#N/A</v>
      </c>
      <c r="AC453" s="62" t="e">
        <f t="shared" ca="1" si="88"/>
        <v>#N/A</v>
      </c>
      <c r="AD453" s="62" t="e">
        <f t="shared" ca="1" si="89"/>
        <v>#N/A</v>
      </c>
      <c r="AE453" s="62" t="e">
        <f t="shared" ca="1" si="90"/>
        <v>#N/A</v>
      </c>
    </row>
    <row r="454" spans="18:31" x14ac:dyDescent="0.25">
      <c r="R454" s="62" t="e">
        <f ca="1"/>
        <v>#N/A</v>
      </c>
      <c r="S454" s="62" t="e">
        <f t="shared" ca="1" si="79"/>
        <v>#N/A</v>
      </c>
      <c r="T454" s="62" t="e">
        <f t="shared" ca="1" si="80"/>
        <v>#N/A</v>
      </c>
      <c r="U454" s="62" t="e">
        <f t="shared" ca="1" si="81"/>
        <v>#N/A</v>
      </c>
      <c r="V454" s="62" t="e">
        <f t="shared" ca="1" si="82"/>
        <v>#N/A</v>
      </c>
      <c r="W454" s="60" t="e">
        <f t="shared" ca="1" si="83"/>
        <v>#N/A</v>
      </c>
      <c r="X454" s="60" t="e">
        <f t="shared" ca="1" si="84"/>
        <v>#N/A</v>
      </c>
      <c r="Y454" s="60" t="e">
        <f t="shared" ca="1" si="85"/>
        <v>#N/A</v>
      </c>
      <c r="Z454" s="60" t="e">
        <f t="shared" ca="1" si="86"/>
        <v>#N/A</v>
      </c>
      <c r="AA454" s="92" t="e">
        <f ca="1"/>
        <v>#N/A</v>
      </c>
      <c r="AB454" s="62" t="e">
        <f t="shared" ca="1" si="87"/>
        <v>#N/A</v>
      </c>
      <c r="AC454" s="62" t="e">
        <f t="shared" ca="1" si="88"/>
        <v>#N/A</v>
      </c>
      <c r="AD454" s="62" t="e">
        <f t="shared" ca="1" si="89"/>
        <v>#N/A</v>
      </c>
      <c r="AE454" s="62" t="e">
        <f t="shared" ca="1" si="90"/>
        <v>#N/A</v>
      </c>
    </row>
    <row r="455" spans="18:31" x14ac:dyDescent="0.25">
      <c r="R455" s="62" t="e">
        <f ca="1"/>
        <v>#N/A</v>
      </c>
      <c r="S455" s="62" t="e">
        <f t="shared" ca="1" si="79"/>
        <v>#N/A</v>
      </c>
      <c r="T455" s="62" t="e">
        <f t="shared" ca="1" si="80"/>
        <v>#N/A</v>
      </c>
      <c r="U455" s="62" t="e">
        <f t="shared" ca="1" si="81"/>
        <v>#N/A</v>
      </c>
      <c r="V455" s="62" t="e">
        <f t="shared" ca="1" si="82"/>
        <v>#N/A</v>
      </c>
      <c r="W455" s="60" t="e">
        <f t="shared" ca="1" si="83"/>
        <v>#N/A</v>
      </c>
      <c r="X455" s="60" t="e">
        <f t="shared" ca="1" si="84"/>
        <v>#N/A</v>
      </c>
      <c r="Y455" s="60" t="e">
        <f t="shared" ca="1" si="85"/>
        <v>#N/A</v>
      </c>
      <c r="Z455" s="60" t="e">
        <f t="shared" ca="1" si="86"/>
        <v>#N/A</v>
      </c>
      <c r="AA455" s="92" t="e">
        <f ca="1"/>
        <v>#N/A</v>
      </c>
      <c r="AB455" s="62" t="e">
        <f t="shared" ca="1" si="87"/>
        <v>#N/A</v>
      </c>
      <c r="AC455" s="62" t="e">
        <f t="shared" ca="1" si="88"/>
        <v>#N/A</v>
      </c>
      <c r="AD455" s="62" t="e">
        <f t="shared" ca="1" si="89"/>
        <v>#N/A</v>
      </c>
      <c r="AE455" s="62" t="e">
        <f t="shared" ca="1" si="90"/>
        <v>#N/A</v>
      </c>
    </row>
    <row r="456" spans="18:31" x14ac:dyDescent="0.25">
      <c r="R456" s="62" t="e">
        <f ca="1"/>
        <v>#N/A</v>
      </c>
      <c r="S456" s="62" t="e">
        <f t="shared" ca="1" si="79"/>
        <v>#N/A</v>
      </c>
      <c r="T456" s="62" t="e">
        <f t="shared" ca="1" si="80"/>
        <v>#N/A</v>
      </c>
      <c r="U456" s="62" t="e">
        <f t="shared" ca="1" si="81"/>
        <v>#N/A</v>
      </c>
      <c r="V456" s="62" t="e">
        <f t="shared" ca="1" si="82"/>
        <v>#N/A</v>
      </c>
      <c r="W456" s="60" t="e">
        <f t="shared" ca="1" si="83"/>
        <v>#N/A</v>
      </c>
      <c r="X456" s="60" t="e">
        <f t="shared" ca="1" si="84"/>
        <v>#N/A</v>
      </c>
      <c r="Y456" s="60" t="e">
        <f t="shared" ca="1" si="85"/>
        <v>#N/A</v>
      </c>
      <c r="Z456" s="60" t="e">
        <f t="shared" ca="1" si="86"/>
        <v>#N/A</v>
      </c>
      <c r="AA456" s="92" t="e">
        <f ca="1"/>
        <v>#N/A</v>
      </c>
      <c r="AB456" s="62" t="e">
        <f t="shared" ca="1" si="87"/>
        <v>#N/A</v>
      </c>
      <c r="AC456" s="62" t="e">
        <f t="shared" ca="1" si="88"/>
        <v>#N/A</v>
      </c>
      <c r="AD456" s="62" t="e">
        <f t="shared" ca="1" si="89"/>
        <v>#N/A</v>
      </c>
      <c r="AE456" s="62" t="e">
        <f t="shared" ca="1" si="90"/>
        <v>#N/A</v>
      </c>
    </row>
    <row r="457" spans="18:31" x14ac:dyDescent="0.25">
      <c r="R457" s="62" t="e">
        <f ca="1"/>
        <v>#N/A</v>
      </c>
      <c r="S457" s="62" t="e">
        <f t="shared" ca="1" si="79"/>
        <v>#N/A</v>
      </c>
      <c r="T457" s="62" t="e">
        <f t="shared" ca="1" si="80"/>
        <v>#N/A</v>
      </c>
      <c r="U457" s="62" t="e">
        <f t="shared" ca="1" si="81"/>
        <v>#N/A</v>
      </c>
      <c r="V457" s="62" t="e">
        <f t="shared" ca="1" si="82"/>
        <v>#N/A</v>
      </c>
      <c r="W457" s="60" t="e">
        <f t="shared" ca="1" si="83"/>
        <v>#N/A</v>
      </c>
      <c r="X457" s="60" t="e">
        <f t="shared" ca="1" si="84"/>
        <v>#N/A</v>
      </c>
      <c r="Y457" s="60" t="e">
        <f t="shared" ca="1" si="85"/>
        <v>#N/A</v>
      </c>
      <c r="Z457" s="60" t="e">
        <f t="shared" ca="1" si="86"/>
        <v>#N/A</v>
      </c>
      <c r="AA457" s="92" t="e">
        <f ca="1"/>
        <v>#N/A</v>
      </c>
      <c r="AB457" s="62" t="e">
        <f t="shared" ca="1" si="87"/>
        <v>#N/A</v>
      </c>
      <c r="AC457" s="62" t="e">
        <f t="shared" ca="1" si="88"/>
        <v>#N/A</v>
      </c>
      <c r="AD457" s="62" t="e">
        <f t="shared" ca="1" si="89"/>
        <v>#N/A</v>
      </c>
      <c r="AE457" s="62" t="e">
        <f t="shared" ca="1" si="90"/>
        <v>#N/A</v>
      </c>
    </row>
    <row r="458" spans="18:31" x14ac:dyDescent="0.25">
      <c r="R458" s="62" t="e">
        <f ca="1"/>
        <v>#N/A</v>
      </c>
      <c r="S458" s="62" t="e">
        <f t="shared" ca="1" si="79"/>
        <v>#N/A</v>
      </c>
      <c r="T458" s="62" t="e">
        <f t="shared" ca="1" si="80"/>
        <v>#N/A</v>
      </c>
      <c r="U458" s="62" t="e">
        <f t="shared" ca="1" si="81"/>
        <v>#N/A</v>
      </c>
      <c r="V458" s="62" t="e">
        <f t="shared" ca="1" si="82"/>
        <v>#N/A</v>
      </c>
      <c r="W458" s="60" t="e">
        <f t="shared" ca="1" si="83"/>
        <v>#N/A</v>
      </c>
      <c r="X458" s="60" t="e">
        <f t="shared" ca="1" si="84"/>
        <v>#N/A</v>
      </c>
      <c r="Y458" s="60" t="e">
        <f t="shared" ca="1" si="85"/>
        <v>#N/A</v>
      </c>
      <c r="Z458" s="60" t="e">
        <f t="shared" ca="1" si="86"/>
        <v>#N/A</v>
      </c>
      <c r="AA458" s="92" t="e">
        <f ca="1"/>
        <v>#N/A</v>
      </c>
      <c r="AB458" s="62" t="e">
        <f t="shared" ca="1" si="87"/>
        <v>#N/A</v>
      </c>
      <c r="AC458" s="62" t="e">
        <f t="shared" ca="1" si="88"/>
        <v>#N/A</v>
      </c>
      <c r="AD458" s="62" t="e">
        <f t="shared" ca="1" si="89"/>
        <v>#N/A</v>
      </c>
      <c r="AE458" s="62" t="e">
        <f t="shared" ca="1" si="90"/>
        <v>#N/A</v>
      </c>
    </row>
    <row r="459" spans="18:31" x14ac:dyDescent="0.25">
      <c r="R459" s="62" t="e">
        <f ca="1"/>
        <v>#N/A</v>
      </c>
      <c r="S459" s="62" t="e">
        <f t="shared" ca="1" si="79"/>
        <v>#N/A</v>
      </c>
      <c r="T459" s="62" t="e">
        <f t="shared" ca="1" si="80"/>
        <v>#N/A</v>
      </c>
      <c r="U459" s="62" t="e">
        <f t="shared" ca="1" si="81"/>
        <v>#N/A</v>
      </c>
      <c r="V459" s="62" t="e">
        <f t="shared" ca="1" si="82"/>
        <v>#N/A</v>
      </c>
      <c r="W459" s="60" t="e">
        <f t="shared" ca="1" si="83"/>
        <v>#N/A</v>
      </c>
      <c r="X459" s="60" t="e">
        <f t="shared" ca="1" si="84"/>
        <v>#N/A</v>
      </c>
      <c r="Y459" s="60" t="e">
        <f t="shared" ca="1" si="85"/>
        <v>#N/A</v>
      </c>
      <c r="Z459" s="60" t="e">
        <f t="shared" ca="1" si="86"/>
        <v>#N/A</v>
      </c>
      <c r="AA459" s="92" t="e">
        <f ca="1"/>
        <v>#N/A</v>
      </c>
      <c r="AB459" s="62" t="e">
        <f t="shared" ca="1" si="87"/>
        <v>#N/A</v>
      </c>
      <c r="AC459" s="62" t="e">
        <f t="shared" ca="1" si="88"/>
        <v>#N/A</v>
      </c>
      <c r="AD459" s="62" t="e">
        <f t="shared" ca="1" si="89"/>
        <v>#N/A</v>
      </c>
      <c r="AE459" s="62" t="e">
        <f t="shared" ca="1" si="90"/>
        <v>#N/A</v>
      </c>
    </row>
    <row r="460" spans="18:31" x14ac:dyDescent="0.25">
      <c r="R460" s="62" t="e">
        <f ca="1"/>
        <v>#N/A</v>
      </c>
      <c r="S460" s="62" t="e">
        <f t="shared" ref="S460:S523" ca="1" si="91">IF(R460&gt;1,R460,"")</f>
        <v>#N/A</v>
      </c>
      <c r="T460" s="62" t="e">
        <f t="shared" ref="T460:T523" ca="1" si="92">VLOOKUP(S460,ModelOutputs,2,FALSE)</f>
        <v>#N/A</v>
      </c>
      <c r="U460" s="62" t="e">
        <f t="shared" ref="U460:U523" ca="1" si="93">VLOOKUP(S460,ModelOutputs,7,FALSE)</f>
        <v>#N/A</v>
      </c>
      <c r="V460" s="62" t="e">
        <f t="shared" ref="V460:V523" ca="1" si="94">VLOOKUP(S460,ModelOutputs,6,FALSE)</f>
        <v>#N/A</v>
      </c>
      <c r="W460" s="60" t="e">
        <f t="shared" ref="W460:W523" ca="1" si="95">VLOOKUP(S460,ModelOutputs,10,FALSE)*AWC</f>
        <v>#N/A</v>
      </c>
      <c r="X460" s="60" t="e">
        <f t="shared" ref="X460:X523" ca="1" si="96">VLOOKUP(S460,ModelOutputs,11,FALSE)+X459</f>
        <v>#N/A</v>
      </c>
      <c r="Y460" s="60" t="e">
        <f t="shared" ref="Y460:Y523" ca="1" si="97">VLOOKUP(S460,ModelOutputs,12,FALSE)</f>
        <v>#N/A</v>
      </c>
      <c r="Z460" s="60" t="e">
        <f t="shared" ref="Z460:Z523" ca="1" si="98">VLOOKUP(S460,ModelOutputs,13,FALSE)</f>
        <v>#N/A</v>
      </c>
      <c r="AA460" s="92" t="e">
        <f ca="1"/>
        <v>#N/A</v>
      </c>
      <c r="AB460" s="62" t="e">
        <f t="shared" ref="AB460:AB523" ca="1" si="99">IF(AA460&gt;1,AA460,"")</f>
        <v>#N/A</v>
      </c>
      <c r="AC460" s="62" t="e">
        <f t="shared" ref="AC460:AC523" ca="1" si="100">VLOOKUP(AB460,ModelOutputs,2,FALSE)</f>
        <v>#N/A</v>
      </c>
      <c r="AD460" s="62" t="e">
        <f t="shared" ref="AD460:AD523" ca="1" si="101">VLOOKUP(AB460,ModelOutputs,7,FALSE)</f>
        <v>#N/A</v>
      </c>
      <c r="AE460" s="62" t="e">
        <f t="shared" ref="AE460:AE523" ca="1" si="102">VLOOKUP(AB460,ModelOutputs,6,FALSE)</f>
        <v>#N/A</v>
      </c>
    </row>
    <row r="461" spans="18:31" x14ac:dyDescent="0.25">
      <c r="R461" s="62" t="e">
        <f ca="1"/>
        <v>#N/A</v>
      </c>
      <c r="S461" s="62" t="e">
        <f t="shared" ca="1" si="91"/>
        <v>#N/A</v>
      </c>
      <c r="T461" s="62" t="e">
        <f t="shared" ca="1" si="92"/>
        <v>#N/A</v>
      </c>
      <c r="U461" s="62" t="e">
        <f t="shared" ca="1" si="93"/>
        <v>#N/A</v>
      </c>
      <c r="V461" s="62" t="e">
        <f t="shared" ca="1" si="94"/>
        <v>#N/A</v>
      </c>
      <c r="W461" s="60" t="e">
        <f t="shared" ca="1" si="95"/>
        <v>#N/A</v>
      </c>
      <c r="X461" s="60" t="e">
        <f t="shared" ca="1" si="96"/>
        <v>#N/A</v>
      </c>
      <c r="Y461" s="60" t="e">
        <f t="shared" ca="1" si="97"/>
        <v>#N/A</v>
      </c>
      <c r="Z461" s="60" t="e">
        <f t="shared" ca="1" si="98"/>
        <v>#N/A</v>
      </c>
      <c r="AA461" s="92" t="e">
        <f ca="1"/>
        <v>#N/A</v>
      </c>
      <c r="AB461" s="62" t="e">
        <f t="shared" ca="1" si="99"/>
        <v>#N/A</v>
      </c>
      <c r="AC461" s="62" t="e">
        <f t="shared" ca="1" si="100"/>
        <v>#N/A</v>
      </c>
      <c r="AD461" s="62" t="e">
        <f t="shared" ca="1" si="101"/>
        <v>#N/A</v>
      </c>
      <c r="AE461" s="62" t="e">
        <f t="shared" ca="1" si="102"/>
        <v>#N/A</v>
      </c>
    </row>
    <row r="462" spans="18:31" x14ac:dyDescent="0.25">
      <c r="R462" s="62" t="e">
        <f ca="1"/>
        <v>#N/A</v>
      </c>
      <c r="S462" s="62" t="e">
        <f t="shared" ca="1" si="91"/>
        <v>#N/A</v>
      </c>
      <c r="T462" s="62" t="e">
        <f t="shared" ca="1" si="92"/>
        <v>#N/A</v>
      </c>
      <c r="U462" s="62" t="e">
        <f t="shared" ca="1" si="93"/>
        <v>#N/A</v>
      </c>
      <c r="V462" s="62" t="e">
        <f t="shared" ca="1" si="94"/>
        <v>#N/A</v>
      </c>
      <c r="W462" s="60" t="e">
        <f t="shared" ca="1" si="95"/>
        <v>#N/A</v>
      </c>
      <c r="X462" s="60" t="e">
        <f t="shared" ca="1" si="96"/>
        <v>#N/A</v>
      </c>
      <c r="Y462" s="60" t="e">
        <f t="shared" ca="1" si="97"/>
        <v>#N/A</v>
      </c>
      <c r="Z462" s="60" t="e">
        <f t="shared" ca="1" si="98"/>
        <v>#N/A</v>
      </c>
      <c r="AA462" s="92" t="e">
        <f ca="1"/>
        <v>#N/A</v>
      </c>
      <c r="AB462" s="62" t="e">
        <f t="shared" ca="1" si="99"/>
        <v>#N/A</v>
      </c>
      <c r="AC462" s="62" t="e">
        <f t="shared" ca="1" si="100"/>
        <v>#N/A</v>
      </c>
      <c r="AD462" s="62" t="e">
        <f t="shared" ca="1" si="101"/>
        <v>#N/A</v>
      </c>
      <c r="AE462" s="62" t="e">
        <f t="shared" ca="1" si="102"/>
        <v>#N/A</v>
      </c>
    </row>
    <row r="463" spans="18:31" x14ac:dyDescent="0.25">
      <c r="R463" s="62" t="e">
        <f ca="1"/>
        <v>#N/A</v>
      </c>
      <c r="S463" s="62" t="e">
        <f t="shared" ca="1" si="91"/>
        <v>#N/A</v>
      </c>
      <c r="T463" s="62" t="e">
        <f t="shared" ca="1" si="92"/>
        <v>#N/A</v>
      </c>
      <c r="U463" s="62" t="e">
        <f t="shared" ca="1" si="93"/>
        <v>#N/A</v>
      </c>
      <c r="V463" s="62" t="e">
        <f t="shared" ca="1" si="94"/>
        <v>#N/A</v>
      </c>
      <c r="W463" s="60" t="e">
        <f t="shared" ca="1" si="95"/>
        <v>#N/A</v>
      </c>
      <c r="X463" s="60" t="e">
        <f t="shared" ca="1" si="96"/>
        <v>#N/A</v>
      </c>
      <c r="Y463" s="60" t="e">
        <f t="shared" ca="1" si="97"/>
        <v>#N/A</v>
      </c>
      <c r="Z463" s="60" t="e">
        <f t="shared" ca="1" si="98"/>
        <v>#N/A</v>
      </c>
      <c r="AA463" s="92" t="e">
        <f ca="1"/>
        <v>#N/A</v>
      </c>
      <c r="AB463" s="62" t="e">
        <f t="shared" ca="1" si="99"/>
        <v>#N/A</v>
      </c>
      <c r="AC463" s="62" t="e">
        <f t="shared" ca="1" si="100"/>
        <v>#N/A</v>
      </c>
      <c r="AD463" s="62" t="e">
        <f t="shared" ca="1" si="101"/>
        <v>#N/A</v>
      </c>
      <c r="AE463" s="62" t="e">
        <f t="shared" ca="1" si="102"/>
        <v>#N/A</v>
      </c>
    </row>
    <row r="464" spans="18:31" x14ac:dyDescent="0.25">
      <c r="R464" s="62" t="e">
        <f ca="1"/>
        <v>#N/A</v>
      </c>
      <c r="S464" s="62" t="e">
        <f t="shared" ca="1" si="91"/>
        <v>#N/A</v>
      </c>
      <c r="T464" s="62" t="e">
        <f t="shared" ca="1" si="92"/>
        <v>#N/A</v>
      </c>
      <c r="U464" s="62" t="e">
        <f t="shared" ca="1" si="93"/>
        <v>#N/A</v>
      </c>
      <c r="V464" s="62" t="e">
        <f t="shared" ca="1" si="94"/>
        <v>#N/A</v>
      </c>
      <c r="W464" s="60" t="e">
        <f t="shared" ca="1" si="95"/>
        <v>#N/A</v>
      </c>
      <c r="X464" s="60" t="e">
        <f t="shared" ca="1" si="96"/>
        <v>#N/A</v>
      </c>
      <c r="Y464" s="60" t="e">
        <f t="shared" ca="1" si="97"/>
        <v>#N/A</v>
      </c>
      <c r="Z464" s="60" t="e">
        <f t="shared" ca="1" si="98"/>
        <v>#N/A</v>
      </c>
      <c r="AA464" s="92" t="e">
        <f ca="1"/>
        <v>#N/A</v>
      </c>
      <c r="AB464" s="62" t="e">
        <f t="shared" ca="1" si="99"/>
        <v>#N/A</v>
      </c>
      <c r="AC464" s="62" t="e">
        <f t="shared" ca="1" si="100"/>
        <v>#N/A</v>
      </c>
      <c r="AD464" s="62" t="e">
        <f t="shared" ca="1" si="101"/>
        <v>#N/A</v>
      </c>
      <c r="AE464" s="62" t="e">
        <f t="shared" ca="1" si="102"/>
        <v>#N/A</v>
      </c>
    </row>
    <row r="465" spans="18:31" x14ac:dyDescent="0.25">
      <c r="R465" s="62" t="e">
        <f ca="1"/>
        <v>#N/A</v>
      </c>
      <c r="S465" s="62" t="e">
        <f t="shared" ca="1" si="91"/>
        <v>#N/A</v>
      </c>
      <c r="T465" s="62" t="e">
        <f t="shared" ca="1" si="92"/>
        <v>#N/A</v>
      </c>
      <c r="U465" s="62" t="e">
        <f t="shared" ca="1" si="93"/>
        <v>#N/A</v>
      </c>
      <c r="V465" s="62" t="e">
        <f t="shared" ca="1" si="94"/>
        <v>#N/A</v>
      </c>
      <c r="W465" s="60" t="e">
        <f t="shared" ca="1" si="95"/>
        <v>#N/A</v>
      </c>
      <c r="X465" s="60" t="e">
        <f t="shared" ca="1" si="96"/>
        <v>#N/A</v>
      </c>
      <c r="Y465" s="60" t="e">
        <f t="shared" ca="1" si="97"/>
        <v>#N/A</v>
      </c>
      <c r="Z465" s="60" t="e">
        <f t="shared" ca="1" si="98"/>
        <v>#N/A</v>
      </c>
      <c r="AA465" s="92" t="e">
        <f ca="1"/>
        <v>#N/A</v>
      </c>
      <c r="AB465" s="62" t="e">
        <f t="shared" ca="1" si="99"/>
        <v>#N/A</v>
      </c>
      <c r="AC465" s="62" t="e">
        <f t="shared" ca="1" si="100"/>
        <v>#N/A</v>
      </c>
      <c r="AD465" s="62" t="e">
        <f t="shared" ca="1" si="101"/>
        <v>#N/A</v>
      </c>
      <c r="AE465" s="62" t="e">
        <f t="shared" ca="1" si="102"/>
        <v>#N/A</v>
      </c>
    </row>
    <row r="466" spans="18:31" x14ac:dyDescent="0.25">
      <c r="R466" s="62" t="e">
        <f ca="1"/>
        <v>#N/A</v>
      </c>
      <c r="S466" s="62" t="e">
        <f t="shared" ca="1" si="91"/>
        <v>#N/A</v>
      </c>
      <c r="T466" s="62" t="e">
        <f t="shared" ca="1" si="92"/>
        <v>#N/A</v>
      </c>
      <c r="U466" s="62" t="e">
        <f t="shared" ca="1" si="93"/>
        <v>#N/A</v>
      </c>
      <c r="V466" s="62" t="e">
        <f t="shared" ca="1" si="94"/>
        <v>#N/A</v>
      </c>
      <c r="W466" s="60" t="e">
        <f t="shared" ca="1" si="95"/>
        <v>#N/A</v>
      </c>
      <c r="X466" s="60" t="e">
        <f t="shared" ca="1" si="96"/>
        <v>#N/A</v>
      </c>
      <c r="Y466" s="60" t="e">
        <f t="shared" ca="1" si="97"/>
        <v>#N/A</v>
      </c>
      <c r="Z466" s="60" t="e">
        <f t="shared" ca="1" si="98"/>
        <v>#N/A</v>
      </c>
      <c r="AA466" s="92" t="e">
        <f ca="1"/>
        <v>#N/A</v>
      </c>
      <c r="AB466" s="62" t="e">
        <f t="shared" ca="1" si="99"/>
        <v>#N/A</v>
      </c>
      <c r="AC466" s="62" t="e">
        <f t="shared" ca="1" si="100"/>
        <v>#N/A</v>
      </c>
      <c r="AD466" s="62" t="e">
        <f t="shared" ca="1" si="101"/>
        <v>#N/A</v>
      </c>
      <c r="AE466" s="62" t="e">
        <f t="shared" ca="1" si="102"/>
        <v>#N/A</v>
      </c>
    </row>
    <row r="467" spans="18:31" x14ac:dyDescent="0.25">
      <c r="R467" s="62" t="e">
        <f ca="1"/>
        <v>#N/A</v>
      </c>
      <c r="S467" s="62" t="e">
        <f t="shared" ca="1" si="91"/>
        <v>#N/A</v>
      </c>
      <c r="T467" s="62" t="e">
        <f t="shared" ca="1" si="92"/>
        <v>#N/A</v>
      </c>
      <c r="U467" s="62" t="e">
        <f t="shared" ca="1" si="93"/>
        <v>#N/A</v>
      </c>
      <c r="V467" s="62" t="e">
        <f t="shared" ca="1" si="94"/>
        <v>#N/A</v>
      </c>
      <c r="W467" s="60" t="e">
        <f t="shared" ca="1" si="95"/>
        <v>#N/A</v>
      </c>
      <c r="X467" s="60" t="e">
        <f t="shared" ca="1" si="96"/>
        <v>#N/A</v>
      </c>
      <c r="Y467" s="60" t="e">
        <f t="shared" ca="1" si="97"/>
        <v>#N/A</v>
      </c>
      <c r="Z467" s="60" t="e">
        <f t="shared" ca="1" si="98"/>
        <v>#N/A</v>
      </c>
      <c r="AA467" s="92" t="e">
        <f ca="1"/>
        <v>#N/A</v>
      </c>
      <c r="AB467" s="62" t="e">
        <f t="shared" ca="1" si="99"/>
        <v>#N/A</v>
      </c>
      <c r="AC467" s="62" t="e">
        <f t="shared" ca="1" si="100"/>
        <v>#N/A</v>
      </c>
      <c r="AD467" s="62" t="e">
        <f t="shared" ca="1" si="101"/>
        <v>#N/A</v>
      </c>
      <c r="AE467" s="62" t="e">
        <f t="shared" ca="1" si="102"/>
        <v>#N/A</v>
      </c>
    </row>
    <row r="468" spans="18:31" x14ac:dyDescent="0.25">
      <c r="R468" s="62" t="e">
        <f ca="1"/>
        <v>#N/A</v>
      </c>
      <c r="S468" s="62" t="e">
        <f t="shared" ca="1" si="91"/>
        <v>#N/A</v>
      </c>
      <c r="T468" s="62" t="e">
        <f t="shared" ca="1" si="92"/>
        <v>#N/A</v>
      </c>
      <c r="U468" s="62" t="e">
        <f t="shared" ca="1" si="93"/>
        <v>#N/A</v>
      </c>
      <c r="V468" s="62" t="e">
        <f t="shared" ca="1" si="94"/>
        <v>#N/A</v>
      </c>
      <c r="W468" s="60" t="e">
        <f t="shared" ca="1" si="95"/>
        <v>#N/A</v>
      </c>
      <c r="X468" s="60" t="e">
        <f t="shared" ca="1" si="96"/>
        <v>#N/A</v>
      </c>
      <c r="Y468" s="60" t="e">
        <f t="shared" ca="1" si="97"/>
        <v>#N/A</v>
      </c>
      <c r="Z468" s="60" t="e">
        <f t="shared" ca="1" si="98"/>
        <v>#N/A</v>
      </c>
      <c r="AA468" s="92" t="e">
        <f ca="1"/>
        <v>#N/A</v>
      </c>
      <c r="AB468" s="62" t="e">
        <f t="shared" ca="1" si="99"/>
        <v>#N/A</v>
      </c>
      <c r="AC468" s="62" t="e">
        <f t="shared" ca="1" si="100"/>
        <v>#N/A</v>
      </c>
      <c r="AD468" s="62" t="e">
        <f t="shared" ca="1" si="101"/>
        <v>#N/A</v>
      </c>
      <c r="AE468" s="62" t="e">
        <f t="shared" ca="1" si="102"/>
        <v>#N/A</v>
      </c>
    </row>
    <row r="469" spans="18:31" x14ac:dyDescent="0.25">
      <c r="R469" s="62" t="e">
        <f ca="1"/>
        <v>#N/A</v>
      </c>
      <c r="S469" s="62" t="e">
        <f t="shared" ca="1" si="91"/>
        <v>#N/A</v>
      </c>
      <c r="T469" s="62" t="e">
        <f t="shared" ca="1" si="92"/>
        <v>#N/A</v>
      </c>
      <c r="U469" s="62" t="e">
        <f t="shared" ca="1" si="93"/>
        <v>#N/A</v>
      </c>
      <c r="V469" s="62" t="e">
        <f t="shared" ca="1" si="94"/>
        <v>#N/A</v>
      </c>
      <c r="W469" s="60" t="e">
        <f t="shared" ca="1" si="95"/>
        <v>#N/A</v>
      </c>
      <c r="X469" s="60" t="e">
        <f t="shared" ca="1" si="96"/>
        <v>#N/A</v>
      </c>
      <c r="Y469" s="60" t="e">
        <f t="shared" ca="1" si="97"/>
        <v>#N/A</v>
      </c>
      <c r="Z469" s="60" t="e">
        <f t="shared" ca="1" si="98"/>
        <v>#N/A</v>
      </c>
      <c r="AA469" s="92" t="e">
        <f ca="1"/>
        <v>#N/A</v>
      </c>
      <c r="AB469" s="62" t="e">
        <f t="shared" ca="1" si="99"/>
        <v>#N/A</v>
      </c>
      <c r="AC469" s="62" t="e">
        <f t="shared" ca="1" si="100"/>
        <v>#N/A</v>
      </c>
      <c r="AD469" s="62" t="e">
        <f t="shared" ca="1" si="101"/>
        <v>#N/A</v>
      </c>
      <c r="AE469" s="62" t="e">
        <f t="shared" ca="1" si="102"/>
        <v>#N/A</v>
      </c>
    </row>
    <row r="470" spans="18:31" x14ac:dyDescent="0.25">
      <c r="R470" s="62" t="e">
        <f ca="1"/>
        <v>#N/A</v>
      </c>
      <c r="S470" s="62" t="e">
        <f t="shared" ca="1" si="91"/>
        <v>#N/A</v>
      </c>
      <c r="T470" s="62" t="e">
        <f t="shared" ca="1" si="92"/>
        <v>#N/A</v>
      </c>
      <c r="U470" s="62" t="e">
        <f t="shared" ca="1" si="93"/>
        <v>#N/A</v>
      </c>
      <c r="V470" s="62" t="e">
        <f t="shared" ca="1" si="94"/>
        <v>#N/A</v>
      </c>
      <c r="W470" s="60" t="e">
        <f t="shared" ca="1" si="95"/>
        <v>#N/A</v>
      </c>
      <c r="X470" s="60" t="e">
        <f t="shared" ca="1" si="96"/>
        <v>#N/A</v>
      </c>
      <c r="Y470" s="60" t="e">
        <f t="shared" ca="1" si="97"/>
        <v>#N/A</v>
      </c>
      <c r="Z470" s="60" t="e">
        <f t="shared" ca="1" si="98"/>
        <v>#N/A</v>
      </c>
      <c r="AA470" s="92" t="e">
        <f ca="1"/>
        <v>#N/A</v>
      </c>
      <c r="AB470" s="62" t="e">
        <f t="shared" ca="1" si="99"/>
        <v>#N/A</v>
      </c>
      <c r="AC470" s="62" t="e">
        <f t="shared" ca="1" si="100"/>
        <v>#N/A</v>
      </c>
      <c r="AD470" s="62" t="e">
        <f t="shared" ca="1" si="101"/>
        <v>#N/A</v>
      </c>
      <c r="AE470" s="62" t="e">
        <f t="shared" ca="1" si="102"/>
        <v>#N/A</v>
      </c>
    </row>
    <row r="471" spans="18:31" x14ac:dyDescent="0.25">
      <c r="R471" s="62" t="e">
        <f ca="1"/>
        <v>#N/A</v>
      </c>
      <c r="S471" s="62" t="e">
        <f t="shared" ca="1" si="91"/>
        <v>#N/A</v>
      </c>
      <c r="T471" s="62" t="e">
        <f t="shared" ca="1" si="92"/>
        <v>#N/A</v>
      </c>
      <c r="U471" s="62" t="e">
        <f t="shared" ca="1" si="93"/>
        <v>#N/A</v>
      </c>
      <c r="V471" s="62" t="e">
        <f t="shared" ca="1" si="94"/>
        <v>#N/A</v>
      </c>
      <c r="W471" s="60" t="e">
        <f t="shared" ca="1" si="95"/>
        <v>#N/A</v>
      </c>
      <c r="X471" s="60" t="e">
        <f t="shared" ca="1" si="96"/>
        <v>#N/A</v>
      </c>
      <c r="Y471" s="60" t="e">
        <f t="shared" ca="1" si="97"/>
        <v>#N/A</v>
      </c>
      <c r="Z471" s="60" t="e">
        <f t="shared" ca="1" si="98"/>
        <v>#N/A</v>
      </c>
      <c r="AA471" s="92" t="e">
        <f ca="1"/>
        <v>#N/A</v>
      </c>
      <c r="AB471" s="62" t="e">
        <f t="shared" ca="1" si="99"/>
        <v>#N/A</v>
      </c>
      <c r="AC471" s="62" t="e">
        <f t="shared" ca="1" si="100"/>
        <v>#N/A</v>
      </c>
      <c r="AD471" s="62" t="e">
        <f t="shared" ca="1" si="101"/>
        <v>#N/A</v>
      </c>
      <c r="AE471" s="62" t="e">
        <f t="shared" ca="1" si="102"/>
        <v>#N/A</v>
      </c>
    </row>
    <row r="472" spans="18:31" x14ac:dyDescent="0.25">
      <c r="R472" s="62" t="e">
        <f ca="1"/>
        <v>#N/A</v>
      </c>
      <c r="S472" s="62" t="e">
        <f t="shared" ca="1" si="91"/>
        <v>#N/A</v>
      </c>
      <c r="T472" s="62" t="e">
        <f t="shared" ca="1" si="92"/>
        <v>#N/A</v>
      </c>
      <c r="U472" s="62" t="e">
        <f t="shared" ca="1" si="93"/>
        <v>#N/A</v>
      </c>
      <c r="V472" s="62" t="e">
        <f t="shared" ca="1" si="94"/>
        <v>#N/A</v>
      </c>
      <c r="W472" s="60" t="e">
        <f t="shared" ca="1" si="95"/>
        <v>#N/A</v>
      </c>
      <c r="X472" s="60" t="e">
        <f t="shared" ca="1" si="96"/>
        <v>#N/A</v>
      </c>
      <c r="Y472" s="60" t="e">
        <f t="shared" ca="1" si="97"/>
        <v>#N/A</v>
      </c>
      <c r="Z472" s="60" t="e">
        <f t="shared" ca="1" si="98"/>
        <v>#N/A</v>
      </c>
      <c r="AA472" s="92" t="e">
        <f ca="1"/>
        <v>#N/A</v>
      </c>
      <c r="AB472" s="62" t="e">
        <f t="shared" ca="1" si="99"/>
        <v>#N/A</v>
      </c>
      <c r="AC472" s="62" t="e">
        <f t="shared" ca="1" si="100"/>
        <v>#N/A</v>
      </c>
      <c r="AD472" s="62" t="e">
        <f t="shared" ca="1" si="101"/>
        <v>#N/A</v>
      </c>
      <c r="AE472" s="62" t="e">
        <f t="shared" ca="1" si="102"/>
        <v>#N/A</v>
      </c>
    </row>
    <row r="473" spans="18:31" x14ac:dyDescent="0.25">
      <c r="R473" s="62" t="e">
        <f ca="1"/>
        <v>#N/A</v>
      </c>
      <c r="S473" s="62" t="e">
        <f t="shared" ca="1" si="91"/>
        <v>#N/A</v>
      </c>
      <c r="T473" s="62" t="e">
        <f t="shared" ca="1" si="92"/>
        <v>#N/A</v>
      </c>
      <c r="U473" s="62" t="e">
        <f t="shared" ca="1" si="93"/>
        <v>#N/A</v>
      </c>
      <c r="V473" s="62" t="e">
        <f t="shared" ca="1" si="94"/>
        <v>#N/A</v>
      </c>
      <c r="W473" s="60" t="e">
        <f t="shared" ca="1" si="95"/>
        <v>#N/A</v>
      </c>
      <c r="X473" s="60" t="e">
        <f t="shared" ca="1" si="96"/>
        <v>#N/A</v>
      </c>
      <c r="Y473" s="60" t="e">
        <f t="shared" ca="1" si="97"/>
        <v>#N/A</v>
      </c>
      <c r="Z473" s="60" t="e">
        <f t="shared" ca="1" si="98"/>
        <v>#N/A</v>
      </c>
      <c r="AA473" s="92" t="e">
        <f ca="1"/>
        <v>#N/A</v>
      </c>
      <c r="AB473" s="62" t="e">
        <f t="shared" ca="1" si="99"/>
        <v>#N/A</v>
      </c>
      <c r="AC473" s="62" t="e">
        <f t="shared" ca="1" si="100"/>
        <v>#N/A</v>
      </c>
      <c r="AD473" s="62" t="e">
        <f t="shared" ca="1" si="101"/>
        <v>#N/A</v>
      </c>
      <c r="AE473" s="62" t="e">
        <f t="shared" ca="1" si="102"/>
        <v>#N/A</v>
      </c>
    </row>
    <row r="474" spans="18:31" x14ac:dyDescent="0.25">
      <c r="R474" s="62" t="e">
        <f ca="1"/>
        <v>#N/A</v>
      </c>
      <c r="S474" s="62" t="e">
        <f t="shared" ca="1" si="91"/>
        <v>#N/A</v>
      </c>
      <c r="T474" s="62" t="e">
        <f t="shared" ca="1" si="92"/>
        <v>#N/A</v>
      </c>
      <c r="U474" s="62" t="e">
        <f t="shared" ca="1" si="93"/>
        <v>#N/A</v>
      </c>
      <c r="V474" s="62" t="e">
        <f t="shared" ca="1" si="94"/>
        <v>#N/A</v>
      </c>
      <c r="W474" s="60" t="e">
        <f t="shared" ca="1" si="95"/>
        <v>#N/A</v>
      </c>
      <c r="X474" s="60" t="e">
        <f t="shared" ca="1" si="96"/>
        <v>#N/A</v>
      </c>
      <c r="Y474" s="60" t="e">
        <f t="shared" ca="1" si="97"/>
        <v>#N/A</v>
      </c>
      <c r="Z474" s="60" t="e">
        <f t="shared" ca="1" si="98"/>
        <v>#N/A</v>
      </c>
      <c r="AA474" s="92" t="e">
        <f ca="1"/>
        <v>#N/A</v>
      </c>
      <c r="AB474" s="62" t="e">
        <f t="shared" ca="1" si="99"/>
        <v>#N/A</v>
      </c>
      <c r="AC474" s="62" t="e">
        <f t="shared" ca="1" si="100"/>
        <v>#N/A</v>
      </c>
      <c r="AD474" s="62" t="e">
        <f t="shared" ca="1" si="101"/>
        <v>#N/A</v>
      </c>
      <c r="AE474" s="62" t="e">
        <f t="shared" ca="1" si="102"/>
        <v>#N/A</v>
      </c>
    </row>
    <row r="475" spans="18:31" x14ac:dyDescent="0.25">
      <c r="R475" s="62" t="e">
        <f ca="1"/>
        <v>#N/A</v>
      </c>
      <c r="S475" s="62" t="e">
        <f t="shared" ca="1" si="91"/>
        <v>#N/A</v>
      </c>
      <c r="T475" s="62" t="e">
        <f t="shared" ca="1" si="92"/>
        <v>#N/A</v>
      </c>
      <c r="U475" s="62" t="e">
        <f t="shared" ca="1" si="93"/>
        <v>#N/A</v>
      </c>
      <c r="V475" s="62" t="e">
        <f t="shared" ca="1" si="94"/>
        <v>#N/A</v>
      </c>
      <c r="W475" s="60" t="e">
        <f t="shared" ca="1" si="95"/>
        <v>#N/A</v>
      </c>
      <c r="X475" s="60" t="e">
        <f t="shared" ca="1" si="96"/>
        <v>#N/A</v>
      </c>
      <c r="Y475" s="60" t="e">
        <f t="shared" ca="1" si="97"/>
        <v>#N/A</v>
      </c>
      <c r="Z475" s="60" t="e">
        <f t="shared" ca="1" si="98"/>
        <v>#N/A</v>
      </c>
      <c r="AA475" s="92" t="e">
        <f ca="1"/>
        <v>#N/A</v>
      </c>
      <c r="AB475" s="62" t="e">
        <f t="shared" ca="1" si="99"/>
        <v>#N/A</v>
      </c>
      <c r="AC475" s="62" t="e">
        <f t="shared" ca="1" si="100"/>
        <v>#N/A</v>
      </c>
      <c r="AD475" s="62" t="e">
        <f t="shared" ca="1" si="101"/>
        <v>#N/A</v>
      </c>
      <c r="AE475" s="62" t="e">
        <f t="shared" ca="1" si="102"/>
        <v>#N/A</v>
      </c>
    </row>
    <row r="476" spans="18:31" x14ac:dyDescent="0.25">
      <c r="R476" s="62" t="e">
        <f ca="1"/>
        <v>#N/A</v>
      </c>
      <c r="S476" s="62" t="e">
        <f t="shared" ca="1" si="91"/>
        <v>#N/A</v>
      </c>
      <c r="T476" s="62" t="e">
        <f t="shared" ca="1" si="92"/>
        <v>#N/A</v>
      </c>
      <c r="U476" s="62" t="e">
        <f t="shared" ca="1" si="93"/>
        <v>#N/A</v>
      </c>
      <c r="V476" s="62" t="e">
        <f t="shared" ca="1" si="94"/>
        <v>#N/A</v>
      </c>
      <c r="W476" s="60" t="e">
        <f t="shared" ca="1" si="95"/>
        <v>#N/A</v>
      </c>
      <c r="X476" s="60" t="e">
        <f t="shared" ca="1" si="96"/>
        <v>#N/A</v>
      </c>
      <c r="Y476" s="60" t="e">
        <f t="shared" ca="1" si="97"/>
        <v>#N/A</v>
      </c>
      <c r="Z476" s="60" t="e">
        <f t="shared" ca="1" si="98"/>
        <v>#N/A</v>
      </c>
      <c r="AA476" s="92" t="e">
        <f ca="1"/>
        <v>#N/A</v>
      </c>
      <c r="AB476" s="62" t="e">
        <f t="shared" ca="1" si="99"/>
        <v>#N/A</v>
      </c>
      <c r="AC476" s="62" t="e">
        <f t="shared" ca="1" si="100"/>
        <v>#N/A</v>
      </c>
      <c r="AD476" s="62" t="e">
        <f t="shared" ca="1" si="101"/>
        <v>#N/A</v>
      </c>
      <c r="AE476" s="62" t="e">
        <f t="shared" ca="1" si="102"/>
        <v>#N/A</v>
      </c>
    </row>
    <row r="477" spans="18:31" x14ac:dyDescent="0.25">
      <c r="R477" s="62" t="e">
        <f ca="1"/>
        <v>#N/A</v>
      </c>
      <c r="S477" s="62" t="e">
        <f t="shared" ca="1" si="91"/>
        <v>#N/A</v>
      </c>
      <c r="T477" s="62" t="e">
        <f t="shared" ca="1" si="92"/>
        <v>#N/A</v>
      </c>
      <c r="U477" s="62" t="e">
        <f t="shared" ca="1" si="93"/>
        <v>#N/A</v>
      </c>
      <c r="V477" s="62" t="e">
        <f t="shared" ca="1" si="94"/>
        <v>#N/A</v>
      </c>
      <c r="W477" s="60" t="e">
        <f t="shared" ca="1" si="95"/>
        <v>#N/A</v>
      </c>
      <c r="X477" s="60" t="e">
        <f t="shared" ca="1" si="96"/>
        <v>#N/A</v>
      </c>
      <c r="Y477" s="60" t="e">
        <f t="shared" ca="1" si="97"/>
        <v>#N/A</v>
      </c>
      <c r="Z477" s="60" t="e">
        <f t="shared" ca="1" si="98"/>
        <v>#N/A</v>
      </c>
      <c r="AA477" s="92" t="e">
        <f ca="1"/>
        <v>#N/A</v>
      </c>
      <c r="AB477" s="62" t="e">
        <f t="shared" ca="1" si="99"/>
        <v>#N/A</v>
      </c>
      <c r="AC477" s="62" t="e">
        <f t="shared" ca="1" si="100"/>
        <v>#N/A</v>
      </c>
      <c r="AD477" s="62" t="e">
        <f t="shared" ca="1" si="101"/>
        <v>#N/A</v>
      </c>
      <c r="AE477" s="62" t="e">
        <f t="shared" ca="1" si="102"/>
        <v>#N/A</v>
      </c>
    </row>
    <row r="478" spans="18:31" x14ac:dyDescent="0.25">
      <c r="R478" s="62" t="e">
        <f ca="1"/>
        <v>#N/A</v>
      </c>
      <c r="S478" s="62" t="e">
        <f t="shared" ca="1" si="91"/>
        <v>#N/A</v>
      </c>
      <c r="T478" s="62" t="e">
        <f t="shared" ca="1" si="92"/>
        <v>#N/A</v>
      </c>
      <c r="U478" s="62" t="e">
        <f t="shared" ca="1" si="93"/>
        <v>#N/A</v>
      </c>
      <c r="V478" s="62" t="e">
        <f t="shared" ca="1" si="94"/>
        <v>#N/A</v>
      </c>
      <c r="W478" s="60" t="e">
        <f t="shared" ca="1" si="95"/>
        <v>#N/A</v>
      </c>
      <c r="X478" s="60" t="e">
        <f t="shared" ca="1" si="96"/>
        <v>#N/A</v>
      </c>
      <c r="Y478" s="60" t="e">
        <f t="shared" ca="1" si="97"/>
        <v>#N/A</v>
      </c>
      <c r="Z478" s="60" t="e">
        <f t="shared" ca="1" si="98"/>
        <v>#N/A</v>
      </c>
      <c r="AA478" s="92" t="e">
        <f ca="1"/>
        <v>#N/A</v>
      </c>
      <c r="AB478" s="62" t="e">
        <f t="shared" ca="1" si="99"/>
        <v>#N/A</v>
      </c>
      <c r="AC478" s="62" t="e">
        <f t="shared" ca="1" si="100"/>
        <v>#N/A</v>
      </c>
      <c r="AD478" s="62" t="e">
        <f t="shared" ca="1" si="101"/>
        <v>#N/A</v>
      </c>
      <c r="AE478" s="62" t="e">
        <f t="shared" ca="1" si="102"/>
        <v>#N/A</v>
      </c>
    </row>
    <row r="479" spans="18:31" x14ac:dyDescent="0.25">
      <c r="R479" s="62" t="e">
        <f ca="1"/>
        <v>#N/A</v>
      </c>
      <c r="S479" s="62" t="e">
        <f t="shared" ca="1" si="91"/>
        <v>#N/A</v>
      </c>
      <c r="T479" s="62" t="e">
        <f t="shared" ca="1" si="92"/>
        <v>#N/A</v>
      </c>
      <c r="U479" s="62" t="e">
        <f t="shared" ca="1" si="93"/>
        <v>#N/A</v>
      </c>
      <c r="V479" s="62" t="e">
        <f t="shared" ca="1" si="94"/>
        <v>#N/A</v>
      </c>
      <c r="W479" s="60" t="e">
        <f t="shared" ca="1" si="95"/>
        <v>#N/A</v>
      </c>
      <c r="X479" s="60" t="e">
        <f t="shared" ca="1" si="96"/>
        <v>#N/A</v>
      </c>
      <c r="Y479" s="60" t="e">
        <f t="shared" ca="1" si="97"/>
        <v>#N/A</v>
      </c>
      <c r="Z479" s="60" t="e">
        <f t="shared" ca="1" si="98"/>
        <v>#N/A</v>
      </c>
      <c r="AA479" s="92" t="e">
        <f ca="1"/>
        <v>#N/A</v>
      </c>
      <c r="AB479" s="62" t="e">
        <f t="shared" ca="1" si="99"/>
        <v>#N/A</v>
      </c>
      <c r="AC479" s="62" t="e">
        <f t="shared" ca="1" si="100"/>
        <v>#N/A</v>
      </c>
      <c r="AD479" s="62" t="e">
        <f t="shared" ca="1" si="101"/>
        <v>#N/A</v>
      </c>
      <c r="AE479" s="62" t="e">
        <f t="shared" ca="1" si="102"/>
        <v>#N/A</v>
      </c>
    </row>
    <row r="480" spans="18:31" x14ac:dyDescent="0.25">
      <c r="R480" s="62" t="e">
        <f ca="1"/>
        <v>#N/A</v>
      </c>
      <c r="S480" s="62" t="e">
        <f t="shared" ca="1" si="91"/>
        <v>#N/A</v>
      </c>
      <c r="T480" s="62" t="e">
        <f t="shared" ca="1" si="92"/>
        <v>#N/A</v>
      </c>
      <c r="U480" s="62" t="e">
        <f t="shared" ca="1" si="93"/>
        <v>#N/A</v>
      </c>
      <c r="V480" s="62" t="e">
        <f t="shared" ca="1" si="94"/>
        <v>#N/A</v>
      </c>
      <c r="W480" s="60" t="e">
        <f t="shared" ca="1" si="95"/>
        <v>#N/A</v>
      </c>
      <c r="X480" s="60" t="e">
        <f t="shared" ca="1" si="96"/>
        <v>#N/A</v>
      </c>
      <c r="Y480" s="60" t="e">
        <f t="shared" ca="1" si="97"/>
        <v>#N/A</v>
      </c>
      <c r="Z480" s="60" t="e">
        <f t="shared" ca="1" si="98"/>
        <v>#N/A</v>
      </c>
      <c r="AA480" s="92" t="e">
        <f ca="1"/>
        <v>#N/A</v>
      </c>
      <c r="AB480" s="62" t="e">
        <f t="shared" ca="1" si="99"/>
        <v>#N/A</v>
      </c>
      <c r="AC480" s="62" t="e">
        <f t="shared" ca="1" si="100"/>
        <v>#N/A</v>
      </c>
      <c r="AD480" s="62" t="e">
        <f t="shared" ca="1" si="101"/>
        <v>#N/A</v>
      </c>
      <c r="AE480" s="62" t="e">
        <f t="shared" ca="1" si="102"/>
        <v>#N/A</v>
      </c>
    </row>
    <row r="481" spans="18:31" x14ac:dyDescent="0.25">
      <c r="R481" s="62" t="e">
        <f ca="1"/>
        <v>#N/A</v>
      </c>
      <c r="S481" s="62" t="e">
        <f t="shared" ca="1" si="91"/>
        <v>#N/A</v>
      </c>
      <c r="T481" s="62" t="e">
        <f t="shared" ca="1" si="92"/>
        <v>#N/A</v>
      </c>
      <c r="U481" s="62" t="e">
        <f t="shared" ca="1" si="93"/>
        <v>#N/A</v>
      </c>
      <c r="V481" s="62" t="e">
        <f t="shared" ca="1" si="94"/>
        <v>#N/A</v>
      </c>
      <c r="W481" s="60" t="e">
        <f t="shared" ca="1" si="95"/>
        <v>#N/A</v>
      </c>
      <c r="X481" s="60" t="e">
        <f t="shared" ca="1" si="96"/>
        <v>#N/A</v>
      </c>
      <c r="Y481" s="60" t="e">
        <f t="shared" ca="1" si="97"/>
        <v>#N/A</v>
      </c>
      <c r="Z481" s="60" t="e">
        <f t="shared" ca="1" si="98"/>
        <v>#N/A</v>
      </c>
      <c r="AA481" s="92" t="e">
        <f ca="1"/>
        <v>#N/A</v>
      </c>
      <c r="AB481" s="62" t="e">
        <f t="shared" ca="1" si="99"/>
        <v>#N/A</v>
      </c>
      <c r="AC481" s="62" t="e">
        <f t="shared" ca="1" si="100"/>
        <v>#N/A</v>
      </c>
      <c r="AD481" s="62" t="e">
        <f t="shared" ca="1" si="101"/>
        <v>#N/A</v>
      </c>
      <c r="AE481" s="62" t="e">
        <f t="shared" ca="1" si="102"/>
        <v>#N/A</v>
      </c>
    </row>
    <row r="482" spans="18:31" x14ac:dyDescent="0.25">
      <c r="R482" s="62" t="e">
        <f ca="1"/>
        <v>#N/A</v>
      </c>
      <c r="S482" s="62" t="e">
        <f t="shared" ca="1" si="91"/>
        <v>#N/A</v>
      </c>
      <c r="T482" s="62" t="e">
        <f t="shared" ca="1" si="92"/>
        <v>#N/A</v>
      </c>
      <c r="U482" s="62" t="e">
        <f t="shared" ca="1" si="93"/>
        <v>#N/A</v>
      </c>
      <c r="V482" s="62" t="e">
        <f t="shared" ca="1" si="94"/>
        <v>#N/A</v>
      </c>
      <c r="W482" s="60" t="e">
        <f t="shared" ca="1" si="95"/>
        <v>#N/A</v>
      </c>
      <c r="X482" s="60" t="e">
        <f t="shared" ca="1" si="96"/>
        <v>#N/A</v>
      </c>
      <c r="Y482" s="60" t="e">
        <f t="shared" ca="1" si="97"/>
        <v>#N/A</v>
      </c>
      <c r="Z482" s="60" t="e">
        <f t="shared" ca="1" si="98"/>
        <v>#N/A</v>
      </c>
      <c r="AA482" s="92" t="e">
        <f ca="1"/>
        <v>#N/A</v>
      </c>
      <c r="AB482" s="62" t="e">
        <f t="shared" ca="1" si="99"/>
        <v>#N/A</v>
      </c>
      <c r="AC482" s="62" t="e">
        <f t="shared" ca="1" si="100"/>
        <v>#N/A</v>
      </c>
      <c r="AD482" s="62" t="e">
        <f t="shared" ca="1" si="101"/>
        <v>#N/A</v>
      </c>
      <c r="AE482" s="62" t="e">
        <f t="shared" ca="1" si="102"/>
        <v>#N/A</v>
      </c>
    </row>
    <row r="483" spans="18:31" x14ac:dyDescent="0.25">
      <c r="R483" s="62" t="e">
        <f ca="1"/>
        <v>#N/A</v>
      </c>
      <c r="S483" s="62" t="e">
        <f t="shared" ca="1" si="91"/>
        <v>#N/A</v>
      </c>
      <c r="T483" s="62" t="e">
        <f t="shared" ca="1" si="92"/>
        <v>#N/A</v>
      </c>
      <c r="U483" s="62" t="e">
        <f t="shared" ca="1" si="93"/>
        <v>#N/A</v>
      </c>
      <c r="V483" s="62" t="e">
        <f t="shared" ca="1" si="94"/>
        <v>#N/A</v>
      </c>
      <c r="W483" s="60" t="e">
        <f t="shared" ca="1" si="95"/>
        <v>#N/A</v>
      </c>
      <c r="X483" s="60" t="e">
        <f t="shared" ca="1" si="96"/>
        <v>#N/A</v>
      </c>
      <c r="Y483" s="60" t="e">
        <f t="shared" ca="1" si="97"/>
        <v>#N/A</v>
      </c>
      <c r="Z483" s="60" t="e">
        <f t="shared" ca="1" si="98"/>
        <v>#N/A</v>
      </c>
      <c r="AA483" s="92" t="e">
        <f ca="1"/>
        <v>#N/A</v>
      </c>
      <c r="AB483" s="62" t="e">
        <f t="shared" ca="1" si="99"/>
        <v>#N/A</v>
      </c>
      <c r="AC483" s="62" t="e">
        <f t="shared" ca="1" si="100"/>
        <v>#N/A</v>
      </c>
      <c r="AD483" s="62" t="e">
        <f t="shared" ca="1" si="101"/>
        <v>#N/A</v>
      </c>
      <c r="AE483" s="62" t="e">
        <f t="shared" ca="1" si="102"/>
        <v>#N/A</v>
      </c>
    </row>
    <row r="484" spans="18:31" x14ac:dyDescent="0.25">
      <c r="R484" s="62" t="e">
        <f ca="1"/>
        <v>#N/A</v>
      </c>
      <c r="S484" s="62" t="e">
        <f t="shared" ca="1" si="91"/>
        <v>#N/A</v>
      </c>
      <c r="T484" s="62" t="e">
        <f t="shared" ca="1" si="92"/>
        <v>#N/A</v>
      </c>
      <c r="U484" s="62" t="e">
        <f t="shared" ca="1" si="93"/>
        <v>#N/A</v>
      </c>
      <c r="V484" s="62" t="e">
        <f t="shared" ca="1" si="94"/>
        <v>#N/A</v>
      </c>
      <c r="W484" s="60" t="e">
        <f t="shared" ca="1" si="95"/>
        <v>#N/A</v>
      </c>
      <c r="X484" s="60" t="e">
        <f t="shared" ca="1" si="96"/>
        <v>#N/A</v>
      </c>
      <c r="Y484" s="60" t="e">
        <f t="shared" ca="1" si="97"/>
        <v>#N/A</v>
      </c>
      <c r="Z484" s="60" t="e">
        <f t="shared" ca="1" si="98"/>
        <v>#N/A</v>
      </c>
      <c r="AA484" s="92" t="e">
        <f ca="1"/>
        <v>#N/A</v>
      </c>
      <c r="AB484" s="62" t="e">
        <f t="shared" ca="1" si="99"/>
        <v>#N/A</v>
      </c>
      <c r="AC484" s="62" t="e">
        <f t="shared" ca="1" si="100"/>
        <v>#N/A</v>
      </c>
      <c r="AD484" s="62" t="e">
        <f t="shared" ca="1" si="101"/>
        <v>#N/A</v>
      </c>
      <c r="AE484" s="62" t="e">
        <f t="shared" ca="1" si="102"/>
        <v>#N/A</v>
      </c>
    </row>
    <row r="485" spans="18:31" x14ac:dyDescent="0.25">
      <c r="R485" s="62" t="e">
        <f ca="1"/>
        <v>#N/A</v>
      </c>
      <c r="S485" s="62" t="e">
        <f t="shared" ca="1" si="91"/>
        <v>#N/A</v>
      </c>
      <c r="T485" s="62" t="e">
        <f t="shared" ca="1" si="92"/>
        <v>#N/A</v>
      </c>
      <c r="U485" s="62" t="e">
        <f t="shared" ca="1" si="93"/>
        <v>#N/A</v>
      </c>
      <c r="V485" s="62" t="e">
        <f t="shared" ca="1" si="94"/>
        <v>#N/A</v>
      </c>
      <c r="W485" s="60" t="e">
        <f t="shared" ca="1" si="95"/>
        <v>#N/A</v>
      </c>
      <c r="X485" s="60" t="e">
        <f t="shared" ca="1" si="96"/>
        <v>#N/A</v>
      </c>
      <c r="Y485" s="60" t="e">
        <f t="shared" ca="1" si="97"/>
        <v>#N/A</v>
      </c>
      <c r="Z485" s="60" t="e">
        <f t="shared" ca="1" si="98"/>
        <v>#N/A</v>
      </c>
      <c r="AA485" s="92" t="e">
        <f ca="1"/>
        <v>#N/A</v>
      </c>
      <c r="AB485" s="62" t="e">
        <f t="shared" ca="1" si="99"/>
        <v>#N/A</v>
      </c>
      <c r="AC485" s="62" t="e">
        <f t="shared" ca="1" si="100"/>
        <v>#N/A</v>
      </c>
      <c r="AD485" s="62" t="e">
        <f t="shared" ca="1" si="101"/>
        <v>#N/A</v>
      </c>
      <c r="AE485" s="62" t="e">
        <f t="shared" ca="1" si="102"/>
        <v>#N/A</v>
      </c>
    </row>
    <row r="486" spans="18:31" x14ac:dyDescent="0.25">
      <c r="R486" s="62" t="e">
        <f ca="1"/>
        <v>#N/A</v>
      </c>
      <c r="S486" s="62" t="e">
        <f t="shared" ca="1" si="91"/>
        <v>#N/A</v>
      </c>
      <c r="T486" s="62" t="e">
        <f t="shared" ca="1" si="92"/>
        <v>#N/A</v>
      </c>
      <c r="U486" s="62" t="e">
        <f t="shared" ca="1" si="93"/>
        <v>#N/A</v>
      </c>
      <c r="V486" s="62" t="e">
        <f t="shared" ca="1" si="94"/>
        <v>#N/A</v>
      </c>
      <c r="W486" s="60" t="e">
        <f t="shared" ca="1" si="95"/>
        <v>#N/A</v>
      </c>
      <c r="X486" s="60" t="e">
        <f t="shared" ca="1" si="96"/>
        <v>#N/A</v>
      </c>
      <c r="Y486" s="60" t="e">
        <f t="shared" ca="1" si="97"/>
        <v>#N/A</v>
      </c>
      <c r="Z486" s="60" t="e">
        <f t="shared" ca="1" si="98"/>
        <v>#N/A</v>
      </c>
      <c r="AA486" s="92" t="e">
        <f ca="1"/>
        <v>#N/A</v>
      </c>
      <c r="AB486" s="62" t="e">
        <f t="shared" ca="1" si="99"/>
        <v>#N/A</v>
      </c>
      <c r="AC486" s="62" t="e">
        <f t="shared" ca="1" si="100"/>
        <v>#N/A</v>
      </c>
      <c r="AD486" s="62" t="e">
        <f t="shared" ca="1" si="101"/>
        <v>#N/A</v>
      </c>
      <c r="AE486" s="62" t="e">
        <f t="shared" ca="1" si="102"/>
        <v>#N/A</v>
      </c>
    </row>
    <row r="487" spans="18:31" x14ac:dyDescent="0.25">
      <c r="R487" s="62" t="e">
        <f ca="1"/>
        <v>#N/A</v>
      </c>
      <c r="S487" s="62" t="e">
        <f t="shared" ca="1" si="91"/>
        <v>#N/A</v>
      </c>
      <c r="T487" s="62" t="e">
        <f t="shared" ca="1" si="92"/>
        <v>#N/A</v>
      </c>
      <c r="U487" s="62" t="e">
        <f t="shared" ca="1" si="93"/>
        <v>#N/A</v>
      </c>
      <c r="V487" s="62" t="e">
        <f t="shared" ca="1" si="94"/>
        <v>#N/A</v>
      </c>
      <c r="W487" s="60" t="e">
        <f t="shared" ca="1" si="95"/>
        <v>#N/A</v>
      </c>
      <c r="X487" s="60" t="e">
        <f t="shared" ca="1" si="96"/>
        <v>#N/A</v>
      </c>
      <c r="Y487" s="60" t="e">
        <f t="shared" ca="1" si="97"/>
        <v>#N/A</v>
      </c>
      <c r="Z487" s="60" t="e">
        <f t="shared" ca="1" si="98"/>
        <v>#N/A</v>
      </c>
      <c r="AA487" s="92" t="e">
        <f ca="1"/>
        <v>#N/A</v>
      </c>
      <c r="AB487" s="62" t="e">
        <f t="shared" ca="1" si="99"/>
        <v>#N/A</v>
      </c>
      <c r="AC487" s="62" t="e">
        <f t="shared" ca="1" si="100"/>
        <v>#N/A</v>
      </c>
      <c r="AD487" s="62" t="e">
        <f t="shared" ca="1" si="101"/>
        <v>#N/A</v>
      </c>
      <c r="AE487" s="62" t="e">
        <f t="shared" ca="1" si="102"/>
        <v>#N/A</v>
      </c>
    </row>
    <row r="488" spans="18:31" x14ac:dyDescent="0.25">
      <c r="R488" s="62" t="e">
        <f ca="1"/>
        <v>#N/A</v>
      </c>
      <c r="S488" s="62" t="e">
        <f t="shared" ca="1" si="91"/>
        <v>#N/A</v>
      </c>
      <c r="T488" s="62" t="e">
        <f t="shared" ca="1" si="92"/>
        <v>#N/A</v>
      </c>
      <c r="U488" s="62" t="e">
        <f t="shared" ca="1" si="93"/>
        <v>#N/A</v>
      </c>
      <c r="V488" s="62" t="e">
        <f t="shared" ca="1" si="94"/>
        <v>#N/A</v>
      </c>
      <c r="W488" s="60" t="e">
        <f t="shared" ca="1" si="95"/>
        <v>#N/A</v>
      </c>
      <c r="X488" s="60" t="e">
        <f t="shared" ca="1" si="96"/>
        <v>#N/A</v>
      </c>
      <c r="Y488" s="60" t="e">
        <f t="shared" ca="1" si="97"/>
        <v>#N/A</v>
      </c>
      <c r="Z488" s="60" t="e">
        <f t="shared" ca="1" si="98"/>
        <v>#N/A</v>
      </c>
      <c r="AA488" s="92" t="e">
        <f ca="1"/>
        <v>#N/A</v>
      </c>
      <c r="AB488" s="62" t="e">
        <f t="shared" ca="1" si="99"/>
        <v>#N/A</v>
      </c>
      <c r="AC488" s="62" t="e">
        <f t="shared" ca="1" si="100"/>
        <v>#N/A</v>
      </c>
      <c r="AD488" s="62" t="e">
        <f t="shared" ca="1" si="101"/>
        <v>#N/A</v>
      </c>
      <c r="AE488" s="62" t="e">
        <f t="shared" ca="1" si="102"/>
        <v>#N/A</v>
      </c>
    </row>
    <row r="489" spans="18:31" x14ac:dyDescent="0.25">
      <c r="R489" s="62" t="e">
        <f ca="1"/>
        <v>#N/A</v>
      </c>
      <c r="S489" s="62" t="e">
        <f t="shared" ca="1" si="91"/>
        <v>#N/A</v>
      </c>
      <c r="T489" s="62" t="e">
        <f t="shared" ca="1" si="92"/>
        <v>#N/A</v>
      </c>
      <c r="U489" s="62" t="e">
        <f t="shared" ca="1" si="93"/>
        <v>#N/A</v>
      </c>
      <c r="V489" s="62" t="e">
        <f t="shared" ca="1" si="94"/>
        <v>#N/A</v>
      </c>
      <c r="W489" s="60" t="e">
        <f t="shared" ca="1" si="95"/>
        <v>#N/A</v>
      </c>
      <c r="X489" s="60" t="e">
        <f t="shared" ca="1" si="96"/>
        <v>#N/A</v>
      </c>
      <c r="Y489" s="60" t="e">
        <f t="shared" ca="1" si="97"/>
        <v>#N/A</v>
      </c>
      <c r="Z489" s="60" t="e">
        <f t="shared" ca="1" si="98"/>
        <v>#N/A</v>
      </c>
      <c r="AA489" s="92" t="e">
        <f ca="1"/>
        <v>#N/A</v>
      </c>
      <c r="AB489" s="62" t="e">
        <f t="shared" ca="1" si="99"/>
        <v>#N/A</v>
      </c>
      <c r="AC489" s="62" t="e">
        <f t="shared" ca="1" si="100"/>
        <v>#N/A</v>
      </c>
      <c r="AD489" s="62" t="e">
        <f t="shared" ca="1" si="101"/>
        <v>#N/A</v>
      </c>
      <c r="AE489" s="62" t="e">
        <f t="shared" ca="1" si="102"/>
        <v>#N/A</v>
      </c>
    </row>
    <row r="490" spans="18:31" x14ac:dyDescent="0.25">
      <c r="R490" s="62" t="e">
        <f ca="1"/>
        <v>#N/A</v>
      </c>
      <c r="S490" s="62" t="e">
        <f t="shared" ca="1" si="91"/>
        <v>#N/A</v>
      </c>
      <c r="T490" s="62" t="e">
        <f t="shared" ca="1" si="92"/>
        <v>#N/A</v>
      </c>
      <c r="U490" s="62" t="e">
        <f t="shared" ca="1" si="93"/>
        <v>#N/A</v>
      </c>
      <c r="V490" s="62" t="e">
        <f t="shared" ca="1" si="94"/>
        <v>#N/A</v>
      </c>
      <c r="W490" s="60" t="e">
        <f t="shared" ca="1" si="95"/>
        <v>#N/A</v>
      </c>
      <c r="X490" s="60" t="e">
        <f t="shared" ca="1" si="96"/>
        <v>#N/A</v>
      </c>
      <c r="Y490" s="60" t="e">
        <f t="shared" ca="1" si="97"/>
        <v>#N/A</v>
      </c>
      <c r="Z490" s="60" t="e">
        <f t="shared" ca="1" si="98"/>
        <v>#N/A</v>
      </c>
      <c r="AA490" s="92" t="e">
        <f ca="1"/>
        <v>#N/A</v>
      </c>
      <c r="AB490" s="62" t="e">
        <f t="shared" ca="1" si="99"/>
        <v>#N/A</v>
      </c>
      <c r="AC490" s="62" t="e">
        <f t="shared" ca="1" si="100"/>
        <v>#N/A</v>
      </c>
      <c r="AD490" s="62" t="e">
        <f t="shared" ca="1" si="101"/>
        <v>#N/A</v>
      </c>
      <c r="AE490" s="62" t="e">
        <f t="shared" ca="1" si="102"/>
        <v>#N/A</v>
      </c>
    </row>
    <row r="491" spans="18:31" x14ac:dyDescent="0.25">
      <c r="R491" s="62" t="e">
        <f ca="1"/>
        <v>#N/A</v>
      </c>
      <c r="S491" s="62" t="e">
        <f t="shared" ca="1" si="91"/>
        <v>#N/A</v>
      </c>
      <c r="T491" s="62" t="e">
        <f t="shared" ca="1" si="92"/>
        <v>#N/A</v>
      </c>
      <c r="U491" s="62" t="e">
        <f t="shared" ca="1" si="93"/>
        <v>#N/A</v>
      </c>
      <c r="V491" s="62" t="e">
        <f t="shared" ca="1" si="94"/>
        <v>#N/A</v>
      </c>
      <c r="W491" s="60" t="e">
        <f t="shared" ca="1" si="95"/>
        <v>#N/A</v>
      </c>
      <c r="X491" s="60" t="e">
        <f t="shared" ca="1" si="96"/>
        <v>#N/A</v>
      </c>
      <c r="Y491" s="60" t="e">
        <f t="shared" ca="1" si="97"/>
        <v>#N/A</v>
      </c>
      <c r="Z491" s="60" t="e">
        <f t="shared" ca="1" si="98"/>
        <v>#N/A</v>
      </c>
      <c r="AA491" s="92" t="e">
        <f ca="1"/>
        <v>#N/A</v>
      </c>
      <c r="AB491" s="62" t="e">
        <f t="shared" ca="1" si="99"/>
        <v>#N/A</v>
      </c>
      <c r="AC491" s="62" t="e">
        <f t="shared" ca="1" si="100"/>
        <v>#N/A</v>
      </c>
      <c r="AD491" s="62" t="e">
        <f t="shared" ca="1" si="101"/>
        <v>#N/A</v>
      </c>
      <c r="AE491" s="62" t="e">
        <f t="shared" ca="1" si="102"/>
        <v>#N/A</v>
      </c>
    </row>
    <row r="492" spans="18:31" x14ac:dyDescent="0.25">
      <c r="R492" s="62" t="e">
        <f ca="1"/>
        <v>#N/A</v>
      </c>
      <c r="S492" s="62" t="e">
        <f t="shared" ca="1" si="91"/>
        <v>#N/A</v>
      </c>
      <c r="T492" s="62" t="e">
        <f t="shared" ca="1" si="92"/>
        <v>#N/A</v>
      </c>
      <c r="U492" s="62" t="e">
        <f t="shared" ca="1" si="93"/>
        <v>#N/A</v>
      </c>
      <c r="V492" s="62" t="e">
        <f t="shared" ca="1" si="94"/>
        <v>#N/A</v>
      </c>
      <c r="W492" s="60" t="e">
        <f t="shared" ca="1" si="95"/>
        <v>#N/A</v>
      </c>
      <c r="X492" s="60" t="e">
        <f t="shared" ca="1" si="96"/>
        <v>#N/A</v>
      </c>
      <c r="Y492" s="60" t="e">
        <f t="shared" ca="1" si="97"/>
        <v>#N/A</v>
      </c>
      <c r="Z492" s="60" t="e">
        <f t="shared" ca="1" si="98"/>
        <v>#N/A</v>
      </c>
      <c r="AA492" s="92" t="e">
        <f ca="1"/>
        <v>#N/A</v>
      </c>
      <c r="AB492" s="62" t="e">
        <f t="shared" ca="1" si="99"/>
        <v>#N/A</v>
      </c>
      <c r="AC492" s="62" t="e">
        <f t="shared" ca="1" si="100"/>
        <v>#N/A</v>
      </c>
      <c r="AD492" s="62" t="e">
        <f t="shared" ca="1" si="101"/>
        <v>#N/A</v>
      </c>
      <c r="AE492" s="62" t="e">
        <f t="shared" ca="1" si="102"/>
        <v>#N/A</v>
      </c>
    </row>
    <row r="493" spans="18:31" x14ac:dyDescent="0.25">
      <c r="R493" s="62" t="e">
        <f ca="1"/>
        <v>#N/A</v>
      </c>
      <c r="S493" s="62" t="e">
        <f t="shared" ca="1" si="91"/>
        <v>#N/A</v>
      </c>
      <c r="T493" s="62" t="e">
        <f t="shared" ca="1" si="92"/>
        <v>#N/A</v>
      </c>
      <c r="U493" s="62" t="e">
        <f t="shared" ca="1" si="93"/>
        <v>#N/A</v>
      </c>
      <c r="V493" s="62" t="e">
        <f t="shared" ca="1" si="94"/>
        <v>#N/A</v>
      </c>
      <c r="W493" s="60" t="e">
        <f t="shared" ca="1" si="95"/>
        <v>#N/A</v>
      </c>
      <c r="X493" s="60" t="e">
        <f t="shared" ca="1" si="96"/>
        <v>#N/A</v>
      </c>
      <c r="Y493" s="60" t="e">
        <f t="shared" ca="1" si="97"/>
        <v>#N/A</v>
      </c>
      <c r="Z493" s="60" t="e">
        <f t="shared" ca="1" si="98"/>
        <v>#N/A</v>
      </c>
      <c r="AA493" s="92" t="e">
        <f ca="1"/>
        <v>#N/A</v>
      </c>
      <c r="AB493" s="62" t="e">
        <f t="shared" ca="1" si="99"/>
        <v>#N/A</v>
      </c>
      <c r="AC493" s="62" t="e">
        <f t="shared" ca="1" si="100"/>
        <v>#N/A</v>
      </c>
      <c r="AD493" s="62" t="e">
        <f t="shared" ca="1" si="101"/>
        <v>#N/A</v>
      </c>
      <c r="AE493" s="62" t="e">
        <f t="shared" ca="1" si="102"/>
        <v>#N/A</v>
      </c>
    </row>
    <row r="494" spans="18:31" x14ac:dyDescent="0.25">
      <c r="R494" s="62" t="e">
        <f ca="1"/>
        <v>#N/A</v>
      </c>
      <c r="S494" s="62" t="e">
        <f t="shared" ca="1" si="91"/>
        <v>#N/A</v>
      </c>
      <c r="T494" s="62" t="e">
        <f t="shared" ca="1" si="92"/>
        <v>#N/A</v>
      </c>
      <c r="U494" s="62" t="e">
        <f t="shared" ca="1" si="93"/>
        <v>#N/A</v>
      </c>
      <c r="V494" s="62" t="e">
        <f t="shared" ca="1" si="94"/>
        <v>#N/A</v>
      </c>
      <c r="W494" s="60" t="e">
        <f t="shared" ca="1" si="95"/>
        <v>#N/A</v>
      </c>
      <c r="X494" s="60" t="e">
        <f t="shared" ca="1" si="96"/>
        <v>#N/A</v>
      </c>
      <c r="Y494" s="60" t="e">
        <f t="shared" ca="1" si="97"/>
        <v>#N/A</v>
      </c>
      <c r="Z494" s="60" t="e">
        <f t="shared" ca="1" si="98"/>
        <v>#N/A</v>
      </c>
      <c r="AA494" s="92" t="e">
        <f ca="1"/>
        <v>#N/A</v>
      </c>
      <c r="AB494" s="62" t="e">
        <f t="shared" ca="1" si="99"/>
        <v>#N/A</v>
      </c>
      <c r="AC494" s="62" t="e">
        <f t="shared" ca="1" si="100"/>
        <v>#N/A</v>
      </c>
      <c r="AD494" s="62" t="e">
        <f t="shared" ca="1" si="101"/>
        <v>#N/A</v>
      </c>
      <c r="AE494" s="62" t="e">
        <f t="shared" ca="1" si="102"/>
        <v>#N/A</v>
      </c>
    </row>
    <row r="495" spans="18:31" x14ac:dyDescent="0.25">
      <c r="R495" s="62" t="e">
        <f ca="1"/>
        <v>#N/A</v>
      </c>
      <c r="S495" s="62" t="e">
        <f t="shared" ca="1" si="91"/>
        <v>#N/A</v>
      </c>
      <c r="T495" s="62" t="e">
        <f t="shared" ca="1" si="92"/>
        <v>#N/A</v>
      </c>
      <c r="U495" s="62" t="e">
        <f t="shared" ca="1" si="93"/>
        <v>#N/A</v>
      </c>
      <c r="V495" s="62" t="e">
        <f t="shared" ca="1" si="94"/>
        <v>#N/A</v>
      </c>
      <c r="W495" s="60" t="e">
        <f t="shared" ca="1" si="95"/>
        <v>#N/A</v>
      </c>
      <c r="X495" s="60" t="e">
        <f t="shared" ca="1" si="96"/>
        <v>#N/A</v>
      </c>
      <c r="Y495" s="60" t="e">
        <f t="shared" ca="1" si="97"/>
        <v>#N/A</v>
      </c>
      <c r="Z495" s="60" t="e">
        <f t="shared" ca="1" si="98"/>
        <v>#N/A</v>
      </c>
      <c r="AA495" s="92" t="e">
        <f ca="1"/>
        <v>#N/A</v>
      </c>
      <c r="AB495" s="62" t="e">
        <f t="shared" ca="1" si="99"/>
        <v>#N/A</v>
      </c>
      <c r="AC495" s="62" t="e">
        <f t="shared" ca="1" si="100"/>
        <v>#N/A</v>
      </c>
      <c r="AD495" s="62" t="e">
        <f t="shared" ca="1" si="101"/>
        <v>#N/A</v>
      </c>
      <c r="AE495" s="62" t="e">
        <f t="shared" ca="1" si="102"/>
        <v>#N/A</v>
      </c>
    </row>
    <row r="496" spans="18:31" x14ac:dyDescent="0.25">
      <c r="R496" s="62" t="e">
        <f ca="1"/>
        <v>#N/A</v>
      </c>
      <c r="S496" s="62" t="e">
        <f t="shared" ca="1" si="91"/>
        <v>#N/A</v>
      </c>
      <c r="T496" s="62" t="e">
        <f t="shared" ca="1" si="92"/>
        <v>#N/A</v>
      </c>
      <c r="U496" s="62" t="e">
        <f t="shared" ca="1" si="93"/>
        <v>#N/A</v>
      </c>
      <c r="V496" s="62" t="e">
        <f t="shared" ca="1" si="94"/>
        <v>#N/A</v>
      </c>
      <c r="W496" s="60" t="e">
        <f t="shared" ca="1" si="95"/>
        <v>#N/A</v>
      </c>
      <c r="X496" s="60" t="e">
        <f t="shared" ca="1" si="96"/>
        <v>#N/A</v>
      </c>
      <c r="Y496" s="60" t="e">
        <f t="shared" ca="1" si="97"/>
        <v>#N/A</v>
      </c>
      <c r="Z496" s="60" t="e">
        <f t="shared" ca="1" si="98"/>
        <v>#N/A</v>
      </c>
      <c r="AA496" s="92" t="e">
        <f ca="1"/>
        <v>#N/A</v>
      </c>
      <c r="AB496" s="62" t="e">
        <f t="shared" ca="1" si="99"/>
        <v>#N/A</v>
      </c>
      <c r="AC496" s="62" t="e">
        <f t="shared" ca="1" si="100"/>
        <v>#N/A</v>
      </c>
      <c r="AD496" s="62" t="e">
        <f t="shared" ca="1" si="101"/>
        <v>#N/A</v>
      </c>
      <c r="AE496" s="62" t="e">
        <f t="shared" ca="1" si="102"/>
        <v>#N/A</v>
      </c>
    </row>
    <row r="497" spans="18:31" x14ac:dyDescent="0.25">
      <c r="R497" s="62" t="e">
        <f ca="1"/>
        <v>#N/A</v>
      </c>
      <c r="S497" s="62" t="e">
        <f t="shared" ca="1" si="91"/>
        <v>#N/A</v>
      </c>
      <c r="T497" s="62" t="e">
        <f t="shared" ca="1" si="92"/>
        <v>#N/A</v>
      </c>
      <c r="U497" s="62" t="e">
        <f t="shared" ca="1" si="93"/>
        <v>#N/A</v>
      </c>
      <c r="V497" s="62" t="e">
        <f t="shared" ca="1" si="94"/>
        <v>#N/A</v>
      </c>
      <c r="W497" s="60" t="e">
        <f t="shared" ca="1" si="95"/>
        <v>#N/A</v>
      </c>
      <c r="X497" s="60" t="e">
        <f t="shared" ca="1" si="96"/>
        <v>#N/A</v>
      </c>
      <c r="Y497" s="60" t="e">
        <f t="shared" ca="1" si="97"/>
        <v>#N/A</v>
      </c>
      <c r="Z497" s="60" t="e">
        <f t="shared" ca="1" si="98"/>
        <v>#N/A</v>
      </c>
      <c r="AA497" s="92" t="e">
        <f ca="1"/>
        <v>#N/A</v>
      </c>
      <c r="AB497" s="62" t="e">
        <f t="shared" ca="1" si="99"/>
        <v>#N/A</v>
      </c>
      <c r="AC497" s="62" t="e">
        <f t="shared" ca="1" si="100"/>
        <v>#N/A</v>
      </c>
      <c r="AD497" s="62" t="e">
        <f t="shared" ca="1" si="101"/>
        <v>#N/A</v>
      </c>
      <c r="AE497" s="62" t="e">
        <f t="shared" ca="1" si="102"/>
        <v>#N/A</v>
      </c>
    </row>
    <row r="498" spans="18:31" x14ac:dyDescent="0.25">
      <c r="R498" s="62" t="e">
        <f ca="1"/>
        <v>#N/A</v>
      </c>
      <c r="S498" s="62" t="e">
        <f t="shared" ca="1" si="91"/>
        <v>#N/A</v>
      </c>
      <c r="T498" s="62" t="e">
        <f t="shared" ca="1" si="92"/>
        <v>#N/A</v>
      </c>
      <c r="U498" s="62" t="e">
        <f t="shared" ca="1" si="93"/>
        <v>#N/A</v>
      </c>
      <c r="V498" s="62" t="e">
        <f t="shared" ca="1" si="94"/>
        <v>#N/A</v>
      </c>
      <c r="W498" s="60" t="e">
        <f t="shared" ca="1" si="95"/>
        <v>#N/A</v>
      </c>
      <c r="X498" s="60" t="e">
        <f t="shared" ca="1" si="96"/>
        <v>#N/A</v>
      </c>
      <c r="Y498" s="60" t="e">
        <f t="shared" ca="1" si="97"/>
        <v>#N/A</v>
      </c>
      <c r="Z498" s="60" t="e">
        <f t="shared" ca="1" si="98"/>
        <v>#N/A</v>
      </c>
      <c r="AA498" s="92" t="e">
        <f ca="1"/>
        <v>#N/A</v>
      </c>
      <c r="AB498" s="62" t="e">
        <f t="shared" ca="1" si="99"/>
        <v>#N/A</v>
      </c>
      <c r="AC498" s="62" t="e">
        <f t="shared" ca="1" si="100"/>
        <v>#N/A</v>
      </c>
      <c r="AD498" s="62" t="e">
        <f t="shared" ca="1" si="101"/>
        <v>#N/A</v>
      </c>
      <c r="AE498" s="62" t="e">
        <f t="shared" ca="1" si="102"/>
        <v>#N/A</v>
      </c>
    </row>
    <row r="499" spans="18:31" x14ac:dyDescent="0.25">
      <c r="R499" s="62" t="e">
        <f ca="1"/>
        <v>#N/A</v>
      </c>
      <c r="S499" s="62" t="e">
        <f t="shared" ca="1" si="91"/>
        <v>#N/A</v>
      </c>
      <c r="T499" s="62" t="e">
        <f t="shared" ca="1" si="92"/>
        <v>#N/A</v>
      </c>
      <c r="U499" s="62" t="e">
        <f t="shared" ca="1" si="93"/>
        <v>#N/A</v>
      </c>
      <c r="V499" s="62" t="e">
        <f t="shared" ca="1" si="94"/>
        <v>#N/A</v>
      </c>
      <c r="W499" s="60" t="e">
        <f t="shared" ca="1" si="95"/>
        <v>#N/A</v>
      </c>
      <c r="X499" s="60" t="e">
        <f t="shared" ca="1" si="96"/>
        <v>#N/A</v>
      </c>
      <c r="Y499" s="60" t="e">
        <f t="shared" ca="1" si="97"/>
        <v>#N/A</v>
      </c>
      <c r="Z499" s="60" t="e">
        <f t="shared" ca="1" si="98"/>
        <v>#N/A</v>
      </c>
      <c r="AA499" s="92" t="e">
        <f ca="1"/>
        <v>#N/A</v>
      </c>
      <c r="AB499" s="62" t="e">
        <f t="shared" ca="1" si="99"/>
        <v>#N/A</v>
      </c>
      <c r="AC499" s="62" t="e">
        <f t="shared" ca="1" si="100"/>
        <v>#N/A</v>
      </c>
      <c r="AD499" s="62" t="e">
        <f t="shared" ca="1" si="101"/>
        <v>#N/A</v>
      </c>
      <c r="AE499" s="62" t="e">
        <f t="shared" ca="1" si="102"/>
        <v>#N/A</v>
      </c>
    </row>
    <row r="500" spans="18:31" x14ac:dyDescent="0.25">
      <c r="R500" s="62" t="e">
        <f ca="1"/>
        <v>#N/A</v>
      </c>
      <c r="S500" s="62" t="e">
        <f t="shared" ca="1" si="91"/>
        <v>#N/A</v>
      </c>
      <c r="T500" s="62" t="e">
        <f t="shared" ca="1" si="92"/>
        <v>#N/A</v>
      </c>
      <c r="U500" s="62" t="e">
        <f t="shared" ca="1" si="93"/>
        <v>#N/A</v>
      </c>
      <c r="V500" s="62" t="e">
        <f t="shared" ca="1" si="94"/>
        <v>#N/A</v>
      </c>
      <c r="W500" s="60" t="e">
        <f t="shared" ca="1" si="95"/>
        <v>#N/A</v>
      </c>
      <c r="X500" s="60" t="e">
        <f t="shared" ca="1" si="96"/>
        <v>#N/A</v>
      </c>
      <c r="Y500" s="60" t="e">
        <f t="shared" ca="1" si="97"/>
        <v>#N/A</v>
      </c>
      <c r="Z500" s="60" t="e">
        <f t="shared" ca="1" si="98"/>
        <v>#N/A</v>
      </c>
      <c r="AA500" s="92" t="e">
        <f ca="1"/>
        <v>#N/A</v>
      </c>
      <c r="AB500" s="62" t="e">
        <f t="shared" ca="1" si="99"/>
        <v>#N/A</v>
      </c>
      <c r="AC500" s="62" t="e">
        <f t="shared" ca="1" si="100"/>
        <v>#N/A</v>
      </c>
      <c r="AD500" s="62" t="e">
        <f t="shared" ca="1" si="101"/>
        <v>#N/A</v>
      </c>
      <c r="AE500" s="62" t="e">
        <f t="shared" ca="1" si="102"/>
        <v>#N/A</v>
      </c>
    </row>
    <row r="501" spans="18:31" x14ac:dyDescent="0.25">
      <c r="R501" s="62" t="e">
        <f ca="1"/>
        <v>#N/A</v>
      </c>
      <c r="S501" s="62" t="e">
        <f t="shared" ca="1" si="91"/>
        <v>#N/A</v>
      </c>
      <c r="T501" s="62" t="e">
        <f t="shared" ca="1" si="92"/>
        <v>#N/A</v>
      </c>
      <c r="U501" s="62" t="e">
        <f t="shared" ca="1" si="93"/>
        <v>#N/A</v>
      </c>
      <c r="V501" s="62" t="e">
        <f t="shared" ca="1" si="94"/>
        <v>#N/A</v>
      </c>
      <c r="W501" s="60" t="e">
        <f t="shared" ca="1" si="95"/>
        <v>#N/A</v>
      </c>
      <c r="X501" s="60" t="e">
        <f t="shared" ca="1" si="96"/>
        <v>#N/A</v>
      </c>
      <c r="Y501" s="60" t="e">
        <f t="shared" ca="1" si="97"/>
        <v>#N/A</v>
      </c>
      <c r="Z501" s="60" t="e">
        <f t="shared" ca="1" si="98"/>
        <v>#N/A</v>
      </c>
      <c r="AA501" s="92" t="e">
        <f ca="1"/>
        <v>#N/A</v>
      </c>
      <c r="AB501" s="62" t="e">
        <f t="shared" ca="1" si="99"/>
        <v>#N/A</v>
      </c>
      <c r="AC501" s="62" t="e">
        <f t="shared" ca="1" si="100"/>
        <v>#N/A</v>
      </c>
      <c r="AD501" s="62" t="e">
        <f t="shared" ca="1" si="101"/>
        <v>#N/A</v>
      </c>
      <c r="AE501" s="62" t="e">
        <f t="shared" ca="1" si="102"/>
        <v>#N/A</v>
      </c>
    </row>
    <row r="502" spans="18:31" x14ac:dyDescent="0.25">
      <c r="R502" s="62" t="e">
        <f ca="1"/>
        <v>#N/A</v>
      </c>
      <c r="S502" s="62" t="e">
        <f t="shared" ca="1" si="91"/>
        <v>#N/A</v>
      </c>
      <c r="T502" s="62" t="e">
        <f t="shared" ca="1" si="92"/>
        <v>#N/A</v>
      </c>
      <c r="U502" s="62" t="e">
        <f t="shared" ca="1" si="93"/>
        <v>#N/A</v>
      </c>
      <c r="V502" s="62" t="e">
        <f t="shared" ca="1" si="94"/>
        <v>#N/A</v>
      </c>
      <c r="W502" s="60" t="e">
        <f t="shared" ca="1" si="95"/>
        <v>#N/A</v>
      </c>
      <c r="X502" s="60" t="e">
        <f t="shared" ca="1" si="96"/>
        <v>#N/A</v>
      </c>
      <c r="Y502" s="60" t="e">
        <f t="shared" ca="1" si="97"/>
        <v>#N/A</v>
      </c>
      <c r="Z502" s="60" t="e">
        <f t="shared" ca="1" si="98"/>
        <v>#N/A</v>
      </c>
      <c r="AA502" s="92" t="e">
        <f ca="1"/>
        <v>#N/A</v>
      </c>
      <c r="AB502" s="62" t="e">
        <f t="shared" ca="1" si="99"/>
        <v>#N/A</v>
      </c>
      <c r="AC502" s="62" t="e">
        <f t="shared" ca="1" si="100"/>
        <v>#N/A</v>
      </c>
      <c r="AD502" s="62" t="e">
        <f t="shared" ca="1" si="101"/>
        <v>#N/A</v>
      </c>
      <c r="AE502" s="62" t="e">
        <f t="shared" ca="1" si="102"/>
        <v>#N/A</v>
      </c>
    </row>
    <row r="503" spans="18:31" x14ac:dyDescent="0.25">
      <c r="R503" s="62" t="e">
        <f ca="1"/>
        <v>#N/A</v>
      </c>
      <c r="S503" s="62" t="e">
        <f t="shared" ca="1" si="91"/>
        <v>#N/A</v>
      </c>
      <c r="T503" s="62" t="e">
        <f t="shared" ca="1" si="92"/>
        <v>#N/A</v>
      </c>
      <c r="U503" s="62" t="e">
        <f t="shared" ca="1" si="93"/>
        <v>#N/A</v>
      </c>
      <c r="V503" s="62" t="e">
        <f t="shared" ca="1" si="94"/>
        <v>#N/A</v>
      </c>
      <c r="W503" s="60" t="e">
        <f t="shared" ca="1" si="95"/>
        <v>#N/A</v>
      </c>
      <c r="X503" s="60" t="e">
        <f t="shared" ca="1" si="96"/>
        <v>#N/A</v>
      </c>
      <c r="Y503" s="60" t="e">
        <f t="shared" ca="1" si="97"/>
        <v>#N/A</v>
      </c>
      <c r="Z503" s="60" t="e">
        <f t="shared" ca="1" si="98"/>
        <v>#N/A</v>
      </c>
      <c r="AA503" s="92" t="e">
        <f ca="1"/>
        <v>#N/A</v>
      </c>
      <c r="AB503" s="62" t="e">
        <f t="shared" ca="1" si="99"/>
        <v>#N/A</v>
      </c>
      <c r="AC503" s="62" t="e">
        <f t="shared" ca="1" si="100"/>
        <v>#N/A</v>
      </c>
      <c r="AD503" s="62" t="e">
        <f t="shared" ca="1" si="101"/>
        <v>#N/A</v>
      </c>
      <c r="AE503" s="62" t="e">
        <f t="shared" ca="1" si="102"/>
        <v>#N/A</v>
      </c>
    </row>
    <row r="504" spans="18:31" x14ac:dyDescent="0.25">
      <c r="R504" s="62" t="e">
        <f ca="1"/>
        <v>#N/A</v>
      </c>
      <c r="S504" s="62" t="e">
        <f t="shared" ca="1" si="91"/>
        <v>#N/A</v>
      </c>
      <c r="T504" s="62" t="e">
        <f t="shared" ca="1" si="92"/>
        <v>#N/A</v>
      </c>
      <c r="U504" s="62" t="e">
        <f t="shared" ca="1" si="93"/>
        <v>#N/A</v>
      </c>
      <c r="V504" s="62" t="e">
        <f t="shared" ca="1" si="94"/>
        <v>#N/A</v>
      </c>
      <c r="W504" s="60" t="e">
        <f t="shared" ca="1" si="95"/>
        <v>#N/A</v>
      </c>
      <c r="X504" s="60" t="e">
        <f t="shared" ca="1" si="96"/>
        <v>#N/A</v>
      </c>
      <c r="Y504" s="60" t="e">
        <f t="shared" ca="1" si="97"/>
        <v>#N/A</v>
      </c>
      <c r="Z504" s="60" t="e">
        <f t="shared" ca="1" si="98"/>
        <v>#N/A</v>
      </c>
      <c r="AA504" s="92" t="e">
        <f ca="1"/>
        <v>#N/A</v>
      </c>
      <c r="AB504" s="62" t="e">
        <f t="shared" ca="1" si="99"/>
        <v>#N/A</v>
      </c>
      <c r="AC504" s="62" t="e">
        <f t="shared" ca="1" si="100"/>
        <v>#N/A</v>
      </c>
      <c r="AD504" s="62" t="e">
        <f t="shared" ca="1" si="101"/>
        <v>#N/A</v>
      </c>
      <c r="AE504" s="62" t="e">
        <f t="shared" ca="1" si="102"/>
        <v>#N/A</v>
      </c>
    </row>
    <row r="505" spans="18:31" x14ac:dyDescent="0.25">
      <c r="R505" s="62" t="e">
        <f ca="1"/>
        <v>#N/A</v>
      </c>
      <c r="S505" s="62" t="e">
        <f t="shared" ca="1" si="91"/>
        <v>#N/A</v>
      </c>
      <c r="T505" s="62" t="e">
        <f t="shared" ca="1" si="92"/>
        <v>#N/A</v>
      </c>
      <c r="U505" s="62" t="e">
        <f t="shared" ca="1" si="93"/>
        <v>#N/A</v>
      </c>
      <c r="V505" s="62" t="e">
        <f t="shared" ca="1" si="94"/>
        <v>#N/A</v>
      </c>
      <c r="W505" s="60" t="e">
        <f t="shared" ca="1" si="95"/>
        <v>#N/A</v>
      </c>
      <c r="X505" s="60" t="e">
        <f t="shared" ca="1" si="96"/>
        <v>#N/A</v>
      </c>
      <c r="Y505" s="60" t="e">
        <f t="shared" ca="1" si="97"/>
        <v>#N/A</v>
      </c>
      <c r="Z505" s="60" t="e">
        <f t="shared" ca="1" si="98"/>
        <v>#N/A</v>
      </c>
      <c r="AA505" s="92" t="e">
        <f ca="1"/>
        <v>#N/A</v>
      </c>
      <c r="AB505" s="62" t="e">
        <f t="shared" ca="1" si="99"/>
        <v>#N/A</v>
      </c>
      <c r="AC505" s="62" t="e">
        <f t="shared" ca="1" si="100"/>
        <v>#N/A</v>
      </c>
      <c r="AD505" s="62" t="e">
        <f t="shared" ca="1" si="101"/>
        <v>#N/A</v>
      </c>
      <c r="AE505" s="62" t="e">
        <f t="shared" ca="1" si="102"/>
        <v>#N/A</v>
      </c>
    </row>
    <row r="506" spans="18:31" x14ac:dyDescent="0.25">
      <c r="R506" s="62" t="e">
        <f ca="1"/>
        <v>#N/A</v>
      </c>
      <c r="S506" s="62" t="e">
        <f t="shared" ca="1" si="91"/>
        <v>#N/A</v>
      </c>
      <c r="T506" s="62" t="e">
        <f t="shared" ca="1" si="92"/>
        <v>#N/A</v>
      </c>
      <c r="U506" s="62" t="e">
        <f t="shared" ca="1" si="93"/>
        <v>#N/A</v>
      </c>
      <c r="V506" s="62" t="e">
        <f t="shared" ca="1" si="94"/>
        <v>#N/A</v>
      </c>
      <c r="W506" s="60" t="e">
        <f t="shared" ca="1" si="95"/>
        <v>#N/A</v>
      </c>
      <c r="X506" s="60" t="e">
        <f t="shared" ca="1" si="96"/>
        <v>#N/A</v>
      </c>
      <c r="Y506" s="60" t="e">
        <f t="shared" ca="1" si="97"/>
        <v>#N/A</v>
      </c>
      <c r="Z506" s="60" t="e">
        <f t="shared" ca="1" si="98"/>
        <v>#N/A</v>
      </c>
      <c r="AA506" s="92" t="e">
        <f ca="1"/>
        <v>#N/A</v>
      </c>
      <c r="AB506" s="62" t="e">
        <f t="shared" ca="1" si="99"/>
        <v>#N/A</v>
      </c>
      <c r="AC506" s="62" t="e">
        <f t="shared" ca="1" si="100"/>
        <v>#N/A</v>
      </c>
      <c r="AD506" s="62" t="e">
        <f t="shared" ca="1" si="101"/>
        <v>#N/A</v>
      </c>
      <c r="AE506" s="62" t="e">
        <f t="shared" ca="1" si="102"/>
        <v>#N/A</v>
      </c>
    </row>
    <row r="507" spans="18:31" x14ac:dyDescent="0.25">
      <c r="R507" s="62" t="e">
        <f ca="1"/>
        <v>#N/A</v>
      </c>
      <c r="S507" s="62" t="e">
        <f t="shared" ca="1" si="91"/>
        <v>#N/A</v>
      </c>
      <c r="T507" s="62" t="e">
        <f t="shared" ca="1" si="92"/>
        <v>#N/A</v>
      </c>
      <c r="U507" s="62" t="e">
        <f t="shared" ca="1" si="93"/>
        <v>#N/A</v>
      </c>
      <c r="V507" s="62" t="e">
        <f t="shared" ca="1" si="94"/>
        <v>#N/A</v>
      </c>
      <c r="W507" s="60" t="e">
        <f t="shared" ca="1" si="95"/>
        <v>#N/A</v>
      </c>
      <c r="X507" s="60" t="e">
        <f t="shared" ca="1" si="96"/>
        <v>#N/A</v>
      </c>
      <c r="Y507" s="60" t="e">
        <f t="shared" ca="1" si="97"/>
        <v>#N/A</v>
      </c>
      <c r="Z507" s="60" t="e">
        <f t="shared" ca="1" si="98"/>
        <v>#N/A</v>
      </c>
      <c r="AA507" s="92" t="e">
        <f ca="1"/>
        <v>#N/A</v>
      </c>
      <c r="AB507" s="62" t="e">
        <f t="shared" ca="1" si="99"/>
        <v>#N/A</v>
      </c>
      <c r="AC507" s="62" t="e">
        <f t="shared" ca="1" si="100"/>
        <v>#N/A</v>
      </c>
      <c r="AD507" s="62" t="e">
        <f t="shared" ca="1" si="101"/>
        <v>#N/A</v>
      </c>
      <c r="AE507" s="62" t="e">
        <f t="shared" ca="1" si="102"/>
        <v>#N/A</v>
      </c>
    </row>
    <row r="508" spans="18:31" x14ac:dyDescent="0.25">
      <c r="R508" s="62" t="e">
        <f ca="1"/>
        <v>#N/A</v>
      </c>
      <c r="S508" s="62" t="e">
        <f t="shared" ca="1" si="91"/>
        <v>#N/A</v>
      </c>
      <c r="T508" s="62" t="e">
        <f t="shared" ca="1" si="92"/>
        <v>#N/A</v>
      </c>
      <c r="U508" s="62" t="e">
        <f t="shared" ca="1" si="93"/>
        <v>#N/A</v>
      </c>
      <c r="V508" s="62" t="e">
        <f t="shared" ca="1" si="94"/>
        <v>#N/A</v>
      </c>
      <c r="W508" s="60" t="e">
        <f t="shared" ca="1" si="95"/>
        <v>#N/A</v>
      </c>
      <c r="X508" s="60" t="e">
        <f t="shared" ca="1" si="96"/>
        <v>#N/A</v>
      </c>
      <c r="Y508" s="60" t="e">
        <f t="shared" ca="1" si="97"/>
        <v>#N/A</v>
      </c>
      <c r="Z508" s="60" t="e">
        <f t="shared" ca="1" si="98"/>
        <v>#N/A</v>
      </c>
      <c r="AA508" s="92" t="e">
        <f ca="1"/>
        <v>#N/A</v>
      </c>
      <c r="AB508" s="62" t="e">
        <f t="shared" ca="1" si="99"/>
        <v>#N/A</v>
      </c>
      <c r="AC508" s="62" t="e">
        <f t="shared" ca="1" si="100"/>
        <v>#N/A</v>
      </c>
      <c r="AD508" s="62" t="e">
        <f t="shared" ca="1" si="101"/>
        <v>#N/A</v>
      </c>
      <c r="AE508" s="62" t="e">
        <f t="shared" ca="1" si="102"/>
        <v>#N/A</v>
      </c>
    </row>
    <row r="509" spans="18:31" x14ac:dyDescent="0.25">
      <c r="R509" s="62" t="e">
        <f ca="1"/>
        <v>#N/A</v>
      </c>
      <c r="S509" s="62" t="e">
        <f t="shared" ca="1" si="91"/>
        <v>#N/A</v>
      </c>
      <c r="T509" s="62" t="e">
        <f t="shared" ca="1" si="92"/>
        <v>#N/A</v>
      </c>
      <c r="U509" s="62" t="e">
        <f t="shared" ca="1" si="93"/>
        <v>#N/A</v>
      </c>
      <c r="V509" s="62" t="e">
        <f t="shared" ca="1" si="94"/>
        <v>#N/A</v>
      </c>
      <c r="W509" s="60" t="e">
        <f t="shared" ca="1" si="95"/>
        <v>#N/A</v>
      </c>
      <c r="X509" s="60" t="e">
        <f t="shared" ca="1" si="96"/>
        <v>#N/A</v>
      </c>
      <c r="Y509" s="60" t="e">
        <f t="shared" ca="1" si="97"/>
        <v>#N/A</v>
      </c>
      <c r="Z509" s="60" t="e">
        <f t="shared" ca="1" si="98"/>
        <v>#N/A</v>
      </c>
      <c r="AA509" s="92" t="e">
        <f ca="1"/>
        <v>#N/A</v>
      </c>
      <c r="AB509" s="62" t="e">
        <f t="shared" ca="1" si="99"/>
        <v>#N/A</v>
      </c>
      <c r="AC509" s="62" t="e">
        <f t="shared" ca="1" si="100"/>
        <v>#N/A</v>
      </c>
      <c r="AD509" s="62" t="e">
        <f t="shared" ca="1" si="101"/>
        <v>#N/A</v>
      </c>
      <c r="AE509" s="62" t="e">
        <f t="shared" ca="1" si="102"/>
        <v>#N/A</v>
      </c>
    </row>
    <row r="510" spans="18:31" x14ac:dyDescent="0.25">
      <c r="R510" s="62" t="e">
        <f ca="1"/>
        <v>#N/A</v>
      </c>
      <c r="S510" s="62" t="e">
        <f t="shared" ca="1" si="91"/>
        <v>#N/A</v>
      </c>
      <c r="T510" s="62" t="e">
        <f t="shared" ca="1" si="92"/>
        <v>#N/A</v>
      </c>
      <c r="U510" s="62" t="e">
        <f t="shared" ca="1" si="93"/>
        <v>#N/A</v>
      </c>
      <c r="V510" s="62" t="e">
        <f t="shared" ca="1" si="94"/>
        <v>#N/A</v>
      </c>
      <c r="W510" s="60" t="e">
        <f t="shared" ca="1" si="95"/>
        <v>#N/A</v>
      </c>
      <c r="X510" s="60" t="e">
        <f t="shared" ca="1" si="96"/>
        <v>#N/A</v>
      </c>
      <c r="Y510" s="60" t="e">
        <f t="shared" ca="1" si="97"/>
        <v>#N/A</v>
      </c>
      <c r="Z510" s="60" t="e">
        <f t="shared" ca="1" si="98"/>
        <v>#N/A</v>
      </c>
      <c r="AA510" s="92" t="e">
        <f ca="1"/>
        <v>#N/A</v>
      </c>
      <c r="AB510" s="62" t="e">
        <f t="shared" ca="1" si="99"/>
        <v>#N/A</v>
      </c>
      <c r="AC510" s="62" t="e">
        <f t="shared" ca="1" si="100"/>
        <v>#N/A</v>
      </c>
      <c r="AD510" s="62" t="e">
        <f t="shared" ca="1" si="101"/>
        <v>#N/A</v>
      </c>
      <c r="AE510" s="62" t="e">
        <f t="shared" ca="1" si="102"/>
        <v>#N/A</v>
      </c>
    </row>
    <row r="511" spans="18:31" x14ac:dyDescent="0.25">
      <c r="R511" s="62" t="e">
        <f ca="1"/>
        <v>#N/A</v>
      </c>
      <c r="S511" s="62" t="e">
        <f t="shared" ca="1" si="91"/>
        <v>#N/A</v>
      </c>
      <c r="T511" s="62" t="e">
        <f t="shared" ca="1" si="92"/>
        <v>#N/A</v>
      </c>
      <c r="U511" s="62" t="e">
        <f t="shared" ca="1" si="93"/>
        <v>#N/A</v>
      </c>
      <c r="V511" s="62" t="e">
        <f t="shared" ca="1" si="94"/>
        <v>#N/A</v>
      </c>
      <c r="W511" s="60" t="e">
        <f t="shared" ca="1" si="95"/>
        <v>#N/A</v>
      </c>
      <c r="X511" s="60" t="e">
        <f t="shared" ca="1" si="96"/>
        <v>#N/A</v>
      </c>
      <c r="Y511" s="60" t="e">
        <f t="shared" ca="1" si="97"/>
        <v>#N/A</v>
      </c>
      <c r="Z511" s="60" t="e">
        <f t="shared" ca="1" si="98"/>
        <v>#N/A</v>
      </c>
      <c r="AA511" s="92" t="e">
        <f ca="1"/>
        <v>#N/A</v>
      </c>
      <c r="AB511" s="62" t="e">
        <f t="shared" ca="1" si="99"/>
        <v>#N/A</v>
      </c>
      <c r="AC511" s="62" t="e">
        <f t="shared" ca="1" si="100"/>
        <v>#N/A</v>
      </c>
      <c r="AD511" s="62" t="e">
        <f t="shared" ca="1" si="101"/>
        <v>#N/A</v>
      </c>
      <c r="AE511" s="62" t="e">
        <f t="shared" ca="1" si="102"/>
        <v>#N/A</v>
      </c>
    </row>
    <row r="512" spans="18:31" x14ac:dyDescent="0.25">
      <c r="R512" s="62" t="e">
        <f ca="1"/>
        <v>#N/A</v>
      </c>
      <c r="S512" s="62" t="e">
        <f t="shared" ca="1" si="91"/>
        <v>#N/A</v>
      </c>
      <c r="T512" s="62" t="e">
        <f t="shared" ca="1" si="92"/>
        <v>#N/A</v>
      </c>
      <c r="U512" s="62" t="e">
        <f t="shared" ca="1" si="93"/>
        <v>#N/A</v>
      </c>
      <c r="V512" s="62" t="e">
        <f t="shared" ca="1" si="94"/>
        <v>#N/A</v>
      </c>
      <c r="W512" s="60" t="e">
        <f t="shared" ca="1" si="95"/>
        <v>#N/A</v>
      </c>
      <c r="X512" s="60" t="e">
        <f t="shared" ca="1" si="96"/>
        <v>#N/A</v>
      </c>
      <c r="Y512" s="60" t="e">
        <f t="shared" ca="1" si="97"/>
        <v>#N/A</v>
      </c>
      <c r="Z512" s="60" t="e">
        <f t="shared" ca="1" si="98"/>
        <v>#N/A</v>
      </c>
      <c r="AA512" s="92" t="e">
        <f ca="1"/>
        <v>#N/A</v>
      </c>
      <c r="AB512" s="62" t="e">
        <f t="shared" ca="1" si="99"/>
        <v>#N/A</v>
      </c>
      <c r="AC512" s="62" t="e">
        <f t="shared" ca="1" si="100"/>
        <v>#N/A</v>
      </c>
      <c r="AD512" s="62" t="e">
        <f t="shared" ca="1" si="101"/>
        <v>#N/A</v>
      </c>
      <c r="AE512" s="62" t="e">
        <f t="shared" ca="1" si="102"/>
        <v>#N/A</v>
      </c>
    </row>
    <row r="513" spans="18:31" x14ac:dyDescent="0.25">
      <c r="R513" s="62" t="e">
        <f ca="1"/>
        <v>#N/A</v>
      </c>
      <c r="S513" s="62" t="e">
        <f t="shared" ca="1" si="91"/>
        <v>#N/A</v>
      </c>
      <c r="T513" s="62" t="e">
        <f t="shared" ca="1" si="92"/>
        <v>#N/A</v>
      </c>
      <c r="U513" s="62" t="e">
        <f t="shared" ca="1" si="93"/>
        <v>#N/A</v>
      </c>
      <c r="V513" s="62" t="e">
        <f t="shared" ca="1" si="94"/>
        <v>#N/A</v>
      </c>
      <c r="W513" s="60" t="e">
        <f t="shared" ca="1" si="95"/>
        <v>#N/A</v>
      </c>
      <c r="X513" s="60" t="e">
        <f t="shared" ca="1" si="96"/>
        <v>#N/A</v>
      </c>
      <c r="Y513" s="60" t="e">
        <f t="shared" ca="1" si="97"/>
        <v>#N/A</v>
      </c>
      <c r="Z513" s="60" t="e">
        <f t="shared" ca="1" si="98"/>
        <v>#N/A</v>
      </c>
      <c r="AA513" s="92" t="e">
        <f ca="1"/>
        <v>#N/A</v>
      </c>
      <c r="AB513" s="62" t="e">
        <f t="shared" ca="1" si="99"/>
        <v>#N/A</v>
      </c>
      <c r="AC513" s="62" t="e">
        <f t="shared" ca="1" si="100"/>
        <v>#N/A</v>
      </c>
      <c r="AD513" s="62" t="e">
        <f t="shared" ca="1" si="101"/>
        <v>#N/A</v>
      </c>
      <c r="AE513" s="62" t="e">
        <f t="shared" ca="1" si="102"/>
        <v>#N/A</v>
      </c>
    </row>
    <row r="514" spans="18:31" x14ac:dyDescent="0.25">
      <c r="R514" s="62" t="e">
        <f ca="1"/>
        <v>#N/A</v>
      </c>
      <c r="S514" s="62" t="e">
        <f t="shared" ca="1" si="91"/>
        <v>#N/A</v>
      </c>
      <c r="T514" s="62" t="e">
        <f t="shared" ca="1" si="92"/>
        <v>#N/A</v>
      </c>
      <c r="U514" s="62" t="e">
        <f t="shared" ca="1" si="93"/>
        <v>#N/A</v>
      </c>
      <c r="V514" s="62" t="e">
        <f t="shared" ca="1" si="94"/>
        <v>#N/A</v>
      </c>
      <c r="W514" s="60" t="e">
        <f t="shared" ca="1" si="95"/>
        <v>#N/A</v>
      </c>
      <c r="X514" s="60" t="e">
        <f t="shared" ca="1" si="96"/>
        <v>#N/A</v>
      </c>
      <c r="Y514" s="60" t="e">
        <f t="shared" ca="1" si="97"/>
        <v>#N/A</v>
      </c>
      <c r="Z514" s="60" t="e">
        <f t="shared" ca="1" si="98"/>
        <v>#N/A</v>
      </c>
      <c r="AA514" s="92" t="e">
        <f ca="1"/>
        <v>#N/A</v>
      </c>
      <c r="AB514" s="62" t="e">
        <f t="shared" ca="1" si="99"/>
        <v>#N/A</v>
      </c>
      <c r="AC514" s="62" t="e">
        <f t="shared" ca="1" si="100"/>
        <v>#N/A</v>
      </c>
      <c r="AD514" s="62" t="e">
        <f t="shared" ca="1" si="101"/>
        <v>#N/A</v>
      </c>
      <c r="AE514" s="62" t="e">
        <f t="shared" ca="1" si="102"/>
        <v>#N/A</v>
      </c>
    </row>
    <row r="515" spans="18:31" x14ac:dyDescent="0.25">
      <c r="R515" s="62" t="e">
        <f ca="1"/>
        <v>#N/A</v>
      </c>
      <c r="S515" s="62" t="e">
        <f t="shared" ca="1" si="91"/>
        <v>#N/A</v>
      </c>
      <c r="T515" s="62" t="e">
        <f t="shared" ca="1" si="92"/>
        <v>#N/A</v>
      </c>
      <c r="U515" s="62" t="e">
        <f t="shared" ca="1" si="93"/>
        <v>#N/A</v>
      </c>
      <c r="V515" s="62" t="e">
        <f t="shared" ca="1" si="94"/>
        <v>#N/A</v>
      </c>
      <c r="W515" s="60" t="e">
        <f t="shared" ca="1" si="95"/>
        <v>#N/A</v>
      </c>
      <c r="X515" s="60" t="e">
        <f t="shared" ca="1" si="96"/>
        <v>#N/A</v>
      </c>
      <c r="Y515" s="60" t="e">
        <f t="shared" ca="1" si="97"/>
        <v>#N/A</v>
      </c>
      <c r="Z515" s="60" t="e">
        <f t="shared" ca="1" si="98"/>
        <v>#N/A</v>
      </c>
      <c r="AA515" s="92" t="e">
        <f ca="1"/>
        <v>#N/A</v>
      </c>
      <c r="AB515" s="62" t="e">
        <f t="shared" ca="1" si="99"/>
        <v>#N/A</v>
      </c>
      <c r="AC515" s="62" t="e">
        <f t="shared" ca="1" si="100"/>
        <v>#N/A</v>
      </c>
      <c r="AD515" s="62" t="e">
        <f t="shared" ca="1" si="101"/>
        <v>#N/A</v>
      </c>
      <c r="AE515" s="62" t="e">
        <f t="shared" ca="1" si="102"/>
        <v>#N/A</v>
      </c>
    </row>
    <row r="516" spans="18:31" x14ac:dyDescent="0.25">
      <c r="R516" s="62" t="e">
        <f ca="1"/>
        <v>#N/A</v>
      </c>
      <c r="S516" s="62" t="e">
        <f t="shared" ca="1" si="91"/>
        <v>#N/A</v>
      </c>
      <c r="T516" s="62" t="e">
        <f t="shared" ca="1" si="92"/>
        <v>#N/A</v>
      </c>
      <c r="U516" s="62" t="e">
        <f t="shared" ca="1" si="93"/>
        <v>#N/A</v>
      </c>
      <c r="V516" s="62" t="e">
        <f t="shared" ca="1" si="94"/>
        <v>#N/A</v>
      </c>
      <c r="W516" s="60" t="e">
        <f t="shared" ca="1" si="95"/>
        <v>#N/A</v>
      </c>
      <c r="X516" s="60" t="e">
        <f t="shared" ca="1" si="96"/>
        <v>#N/A</v>
      </c>
      <c r="Y516" s="60" t="e">
        <f t="shared" ca="1" si="97"/>
        <v>#N/A</v>
      </c>
      <c r="Z516" s="60" t="e">
        <f t="shared" ca="1" si="98"/>
        <v>#N/A</v>
      </c>
      <c r="AA516" s="92" t="e">
        <f ca="1"/>
        <v>#N/A</v>
      </c>
      <c r="AB516" s="62" t="e">
        <f t="shared" ca="1" si="99"/>
        <v>#N/A</v>
      </c>
      <c r="AC516" s="62" t="e">
        <f t="shared" ca="1" si="100"/>
        <v>#N/A</v>
      </c>
      <c r="AD516" s="62" t="e">
        <f t="shared" ca="1" si="101"/>
        <v>#N/A</v>
      </c>
      <c r="AE516" s="62" t="e">
        <f t="shared" ca="1" si="102"/>
        <v>#N/A</v>
      </c>
    </row>
    <row r="517" spans="18:31" x14ac:dyDescent="0.25">
      <c r="R517" s="62" t="e">
        <f ca="1"/>
        <v>#N/A</v>
      </c>
      <c r="S517" s="62" t="e">
        <f t="shared" ca="1" si="91"/>
        <v>#N/A</v>
      </c>
      <c r="T517" s="62" t="e">
        <f t="shared" ca="1" si="92"/>
        <v>#N/A</v>
      </c>
      <c r="U517" s="62" t="e">
        <f t="shared" ca="1" si="93"/>
        <v>#N/A</v>
      </c>
      <c r="V517" s="62" t="e">
        <f t="shared" ca="1" si="94"/>
        <v>#N/A</v>
      </c>
      <c r="W517" s="60" t="e">
        <f t="shared" ca="1" si="95"/>
        <v>#N/A</v>
      </c>
      <c r="X517" s="60" t="e">
        <f t="shared" ca="1" si="96"/>
        <v>#N/A</v>
      </c>
      <c r="Y517" s="60" t="e">
        <f t="shared" ca="1" si="97"/>
        <v>#N/A</v>
      </c>
      <c r="Z517" s="60" t="e">
        <f t="shared" ca="1" si="98"/>
        <v>#N/A</v>
      </c>
      <c r="AA517" s="92" t="e">
        <f ca="1"/>
        <v>#N/A</v>
      </c>
      <c r="AB517" s="62" t="e">
        <f t="shared" ca="1" si="99"/>
        <v>#N/A</v>
      </c>
      <c r="AC517" s="62" t="e">
        <f t="shared" ca="1" si="100"/>
        <v>#N/A</v>
      </c>
      <c r="AD517" s="62" t="e">
        <f t="shared" ca="1" si="101"/>
        <v>#N/A</v>
      </c>
      <c r="AE517" s="62" t="e">
        <f t="shared" ca="1" si="102"/>
        <v>#N/A</v>
      </c>
    </row>
    <row r="518" spans="18:31" x14ac:dyDescent="0.25">
      <c r="R518" s="62" t="e">
        <f ca="1"/>
        <v>#N/A</v>
      </c>
      <c r="S518" s="62" t="e">
        <f t="shared" ca="1" si="91"/>
        <v>#N/A</v>
      </c>
      <c r="T518" s="62" t="e">
        <f t="shared" ca="1" si="92"/>
        <v>#N/A</v>
      </c>
      <c r="U518" s="62" t="e">
        <f t="shared" ca="1" si="93"/>
        <v>#N/A</v>
      </c>
      <c r="V518" s="62" t="e">
        <f t="shared" ca="1" si="94"/>
        <v>#N/A</v>
      </c>
      <c r="W518" s="60" t="e">
        <f t="shared" ca="1" si="95"/>
        <v>#N/A</v>
      </c>
      <c r="X518" s="60" t="e">
        <f t="shared" ca="1" si="96"/>
        <v>#N/A</v>
      </c>
      <c r="Y518" s="60" t="e">
        <f t="shared" ca="1" si="97"/>
        <v>#N/A</v>
      </c>
      <c r="Z518" s="60" t="e">
        <f t="shared" ca="1" si="98"/>
        <v>#N/A</v>
      </c>
      <c r="AA518" s="92" t="e">
        <f ca="1"/>
        <v>#N/A</v>
      </c>
      <c r="AB518" s="62" t="e">
        <f t="shared" ca="1" si="99"/>
        <v>#N/A</v>
      </c>
      <c r="AC518" s="62" t="e">
        <f t="shared" ca="1" si="100"/>
        <v>#N/A</v>
      </c>
      <c r="AD518" s="62" t="e">
        <f t="shared" ca="1" si="101"/>
        <v>#N/A</v>
      </c>
      <c r="AE518" s="62" t="e">
        <f t="shared" ca="1" si="102"/>
        <v>#N/A</v>
      </c>
    </row>
    <row r="519" spans="18:31" x14ac:dyDescent="0.25">
      <c r="R519" s="62" t="e">
        <f ca="1"/>
        <v>#N/A</v>
      </c>
      <c r="S519" s="62" t="e">
        <f t="shared" ca="1" si="91"/>
        <v>#N/A</v>
      </c>
      <c r="T519" s="62" t="e">
        <f t="shared" ca="1" si="92"/>
        <v>#N/A</v>
      </c>
      <c r="U519" s="62" t="e">
        <f t="shared" ca="1" si="93"/>
        <v>#N/A</v>
      </c>
      <c r="V519" s="62" t="e">
        <f t="shared" ca="1" si="94"/>
        <v>#N/A</v>
      </c>
      <c r="W519" s="60" t="e">
        <f t="shared" ca="1" si="95"/>
        <v>#N/A</v>
      </c>
      <c r="X519" s="60" t="e">
        <f t="shared" ca="1" si="96"/>
        <v>#N/A</v>
      </c>
      <c r="Y519" s="60" t="e">
        <f t="shared" ca="1" si="97"/>
        <v>#N/A</v>
      </c>
      <c r="Z519" s="60" t="e">
        <f t="shared" ca="1" si="98"/>
        <v>#N/A</v>
      </c>
      <c r="AA519" s="92" t="e">
        <f ca="1"/>
        <v>#N/A</v>
      </c>
      <c r="AB519" s="62" t="e">
        <f t="shared" ca="1" si="99"/>
        <v>#N/A</v>
      </c>
      <c r="AC519" s="62" t="e">
        <f t="shared" ca="1" si="100"/>
        <v>#N/A</v>
      </c>
      <c r="AD519" s="62" t="e">
        <f t="shared" ca="1" si="101"/>
        <v>#N/A</v>
      </c>
      <c r="AE519" s="62" t="e">
        <f t="shared" ca="1" si="102"/>
        <v>#N/A</v>
      </c>
    </row>
    <row r="520" spans="18:31" x14ac:dyDescent="0.25">
      <c r="R520" s="62" t="e">
        <f ca="1"/>
        <v>#N/A</v>
      </c>
      <c r="S520" s="62" t="e">
        <f t="shared" ca="1" si="91"/>
        <v>#N/A</v>
      </c>
      <c r="T520" s="62" t="e">
        <f t="shared" ca="1" si="92"/>
        <v>#N/A</v>
      </c>
      <c r="U520" s="62" t="e">
        <f t="shared" ca="1" si="93"/>
        <v>#N/A</v>
      </c>
      <c r="V520" s="62" t="e">
        <f t="shared" ca="1" si="94"/>
        <v>#N/A</v>
      </c>
      <c r="W520" s="60" t="e">
        <f t="shared" ca="1" si="95"/>
        <v>#N/A</v>
      </c>
      <c r="X520" s="60" t="e">
        <f t="shared" ca="1" si="96"/>
        <v>#N/A</v>
      </c>
      <c r="Y520" s="60" t="e">
        <f t="shared" ca="1" si="97"/>
        <v>#N/A</v>
      </c>
      <c r="Z520" s="60" t="e">
        <f t="shared" ca="1" si="98"/>
        <v>#N/A</v>
      </c>
      <c r="AA520" s="92" t="e">
        <f ca="1"/>
        <v>#N/A</v>
      </c>
      <c r="AB520" s="62" t="e">
        <f t="shared" ca="1" si="99"/>
        <v>#N/A</v>
      </c>
      <c r="AC520" s="62" t="e">
        <f t="shared" ca="1" si="100"/>
        <v>#N/A</v>
      </c>
      <c r="AD520" s="62" t="e">
        <f t="shared" ca="1" si="101"/>
        <v>#N/A</v>
      </c>
      <c r="AE520" s="62" t="e">
        <f t="shared" ca="1" si="102"/>
        <v>#N/A</v>
      </c>
    </row>
    <row r="521" spans="18:31" x14ac:dyDescent="0.25">
      <c r="R521" s="62" t="e">
        <f ca="1"/>
        <v>#N/A</v>
      </c>
      <c r="S521" s="62" t="e">
        <f t="shared" ca="1" si="91"/>
        <v>#N/A</v>
      </c>
      <c r="T521" s="62" t="e">
        <f t="shared" ca="1" si="92"/>
        <v>#N/A</v>
      </c>
      <c r="U521" s="62" t="e">
        <f t="shared" ca="1" si="93"/>
        <v>#N/A</v>
      </c>
      <c r="V521" s="62" t="e">
        <f t="shared" ca="1" si="94"/>
        <v>#N/A</v>
      </c>
      <c r="W521" s="60" t="e">
        <f t="shared" ca="1" si="95"/>
        <v>#N/A</v>
      </c>
      <c r="X521" s="60" t="e">
        <f t="shared" ca="1" si="96"/>
        <v>#N/A</v>
      </c>
      <c r="Y521" s="60" t="e">
        <f t="shared" ca="1" si="97"/>
        <v>#N/A</v>
      </c>
      <c r="Z521" s="60" t="e">
        <f t="shared" ca="1" si="98"/>
        <v>#N/A</v>
      </c>
      <c r="AA521" s="92" t="e">
        <f ca="1"/>
        <v>#N/A</v>
      </c>
      <c r="AB521" s="62" t="e">
        <f t="shared" ca="1" si="99"/>
        <v>#N/A</v>
      </c>
      <c r="AC521" s="62" t="e">
        <f t="shared" ca="1" si="100"/>
        <v>#N/A</v>
      </c>
      <c r="AD521" s="62" t="e">
        <f t="shared" ca="1" si="101"/>
        <v>#N/A</v>
      </c>
      <c r="AE521" s="62" t="e">
        <f t="shared" ca="1" si="102"/>
        <v>#N/A</v>
      </c>
    </row>
    <row r="522" spans="18:31" x14ac:dyDescent="0.25">
      <c r="R522" s="62" t="e">
        <f ca="1"/>
        <v>#N/A</v>
      </c>
      <c r="S522" s="62" t="e">
        <f t="shared" ca="1" si="91"/>
        <v>#N/A</v>
      </c>
      <c r="T522" s="62" t="e">
        <f t="shared" ca="1" si="92"/>
        <v>#N/A</v>
      </c>
      <c r="U522" s="62" t="e">
        <f t="shared" ca="1" si="93"/>
        <v>#N/A</v>
      </c>
      <c r="V522" s="62" t="e">
        <f t="shared" ca="1" si="94"/>
        <v>#N/A</v>
      </c>
      <c r="W522" s="60" t="e">
        <f t="shared" ca="1" si="95"/>
        <v>#N/A</v>
      </c>
      <c r="X522" s="60" t="e">
        <f t="shared" ca="1" si="96"/>
        <v>#N/A</v>
      </c>
      <c r="Y522" s="60" t="e">
        <f t="shared" ca="1" si="97"/>
        <v>#N/A</v>
      </c>
      <c r="Z522" s="60" t="e">
        <f t="shared" ca="1" si="98"/>
        <v>#N/A</v>
      </c>
      <c r="AA522" s="92" t="e">
        <f ca="1"/>
        <v>#N/A</v>
      </c>
      <c r="AB522" s="62" t="e">
        <f t="shared" ca="1" si="99"/>
        <v>#N/A</v>
      </c>
      <c r="AC522" s="62" t="e">
        <f t="shared" ca="1" si="100"/>
        <v>#N/A</v>
      </c>
      <c r="AD522" s="62" t="e">
        <f t="shared" ca="1" si="101"/>
        <v>#N/A</v>
      </c>
      <c r="AE522" s="62" t="e">
        <f t="shared" ca="1" si="102"/>
        <v>#N/A</v>
      </c>
    </row>
    <row r="523" spans="18:31" x14ac:dyDescent="0.25">
      <c r="R523" s="62" t="e">
        <f ca="1"/>
        <v>#N/A</v>
      </c>
      <c r="S523" s="62" t="e">
        <f t="shared" ca="1" si="91"/>
        <v>#N/A</v>
      </c>
      <c r="T523" s="62" t="e">
        <f t="shared" ca="1" si="92"/>
        <v>#N/A</v>
      </c>
      <c r="U523" s="62" t="e">
        <f t="shared" ca="1" si="93"/>
        <v>#N/A</v>
      </c>
      <c r="V523" s="62" t="e">
        <f t="shared" ca="1" si="94"/>
        <v>#N/A</v>
      </c>
      <c r="W523" s="60" t="e">
        <f t="shared" ca="1" si="95"/>
        <v>#N/A</v>
      </c>
      <c r="X523" s="60" t="e">
        <f t="shared" ca="1" si="96"/>
        <v>#N/A</v>
      </c>
      <c r="Y523" s="60" t="e">
        <f t="shared" ca="1" si="97"/>
        <v>#N/A</v>
      </c>
      <c r="Z523" s="60" t="e">
        <f t="shared" ca="1" si="98"/>
        <v>#N/A</v>
      </c>
      <c r="AA523" s="92" t="e">
        <f ca="1"/>
        <v>#N/A</v>
      </c>
      <c r="AB523" s="62" t="e">
        <f t="shared" ca="1" si="99"/>
        <v>#N/A</v>
      </c>
      <c r="AC523" s="62" t="e">
        <f t="shared" ca="1" si="100"/>
        <v>#N/A</v>
      </c>
      <c r="AD523" s="62" t="e">
        <f t="shared" ca="1" si="101"/>
        <v>#N/A</v>
      </c>
      <c r="AE523" s="62" t="e">
        <f t="shared" ca="1" si="102"/>
        <v>#N/A</v>
      </c>
    </row>
    <row r="524" spans="18:31" x14ac:dyDescent="0.25">
      <c r="R524" s="62" t="e">
        <f ca="1"/>
        <v>#N/A</v>
      </c>
      <c r="S524" s="62" t="e">
        <f t="shared" ref="S524:S587" ca="1" si="103">IF(R524&gt;1,R524,"")</f>
        <v>#N/A</v>
      </c>
      <c r="T524" s="62" t="e">
        <f t="shared" ref="T524:T587" ca="1" si="104">VLOOKUP(S524,ModelOutputs,2,FALSE)</f>
        <v>#N/A</v>
      </c>
      <c r="U524" s="62" t="e">
        <f t="shared" ref="U524:U587" ca="1" si="105">VLOOKUP(S524,ModelOutputs,7,FALSE)</f>
        <v>#N/A</v>
      </c>
      <c r="V524" s="62" t="e">
        <f t="shared" ref="V524:V587" ca="1" si="106">VLOOKUP(S524,ModelOutputs,6,FALSE)</f>
        <v>#N/A</v>
      </c>
      <c r="W524" s="60" t="e">
        <f t="shared" ref="W524:W587" ca="1" si="107">VLOOKUP(S524,ModelOutputs,10,FALSE)*AWC</f>
        <v>#N/A</v>
      </c>
      <c r="X524" s="60" t="e">
        <f t="shared" ref="X524:X587" ca="1" si="108">VLOOKUP(S524,ModelOutputs,11,FALSE)+X523</f>
        <v>#N/A</v>
      </c>
      <c r="Y524" s="60" t="e">
        <f t="shared" ref="Y524:Y587" ca="1" si="109">VLOOKUP(S524,ModelOutputs,12,FALSE)</f>
        <v>#N/A</v>
      </c>
      <c r="Z524" s="60" t="e">
        <f t="shared" ref="Z524:Z587" ca="1" si="110">VLOOKUP(S524,ModelOutputs,13,FALSE)</f>
        <v>#N/A</v>
      </c>
      <c r="AA524" s="92" t="e">
        <f ca="1"/>
        <v>#N/A</v>
      </c>
      <c r="AB524" s="62" t="e">
        <f t="shared" ref="AB524:AB587" ca="1" si="111">IF(AA524&gt;1,AA524,"")</f>
        <v>#N/A</v>
      </c>
      <c r="AC524" s="62" t="e">
        <f t="shared" ref="AC524:AC587" ca="1" si="112">VLOOKUP(AB524,ModelOutputs,2,FALSE)</f>
        <v>#N/A</v>
      </c>
      <c r="AD524" s="62" t="e">
        <f t="shared" ref="AD524:AD587" ca="1" si="113">VLOOKUP(AB524,ModelOutputs,7,FALSE)</f>
        <v>#N/A</v>
      </c>
      <c r="AE524" s="62" t="e">
        <f t="shared" ref="AE524:AE587" ca="1" si="114">VLOOKUP(AB524,ModelOutputs,6,FALSE)</f>
        <v>#N/A</v>
      </c>
    </row>
    <row r="525" spans="18:31" x14ac:dyDescent="0.25">
      <c r="R525" s="62" t="e">
        <f ca="1"/>
        <v>#N/A</v>
      </c>
      <c r="S525" s="62" t="e">
        <f t="shared" ca="1" si="103"/>
        <v>#N/A</v>
      </c>
      <c r="T525" s="62" t="e">
        <f t="shared" ca="1" si="104"/>
        <v>#N/A</v>
      </c>
      <c r="U525" s="62" t="e">
        <f t="shared" ca="1" si="105"/>
        <v>#N/A</v>
      </c>
      <c r="V525" s="62" t="e">
        <f t="shared" ca="1" si="106"/>
        <v>#N/A</v>
      </c>
      <c r="W525" s="60" t="e">
        <f t="shared" ca="1" si="107"/>
        <v>#N/A</v>
      </c>
      <c r="X525" s="60" t="e">
        <f t="shared" ca="1" si="108"/>
        <v>#N/A</v>
      </c>
      <c r="Y525" s="60" t="e">
        <f t="shared" ca="1" si="109"/>
        <v>#N/A</v>
      </c>
      <c r="Z525" s="60" t="e">
        <f t="shared" ca="1" si="110"/>
        <v>#N/A</v>
      </c>
      <c r="AA525" s="92" t="e">
        <f ca="1"/>
        <v>#N/A</v>
      </c>
      <c r="AB525" s="62" t="e">
        <f t="shared" ca="1" si="111"/>
        <v>#N/A</v>
      </c>
      <c r="AC525" s="62" t="e">
        <f t="shared" ca="1" si="112"/>
        <v>#N/A</v>
      </c>
      <c r="AD525" s="62" t="e">
        <f t="shared" ca="1" si="113"/>
        <v>#N/A</v>
      </c>
      <c r="AE525" s="62" t="e">
        <f t="shared" ca="1" si="114"/>
        <v>#N/A</v>
      </c>
    </row>
    <row r="526" spans="18:31" x14ac:dyDescent="0.25">
      <c r="R526" s="62" t="e">
        <f ca="1"/>
        <v>#N/A</v>
      </c>
      <c r="S526" s="62" t="e">
        <f t="shared" ca="1" si="103"/>
        <v>#N/A</v>
      </c>
      <c r="T526" s="62" t="e">
        <f t="shared" ca="1" si="104"/>
        <v>#N/A</v>
      </c>
      <c r="U526" s="62" t="e">
        <f t="shared" ca="1" si="105"/>
        <v>#N/A</v>
      </c>
      <c r="V526" s="62" t="e">
        <f t="shared" ca="1" si="106"/>
        <v>#N/A</v>
      </c>
      <c r="W526" s="60" t="e">
        <f t="shared" ca="1" si="107"/>
        <v>#N/A</v>
      </c>
      <c r="X526" s="60" t="e">
        <f t="shared" ca="1" si="108"/>
        <v>#N/A</v>
      </c>
      <c r="Y526" s="60" t="e">
        <f t="shared" ca="1" si="109"/>
        <v>#N/A</v>
      </c>
      <c r="Z526" s="60" t="e">
        <f t="shared" ca="1" si="110"/>
        <v>#N/A</v>
      </c>
      <c r="AA526" s="92" t="e">
        <f ca="1"/>
        <v>#N/A</v>
      </c>
      <c r="AB526" s="62" t="e">
        <f t="shared" ca="1" si="111"/>
        <v>#N/A</v>
      </c>
      <c r="AC526" s="62" t="e">
        <f t="shared" ca="1" si="112"/>
        <v>#N/A</v>
      </c>
      <c r="AD526" s="62" t="e">
        <f t="shared" ca="1" si="113"/>
        <v>#N/A</v>
      </c>
      <c r="AE526" s="62" t="e">
        <f t="shared" ca="1" si="114"/>
        <v>#N/A</v>
      </c>
    </row>
    <row r="527" spans="18:31" x14ac:dyDescent="0.25">
      <c r="R527" s="62" t="e">
        <f ca="1"/>
        <v>#N/A</v>
      </c>
      <c r="S527" s="62" t="e">
        <f t="shared" ca="1" si="103"/>
        <v>#N/A</v>
      </c>
      <c r="T527" s="62" t="e">
        <f t="shared" ca="1" si="104"/>
        <v>#N/A</v>
      </c>
      <c r="U527" s="62" t="e">
        <f t="shared" ca="1" si="105"/>
        <v>#N/A</v>
      </c>
      <c r="V527" s="62" t="e">
        <f t="shared" ca="1" si="106"/>
        <v>#N/A</v>
      </c>
      <c r="W527" s="60" t="e">
        <f t="shared" ca="1" si="107"/>
        <v>#N/A</v>
      </c>
      <c r="X527" s="60" t="e">
        <f t="shared" ca="1" si="108"/>
        <v>#N/A</v>
      </c>
      <c r="Y527" s="60" t="e">
        <f t="shared" ca="1" si="109"/>
        <v>#N/A</v>
      </c>
      <c r="Z527" s="60" t="e">
        <f t="shared" ca="1" si="110"/>
        <v>#N/A</v>
      </c>
      <c r="AA527" s="92" t="e">
        <f ca="1"/>
        <v>#N/A</v>
      </c>
      <c r="AB527" s="62" t="e">
        <f t="shared" ca="1" si="111"/>
        <v>#N/A</v>
      </c>
      <c r="AC527" s="62" t="e">
        <f t="shared" ca="1" si="112"/>
        <v>#N/A</v>
      </c>
      <c r="AD527" s="62" t="e">
        <f t="shared" ca="1" si="113"/>
        <v>#N/A</v>
      </c>
      <c r="AE527" s="62" t="e">
        <f t="shared" ca="1" si="114"/>
        <v>#N/A</v>
      </c>
    </row>
    <row r="528" spans="18:31" x14ac:dyDescent="0.25">
      <c r="R528" s="62" t="e">
        <f ca="1"/>
        <v>#N/A</v>
      </c>
      <c r="S528" s="62" t="e">
        <f t="shared" ca="1" si="103"/>
        <v>#N/A</v>
      </c>
      <c r="T528" s="62" t="e">
        <f t="shared" ca="1" si="104"/>
        <v>#N/A</v>
      </c>
      <c r="U528" s="62" t="e">
        <f t="shared" ca="1" si="105"/>
        <v>#N/A</v>
      </c>
      <c r="V528" s="62" t="e">
        <f t="shared" ca="1" si="106"/>
        <v>#N/A</v>
      </c>
      <c r="W528" s="60" t="e">
        <f t="shared" ca="1" si="107"/>
        <v>#N/A</v>
      </c>
      <c r="X528" s="60" t="e">
        <f t="shared" ca="1" si="108"/>
        <v>#N/A</v>
      </c>
      <c r="Y528" s="60" t="e">
        <f t="shared" ca="1" si="109"/>
        <v>#N/A</v>
      </c>
      <c r="Z528" s="60" t="e">
        <f t="shared" ca="1" si="110"/>
        <v>#N/A</v>
      </c>
      <c r="AA528" s="92" t="e">
        <f ca="1"/>
        <v>#N/A</v>
      </c>
      <c r="AB528" s="62" t="e">
        <f t="shared" ca="1" si="111"/>
        <v>#N/A</v>
      </c>
      <c r="AC528" s="62" t="e">
        <f t="shared" ca="1" si="112"/>
        <v>#N/A</v>
      </c>
      <c r="AD528" s="62" t="e">
        <f t="shared" ca="1" si="113"/>
        <v>#N/A</v>
      </c>
      <c r="AE528" s="62" t="e">
        <f t="shared" ca="1" si="114"/>
        <v>#N/A</v>
      </c>
    </row>
    <row r="529" spans="18:31" x14ac:dyDescent="0.25">
      <c r="R529" s="62" t="e">
        <f ca="1"/>
        <v>#N/A</v>
      </c>
      <c r="S529" s="62" t="e">
        <f t="shared" ca="1" si="103"/>
        <v>#N/A</v>
      </c>
      <c r="T529" s="62" t="e">
        <f t="shared" ca="1" si="104"/>
        <v>#N/A</v>
      </c>
      <c r="U529" s="62" t="e">
        <f t="shared" ca="1" si="105"/>
        <v>#N/A</v>
      </c>
      <c r="V529" s="62" t="e">
        <f t="shared" ca="1" si="106"/>
        <v>#N/A</v>
      </c>
      <c r="W529" s="60" t="e">
        <f t="shared" ca="1" si="107"/>
        <v>#N/A</v>
      </c>
      <c r="X529" s="60" t="e">
        <f t="shared" ca="1" si="108"/>
        <v>#N/A</v>
      </c>
      <c r="Y529" s="60" t="e">
        <f t="shared" ca="1" si="109"/>
        <v>#N/A</v>
      </c>
      <c r="Z529" s="60" t="e">
        <f t="shared" ca="1" si="110"/>
        <v>#N/A</v>
      </c>
      <c r="AA529" s="92" t="e">
        <f ca="1"/>
        <v>#N/A</v>
      </c>
      <c r="AB529" s="62" t="e">
        <f t="shared" ca="1" si="111"/>
        <v>#N/A</v>
      </c>
      <c r="AC529" s="62" t="e">
        <f t="shared" ca="1" si="112"/>
        <v>#N/A</v>
      </c>
      <c r="AD529" s="62" t="e">
        <f t="shared" ca="1" si="113"/>
        <v>#N/A</v>
      </c>
      <c r="AE529" s="62" t="e">
        <f t="shared" ca="1" si="114"/>
        <v>#N/A</v>
      </c>
    </row>
    <row r="530" spans="18:31" x14ac:dyDescent="0.25">
      <c r="R530" s="62" t="e">
        <f ca="1"/>
        <v>#N/A</v>
      </c>
      <c r="S530" s="62" t="e">
        <f t="shared" ca="1" si="103"/>
        <v>#N/A</v>
      </c>
      <c r="T530" s="62" t="e">
        <f t="shared" ca="1" si="104"/>
        <v>#N/A</v>
      </c>
      <c r="U530" s="62" t="e">
        <f t="shared" ca="1" si="105"/>
        <v>#N/A</v>
      </c>
      <c r="V530" s="62" t="e">
        <f t="shared" ca="1" si="106"/>
        <v>#N/A</v>
      </c>
      <c r="W530" s="60" t="e">
        <f t="shared" ca="1" si="107"/>
        <v>#N/A</v>
      </c>
      <c r="X530" s="60" t="e">
        <f t="shared" ca="1" si="108"/>
        <v>#N/A</v>
      </c>
      <c r="Y530" s="60" t="e">
        <f t="shared" ca="1" si="109"/>
        <v>#N/A</v>
      </c>
      <c r="Z530" s="60" t="e">
        <f t="shared" ca="1" si="110"/>
        <v>#N/A</v>
      </c>
      <c r="AA530" s="92" t="e">
        <f ca="1"/>
        <v>#N/A</v>
      </c>
      <c r="AB530" s="62" t="e">
        <f t="shared" ca="1" si="111"/>
        <v>#N/A</v>
      </c>
      <c r="AC530" s="62" t="e">
        <f t="shared" ca="1" si="112"/>
        <v>#N/A</v>
      </c>
      <c r="AD530" s="62" t="e">
        <f t="shared" ca="1" si="113"/>
        <v>#N/A</v>
      </c>
      <c r="AE530" s="62" t="e">
        <f t="shared" ca="1" si="114"/>
        <v>#N/A</v>
      </c>
    </row>
    <row r="531" spans="18:31" x14ac:dyDescent="0.25">
      <c r="R531" s="62" t="e">
        <f ca="1"/>
        <v>#N/A</v>
      </c>
      <c r="S531" s="62" t="e">
        <f t="shared" ca="1" si="103"/>
        <v>#N/A</v>
      </c>
      <c r="T531" s="62" t="e">
        <f t="shared" ca="1" si="104"/>
        <v>#N/A</v>
      </c>
      <c r="U531" s="62" t="e">
        <f t="shared" ca="1" si="105"/>
        <v>#N/A</v>
      </c>
      <c r="V531" s="62" t="e">
        <f t="shared" ca="1" si="106"/>
        <v>#N/A</v>
      </c>
      <c r="W531" s="60" t="e">
        <f t="shared" ca="1" si="107"/>
        <v>#N/A</v>
      </c>
      <c r="X531" s="60" t="e">
        <f t="shared" ca="1" si="108"/>
        <v>#N/A</v>
      </c>
      <c r="Y531" s="60" t="e">
        <f t="shared" ca="1" si="109"/>
        <v>#N/A</v>
      </c>
      <c r="Z531" s="60" t="e">
        <f t="shared" ca="1" si="110"/>
        <v>#N/A</v>
      </c>
      <c r="AA531" s="92" t="e">
        <f ca="1"/>
        <v>#N/A</v>
      </c>
      <c r="AB531" s="62" t="e">
        <f t="shared" ca="1" si="111"/>
        <v>#N/A</v>
      </c>
      <c r="AC531" s="62" t="e">
        <f t="shared" ca="1" si="112"/>
        <v>#N/A</v>
      </c>
      <c r="AD531" s="62" t="e">
        <f t="shared" ca="1" si="113"/>
        <v>#N/A</v>
      </c>
      <c r="AE531" s="62" t="e">
        <f t="shared" ca="1" si="114"/>
        <v>#N/A</v>
      </c>
    </row>
    <row r="532" spans="18:31" x14ac:dyDescent="0.25">
      <c r="R532" s="62" t="e">
        <f ca="1"/>
        <v>#N/A</v>
      </c>
      <c r="S532" s="62" t="e">
        <f t="shared" ca="1" si="103"/>
        <v>#N/A</v>
      </c>
      <c r="T532" s="62" t="e">
        <f t="shared" ca="1" si="104"/>
        <v>#N/A</v>
      </c>
      <c r="U532" s="62" t="e">
        <f t="shared" ca="1" si="105"/>
        <v>#N/A</v>
      </c>
      <c r="V532" s="62" t="e">
        <f t="shared" ca="1" si="106"/>
        <v>#N/A</v>
      </c>
      <c r="W532" s="60" t="e">
        <f t="shared" ca="1" si="107"/>
        <v>#N/A</v>
      </c>
      <c r="X532" s="60" t="e">
        <f t="shared" ca="1" si="108"/>
        <v>#N/A</v>
      </c>
      <c r="Y532" s="60" t="e">
        <f t="shared" ca="1" si="109"/>
        <v>#N/A</v>
      </c>
      <c r="Z532" s="60" t="e">
        <f t="shared" ca="1" si="110"/>
        <v>#N/A</v>
      </c>
      <c r="AA532" s="92" t="e">
        <f ca="1"/>
        <v>#N/A</v>
      </c>
      <c r="AB532" s="62" t="e">
        <f t="shared" ca="1" si="111"/>
        <v>#N/A</v>
      </c>
      <c r="AC532" s="62" t="e">
        <f t="shared" ca="1" si="112"/>
        <v>#N/A</v>
      </c>
      <c r="AD532" s="62" t="e">
        <f t="shared" ca="1" si="113"/>
        <v>#N/A</v>
      </c>
      <c r="AE532" s="62" t="e">
        <f t="shared" ca="1" si="114"/>
        <v>#N/A</v>
      </c>
    </row>
    <row r="533" spans="18:31" x14ac:dyDescent="0.25">
      <c r="R533" s="62" t="e">
        <f ca="1"/>
        <v>#N/A</v>
      </c>
      <c r="S533" s="62" t="e">
        <f t="shared" ca="1" si="103"/>
        <v>#N/A</v>
      </c>
      <c r="T533" s="62" t="e">
        <f t="shared" ca="1" si="104"/>
        <v>#N/A</v>
      </c>
      <c r="U533" s="62" t="e">
        <f t="shared" ca="1" si="105"/>
        <v>#N/A</v>
      </c>
      <c r="V533" s="62" t="e">
        <f t="shared" ca="1" si="106"/>
        <v>#N/A</v>
      </c>
      <c r="W533" s="60" t="e">
        <f t="shared" ca="1" si="107"/>
        <v>#N/A</v>
      </c>
      <c r="X533" s="60" t="e">
        <f t="shared" ca="1" si="108"/>
        <v>#N/A</v>
      </c>
      <c r="Y533" s="60" t="e">
        <f t="shared" ca="1" si="109"/>
        <v>#N/A</v>
      </c>
      <c r="Z533" s="60" t="e">
        <f t="shared" ca="1" si="110"/>
        <v>#N/A</v>
      </c>
      <c r="AA533" s="92" t="e">
        <f ca="1"/>
        <v>#N/A</v>
      </c>
      <c r="AB533" s="62" t="e">
        <f t="shared" ca="1" si="111"/>
        <v>#N/A</v>
      </c>
      <c r="AC533" s="62" t="e">
        <f t="shared" ca="1" si="112"/>
        <v>#N/A</v>
      </c>
      <c r="AD533" s="62" t="e">
        <f t="shared" ca="1" si="113"/>
        <v>#N/A</v>
      </c>
      <c r="AE533" s="62" t="e">
        <f t="shared" ca="1" si="114"/>
        <v>#N/A</v>
      </c>
    </row>
    <row r="534" spans="18:31" x14ac:dyDescent="0.25">
      <c r="R534" s="62" t="e">
        <f ca="1"/>
        <v>#N/A</v>
      </c>
      <c r="S534" s="62" t="e">
        <f t="shared" ca="1" si="103"/>
        <v>#N/A</v>
      </c>
      <c r="T534" s="62" t="e">
        <f t="shared" ca="1" si="104"/>
        <v>#N/A</v>
      </c>
      <c r="U534" s="62" t="e">
        <f t="shared" ca="1" si="105"/>
        <v>#N/A</v>
      </c>
      <c r="V534" s="62" t="e">
        <f t="shared" ca="1" si="106"/>
        <v>#N/A</v>
      </c>
      <c r="W534" s="60" t="e">
        <f t="shared" ca="1" si="107"/>
        <v>#N/A</v>
      </c>
      <c r="X534" s="60" t="e">
        <f t="shared" ca="1" si="108"/>
        <v>#N/A</v>
      </c>
      <c r="Y534" s="60" t="e">
        <f t="shared" ca="1" si="109"/>
        <v>#N/A</v>
      </c>
      <c r="Z534" s="60" t="e">
        <f t="shared" ca="1" si="110"/>
        <v>#N/A</v>
      </c>
      <c r="AA534" s="92" t="e">
        <f ca="1"/>
        <v>#N/A</v>
      </c>
      <c r="AB534" s="62" t="e">
        <f t="shared" ca="1" si="111"/>
        <v>#N/A</v>
      </c>
      <c r="AC534" s="62" t="e">
        <f t="shared" ca="1" si="112"/>
        <v>#N/A</v>
      </c>
      <c r="AD534" s="62" t="e">
        <f t="shared" ca="1" si="113"/>
        <v>#N/A</v>
      </c>
      <c r="AE534" s="62" t="e">
        <f t="shared" ca="1" si="114"/>
        <v>#N/A</v>
      </c>
    </row>
    <row r="535" spans="18:31" x14ac:dyDescent="0.25">
      <c r="R535" s="62" t="e">
        <f ca="1"/>
        <v>#N/A</v>
      </c>
      <c r="S535" s="62" t="e">
        <f t="shared" ca="1" si="103"/>
        <v>#N/A</v>
      </c>
      <c r="T535" s="62" t="e">
        <f t="shared" ca="1" si="104"/>
        <v>#N/A</v>
      </c>
      <c r="U535" s="62" t="e">
        <f t="shared" ca="1" si="105"/>
        <v>#N/A</v>
      </c>
      <c r="V535" s="62" t="e">
        <f t="shared" ca="1" si="106"/>
        <v>#N/A</v>
      </c>
      <c r="W535" s="60" t="e">
        <f t="shared" ca="1" si="107"/>
        <v>#N/A</v>
      </c>
      <c r="X535" s="60" t="e">
        <f t="shared" ca="1" si="108"/>
        <v>#N/A</v>
      </c>
      <c r="Y535" s="60" t="e">
        <f t="shared" ca="1" si="109"/>
        <v>#N/A</v>
      </c>
      <c r="Z535" s="60" t="e">
        <f t="shared" ca="1" si="110"/>
        <v>#N/A</v>
      </c>
      <c r="AA535" s="92" t="e">
        <f ca="1"/>
        <v>#N/A</v>
      </c>
      <c r="AB535" s="62" t="e">
        <f t="shared" ca="1" si="111"/>
        <v>#N/A</v>
      </c>
      <c r="AC535" s="62" t="e">
        <f t="shared" ca="1" si="112"/>
        <v>#N/A</v>
      </c>
      <c r="AD535" s="62" t="e">
        <f t="shared" ca="1" si="113"/>
        <v>#N/A</v>
      </c>
      <c r="AE535" s="62" t="e">
        <f t="shared" ca="1" si="114"/>
        <v>#N/A</v>
      </c>
    </row>
    <row r="536" spans="18:31" x14ac:dyDescent="0.25">
      <c r="R536" s="62" t="e">
        <f ca="1"/>
        <v>#N/A</v>
      </c>
      <c r="S536" s="62" t="e">
        <f t="shared" ca="1" si="103"/>
        <v>#N/A</v>
      </c>
      <c r="T536" s="62" t="e">
        <f t="shared" ca="1" si="104"/>
        <v>#N/A</v>
      </c>
      <c r="U536" s="62" t="e">
        <f t="shared" ca="1" si="105"/>
        <v>#N/A</v>
      </c>
      <c r="V536" s="62" t="e">
        <f t="shared" ca="1" si="106"/>
        <v>#N/A</v>
      </c>
      <c r="W536" s="60" t="e">
        <f t="shared" ca="1" si="107"/>
        <v>#N/A</v>
      </c>
      <c r="X536" s="60" t="e">
        <f t="shared" ca="1" si="108"/>
        <v>#N/A</v>
      </c>
      <c r="Y536" s="60" t="e">
        <f t="shared" ca="1" si="109"/>
        <v>#N/A</v>
      </c>
      <c r="Z536" s="60" t="e">
        <f t="shared" ca="1" si="110"/>
        <v>#N/A</v>
      </c>
      <c r="AA536" s="92" t="e">
        <f ca="1"/>
        <v>#N/A</v>
      </c>
      <c r="AB536" s="62" t="e">
        <f t="shared" ca="1" si="111"/>
        <v>#N/A</v>
      </c>
      <c r="AC536" s="62" t="e">
        <f t="shared" ca="1" si="112"/>
        <v>#N/A</v>
      </c>
      <c r="AD536" s="62" t="e">
        <f t="shared" ca="1" si="113"/>
        <v>#N/A</v>
      </c>
      <c r="AE536" s="62" t="e">
        <f t="shared" ca="1" si="114"/>
        <v>#N/A</v>
      </c>
    </row>
    <row r="537" spans="18:31" x14ac:dyDescent="0.25">
      <c r="R537" s="62" t="e">
        <f ca="1"/>
        <v>#N/A</v>
      </c>
      <c r="S537" s="62" t="e">
        <f t="shared" ca="1" si="103"/>
        <v>#N/A</v>
      </c>
      <c r="T537" s="62" t="e">
        <f t="shared" ca="1" si="104"/>
        <v>#N/A</v>
      </c>
      <c r="U537" s="62" t="e">
        <f t="shared" ca="1" si="105"/>
        <v>#N/A</v>
      </c>
      <c r="V537" s="62" t="e">
        <f t="shared" ca="1" si="106"/>
        <v>#N/A</v>
      </c>
      <c r="W537" s="60" t="e">
        <f t="shared" ca="1" si="107"/>
        <v>#N/A</v>
      </c>
      <c r="X537" s="60" t="e">
        <f t="shared" ca="1" si="108"/>
        <v>#N/A</v>
      </c>
      <c r="Y537" s="60" t="e">
        <f t="shared" ca="1" si="109"/>
        <v>#N/A</v>
      </c>
      <c r="Z537" s="60" t="e">
        <f t="shared" ca="1" si="110"/>
        <v>#N/A</v>
      </c>
      <c r="AA537" s="92" t="e">
        <f ca="1"/>
        <v>#N/A</v>
      </c>
      <c r="AB537" s="62" t="e">
        <f t="shared" ca="1" si="111"/>
        <v>#N/A</v>
      </c>
      <c r="AC537" s="62" t="e">
        <f t="shared" ca="1" si="112"/>
        <v>#N/A</v>
      </c>
      <c r="AD537" s="62" t="e">
        <f t="shared" ca="1" si="113"/>
        <v>#N/A</v>
      </c>
      <c r="AE537" s="62" t="e">
        <f t="shared" ca="1" si="114"/>
        <v>#N/A</v>
      </c>
    </row>
    <row r="538" spans="18:31" x14ac:dyDescent="0.25">
      <c r="R538" s="62" t="e">
        <f ca="1"/>
        <v>#N/A</v>
      </c>
      <c r="S538" s="62" t="e">
        <f t="shared" ca="1" si="103"/>
        <v>#N/A</v>
      </c>
      <c r="T538" s="62" t="e">
        <f t="shared" ca="1" si="104"/>
        <v>#N/A</v>
      </c>
      <c r="U538" s="62" t="e">
        <f t="shared" ca="1" si="105"/>
        <v>#N/A</v>
      </c>
      <c r="V538" s="62" t="e">
        <f t="shared" ca="1" si="106"/>
        <v>#N/A</v>
      </c>
      <c r="W538" s="60" t="e">
        <f t="shared" ca="1" si="107"/>
        <v>#N/A</v>
      </c>
      <c r="X538" s="60" t="e">
        <f t="shared" ca="1" si="108"/>
        <v>#N/A</v>
      </c>
      <c r="Y538" s="60" t="e">
        <f t="shared" ca="1" si="109"/>
        <v>#N/A</v>
      </c>
      <c r="Z538" s="60" t="e">
        <f t="shared" ca="1" si="110"/>
        <v>#N/A</v>
      </c>
      <c r="AA538" s="92" t="e">
        <f ca="1"/>
        <v>#N/A</v>
      </c>
      <c r="AB538" s="62" t="e">
        <f t="shared" ca="1" si="111"/>
        <v>#N/A</v>
      </c>
      <c r="AC538" s="62" t="e">
        <f t="shared" ca="1" si="112"/>
        <v>#N/A</v>
      </c>
      <c r="AD538" s="62" t="e">
        <f t="shared" ca="1" si="113"/>
        <v>#N/A</v>
      </c>
      <c r="AE538" s="62" t="e">
        <f t="shared" ca="1" si="114"/>
        <v>#N/A</v>
      </c>
    </row>
    <row r="539" spans="18:31" x14ac:dyDescent="0.25">
      <c r="R539" s="62" t="e">
        <f ca="1"/>
        <v>#N/A</v>
      </c>
      <c r="S539" s="62" t="e">
        <f t="shared" ca="1" si="103"/>
        <v>#N/A</v>
      </c>
      <c r="T539" s="62" t="e">
        <f t="shared" ca="1" si="104"/>
        <v>#N/A</v>
      </c>
      <c r="U539" s="62" t="e">
        <f t="shared" ca="1" si="105"/>
        <v>#N/A</v>
      </c>
      <c r="V539" s="62" t="e">
        <f t="shared" ca="1" si="106"/>
        <v>#N/A</v>
      </c>
      <c r="W539" s="60" t="e">
        <f t="shared" ca="1" si="107"/>
        <v>#N/A</v>
      </c>
      <c r="X539" s="60" t="e">
        <f t="shared" ca="1" si="108"/>
        <v>#N/A</v>
      </c>
      <c r="Y539" s="60" t="e">
        <f t="shared" ca="1" si="109"/>
        <v>#N/A</v>
      </c>
      <c r="Z539" s="60" t="e">
        <f t="shared" ca="1" si="110"/>
        <v>#N/A</v>
      </c>
      <c r="AA539" s="92" t="e">
        <f ca="1"/>
        <v>#N/A</v>
      </c>
      <c r="AB539" s="62" t="e">
        <f t="shared" ca="1" si="111"/>
        <v>#N/A</v>
      </c>
      <c r="AC539" s="62" t="e">
        <f t="shared" ca="1" si="112"/>
        <v>#N/A</v>
      </c>
      <c r="AD539" s="62" t="e">
        <f t="shared" ca="1" si="113"/>
        <v>#N/A</v>
      </c>
      <c r="AE539" s="62" t="e">
        <f t="shared" ca="1" si="114"/>
        <v>#N/A</v>
      </c>
    </row>
    <row r="540" spans="18:31" x14ac:dyDescent="0.25">
      <c r="R540" s="62" t="e">
        <f ca="1"/>
        <v>#N/A</v>
      </c>
      <c r="S540" s="62" t="e">
        <f t="shared" ca="1" si="103"/>
        <v>#N/A</v>
      </c>
      <c r="T540" s="62" t="e">
        <f t="shared" ca="1" si="104"/>
        <v>#N/A</v>
      </c>
      <c r="U540" s="62" t="e">
        <f t="shared" ca="1" si="105"/>
        <v>#N/A</v>
      </c>
      <c r="V540" s="62" t="e">
        <f t="shared" ca="1" si="106"/>
        <v>#N/A</v>
      </c>
      <c r="W540" s="60" t="e">
        <f t="shared" ca="1" si="107"/>
        <v>#N/A</v>
      </c>
      <c r="X540" s="60" t="e">
        <f t="shared" ca="1" si="108"/>
        <v>#N/A</v>
      </c>
      <c r="Y540" s="60" t="e">
        <f t="shared" ca="1" si="109"/>
        <v>#N/A</v>
      </c>
      <c r="Z540" s="60" t="e">
        <f t="shared" ca="1" si="110"/>
        <v>#N/A</v>
      </c>
      <c r="AA540" s="92" t="e">
        <f ca="1"/>
        <v>#N/A</v>
      </c>
      <c r="AB540" s="62" t="e">
        <f t="shared" ca="1" si="111"/>
        <v>#N/A</v>
      </c>
      <c r="AC540" s="62" t="e">
        <f t="shared" ca="1" si="112"/>
        <v>#N/A</v>
      </c>
      <c r="AD540" s="62" t="e">
        <f t="shared" ca="1" si="113"/>
        <v>#N/A</v>
      </c>
      <c r="AE540" s="62" t="e">
        <f t="shared" ca="1" si="114"/>
        <v>#N/A</v>
      </c>
    </row>
    <row r="541" spans="18:31" x14ac:dyDescent="0.25">
      <c r="R541" s="62" t="e">
        <f ca="1"/>
        <v>#N/A</v>
      </c>
      <c r="S541" s="62" t="e">
        <f t="shared" ca="1" si="103"/>
        <v>#N/A</v>
      </c>
      <c r="T541" s="62" t="e">
        <f t="shared" ca="1" si="104"/>
        <v>#N/A</v>
      </c>
      <c r="U541" s="62" t="e">
        <f t="shared" ca="1" si="105"/>
        <v>#N/A</v>
      </c>
      <c r="V541" s="62" t="e">
        <f t="shared" ca="1" si="106"/>
        <v>#N/A</v>
      </c>
      <c r="W541" s="60" t="e">
        <f t="shared" ca="1" si="107"/>
        <v>#N/A</v>
      </c>
      <c r="X541" s="60" t="e">
        <f t="shared" ca="1" si="108"/>
        <v>#N/A</v>
      </c>
      <c r="Y541" s="60" t="e">
        <f t="shared" ca="1" si="109"/>
        <v>#N/A</v>
      </c>
      <c r="Z541" s="60" t="e">
        <f t="shared" ca="1" si="110"/>
        <v>#N/A</v>
      </c>
      <c r="AA541" s="92" t="e">
        <f ca="1"/>
        <v>#N/A</v>
      </c>
      <c r="AB541" s="62" t="e">
        <f t="shared" ca="1" si="111"/>
        <v>#N/A</v>
      </c>
      <c r="AC541" s="62" t="e">
        <f t="shared" ca="1" si="112"/>
        <v>#N/A</v>
      </c>
      <c r="AD541" s="62" t="e">
        <f t="shared" ca="1" si="113"/>
        <v>#N/A</v>
      </c>
      <c r="AE541" s="62" t="e">
        <f t="shared" ca="1" si="114"/>
        <v>#N/A</v>
      </c>
    </row>
    <row r="542" spans="18:31" x14ac:dyDescent="0.25">
      <c r="R542" s="62" t="e">
        <f ca="1"/>
        <v>#N/A</v>
      </c>
      <c r="S542" s="62" t="e">
        <f t="shared" ca="1" si="103"/>
        <v>#N/A</v>
      </c>
      <c r="T542" s="62" t="e">
        <f t="shared" ca="1" si="104"/>
        <v>#N/A</v>
      </c>
      <c r="U542" s="62" t="e">
        <f t="shared" ca="1" si="105"/>
        <v>#N/A</v>
      </c>
      <c r="V542" s="62" t="e">
        <f t="shared" ca="1" si="106"/>
        <v>#N/A</v>
      </c>
      <c r="W542" s="60" t="e">
        <f t="shared" ca="1" si="107"/>
        <v>#N/A</v>
      </c>
      <c r="X542" s="60" t="e">
        <f t="shared" ca="1" si="108"/>
        <v>#N/A</v>
      </c>
      <c r="Y542" s="60" t="e">
        <f t="shared" ca="1" si="109"/>
        <v>#N/A</v>
      </c>
      <c r="Z542" s="60" t="e">
        <f t="shared" ca="1" si="110"/>
        <v>#N/A</v>
      </c>
      <c r="AA542" s="92" t="e">
        <f ca="1"/>
        <v>#N/A</v>
      </c>
      <c r="AB542" s="62" t="e">
        <f t="shared" ca="1" si="111"/>
        <v>#N/A</v>
      </c>
      <c r="AC542" s="62" t="e">
        <f t="shared" ca="1" si="112"/>
        <v>#N/A</v>
      </c>
      <c r="AD542" s="62" t="e">
        <f t="shared" ca="1" si="113"/>
        <v>#N/A</v>
      </c>
      <c r="AE542" s="62" t="e">
        <f t="shared" ca="1" si="114"/>
        <v>#N/A</v>
      </c>
    </row>
    <row r="543" spans="18:31" x14ac:dyDescent="0.25">
      <c r="R543" s="62" t="e">
        <f ca="1"/>
        <v>#N/A</v>
      </c>
      <c r="S543" s="62" t="e">
        <f t="shared" ca="1" si="103"/>
        <v>#N/A</v>
      </c>
      <c r="T543" s="62" t="e">
        <f t="shared" ca="1" si="104"/>
        <v>#N/A</v>
      </c>
      <c r="U543" s="62" t="e">
        <f t="shared" ca="1" si="105"/>
        <v>#N/A</v>
      </c>
      <c r="V543" s="62" t="e">
        <f t="shared" ca="1" si="106"/>
        <v>#N/A</v>
      </c>
      <c r="W543" s="60" t="e">
        <f t="shared" ca="1" si="107"/>
        <v>#N/A</v>
      </c>
      <c r="X543" s="60" t="e">
        <f t="shared" ca="1" si="108"/>
        <v>#N/A</v>
      </c>
      <c r="Y543" s="60" t="e">
        <f t="shared" ca="1" si="109"/>
        <v>#N/A</v>
      </c>
      <c r="Z543" s="60" t="e">
        <f t="shared" ca="1" si="110"/>
        <v>#N/A</v>
      </c>
      <c r="AA543" s="92" t="e">
        <f ca="1"/>
        <v>#N/A</v>
      </c>
      <c r="AB543" s="62" t="e">
        <f t="shared" ca="1" si="111"/>
        <v>#N/A</v>
      </c>
      <c r="AC543" s="62" t="e">
        <f t="shared" ca="1" si="112"/>
        <v>#N/A</v>
      </c>
      <c r="AD543" s="62" t="e">
        <f t="shared" ca="1" si="113"/>
        <v>#N/A</v>
      </c>
      <c r="AE543" s="62" t="e">
        <f t="shared" ca="1" si="114"/>
        <v>#N/A</v>
      </c>
    </row>
    <row r="544" spans="18:31" x14ac:dyDescent="0.25">
      <c r="R544" s="62" t="e">
        <f ca="1"/>
        <v>#N/A</v>
      </c>
      <c r="S544" s="62" t="e">
        <f t="shared" ca="1" si="103"/>
        <v>#N/A</v>
      </c>
      <c r="T544" s="62" t="e">
        <f t="shared" ca="1" si="104"/>
        <v>#N/A</v>
      </c>
      <c r="U544" s="62" t="e">
        <f t="shared" ca="1" si="105"/>
        <v>#N/A</v>
      </c>
      <c r="V544" s="62" t="e">
        <f t="shared" ca="1" si="106"/>
        <v>#N/A</v>
      </c>
      <c r="W544" s="60" t="e">
        <f t="shared" ca="1" si="107"/>
        <v>#N/A</v>
      </c>
      <c r="X544" s="60" t="e">
        <f t="shared" ca="1" si="108"/>
        <v>#N/A</v>
      </c>
      <c r="Y544" s="60" t="e">
        <f t="shared" ca="1" si="109"/>
        <v>#N/A</v>
      </c>
      <c r="Z544" s="60" t="e">
        <f t="shared" ca="1" si="110"/>
        <v>#N/A</v>
      </c>
      <c r="AA544" s="92" t="e">
        <f ca="1"/>
        <v>#N/A</v>
      </c>
      <c r="AB544" s="62" t="e">
        <f t="shared" ca="1" si="111"/>
        <v>#N/A</v>
      </c>
      <c r="AC544" s="62" t="e">
        <f t="shared" ca="1" si="112"/>
        <v>#N/A</v>
      </c>
      <c r="AD544" s="62" t="e">
        <f t="shared" ca="1" si="113"/>
        <v>#N/A</v>
      </c>
      <c r="AE544" s="62" t="e">
        <f t="shared" ca="1" si="114"/>
        <v>#N/A</v>
      </c>
    </row>
    <row r="545" spans="18:31" x14ac:dyDescent="0.25">
      <c r="R545" s="62" t="e">
        <f ca="1"/>
        <v>#N/A</v>
      </c>
      <c r="S545" s="62" t="e">
        <f t="shared" ca="1" si="103"/>
        <v>#N/A</v>
      </c>
      <c r="T545" s="62" t="e">
        <f t="shared" ca="1" si="104"/>
        <v>#N/A</v>
      </c>
      <c r="U545" s="62" t="e">
        <f t="shared" ca="1" si="105"/>
        <v>#N/A</v>
      </c>
      <c r="V545" s="62" t="e">
        <f t="shared" ca="1" si="106"/>
        <v>#N/A</v>
      </c>
      <c r="W545" s="60" t="e">
        <f t="shared" ca="1" si="107"/>
        <v>#N/A</v>
      </c>
      <c r="X545" s="60" t="e">
        <f t="shared" ca="1" si="108"/>
        <v>#N/A</v>
      </c>
      <c r="Y545" s="60" t="e">
        <f t="shared" ca="1" si="109"/>
        <v>#N/A</v>
      </c>
      <c r="Z545" s="60" t="e">
        <f t="shared" ca="1" si="110"/>
        <v>#N/A</v>
      </c>
      <c r="AA545" s="92" t="e">
        <f ca="1"/>
        <v>#N/A</v>
      </c>
      <c r="AB545" s="62" t="e">
        <f t="shared" ca="1" si="111"/>
        <v>#N/A</v>
      </c>
      <c r="AC545" s="62" t="e">
        <f t="shared" ca="1" si="112"/>
        <v>#N/A</v>
      </c>
      <c r="AD545" s="62" t="e">
        <f t="shared" ca="1" si="113"/>
        <v>#N/A</v>
      </c>
      <c r="AE545" s="62" t="e">
        <f t="shared" ca="1" si="114"/>
        <v>#N/A</v>
      </c>
    </row>
    <row r="546" spans="18:31" x14ac:dyDescent="0.25">
      <c r="R546" s="62" t="e">
        <f ca="1"/>
        <v>#N/A</v>
      </c>
      <c r="S546" s="62" t="e">
        <f t="shared" ca="1" si="103"/>
        <v>#N/A</v>
      </c>
      <c r="T546" s="62" t="e">
        <f t="shared" ca="1" si="104"/>
        <v>#N/A</v>
      </c>
      <c r="U546" s="62" t="e">
        <f t="shared" ca="1" si="105"/>
        <v>#N/A</v>
      </c>
      <c r="V546" s="62" t="e">
        <f t="shared" ca="1" si="106"/>
        <v>#N/A</v>
      </c>
      <c r="W546" s="60" t="e">
        <f t="shared" ca="1" si="107"/>
        <v>#N/A</v>
      </c>
      <c r="X546" s="60" t="e">
        <f t="shared" ca="1" si="108"/>
        <v>#N/A</v>
      </c>
      <c r="Y546" s="60" t="e">
        <f t="shared" ca="1" si="109"/>
        <v>#N/A</v>
      </c>
      <c r="Z546" s="60" t="e">
        <f t="shared" ca="1" si="110"/>
        <v>#N/A</v>
      </c>
      <c r="AA546" s="92" t="e">
        <f ca="1"/>
        <v>#N/A</v>
      </c>
      <c r="AB546" s="62" t="e">
        <f t="shared" ca="1" si="111"/>
        <v>#N/A</v>
      </c>
      <c r="AC546" s="62" t="e">
        <f t="shared" ca="1" si="112"/>
        <v>#N/A</v>
      </c>
      <c r="AD546" s="62" t="e">
        <f t="shared" ca="1" si="113"/>
        <v>#N/A</v>
      </c>
      <c r="AE546" s="62" t="e">
        <f t="shared" ca="1" si="114"/>
        <v>#N/A</v>
      </c>
    </row>
    <row r="547" spans="18:31" x14ac:dyDescent="0.25">
      <c r="R547" s="62" t="e">
        <f ca="1"/>
        <v>#N/A</v>
      </c>
      <c r="S547" s="62" t="e">
        <f t="shared" ca="1" si="103"/>
        <v>#N/A</v>
      </c>
      <c r="T547" s="62" t="e">
        <f t="shared" ca="1" si="104"/>
        <v>#N/A</v>
      </c>
      <c r="U547" s="62" t="e">
        <f t="shared" ca="1" si="105"/>
        <v>#N/A</v>
      </c>
      <c r="V547" s="62" t="e">
        <f t="shared" ca="1" si="106"/>
        <v>#N/A</v>
      </c>
      <c r="W547" s="60" t="e">
        <f t="shared" ca="1" si="107"/>
        <v>#N/A</v>
      </c>
      <c r="X547" s="60" t="e">
        <f t="shared" ca="1" si="108"/>
        <v>#N/A</v>
      </c>
      <c r="Y547" s="60" t="e">
        <f t="shared" ca="1" si="109"/>
        <v>#N/A</v>
      </c>
      <c r="Z547" s="60" t="e">
        <f t="shared" ca="1" si="110"/>
        <v>#N/A</v>
      </c>
      <c r="AA547" s="92" t="e">
        <f ca="1"/>
        <v>#N/A</v>
      </c>
      <c r="AB547" s="62" t="e">
        <f t="shared" ca="1" si="111"/>
        <v>#N/A</v>
      </c>
      <c r="AC547" s="62" t="e">
        <f t="shared" ca="1" si="112"/>
        <v>#N/A</v>
      </c>
      <c r="AD547" s="62" t="e">
        <f t="shared" ca="1" si="113"/>
        <v>#N/A</v>
      </c>
      <c r="AE547" s="62" t="e">
        <f t="shared" ca="1" si="114"/>
        <v>#N/A</v>
      </c>
    </row>
    <row r="548" spans="18:31" x14ac:dyDescent="0.25">
      <c r="R548" s="62" t="e">
        <f ca="1"/>
        <v>#N/A</v>
      </c>
      <c r="S548" s="62" t="e">
        <f t="shared" ca="1" si="103"/>
        <v>#N/A</v>
      </c>
      <c r="T548" s="62" t="e">
        <f t="shared" ca="1" si="104"/>
        <v>#N/A</v>
      </c>
      <c r="U548" s="62" t="e">
        <f t="shared" ca="1" si="105"/>
        <v>#N/A</v>
      </c>
      <c r="V548" s="62" t="e">
        <f t="shared" ca="1" si="106"/>
        <v>#N/A</v>
      </c>
      <c r="W548" s="60" t="e">
        <f t="shared" ca="1" si="107"/>
        <v>#N/A</v>
      </c>
      <c r="X548" s="60" t="e">
        <f t="shared" ca="1" si="108"/>
        <v>#N/A</v>
      </c>
      <c r="Y548" s="60" t="e">
        <f t="shared" ca="1" si="109"/>
        <v>#N/A</v>
      </c>
      <c r="Z548" s="60" t="e">
        <f t="shared" ca="1" si="110"/>
        <v>#N/A</v>
      </c>
      <c r="AA548" s="92" t="e">
        <f ca="1"/>
        <v>#N/A</v>
      </c>
      <c r="AB548" s="62" t="e">
        <f t="shared" ca="1" si="111"/>
        <v>#N/A</v>
      </c>
      <c r="AC548" s="62" t="e">
        <f t="shared" ca="1" si="112"/>
        <v>#N/A</v>
      </c>
      <c r="AD548" s="62" t="e">
        <f t="shared" ca="1" si="113"/>
        <v>#N/A</v>
      </c>
      <c r="AE548" s="62" t="e">
        <f t="shared" ca="1" si="114"/>
        <v>#N/A</v>
      </c>
    </row>
    <row r="549" spans="18:31" x14ac:dyDescent="0.25">
      <c r="R549" s="62" t="e">
        <f ca="1"/>
        <v>#N/A</v>
      </c>
      <c r="S549" s="62" t="e">
        <f t="shared" ca="1" si="103"/>
        <v>#N/A</v>
      </c>
      <c r="T549" s="62" t="e">
        <f t="shared" ca="1" si="104"/>
        <v>#N/A</v>
      </c>
      <c r="U549" s="62" t="e">
        <f t="shared" ca="1" si="105"/>
        <v>#N/A</v>
      </c>
      <c r="V549" s="62" t="e">
        <f t="shared" ca="1" si="106"/>
        <v>#N/A</v>
      </c>
      <c r="W549" s="60" t="e">
        <f t="shared" ca="1" si="107"/>
        <v>#N/A</v>
      </c>
      <c r="X549" s="60" t="e">
        <f t="shared" ca="1" si="108"/>
        <v>#N/A</v>
      </c>
      <c r="Y549" s="60" t="e">
        <f t="shared" ca="1" si="109"/>
        <v>#N/A</v>
      </c>
      <c r="Z549" s="60" t="e">
        <f t="shared" ca="1" si="110"/>
        <v>#N/A</v>
      </c>
      <c r="AA549" s="92" t="e">
        <f ca="1"/>
        <v>#N/A</v>
      </c>
      <c r="AB549" s="62" t="e">
        <f t="shared" ca="1" si="111"/>
        <v>#N/A</v>
      </c>
      <c r="AC549" s="62" t="e">
        <f t="shared" ca="1" si="112"/>
        <v>#N/A</v>
      </c>
      <c r="AD549" s="62" t="e">
        <f t="shared" ca="1" si="113"/>
        <v>#N/A</v>
      </c>
      <c r="AE549" s="62" t="e">
        <f t="shared" ca="1" si="114"/>
        <v>#N/A</v>
      </c>
    </row>
    <row r="550" spans="18:31" x14ac:dyDescent="0.25">
      <c r="R550" s="62" t="e">
        <f ca="1"/>
        <v>#N/A</v>
      </c>
      <c r="S550" s="62" t="e">
        <f t="shared" ca="1" si="103"/>
        <v>#N/A</v>
      </c>
      <c r="T550" s="62" t="e">
        <f t="shared" ca="1" si="104"/>
        <v>#N/A</v>
      </c>
      <c r="U550" s="62" t="e">
        <f t="shared" ca="1" si="105"/>
        <v>#N/A</v>
      </c>
      <c r="V550" s="62" t="e">
        <f t="shared" ca="1" si="106"/>
        <v>#N/A</v>
      </c>
      <c r="W550" s="60" t="e">
        <f t="shared" ca="1" si="107"/>
        <v>#N/A</v>
      </c>
      <c r="X550" s="60" t="e">
        <f t="shared" ca="1" si="108"/>
        <v>#N/A</v>
      </c>
      <c r="Y550" s="60" t="e">
        <f t="shared" ca="1" si="109"/>
        <v>#N/A</v>
      </c>
      <c r="Z550" s="60" t="e">
        <f t="shared" ca="1" si="110"/>
        <v>#N/A</v>
      </c>
      <c r="AA550" s="92" t="e">
        <f ca="1"/>
        <v>#N/A</v>
      </c>
      <c r="AB550" s="62" t="e">
        <f t="shared" ca="1" si="111"/>
        <v>#N/A</v>
      </c>
      <c r="AC550" s="62" t="e">
        <f t="shared" ca="1" si="112"/>
        <v>#N/A</v>
      </c>
      <c r="AD550" s="62" t="e">
        <f t="shared" ca="1" si="113"/>
        <v>#N/A</v>
      </c>
      <c r="AE550" s="62" t="e">
        <f t="shared" ca="1" si="114"/>
        <v>#N/A</v>
      </c>
    </row>
    <row r="551" spans="18:31" x14ac:dyDescent="0.25">
      <c r="R551" s="62" t="e">
        <f ca="1"/>
        <v>#N/A</v>
      </c>
      <c r="S551" s="62" t="e">
        <f t="shared" ca="1" si="103"/>
        <v>#N/A</v>
      </c>
      <c r="T551" s="62" t="e">
        <f t="shared" ca="1" si="104"/>
        <v>#N/A</v>
      </c>
      <c r="U551" s="62" t="e">
        <f t="shared" ca="1" si="105"/>
        <v>#N/A</v>
      </c>
      <c r="V551" s="62" t="e">
        <f t="shared" ca="1" si="106"/>
        <v>#N/A</v>
      </c>
      <c r="W551" s="60" t="e">
        <f t="shared" ca="1" si="107"/>
        <v>#N/A</v>
      </c>
      <c r="X551" s="60" t="e">
        <f t="shared" ca="1" si="108"/>
        <v>#N/A</v>
      </c>
      <c r="Y551" s="60" t="e">
        <f t="shared" ca="1" si="109"/>
        <v>#N/A</v>
      </c>
      <c r="Z551" s="60" t="e">
        <f t="shared" ca="1" si="110"/>
        <v>#N/A</v>
      </c>
      <c r="AA551" s="92" t="e">
        <f ca="1"/>
        <v>#N/A</v>
      </c>
      <c r="AB551" s="62" t="e">
        <f t="shared" ca="1" si="111"/>
        <v>#N/A</v>
      </c>
      <c r="AC551" s="62" t="e">
        <f t="shared" ca="1" si="112"/>
        <v>#N/A</v>
      </c>
      <c r="AD551" s="62" t="e">
        <f t="shared" ca="1" si="113"/>
        <v>#N/A</v>
      </c>
      <c r="AE551" s="62" t="e">
        <f t="shared" ca="1" si="114"/>
        <v>#N/A</v>
      </c>
    </row>
    <row r="552" spans="18:31" x14ac:dyDescent="0.25">
      <c r="R552" s="62" t="e">
        <f ca="1"/>
        <v>#N/A</v>
      </c>
      <c r="S552" s="62" t="e">
        <f t="shared" ca="1" si="103"/>
        <v>#N/A</v>
      </c>
      <c r="T552" s="62" t="e">
        <f t="shared" ca="1" si="104"/>
        <v>#N/A</v>
      </c>
      <c r="U552" s="62" t="e">
        <f t="shared" ca="1" si="105"/>
        <v>#N/A</v>
      </c>
      <c r="V552" s="62" t="e">
        <f t="shared" ca="1" si="106"/>
        <v>#N/A</v>
      </c>
      <c r="W552" s="60" t="e">
        <f t="shared" ca="1" si="107"/>
        <v>#N/A</v>
      </c>
      <c r="X552" s="60" t="e">
        <f t="shared" ca="1" si="108"/>
        <v>#N/A</v>
      </c>
      <c r="Y552" s="60" t="e">
        <f t="shared" ca="1" si="109"/>
        <v>#N/A</v>
      </c>
      <c r="Z552" s="60" t="e">
        <f t="shared" ca="1" si="110"/>
        <v>#N/A</v>
      </c>
      <c r="AA552" s="92" t="e">
        <f ca="1"/>
        <v>#N/A</v>
      </c>
      <c r="AB552" s="62" t="e">
        <f t="shared" ca="1" si="111"/>
        <v>#N/A</v>
      </c>
      <c r="AC552" s="62" t="e">
        <f t="shared" ca="1" si="112"/>
        <v>#N/A</v>
      </c>
      <c r="AD552" s="62" t="e">
        <f t="shared" ca="1" si="113"/>
        <v>#N/A</v>
      </c>
      <c r="AE552" s="62" t="e">
        <f t="shared" ca="1" si="114"/>
        <v>#N/A</v>
      </c>
    </row>
    <row r="553" spans="18:31" x14ac:dyDescent="0.25">
      <c r="R553" s="62" t="e">
        <f ca="1"/>
        <v>#N/A</v>
      </c>
      <c r="S553" s="62" t="e">
        <f t="shared" ca="1" si="103"/>
        <v>#N/A</v>
      </c>
      <c r="T553" s="62" t="e">
        <f t="shared" ca="1" si="104"/>
        <v>#N/A</v>
      </c>
      <c r="U553" s="62" t="e">
        <f t="shared" ca="1" si="105"/>
        <v>#N/A</v>
      </c>
      <c r="V553" s="62" t="e">
        <f t="shared" ca="1" si="106"/>
        <v>#N/A</v>
      </c>
      <c r="W553" s="60" t="e">
        <f t="shared" ca="1" si="107"/>
        <v>#N/A</v>
      </c>
      <c r="X553" s="60" t="e">
        <f t="shared" ca="1" si="108"/>
        <v>#N/A</v>
      </c>
      <c r="Y553" s="60" t="e">
        <f t="shared" ca="1" si="109"/>
        <v>#N/A</v>
      </c>
      <c r="Z553" s="60" t="e">
        <f t="shared" ca="1" si="110"/>
        <v>#N/A</v>
      </c>
      <c r="AA553" s="92" t="e">
        <f ca="1"/>
        <v>#N/A</v>
      </c>
      <c r="AB553" s="62" t="e">
        <f t="shared" ca="1" si="111"/>
        <v>#N/A</v>
      </c>
      <c r="AC553" s="62" t="e">
        <f t="shared" ca="1" si="112"/>
        <v>#N/A</v>
      </c>
      <c r="AD553" s="62" t="e">
        <f t="shared" ca="1" si="113"/>
        <v>#N/A</v>
      </c>
      <c r="AE553" s="62" t="e">
        <f t="shared" ca="1" si="114"/>
        <v>#N/A</v>
      </c>
    </row>
    <row r="554" spans="18:31" x14ac:dyDescent="0.25">
      <c r="R554" s="62" t="e">
        <f ca="1"/>
        <v>#N/A</v>
      </c>
      <c r="S554" s="62" t="e">
        <f t="shared" ca="1" si="103"/>
        <v>#N/A</v>
      </c>
      <c r="T554" s="62" t="e">
        <f t="shared" ca="1" si="104"/>
        <v>#N/A</v>
      </c>
      <c r="U554" s="62" t="e">
        <f t="shared" ca="1" si="105"/>
        <v>#N/A</v>
      </c>
      <c r="V554" s="62" t="e">
        <f t="shared" ca="1" si="106"/>
        <v>#N/A</v>
      </c>
      <c r="W554" s="60" t="e">
        <f t="shared" ca="1" si="107"/>
        <v>#N/A</v>
      </c>
      <c r="X554" s="60" t="e">
        <f t="shared" ca="1" si="108"/>
        <v>#N/A</v>
      </c>
      <c r="Y554" s="60" t="e">
        <f t="shared" ca="1" si="109"/>
        <v>#N/A</v>
      </c>
      <c r="Z554" s="60" t="e">
        <f t="shared" ca="1" si="110"/>
        <v>#N/A</v>
      </c>
      <c r="AA554" s="92" t="e">
        <f ca="1"/>
        <v>#N/A</v>
      </c>
      <c r="AB554" s="62" t="e">
        <f t="shared" ca="1" si="111"/>
        <v>#N/A</v>
      </c>
      <c r="AC554" s="62" t="e">
        <f t="shared" ca="1" si="112"/>
        <v>#N/A</v>
      </c>
      <c r="AD554" s="62" t="e">
        <f t="shared" ca="1" si="113"/>
        <v>#N/A</v>
      </c>
      <c r="AE554" s="62" t="e">
        <f t="shared" ca="1" si="114"/>
        <v>#N/A</v>
      </c>
    </row>
    <row r="555" spans="18:31" x14ac:dyDescent="0.25">
      <c r="R555" s="62" t="e">
        <f ca="1"/>
        <v>#N/A</v>
      </c>
      <c r="S555" s="62" t="e">
        <f t="shared" ca="1" si="103"/>
        <v>#N/A</v>
      </c>
      <c r="T555" s="62" t="e">
        <f t="shared" ca="1" si="104"/>
        <v>#N/A</v>
      </c>
      <c r="U555" s="62" t="e">
        <f t="shared" ca="1" si="105"/>
        <v>#N/A</v>
      </c>
      <c r="V555" s="62" t="e">
        <f t="shared" ca="1" si="106"/>
        <v>#N/A</v>
      </c>
      <c r="W555" s="60" t="e">
        <f t="shared" ca="1" si="107"/>
        <v>#N/A</v>
      </c>
      <c r="X555" s="60" t="e">
        <f t="shared" ca="1" si="108"/>
        <v>#N/A</v>
      </c>
      <c r="Y555" s="60" t="e">
        <f t="shared" ca="1" si="109"/>
        <v>#N/A</v>
      </c>
      <c r="Z555" s="60" t="e">
        <f t="shared" ca="1" si="110"/>
        <v>#N/A</v>
      </c>
      <c r="AA555" s="92" t="e">
        <f ca="1"/>
        <v>#N/A</v>
      </c>
      <c r="AB555" s="62" t="e">
        <f t="shared" ca="1" si="111"/>
        <v>#N/A</v>
      </c>
      <c r="AC555" s="62" t="e">
        <f t="shared" ca="1" si="112"/>
        <v>#N/A</v>
      </c>
      <c r="AD555" s="62" t="e">
        <f t="shared" ca="1" si="113"/>
        <v>#N/A</v>
      </c>
      <c r="AE555" s="62" t="e">
        <f t="shared" ca="1" si="114"/>
        <v>#N/A</v>
      </c>
    </row>
    <row r="556" spans="18:31" x14ac:dyDescent="0.25">
      <c r="R556" s="62" t="e">
        <f ca="1"/>
        <v>#N/A</v>
      </c>
      <c r="S556" s="62" t="e">
        <f t="shared" ca="1" si="103"/>
        <v>#N/A</v>
      </c>
      <c r="T556" s="62" t="e">
        <f t="shared" ca="1" si="104"/>
        <v>#N/A</v>
      </c>
      <c r="U556" s="62" t="e">
        <f t="shared" ca="1" si="105"/>
        <v>#N/A</v>
      </c>
      <c r="V556" s="62" t="e">
        <f t="shared" ca="1" si="106"/>
        <v>#N/A</v>
      </c>
      <c r="W556" s="60" t="e">
        <f t="shared" ca="1" si="107"/>
        <v>#N/A</v>
      </c>
      <c r="X556" s="60" t="e">
        <f t="shared" ca="1" si="108"/>
        <v>#N/A</v>
      </c>
      <c r="Y556" s="60" t="e">
        <f t="shared" ca="1" si="109"/>
        <v>#N/A</v>
      </c>
      <c r="Z556" s="60" t="e">
        <f t="shared" ca="1" si="110"/>
        <v>#N/A</v>
      </c>
      <c r="AA556" s="92" t="e">
        <f ca="1"/>
        <v>#N/A</v>
      </c>
      <c r="AB556" s="62" t="e">
        <f t="shared" ca="1" si="111"/>
        <v>#N/A</v>
      </c>
      <c r="AC556" s="62" t="e">
        <f t="shared" ca="1" si="112"/>
        <v>#N/A</v>
      </c>
      <c r="AD556" s="62" t="e">
        <f t="shared" ca="1" si="113"/>
        <v>#N/A</v>
      </c>
      <c r="AE556" s="62" t="e">
        <f t="shared" ca="1" si="114"/>
        <v>#N/A</v>
      </c>
    </row>
    <row r="557" spans="18:31" x14ac:dyDescent="0.25">
      <c r="R557" s="62" t="e">
        <f ca="1"/>
        <v>#N/A</v>
      </c>
      <c r="S557" s="62" t="e">
        <f t="shared" ca="1" si="103"/>
        <v>#N/A</v>
      </c>
      <c r="T557" s="62" t="e">
        <f t="shared" ca="1" si="104"/>
        <v>#N/A</v>
      </c>
      <c r="U557" s="62" t="e">
        <f t="shared" ca="1" si="105"/>
        <v>#N/A</v>
      </c>
      <c r="V557" s="62" t="e">
        <f t="shared" ca="1" si="106"/>
        <v>#N/A</v>
      </c>
      <c r="W557" s="60" t="e">
        <f t="shared" ca="1" si="107"/>
        <v>#N/A</v>
      </c>
      <c r="X557" s="60" t="e">
        <f t="shared" ca="1" si="108"/>
        <v>#N/A</v>
      </c>
      <c r="Y557" s="60" t="e">
        <f t="shared" ca="1" si="109"/>
        <v>#N/A</v>
      </c>
      <c r="Z557" s="60" t="e">
        <f t="shared" ca="1" si="110"/>
        <v>#N/A</v>
      </c>
      <c r="AA557" s="92" t="e">
        <f ca="1"/>
        <v>#N/A</v>
      </c>
      <c r="AB557" s="62" t="e">
        <f t="shared" ca="1" si="111"/>
        <v>#N/A</v>
      </c>
      <c r="AC557" s="62" t="e">
        <f t="shared" ca="1" si="112"/>
        <v>#N/A</v>
      </c>
      <c r="AD557" s="62" t="e">
        <f t="shared" ca="1" si="113"/>
        <v>#N/A</v>
      </c>
      <c r="AE557" s="62" t="e">
        <f t="shared" ca="1" si="114"/>
        <v>#N/A</v>
      </c>
    </row>
    <row r="558" spans="18:31" x14ac:dyDescent="0.25">
      <c r="R558" s="62" t="e">
        <f ca="1"/>
        <v>#N/A</v>
      </c>
      <c r="S558" s="62" t="e">
        <f t="shared" ca="1" si="103"/>
        <v>#N/A</v>
      </c>
      <c r="T558" s="62" t="e">
        <f t="shared" ca="1" si="104"/>
        <v>#N/A</v>
      </c>
      <c r="U558" s="62" t="e">
        <f t="shared" ca="1" si="105"/>
        <v>#N/A</v>
      </c>
      <c r="V558" s="62" t="e">
        <f t="shared" ca="1" si="106"/>
        <v>#N/A</v>
      </c>
      <c r="W558" s="60" t="e">
        <f t="shared" ca="1" si="107"/>
        <v>#N/A</v>
      </c>
      <c r="X558" s="60" t="e">
        <f t="shared" ca="1" si="108"/>
        <v>#N/A</v>
      </c>
      <c r="Y558" s="60" t="e">
        <f t="shared" ca="1" si="109"/>
        <v>#N/A</v>
      </c>
      <c r="Z558" s="60" t="e">
        <f t="shared" ca="1" si="110"/>
        <v>#N/A</v>
      </c>
      <c r="AA558" s="92" t="e">
        <f ca="1"/>
        <v>#N/A</v>
      </c>
      <c r="AB558" s="62" t="e">
        <f t="shared" ca="1" si="111"/>
        <v>#N/A</v>
      </c>
      <c r="AC558" s="62" t="e">
        <f t="shared" ca="1" si="112"/>
        <v>#N/A</v>
      </c>
      <c r="AD558" s="62" t="e">
        <f t="shared" ca="1" si="113"/>
        <v>#N/A</v>
      </c>
      <c r="AE558" s="62" t="e">
        <f t="shared" ca="1" si="114"/>
        <v>#N/A</v>
      </c>
    </row>
    <row r="559" spans="18:31" x14ac:dyDescent="0.25">
      <c r="R559" s="62" t="e">
        <f ca="1"/>
        <v>#N/A</v>
      </c>
      <c r="S559" s="62" t="e">
        <f t="shared" ca="1" si="103"/>
        <v>#N/A</v>
      </c>
      <c r="T559" s="62" t="e">
        <f t="shared" ca="1" si="104"/>
        <v>#N/A</v>
      </c>
      <c r="U559" s="62" t="e">
        <f t="shared" ca="1" si="105"/>
        <v>#N/A</v>
      </c>
      <c r="V559" s="62" t="e">
        <f t="shared" ca="1" si="106"/>
        <v>#N/A</v>
      </c>
      <c r="W559" s="60" t="e">
        <f t="shared" ca="1" si="107"/>
        <v>#N/A</v>
      </c>
      <c r="X559" s="60" t="e">
        <f t="shared" ca="1" si="108"/>
        <v>#N/A</v>
      </c>
      <c r="Y559" s="60" t="e">
        <f t="shared" ca="1" si="109"/>
        <v>#N/A</v>
      </c>
      <c r="Z559" s="60" t="e">
        <f t="shared" ca="1" si="110"/>
        <v>#N/A</v>
      </c>
      <c r="AA559" s="92" t="e">
        <f ca="1"/>
        <v>#N/A</v>
      </c>
      <c r="AB559" s="62" t="e">
        <f t="shared" ca="1" si="111"/>
        <v>#N/A</v>
      </c>
      <c r="AC559" s="62" t="e">
        <f t="shared" ca="1" si="112"/>
        <v>#N/A</v>
      </c>
      <c r="AD559" s="62" t="e">
        <f t="shared" ca="1" si="113"/>
        <v>#N/A</v>
      </c>
      <c r="AE559" s="62" t="e">
        <f t="shared" ca="1" si="114"/>
        <v>#N/A</v>
      </c>
    </row>
    <row r="560" spans="18:31" x14ac:dyDescent="0.25">
      <c r="R560" s="62" t="e">
        <f ca="1"/>
        <v>#N/A</v>
      </c>
      <c r="S560" s="62" t="e">
        <f t="shared" ca="1" si="103"/>
        <v>#N/A</v>
      </c>
      <c r="T560" s="62" t="e">
        <f t="shared" ca="1" si="104"/>
        <v>#N/A</v>
      </c>
      <c r="U560" s="62" t="e">
        <f t="shared" ca="1" si="105"/>
        <v>#N/A</v>
      </c>
      <c r="V560" s="62" t="e">
        <f t="shared" ca="1" si="106"/>
        <v>#N/A</v>
      </c>
      <c r="W560" s="60" t="e">
        <f t="shared" ca="1" si="107"/>
        <v>#N/A</v>
      </c>
      <c r="X560" s="60" t="e">
        <f t="shared" ca="1" si="108"/>
        <v>#N/A</v>
      </c>
      <c r="Y560" s="60" t="e">
        <f t="shared" ca="1" si="109"/>
        <v>#N/A</v>
      </c>
      <c r="Z560" s="60" t="e">
        <f t="shared" ca="1" si="110"/>
        <v>#N/A</v>
      </c>
      <c r="AA560" s="92" t="e">
        <f ca="1"/>
        <v>#N/A</v>
      </c>
      <c r="AB560" s="62" t="e">
        <f t="shared" ca="1" si="111"/>
        <v>#N/A</v>
      </c>
      <c r="AC560" s="62" t="e">
        <f t="shared" ca="1" si="112"/>
        <v>#N/A</v>
      </c>
      <c r="AD560" s="62" t="e">
        <f t="shared" ca="1" si="113"/>
        <v>#N/A</v>
      </c>
      <c r="AE560" s="62" t="e">
        <f t="shared" ca="1" si="114"/>
        <v>#N/A</v>
      </c>
    </row>
    <row r="561" spans="18:31" x14ac:dyDescent="0.25">
      <c r="R561" s="62" t="e">
        <f ca="1"/>
        <v>#N/A</v>
      </c>
      <c r="S561" s="62" t="e">
        <f t="shared" ca="1" si="103"/>
        <v>#N/A</v>
      </c>
      <c r="T561" s="62" t="e">
        <f t="shared" ca="1" si="104"/>
        <v>#N/A</v>
      </c>
      <c r="U561" s="62" t="e">
        <f t="shared" ca="1" si="105"/>
        <v>#N/A</v>
      </c>
      <c r="V561" s="62" t="e">
        <f t="shared" ca="1" si="106"/>
        <v>#N/A</v>
      </c>
      <c r="W561" s="60" t="e">
        <f t="shared" ca="1" si="107"/>
        <v>#N/A</v>
      </c>
      <c r="X561" s="60" t="e">
        <f t="shared" ca="1" si="108"/>
        <v>#N/A</v>
      </c>
      <c r="Y561" s="60" t="e">
        <f t="shared" ca="1" si="109"/>
        <v>#N/A</v>
      </c>
      <c r="Z561" s="60" t="e">
        <f t="shared" ca="1" si="110"/>
        <v>#N/A</v>
      </c>
      <c r="AA561" s="92" t="e">
        <f ca="1"/>
        <v>#N/A</v>
      </c>
      <c r="AB561" s="62" t="e">
        <f t="shared" ca="1" si="111"/>
        <v>#N/A</v>
      </c>
      <c r="AC561" s="62" t="e">
        <f t="shared" ca="1" si="112"/>
        <v>#N/A</v>
      </c>
      <c r="AD561" s="62" t="e">
        <f t="shared" ca="1" si="113"/>
        <v>#N/A</v>
      </c>
      <c r="AE561" s="62" t="e">
        <f t="shared" ca="1" si="114"/>
        <v>#N/A</v>
      </c>
    </row>
    <row r="562" spans="18:31" x14ac:dyDescent="0.25">
      <c r="R562" s="62" t="e">
        <f ca="1"/>
        <v>#N/A</v>
      </c>
      <c r="S562" s="62" t="e">
        <f t="shared" ca="1" si="103"/>
        <v>#N/A</v>
      </c>
      <c r="T562" s="62" t="e">
        <f t="shared" ca="1" si="104"/>
        <v>#N/A</v>
      </c>
      <c r="U562" s="62" t="e">
        <f t="shared" ca="1" si="105"/>
        <v>#N/A</v>
      </c>
      <c r="V562" s="62" t="e">
        <f t="shared" ca="1" si="106"/>
        <v>#N/A</v>
      </c>
      <c r="W562" s="60" t="e">
        <f t="shared" ca="1" si="107"/>
        <v>#N/A</v>
      </c>
      <c r="X562" s="60" t="e">
        <f t="shared" ca="1" si="108"/>
        <v>#N/A</v>
      </c>
      <c r="Y562" s="60" t="e">
        <f t="shared" ca="1" si="109"/>
        <v>#N/A</v>
      </c>
      <c r="Z562" s="60" t="e">
        <f t="shared" ca="1" si="110"/>
        <v>#N/A</v>
      </c>
      <c r="AA562" s="92" t="e">
        <f ca="1"/>
        <v>#N/A</v>
      </c>
      <c r="AB562" s="62" t="e">
        <f t="shared" ca="1" si="111"/>
        <v>#N/A</v>
      </c>
      <c r="AC562" s="62" t="e">
        <f t="shared" ca="1" si="112"/>
        <v>#N/A</v>
      </c>
      <c r="AD562" s="62" t="e">
        <f t="shared" ca="1" si="113"/>
        <v>#N/A</v>
      </c>
      <c r="AE562" s="62" t="e">
        <f t="shared" ca="1" si="114"/>
        <v>#N/A</v>
      </c>
    </row>
    <row r="563" spans="18:31" x14ac:dyDescent="0.25">
      <c r="R563" s="62" t="e">
        <f ca="1"/>
        <v>#N/A</v>
      </c>
      <c r="S563" s="62" t="e">
        <f t="shared" ca="1" si="103"/>
        <v>#N/A</v>
      </c>
      <c r="T563" s="62" t="e">
        <f t="shared" ca="1" si="104"/>
        <v>#N/A</v>
      </c>
      <c r="U563" s="62" t="e">
        <f t="shared" ca="1" si="105"/>
        <v>#N/A</v>
      </c>
      <c r="V563" s="62" t="e">
        <f t="shared" ca="1" si="106"/>
        <v>#N/A</v>
      </c>
      <c r="W563" s="60" t="e">
        <f t="shared" ca="1" si="107"/>
        <v>#N/A</v>
      </c>
      <c r="X563" s="60" t="e">
        <f t="shared" ca="1" si="108"/>
        <v>#N/A</v>
      </c>
      <c r="Y563" s="60" t="e">
        <f t="shared" ca="1" si="109"/>
        <v>#N/A</v>
      </c>
      <c r="Z563" s="60" t="e">
        <f t="shared" ca="1" si="110"/>
        <v>#N/A</v>
      </c>
      <c r="AA563" s="92" t="e">
        <f ca="1"/>
        <v>#N/A</v>
      </c>
      <c r="AB563" s="62" t="e">
        <f t="shared" ca="1" si="111"/>
        <v>#N/A</v>
      </c>
      <c r="AC563" s="62" t="e">
        <f t="shared" ca="1" si="112"/>
        <v>#N/A</v>
      </c>
      <c r="AD563" s="62" t="e">
        <f t="shared" ca="1" si="113"/>
        <v>#N/A</v>
      </c>
      <c r="AE563" s="62" t="e">
        <f t="shared" ca="1" si="114"/>
        <v>#N/A</v>
      </c>
    </row>
    <row r="564" spans="18:31" x14ac:dyDescent="0.25">
      <c r="R564" s="62" t="e">
        <f ca="1"/>
        <v>#N/A</v>
      </c>
      <c r="S564" s="62" t="e">
        <f t="shared" ca="1" si="103"/>
        <v>#N/A</v>
      </c>
      <c r="T564" s="62" t="e">
        <f t="shared" ca="1" si="104"/>
        <v>#N/A</v>
      </c>
      <c r="U564" s="62" t="e">
        <f t="shared" ca="1" si="105"/>
        <v>#N/A</v>
      </c>
      <c r="V564" s="62" t="e">
        <f t="shared" ca="1" si="106"/>
        <v>#N/A</v>
      </c>
      <c r="W564" s="60" t="e">
        <f t="shared" ca="1" si="107"/>
        <v>#N/A</v>
      </c>
      <c r="X564" s="60" t="e">
        <f t="shared" ca="1" si="108"/>
        <v>#N/A</v>
      </c>
      <c r="Y564" s="60" t="e">
        <f t="shared" ca="1" si="109"/>
        <v>#N/A</v>
      </c>
      <c r="Z564" s="60" t="e">
        <f t="shared" ca="1" si="110"/>
        <v>#N/A</v>
      </c>
      <c r="AA564" s="92" t="e">
        <f ca="1"/>
        <v>#N/A</v>
      </c>
      <c r="AB564" s="62" t="e">
        <f t="shared" ca="1" si="111"/>
        <v>#N/A</v>
      </c>
      <c r="AC564" s="62" t="e">
        <f t="shared" ca="1" si="112"/>
        <v>#N/A</v>
      </c>
      <c r="AD564" s="62" t="e">
        <f t="shared" ca="1" si="113"/>
        <v>#N/A</v>
      </c>
      <c r="AE564" s="62" t="e">
        <f t="shared" ca="1" si="114"/>
        <v>#N/A</v>
      </c>
    </row>
    <row r="565" spans="18:31" x14ac:dyDescent="0.25">
      <c r="R565" s="62" t="e">
        <f ca="1"/>
        <v>#N/A</v>
      </c>
      <c r="S565" s="62" t="e">
        <f t="shared" ca="1" si="103"/>
        <v>#N/A</v>
      </c>
      <c r="T565" s="62" t="e">
        <f t="shared" ca="1" si="104"/>
        <v>#N/A</v>
      </c>
      <c r="U565" s="62" t="e">
        <f t="shared" ca="1" si="105"/>
        <v>#N/A</v>
      </c>
      <c r="V565" s="62" t="e">
        <f t="shared" ca="1" si="106"/>
        <v>#N/A</v>
      </c>
      <c r="W565" s="60" t="e">
        <f t="shared" ca="1" si="107"/>
        <v>#N/A</v>
      </c>
      <c r="X565" s="60" t="e">
        <f t="shared" ca="1" si="108"/>
        <v>#N/A</v>
      </c>
      <c r="Y565" s="60" t="e">
        <f t="shared" ca="1" si="109"/>
        <v>#N/A</v>
      </c>
      <c r="Z565" s="60" t="e">
        <f t="shared" ca="1" si="110"/>
        <v>#N/A</v>
      </c>
      <c r="AA565" s="92" t="e">
        <f ca="1"/>
        <v>#N/A</v>
      </c>
      <c r="AB565" s="62" t="e">
        <f t="shared" ca="1" si="111"/>
        <v>#N/A</v>
      </c>
      <c r="AC565" s="62" t="e">
        <f t="shared" ca="1" si="112"/>
        <v>#N/A</v>
      </c>
      <c r="AD565" s="62" t="e">
        <f t="shared" ca="1" si="113"/>
        <v>#N/A</v>
      </c>
      <c r="AE565" s="62" t="e">
        <f t="shared" ca="1" si="114"/>
        <v>#N/A</v>
      </c>
    </row>
    <row r="566" spans="18:31" x14ac:dyDescent="0.25">
      <c r="R566" s="62" t="e">
        <f ca="1"/>
        <v>#N/A</v>
      </c>
      <c r="S566" s="62" t="e">
        <f t="shared" ca="1" si="103"/>
        <v>#N/A</v>
      </c>
      <c r="T566" s="62" t="e">
        <f t="shared" ca="1" si="104"/>
        <v>#N/A</v>
      </c>
      <c r="U566" s="62" t="e">
        <f t="shared" ca="1" si="105"/>
        <v>#N/A</v>
      </c>
      <c r="V566" s="62" t="e">
        <f t="shared" ca="1" si="106"/>
        <v>#N/A</v>
      </c>
      <c r="W566" s="60" t="e">
        <f t="shared" ca="1" si="107"/>
        <v>#N/A</v>
      </c>
      <c r="X566" s="60" t="e">
        <f t="shared" ca="1" si="108"/>
        <v>#N/A</v>
      </c>
      <c r="Y566" s="60" t="e">
        <f t="shared" ca="1" si="109"/>
        <v>#N/A</v>
      </c>
      <c r="Z566" s="60" t="e">
        <f t="shared" ca="1" si="110"/>
        <v>#N/A</v>
      </c>
      <c r="AA566" s="92" t="e">
        <f ca="1"/>
        <v>#N/A</v>
      </c>
      <c r="AB566" s="62" t="e">
        <f t="shared" ca="1" si="111"/>
        <v>#N/A</v>
      </c>
      <c r="AC566" s="62" t="e">
        <f t="shared" ca="1" si="112"/>
        <v>#N/A</v>
      </c>
      <c r="AD566" s="62" t="e">
        <f t="shared" ca="1" si="113"/>
        <v>#N/A</v>
      </c>
      <c r="AE566" s="62" t="e">
        <f t="shared" ca="1" si="114"/>
        <v>#N/A</v>
      </c>
    </row>
    <row r="567" spans="18:31" x14ac:dyDescent="0.25">
      <c r="R567" s="62" t="e">
        <f ca="1"/>
        <v>#N/A</v>
      </c>
      <c r="S567" s="62" t="e">
        <f t="shared" ca="1" si="103"/>
        <v>#N/A</v>
      </c>
      <c r="T567" s="62" t="e">
        <f t="shared" ca="1" si="104"/>
        <v>#N/A</v>
      </c>
      <c r="U567" s="62" t="e">
        <f t="shared" ca="1" si="105"/>
        <v>#N/A</v>
      </c>
      <c r="V567" s="62" t="e">
        <f t="shared" ca="1" si="106"/>
        <v>#N/A</v>
      </c>
      <c r="W567" s="60" t="e">
        <f t="shared" ca="1" si="107"/>
        <v>#N/A</v>
      </c>
      <c r="X567" s="60" t="e">
        <f t="shared" ca="1" si="108"/>
        <v>#N/A</v>
      </c>
      <c r="Y567" s="60" t="e">
        <f t="shared" ca="1" si="109"/>
        <v>#N/A</v>
      </c>
      <c r="Z567" s="60" t="e">
        <f t="shared" ca="1" si="110"/>
        <v>#N/A</v>
      </c>
      <c r="AA567" s="92" t="e">
        <f ca="1"/>
        <v>#N/A</v>
      </c>
      <c r="AB567" s="62" t="e">
        <f t="shared" ca="1" si="111"/>
        <v>#N/A</v>
      </c>
      <c r="AC567" s="62" t="e">
        <f t="shared" ca="1" si="112"/>
        <v>#N/A</v>
      </c>
      <c r="AD567" s="62" t="e">
        <f t="shared" ca="1" si="113"/>
        <v>#N/A</v>
      </c>
      <c r="AE567" s="62" t="e">
        <f t="shared" ca="1" si="114"/>
        <v>#N/A</v>
      </c>
    </row>
    <row r="568" spans="18:31" x14ac:dyDescent="0.25">
      <c r="R568" s="62" t="e">
        <f ca="1"/>
        <v>#N/A</v>
      </c>
      <c r="S568" s="62" t="e">
        <f t="shared" ca="1" si="103"/>
        <v>#N/A</v>
      </c>
      <c r="T568" s="62" t="e">
        <f t="shared" ca="1" si="104"/>
        <v>#N/A</v>
      </c>
      <c r="U568" s="62" t="e">
        <f t="shared" ca="1" si="105"/>
        <v>#N/A</v>
      </c>
      <c r="V568" s="62" t="e">
        <f t="shared" ca="1" si="106"/>
        <v>#N/A</v>
      </c>
      <c r="W568" s="60" t="e">
        <f t="shared" ca="1" si="107"/>
        <v>#N/A</v>
      </c>
      <c r="X568" s="60" t="e">
        <f t="shared" ca="1" si="108"/>
        <v>#N/A</v>
      </c>
      <c r="Y568" s="60" t="e">
        <f t="shared" ca="1" si="109"/>
        <v>#N/A</v>
      </c>
      <c r="Z568" s="60" t="e">
        <f t="shared" ca="1" si="110"/>
        <v>#N/A</v>
      </c>
      <c r="AA568" s="92" t="e">
        <f ca="1"/>
        <v>#N/A</v>
      </c>
      <c r="AB568" s="62" t="e">
        <f t="shared" ca="1" si="111"/>
        <v>#N/A</v>
      </c>
      <c r="AC568" s="62" t="e">
        <f t="shared" ca="1" si="112"/>
        <v>#N/A</v>
      </c>
      <c r="AD568" s="62" t="e">
        <f t="shared" ca="1" si="113"/>
        <v>#N/A</v>
      </c>
      <c r="AE568" s="62" t="e">
        <f t="shared" ca="1" si="114"/>
        <v>#N/A</v>
      </c>
    </row>
    <row r="569" spans="18:31" x14ac:dyDescent="0.25">
      <c r="R569" s="62" t="e">
        <f ca="1"/>
        <v>#N/A</v>
      </c>
      <c r="S569" s="62" t="e">
        <f t="shared" ca="1" si="103"/>
        <v>#N/A</v>
      </c>
      <c r="T569" s="62" t="e">
        <f t="shared" ca="1" si="104"/>
        <v>#N/A</v>
      </c>
      <c r="U569" s="62" t="e">
        <f t="shared" ca="1" si="105"/>
        <v>#N/A</v>
      </c>
      <c r="V569" s="62" t="e">
        <f t="shared" ca="1" si="106"/>
        <v>#N/A</v>
      </c>
      <c r="W569" s="60" t="e">
        <f t="shared" ca="1" si="107"/>
        <v>#N/A</v>
      </c>
      <c r="X569" s="60" t="e">
        <f t="shared" ca="1" si="108"/>
        <v>#N/A</v>
      </c>
      <c r="Y569" s="60" t="e">
        <f t="shared" ca="1" si="109"/>
        <v>#N/A</v>
      </c>
      <c r="Z569" s="60" t="e">
        <f t="shared" ca="1" si="110"/>
        <v>#N/A</v>
      </c>
      <c r="AA569" s="92" t="e">
        <f ca="1"/>
        <v>#N/A</v>
      </c>
      <c r="AB569" s="62" t="e">
        <f t="shared" ca="1" si="111"/>
        <v>#N/A</v>
      </c>
      <c r="AC569" s="62" t="e">
        <f t="shared" ca="1" si="112"/>
        <v>#N/A</v>
      </c>
      <c r="AD569" s="62" t="e">
        <f t="shared" ca="1" si="113"/>
        <v>#N/A</v>
      </c>
      <c r="AE569" s="62" t="e">
        <f t="shared" ca="1" si="114"/>
        <v>#N/A</v>
      </c>
    </row>
    <row r="570" spans="18:31" x14ac:dyDescent="0.25">
      <c r="R570" s="62" t="e">
        <f ca="1"/>
        <v>#N/A</v>
      </c>
      <c r="S570" s="62" t="e">
        <f t="shared" ca="1" si="103"/>
        <v>#N/A</v>
      </c>
      <c r="T570" s="62" t="e">
        <f t="shared" ca="1" si="104"/>
        <v>#N/A</v>
      </c>
      <c r="U570" s="62" t="e">
        <f t="shared" ca="1" si="105"/>
        <v>#N/A</v>
      </c>
      <c r="V570" s="62" t="e">
        <f t="shared" ca="1" si="106"/>
        <v>#N/A</v>
      </c>
      <c r="W570" s="60" t="e">
        <f t="shared" ca="1" si="107"/>
        <v>#N/A</v>
      </c>
      <c r="X570" s="60" t="e">
        <f t="shared" ca="1" si="108"/>
        <v>#N/A</v>
      </c>
      <c r="Y570" s="60" t="e">
        <f t="shared" ca="1" si="109"/>
        <v>#N/A</v>
      </c>
      <c r="Z570" s="60" t="e">
        <f t="shared" ca="1" si="110"/>
        <v>#N/A</v>
      </c>
      <c r="AA570" s="92" t="e">
        <f ca="1"/>
        <v>#N/A</v>
      </c>
      <c r="AB570" s="62" t="e">
        <f t="shared" ca="1" si="111"/>
        <v>#N/A</v>
      </c>
      <c r="AC570" s="62" t="e">
        <f t="shared" ca="1" si="112"/>
        <v>#N/A</v>
      </c>
      <c r="AD570" s="62" t="e">
        <f t="shared" ca="1" si="113"/>
        <v>#N/A</v>
      </c>
      <c r="AE570" s="62" t="e">
        <f t="shared" ca="1" si="114"/>
        <v>#N/A</v>
      </c>
    </row>
    <row r="571" spans="18:31" x14ac:dyDescent="0.25">
      <c r="R571" s="62" t="e">
        <f ca="1"/>
        <v>#N/A</v>
      </c>
      <c r="S571" s="62" t="e">
        <f t="shared" ca="1" si="103"/>
        <v>#N/A</v>
      </c>
      <c r="T571" s="62" t="e">
        <f t="shared" ca="1" si="104"/>
        <v>#N/A</v>
      </c>
      <c r="U571" s="62" t="e">
        <f t="shared" ca="1" si="105"/>
        <v>#N/A</v>
      </c>
      <c r="V571" s="62" t="e">
        <f t="shared" ca="1" si="106"/>
        <v>#N/A</v>
      </c>
      <c r="W571" s="60" t="e">
        <f t="shared" ca="1" si="107"/>
        <v>#N/A</v>
      </c>
      <c r="X571" s="60" t="e">
        <f t="shared" ca="1" si="108"/>
        <v>#N/A</v>
      </c>
      <c r="Y571" s="60" t="e">
        <f t="shared" ca="1" si="109"/>
        <v>#N/A</v>
      </c>
      <c r="Z571" s="60" t="e">
        <f t="shared" ca="1" si="110"/>
        <v>#N/A</v>
      </c>
      <c r="AA571" s="92" t="e">
        <f ca="1"/>
        <v>#N/A</v>
      </c>
      <c r="AB571" s="62" t="e">
        <f t="shared" ca="1" si="111"/>
        <v>#N/A</v>
      </c>
      <c r="AC571" s="62" t="e">
        <f t="shared" ca="1" si="112"/>
        <v>#N/A</v>
      </c>
      <c r="AD571" s="62" t="e">
        <f t="shared" ca="1" si="113"/>
        <v>#N/A</v>
      </c>
      <c r="AE571" s="62" t="e">
        <f t="shared" ca="1" si="114"/>
        <v>#N/A</v>
      </c>
    </row>
    <row r="572" spans="18:31" x14ac:dyDescent="0.25">
      <c r="R572" s="62" t="e">
        <f ca="1"/>
        <v>#N/A</v>
      </c>
      <c r="S572" s="62" t="e">
        <f t="shared" ca="1" si="103"/>
        <v>#N/A</v>
      </c>
      <c r="T572" s="62" t="e">
        <f t="shared" ca="1" si="104"/>
        <v>#N/A</v>
      </c>
      <c r="U572" s="62" t="e">
        <f t="shared" ca="1" si="105"/>
        <v>#N/A</v>
      </c>
      <c r="V572" s="62" t="e">
        <f t="shared" ca="1" si="106"/>
        <v>#N/A</v>
      </c>
      <c r="W572" s="60" t="e">
        <f t="shared" ca="1" si="107"/>
        <v>#N/A</v>
      </c>
      <c r="X572" s="60" t="e">
        <f t="shared" ca="1" si="108"/>
        <v>#N/A</v>
      </c>
      <c r="Y572" s="60" t="e">
        <f t="shared" ca="1" si="109"/>
        <v>#N/A</v>
      </c>
      <c r="Z572" s="60" t="e">
        <f t="shared" ca="1" si="110"/>
        <v>#N/A</v>
      </c>
      <c r="AA572" s="92" t="e">
        <f ca="1"/>
        <v>#N/A</v>
      </c>
      <c r="AB572" s="62" t="e">
        <f t="shared" ca="1" si="111"/>
        <v>#N/A</v>
      </c>
      <c r="AC572" s="62" t="e">
        <f t="shared" ca="1" si="112"/>
        <v>#N/A</v>
      </c>
      <c r="AD572" s="62" t="e">
        <f t="shared" ca="1" si="113"/>
        <v>#N/A</v>
      </c>
      <c r="AE572" s="62" t="e">
        <f t="shared" ca="1" si="114"/>
        <v>#N/A</v>
      </c>
    </row>
    <row r="573" spans="18:31" x14ac:dyDescent="0.25">
      <c r="R573" s="62" t="e">
        <f ca="1"/>
        <v>#N/A</v>
      </c>
      <c r="S573" s="62" t="e">
        <f t="shared" ca="1" si="103"/>
        <v>#N/A</v>
      </c>
      <c r="T573" s="62" t="e">
        <f t="shared" ca="1" si="104"/>
        <v>#N/A</v>
      </c>
      <c r="U573" s="62" t="e">
        <f t="shared" ca="1" si="105"/>
        <v>#N/A</v>
      </c>
      <c r="V573" s="62" t="e">
        <f t="shared" ca="1" si="106"/>
        <v>#N/A</v>
      </c>
      <c r="W573" s="60" t="e">
        <f t="shared" ca="1" si="107"/>
        <v>#N/A</v>
      </c>
      <c r="X573" s="60" t="e">
        <f t="shared" ca="1" si="108"/>
        <v>#N/A</v>
      </c>
      <c r="Y573" s="60" t="e">
        <f t="shared" ca="1" si="109"/>
        <v>#N/A</v>
      </c>
      <c r="Z573" s="60" t="e">
        <f t="shared" ca="1" si="110"/>
        <v>#N/A</v>
      </c>
      <c r="AA573" s="92" t="e">
        <f ca="1"/>
        <v>#N/A</v>
      </c>
      <c r="AB573" s="62" t="e">
        <f t="shared" ca="1" si="111"/>
        <v>#N/A</v>
      </c>
      <c r="AC573" s="62" t="e">
        <f t="shared" ca="1" si="112"/>
        <v>#N/A</v>
      </c>
      <c r="AD573" s="62" t="e">
        <f t="shared" ca="1" si="113"/>
        <v>#N/A</v>
      </c>
      <c r="AE573" s="62" t="e">
        <f t="shared" ca="1" si="114"/>
        <v>#N/A</v>
      </c>
    </row>
    <row r="574" spans="18:31" x14ac:dyDescent="0.25">
      <c r="R574" s="62" t="e">
        <f ca="1"/>
        <v>#N/A</v>
      </c>
      <c r="S574" s="62" t="e">
        <f t="shared" ca="1" si="103"/>
        <v>#N/A</v>
      </c>
      <c r="T574" s="62" t="e">
        <f t="shared" ca="1" si="104"/>
        <v>#N/A</v>
      </c>
      <c r="U574" s="62" t="e">
        <f t="shared" ca="1" si="105"/>
        <v>#N/A</v>
      </c>
      <c r="V574" s="62" t="e">
        <f t="shared" ca="1" si="106"/>
        <v>#N/A</v>
      </c>
      <c r="W574" s="60" t="e">
        <f t="shared" ca="1" si="107"/>
        <v>#N/A</v>
      </c>
      <c r="X574" s="60" t="e">
        <f t="shared" ca="1" si="108"/>
        <v>#N/A</v>
      </c>
      <c r="Y574" s="60" t="e">
        <f t="shared" ca="1" si="109"/>
        <v>#N/A</v>
      </c>
      <c r="Z574" s="60" t="e">
        <f t="shared" ca="1" si="110"/>
        <v>#N/A</v>
      </c>
      <c r="AA574" s="92" t="e">
        <f ca="1"/>
        <v>#N/A</v>
      </c>
      <c r="AB574" s="62" t="e">
        <f t="shared" ca="1" si="111"/>
        <v>#N/A</v>
      </c>
      <c r="AC574" s="62" t="e">
        <f t="shared" ca="1" si="112"/>
        <v>#N/A</v>
      </c>
      <c r="AD574" s="62" t="e">
        <f t="shared" ca="1" si="113"/>
        <v>#N/A</v>
      </c>
      <c r="AE574" s="62" t="e">
        <f t="shared" ca="1" si="114"/>
        <v>#N/A</v>
      </c>
    </row>
    <row r="575" spans="18:31" x14ac:dyDescent="0.25">
      <c r="R575" s="62" t="e">
        <f ca="1"/>
        <v>#N/A</v>
      </c>
      <c r="S575" s="62" t="e">
        <f t="shared" ca="1" si="103"/>
        <v>#N/A</v>
      </c>
      <c r="T575" s="62" t="e">
        <f t="shared" ca="1" si="104"/>
        <v>#N/A</v>
      </c>
      <c r="U575" s="62" t="e">
        <f t="shared" ca="1" si="105"/>
        <v>#N/A</v>
      </c>
      <c r="V575" s="62" t="e">
        <f t="shared" ca="1" si="106"/>
        <v>#N/A</v>
      </c>
      <c r="W575" s="60" t="e">
        <f t="shared" ca="1" si="107"/>
        <v>#N/A</v>
      </c>
      <c r="X575" s="60" t="e">
        <f t="shared" ca="1" si="108"/>
        <v>#N/A</v>
      </c>
      <c r="Y575" s="60" t="e">
        <f t="shared" ca="1" si="109"/>
        <v>#N/A</v>
      </c>
      <c r="Z575" s="60" t="e">
        <f t="shared" ca="1" si="110"/>
        <v>#N/A</v>
      </c>
      <c r="AA575" s="92" t="e">
        <f ca="1"/>
        <v>#N/A</v>
      </c>
      <c r="AB575" s="62" t="e">
        <f t="shared" ca="1" si="111"/>
        <v>#N/A</v>
      </c>
      <c r="AC575" s="62" t="e">
        <f t="shared" ca="1" si="112"/>
        <v>#N/A</v>
      </c>
      <c r="AD575" s="62" t="e">
        <f t="shared" ca="1" si="113"/>
        <v>#N/A</v>
      </c>
      <c r="AE575" s="62" t="e">
        <f t="shared" ca="1" si="114"/>
        <v>#N/A</v>
      </c>
    </row>
    <row r="576" spans="18:31" x14ac:dyDescent="0.25">
      <c r="R576" s="62" t="e">
        <f ca="1"/>
        <v>#N/A</v>
      </c>
      <c r="S576" s="62" t="e">
        <f t="shared" ca="1" si="103"/>
        <v>#N/A</v>
      </c>
      <c r="T576" s="62" t="e">
        <f t="shared" ca="1" si="104"/>
        <v>#N/A</v>
      </c>
      <c r="U576" s="62" t="e">
        <f t="shared" ca="1" si="105"/>
        <v>#N/A</v>
      </c>
      <c r="V576" s="62" t="e">
        <f t="shared" ca="1" si="106"/>
        <v>#N/A</v>
      </c>
      <c r="W576" s="60" t="e">
        <f t="shared" ca="1" si="107"/>
        <v>#N/A</v>
      </c>
      <c r="X576" s="60" t="e">
        <f t="shared" ca="1" si="108"/>
        <v>#N/A</v>
      </c>
      <c r="Y576" s="60" t="e">
        <f t="shared" ca="1" si="109"/>
        <v>#N/A</v>
      </c>
      <c r="Z576" s="60" t="e">
        <f t="shared" ca="1" si="110"/>
        <v>#N/A</v>
      </c>
      <c r="AA576" s="92" t="e">
        <f ca="1"/>
        <v>#N/A</v>
      </c>
      <c r="AB576" s="62" t="e">
        <f t="shared" ca="1" si="111"/>
        <v>#N/A</v>
      </c>
      <c r="AC576" s="62" t="e">
        <f t="shared" ca="1" si="112"/>
        <v>#N/A</v>
      </c>
      <c r="AD576" s="62" t="e">
        <f t="shared" ca="1" si="113"/>
        <v>#N/A</v>
      </c>
      <c r="AE576" s="62" t="e">
        <f t="shared" ca="1" si="114"/>
        <v>#N/A</v>
      </c>
    </row>
    <row r="577" spans="18:31" x14ac:dyDescent="0.25">
      <c r="R577" s="62" t="e">
        <f ca="1"/>
        <v>#N/A</v>
      </c>
      <c r="S577" s="62" t="e">
        <f t="shared" ca="1" si="103"/>
        <v>#N/A</v>
      </c>
      <c r="T577" s="62" t="e">
        <f t="shared" ca="1" si="104"/>
        <v>#N/A</v>
      </c>
      <c r="U577" s="62" t="e">
        <f t="shared" ca="1" si="105"/>
        <v>#N/A</v>
      </c>
      <c r="V577" s="62" t="e">
        <f t="shared" ca="1" si="106"/>
        <v>#N/A</v>
      </c>
      <c r="W577" s="60" t="e">
        <f t="shared" ca="1" si="107"/>
        <v>#N/A</v>
      </c>
      <c r="X577" s="60" t="e">
        <f t="shared" ca="1" si="108"/>
        <v>#N/A</v>
      </c>
      <c r="Y577" s="60" t="e">
        <f t="shared" ca="1" si="109"/>
        <v>#N/A</v>
      </c>
      <c r="Z577" s="60" t="e">
        <f t="shared" ca="1" si="110"/>
        <v>#N/A</v>
      </c>
      <c r="AA577" s="92" t="e">
        <f ca="1"/>
        <v>#N/A</v>
      </c>
      <c r="AB577" s="62" t="e">
        <f t="shared" ca="1" si="111"/>
        <v>#N/A</v>
      </c>
      <c r="AC577" s="62" t="e">
        <f t="shared" ca="1" si="112"/>
        <v>#N/A</v>
      </c>
      <c r="AD577" s="62" t="e">
        <f t="shared" ca="1" si="113"/>
        <v>#N/A</v>
      </c>
      <c r="AE577" s="62" t="e">
        <f t="shared" ca="1" si="114"/>
        <v>#N/A</v>
      </c>
    </row>
    <row r="578" spans="18:31" x14ac:dyDescent="0.25">
      <c r="R578" s="62" t="e">
        <f ca="1"/>
        <v>#N/A</v>
      </c>
      <c r="S578" s="62" t="e">
        <f t="shared" ca="1" si="103"/>
        <v>#N/A</v>
      </c>
      <c r="T578" s="62" t="e">
        <f t="shared" ca="1" si="104"/>
        <v>#N/A</v>
      </c>
      <c r="U578" s="62" t="e">
        <f t="shared" ca="1" si="105"/>
        <v>#N/A</v>
      </c>
      <c r="V578" s="62" t="e">
        <f t="shared" ca="1" si="106"/>
        <v>#N/A</v>
      </c>
      <c r="W578" s="60" t="e">
        <f t="shared" ca="1" si="107"/>
        <v>#N/A</v>
      </c>
      <c r="X578" s="60" t="e">
        <f t="shared" ca="1" si="108"/>
        <v>#N/A</v>
      </c>
      <c r="Y578" s="60" t="e">
        <f t="shared" ca="1" si="109"/>
        <v>#N/A</v>
      </c>
      <c r="Z578" s="60" t="e">
        <f t="shared" ca="1" si="110"/>
        <v>#N/A</v>
      </c>
      <c r="AA578" s="92" t="e">
        <f ca="1"/>
        <v>#N/A</v>
      </c>
      <c r="AB578" s="62" t="e">
        <f t="shared" ca="1" si="111"/>
        <v>#N/A</v>
      </c>
      <c r="AC578" s="62" t="e">
        <f t="shared" ca="1" si="112"/>
        <v>#N/A</v>
      </c>
      <c r="AD578" s="62" t="e">
        <f t="shared" ca="1" si="113"/>
        <v>#N/A</v>
      </c>
      <c r="AE578" s="62" t="e">
        <f t="shared" ca="1" si="114"/>
        <v>#N/A</v>
      </c>
    </row>
    <row r="579" spans="18:31" x14ac:dyDescent="0.25">
      <c r="R579" s="62" t="e">
        <f ca="1"/>
        <v>#N/A</v>
      </c>
      <c r="S579" s="62" t="e">
        <f t="shared" ca="1" si="103"/>
        <v>#N/A</v>
      </c>
      <c r="T579" s="62" t="e">
        <f t="shared" ca="1" si="104"/>
        <v>#N/A</v>
      </c>
      <c r="U579" s="62" t="e">
        <f t="shared" ca="1" si="105"/>
        <v>#N/A</v>
      </c>
      <c r="V579" s="62" t="e">
        <f t="shared" ca="1" si="106"/>
        <v>#N/A</v>
      </c>
      <c r="W579" s="60" t="e">
        <f t="shared" ca="1" si="107"/>
        <v>#N/A</v>
      </c>
      <c r="X579" s="60" t="e">
        <f t="shared" ca="1" si="108"/>
        <v>#N/A</v>
      </c>
      <c r="Y579" s="60" t="e">
        <f t="shared" ca="1" si="109"/>
        <v>#N/A</v>
      </c>
      <c r="Z579" s="60" t="e">
        <f t="shared" ca="1" si="110"/>
        <v>#N/A</v>
      </c>
      <c r="AA579" s="92" t="e">
        <f ca="1"/>
        <v>#N/A</v>
      </c>
      <c r="AB579" s="62" t="e">
        <f t="shared" ca="1" si="111"/>
        <v>#N/A</v>
      </c>
      <c r="AC579" s="62" t="e">
        <f t="shared" ca="1" si="112"/>
        <v>#N/A</v>
      </c>
      <c r="AD579" s="62" t="e">
        <f t="shared" ca="1" si="113"/>
        <v>#N/A</v>
      </c>
      <c r="AE579" s="62" t="e">
        <f t="shared" ca="1" si="114"/>
        <v>#N/A</v>
      </c>
    </row>
    <row r="580" spans="18:31" x14ac:dyDescent="0.25">
      <c r="R580" s="62" t="e">
        <f ca="1"/>
        <v>#N/A</v>
      </c>
      <c r="S580" s="62" t="e">
        <f t="shared" ca="1" si="103"/>
        <v>#N/A</v>
      </c>
      <c r="T580" s="62" t="e">
        <f t="shared" ca="1" si="104"/>
        <v>#N/A</v>
      </c>
      <c r="U580" s="62" t="e">
        <f t="shared" ca="1" si="105"/>
        <v>#N/A</v>
      </c>
      <c r="V580" s="62" t="e">
        <f t="shared" ca="1" si="106"/>
        <v>#N/A</v>
      </c>
      <c r="W580" s="60" t="e">
        <f t="shared" ca="1" si="107"/>
        <v>#N/A</v>
      </c>
      <c r="X580" s="60" t="e">
        <f t="shared" ca="1" si="108"/>
        <v>#N/A</v>
      </c>
      <c r="Y580" s="60" t="e">
        <f t="shared" ca="1" si="109"/>
        <v>#N/A</v>
      </c>
      <c r="Z580" s="60" t="e">
        <f t="shared" ca="1" si="110"/>
        <v>#N/A</v>
      </c>
      <c r="AA580" s="92" t="e">
        <f ca="1"/>
        <v>#N/A</v>
      </c>
      <c r="AB580" s="62" t="e">
        <f t="shared" ca="1" si="111"/>
        <v>#N/A</v>
      </c>
      <c r="AC580" s="62" t="e">
        <f t="shared" ca="1" si="112"/>
        <v>#N/A</v>
      </c>
      <c r="AD580" s="62" t="e">
        <f t="shared" ca="1" si="113"/>
        <v>#N/A</v>
      </c>
      <c r="AE580" s="62" t="e">
        <f t="shared" ca="1" si="114"/>
        <v>#N/A</v>
      </c>
    </row>
    <row r="581" spans="18:31" x14ac:dyDescent="0.25">
      <c r="R581" s="62" t="e">
        <f ca="1"/>
        <v>#N/A</v>
      </c>
      <c r="S581" s="62" t="e">
        <f t="shared" ca="1" si="103"/>
        <v>#N/A</v>
      </c>
      <c r="T581" s="62" t="e">
        <f t="shared" ca="1" si="104"/>
        <v>#N/A</v>
      </c>
      <c r="U581" s="62" t="e">
        <f t="shared" ca="1" si="105"/>
        <v>#N/A</v>
      </c>
      <c r="V581" s="62" t="e">
        <f t="shared" ca="1" si="106"/>
        <v>#N/A</v>
      </c>
      <c r="W581" s="60" t="e">
        <f t="shared" ca="1" si="107"/>
        <v>#N/A</v>
      </c>
      <c r="X581" s="60" t="e">
        <f t="shared" ca="1" si="108"/>
        <v>#N/A</v>
      </c>
      <c r="Y581" s="60" t="e">
        <f t="shared" ca="1" si="109"/>
        <v>#N/A</v>
      </c>
      <c r="Z581" s="60" t="e">
        <f t="shared" ca="1" si="110"/>
        <v>#N/A</v>
      </c>
      <c r="AA581" s="92" t="e">
        <f ca="1"/>
        <v>#N/A</v>
      </c>
      <c r="AB581" s="62" t="e">
        <f t="shared" ca="1" si="111"/>
        <v>#N/A</v>
      </c>
      <c r="AC581" s="62" t="e">
        <f t="shared" ca="1" si="112"/>
        <v>#N/A</v>
      </c>
      <c r="AD581" s="62" t="e">
        <f t="shared" ca="1" si="113"/>
        <v>#N/A</v>
      </c>
      <c r="AE581" s="62" t="e">
        <f t="shared" ca="1" si="114"/>
        <v>#N/A</v>
      </c>
    </row>
    <row r="582" spans="18:31" x14ac:dyDescent="0.25">
      <c r="R582" s="62" t="e">
        <f ca="1"/>
        <v>#N/A</v>
      </c>
      <c r="S582" s="62" t="e">
        <f t="shared" ca="1" si="103"/>
        <v>#N/A</v>
      </c>
      <c r="T582" s="62" t="e">
        <f t="shared" ca="1" si="104"/>
        <v>#N/A</v>
      </c>
      <c r="U582" s="62" t="e">
        <f t="shared" ca="1" si="105"/>
        <v>#N/A</v>
      </c>
      <c r="V582" s="62" t="e">
        <f t="shared" ca="1" si="106"/>
        <v>#N/A</v>
      </c>
      <c r="W582" s="60" t="e">
        <f t="shared" ca="1" si="107"/>
        <v>#N/A</v>
      </c>
      <c r="X582" s="60" t="e">
        <f t="shared" ca="1" si="108"/>
        <v>#N/A</v>
      </c>
      <c r="Y582" s="60" t="e">
        <f t="shared" ca="1" si="109"/>
        <v>#N/A</v>
      </c>
      <c r="Z582" s="60" t="e">
        <f t="shared" ca="1" si="110"/>
        <v>#N/A</v>
      </c>
      <c r="AA582" s="92" t="e">
        <f ca="1"/>
        <v>#N/A</v>
      </c>
      <c r="AB582" s="62" t="e">
        <f t="shared" ca="1" si="111"/>
        <v>#N/A</v>
      </c>
      <c r="AC582" s="62" t="e">
        <f t="shared" ca="1" si="112"/>
        <v>#N/A</v>
      </c>
      <c r="AD582" s="62" t="e">
        <f t="shared" ca="1" si="113"/>
        <v>#N/A</v>
      </c>
      <c r="AE582" s="62" t="e">
        <f t="shared" ca="1" si="114"/>
        <v>#N/A</v>
      </c>
    </row>
    <row r="583" spans="18:31" x14ac:dyDescent="0.25">
      <c r="R583" s="62" t="e">
        <f ca="1"/>
        <v>#N/A</v>
      </c>
      <c r="S583" s="62" t="e">
        <f t="shared" ca="1" si="103"/>
        <v>#N/A</v>
      </c>
      <c r="T583" s="62" t="e">
        <f t="shared" ca="1" si="104"/>
        <v>#N/A</v>
      </c>
      <c r="U583" s="62" t="e">
        <f t="shared" ca="1" si="105"/>
        <v>#N/A</v>
      </c>
      <c r="V583" s="62" t="e">
        <f t="shared" ca="1" si="106"/>
        <v>#N/A</v>
      </c>
      <c r="W583" s="60" t="e">
        <f t="shared" ca="1" si="107"/>
        <v>#N/A</v>
      </c>
      <c r="X583" s="60" t="e">
        <f t="shared" ca="1" si="108"/>
        <v>#N/A</v>
      </c>
      <c r="Y583" s="60" t="e">
        <f t="shared" ca="1" si="109"/>
        <v>#N/A</v>
      </c>
      <c r="Z583" s="60" t="e">
        <f t="shared" ca="1" si="110"/>
        <v>#N/A</v>
      </c>
      <c r="AA583" s="92" t="e">
        <f ca="1"/>
        <v>#N/A</v>
      </c>
      <c r="AB583" s="62" t="e">
        <f t="shared" ca="1" si="111"/>
        <v>#N/A</v>
      </c>
      <c r="AC583" s="62" t="e">
        <f t="shared" ca="1" si="112"/>
        <v>#N/A</v>
      </c>
      <c r="AD583" s="62" t="e">
        <f t="shared" ca="1" si="113"/>
        <v>#N/A</v>
      </c>
      <c r="AE583" s="62" t="e">
        <f t="shared" ca="1" si="114"/>
        <v>#N/A</v>
      </c>
    </row>
    <row r="584" spans="18:31" x14ac:dyDescent="0.25">
      <c r="R584" s="62" t="e">
        <f ca="1"/>
        <v>#N/A</v>
      </c>
      <c r="S584" s="62" t="e">
        <f t="shared" ca="1" si="103"/>
        <v>#N/A</v>
      </c>
      <c r="T584" s="62" t="e">
        <f t="shared" ca="1" si="104"/>
        <v>#N/A</v>
      </c>
      <c r="U584" s="62" t="e">
        <f t="shared" ca="1" si="105"/>
        <v>#N/A</v>
      </c>
      <c r="V584" s="62" t="e">
        <f t="shared" ca="1" si="106"/>
        <v>#N/A</v>
      </c>
      <c r="W584" s="60" t="e">
        <f t="shared" ca="1" si="107"/>
        <v>#N/A</v>
      </c>
      <c r="X584" s="60" t="e">
        <f t="shared" ca="1" si="108"/>
        <v>#N/A</v>
      </c>
      <c r="Y584" s="60" t="e">
        <f t="shared" ca="1" si="109"/>
        <v>#N/A</v>
      </c>
      <c r="Z584" s="60" t="e">
        <f t="shared" ca="1" si="110"/>
        <v>#N/A</v>
      </c>
      <c r="AA584" s="92" t="e">
        <f ca="1"/>
        <v>#N/A</v>
      </c>
      <c r="AB584" s="62" t="e">
        <f t="shared" ca="1" si="111"/>
        <v>#N/A</v>
      </c>
      <c r="AC584" s="62" t="e">
        <f t="shared" ca="1" si="112"/>
        <v>#N/A</v>
      </c>
      <c r="AD584" s="62" t="e">
        <f t="shared" ca="1" si="113"/>
        <v>#N/A</v>
      </c>
      <c r="AE584" s="62" t="e">
        <f t="shared" ca="1" si="114"/>
        <v>#N/A</v>
      </c>
    </row>
    <row r="585" spans="18:31" x14ac:dyDescent="0.25">
      <c r="R585" s="62" t="e">
        <f ca="1"/>
        <v>#N/A</v>
      </c>
      <c r="S585" s="62" t="e">
        <f t="shared" ca="1" si="103"/>
        <v>#N/A</v>
      </c>
      <c r="T585" s="62" t="e">
        <f t="shared" ca="1" si="104"/>
        <v>#N/A</v>
      </c>
      <c r="U585" s="62" t="e">
        <f t="shared" ca="1" si="105"/>
        <v>#N/A</v>
      </c>
      <c r="V585" s="62" t="e">
        <f t="shared" ca="1" si="106"/>
        <v>#N/A</v>
      </c>
      <c r="W585" s="60" t="e">
        <f t="shared" ca="1" si="107"/>
        <v>#N/A</v>
      </c>
      <c r="X585" s="60" t="e">
        <f t="shared" ca="1" si="108"/>
        <v>#N/A</v>
      </c>
      <c r="Y585" s="60" t="e">
        <f t="shared" ca="1" si="109"/>
        <v>#N/A</v>
      </c>
      <c r="Z585" s="60" t="e">
        <f t="shared" ca="1" si="110"/>
        <v>#N/A</v>
      </c>
      <c r="AA585" s="92" t="e">
        <f ca="1"/>
        <v>#N/A</v>
      </c>
      <c r="AB585" s="62" t="e">
        <f t="shared" ca="1" si="111"/>
        <v>#N/A</v>
      </c>
      <c r="AC585" s="62" t="e">
        <f t="shared" ca="1" si="112"/>
        <v>#N/A</v>
      </c>
      <c r="AD585" s="62" t="e">
        <f t="shared" ca="1" si="113"/>
        <v>#N/A</v>
      </c>
      <c r="AE585" s="62" t="e">
        <f t="shared" ca="1" si="114"/>
        <v>#N/A</v>
      </c>
    </row>
    <row r="586" spans="18:31" x14ac:dyDescent="0.25">
      <c r="R586" s="62" t="e">
        <f ca="1"/>
        <v>#N/A</v>
      </c>
      <c r="S586" s="62" t="e">
        <f t="shared" ca="1" si="103"/>
        <v>#N/A</v>
      </c>
      <c r="T586" s="62" t="e">
        <f t="shared" ca="1" si="104"/>
        <v>#N/A</v>
      </c>
      <c r="U586" s="62" t="e">
        <f t="shared" ca="1" si="105"/>
        <v>#N/A</v>
      </c>
      <c r="V586" s="62" t="e">
        <f t="shared" ca="1" si="106"/>
        <v>#N/A</v>
      </c>
      <c r="W586" s="60" t="e">
        <f t="shared" ca="1" si="107"/>
        <v>#N/A</v>
      </c>
      <c r="X586" s="60" t="e">
        <f t="shared" ca="1" si="108"/>
        <v>#N/A</v>
      </c>
      <c r="Y586" s="60" t="e">
        <f t="shared" ca="1" si="109"/>
        <v>#N/A</v>
      </c>
      <c r="Z586" s="60" t="e">
        <f t="shared" ca="1" si="110"/>
        <v>#N/A</v>
      </c>
      <c r="AA586" s="92" t="e">
        <f ca="1"/>
        <v>#N/A</v>
      </c>
      <c r="AB586" s="62" t="e">
        <f t="shared" ca="1" si="111"/>
        <v>#N/A</v>
      </c>
      <c r="AC586" s="62" t="e">
        <f t="shared" ca="1" si="112"/>
        <v>#N/A</v>
      </c>
      <c r="AD586" s="62" t="e">
        <f t="shared" ca="1" si="113"/>
        <v>#N/A</v>
      </c>
      <c r="AE586" s="62" t="e">
        <f t="shared" ca="1" si="114"/>
        <v>#N/A</v>
      </c>
    </row>
    <row r="587" spans="18:31" x14ac:dyDescent="0.25">
      <c r="R587" s="62" t="e">
        <f ca="1"/>
        <v>#N/A</v>
      </c>
      <c r="S587" s="62" t="e">
        <f t="shared" ca="1" si="103"/>
        <v>#N/A</v>
      </c>
      <c r="T587" s="62" t="e">
        <f t="shared" ca="1" si="104"/>
        <v>#N/A</v>
      </c>
      <c r="U587" s="62" t="e">
        <f t="shared" ca="1" si="105"/>
        <v>#N/A</v>
      </c>
      <c r="V587" s="62" t="e">
        <f t="shared" ca="1" si="106"/>
        <v>#N/A</v>
      </c>
      <c r="W587" s="60" t="e">
        <f t="shared" ca="1" si="107"/>
        <v>#N/A</v>
      </c>
      <c r="X587" s="60" t="e">
        <f t="shared" ca="1" si="108"/>
        <v>#N/A</v>
      </c>
      <c r="Y587" s="60" t="e">
        <f t="shared" ca="1" si="109"/>
        <v>#N/A</v>
      </c>
      <c r="Z587" s="60" t="e">
        <f t="shared" ca="1" si="110"/>
        <v>#N/A</v>
      </c>
      <c r="AA587" s="92" t="e">
        <f ca="1"/>
        <v>#N/A</v>
      </c>
      <c r="AB587" s="62" t="e">
        <f t="shared" ca="1" si="111"/>
        <v>#N/A</v>
      </c>
      <c r="AC587" s="62" t="e">
        <f t="shared" ca="1" si="112"/>
        <v>#N/A</v>
      </c>
      <c r="AD587" s="62" t="e">
        <f t="shared" ca="1" si="113"/>
        <v>#N/A</v>
      </c>
      <c r="AE587" s="62" t="e">
        <f t="shared" ca="1" si="114"/>
        <v>#N/A</v>
      </c>
    </row>
    <row r="588" spans="18:31" x14ac:dyDescent="0.25">
      <c r="R588" s="62" t="e">
        <f ca="1"/>
        <v>#N/A</v>
      </c>
      <c r="S588" s="62" t="e">
        <f t="shared" ref="S588:S651" ca="1" si="115">IF(R588&gt;1,R588,"")</f>
        <v>#N/A</v>
      </c>
      <c r="T588" s="62" t="e">
        <f t="shared" ref="T588:T651" ca="1" si="116">VLOOKUP(S588,ModelOutputs,2,FALSE)</f>
        <v>#N/A</v>
      </c>
      <c r="U588" s="62" t="e">
        <f t="shared" ref="U588:U651" ca="1" si="117">VLOOKUP(S588,ModelOutputs,7,FALSE)</f>
        <v>#N/A</v>
      </c>
      <c r="V588" s="62" t="e">
        <f t="shared" ref="V588:V651" ca="1" si="118">VLOOKUP(S588,ModelOutputs,6,FALSE)</f>
        <v>#N/A</v>
      </c>
      <c r="W588" s="60" t="e">
        <f t="shared" ref="W588:W651" ca="1" si="119">VLOOKUP(S588,ModelOutputs,10,FALSE)*AWC</f>
        <v>#N/A</v>
      </c>
      <c r="X588" s="60" t="e">
        <f t="shared" ref="X588:X651" ca="1" si="120">VLOOKUP(S588,ModelOutputs,11,FALSE)+X587</f>
        <v>#N/A</v>
      </c>
      <c r="Y588" s="60" t="e">
        <f t="shared" ref="Y588:Y651" ca="1" si="121">VLOOKUP(S588,ModelOutputs,12,FALSE)</f>
        <v>#N/A</v>
      </c>
      <c r="Z588" s="60" t="e">
        <f t="shared" ref="Z588:Z651" ca="1" si="122">VLOOKUP(S588,ModelOutputs,13,FALSE)</f>
        <v>#N/A</v>
      </c>
      <c r="AA588" s="92" t="e">
        <f ca="1"/>
        <v>#N/A</v>
      </c>
      <c r="AB588" s="62" t="e">
        <f t="shared" ref="AB588:AB651" ca="1" si="123">IF(AA588&gt;1,AA588,"")</f>
        <v>#N/A</v>
      </c>
      <c r="AC588" s="62" t="e">
        <f t="shared" ref="AC588:AC651" ca="1" si="124">VLOOKUP(AB588,ModelOutputs,2,FALSE)</f>
        <v>#N/A</v>
      </c>
      <c r="AD588" s="62" t="e">
        <f t="shared" ref="AD588:AD651" ca="1" si="125">VLOOKUP(AB588,ModelOutputs,7,FALSE)</f>
        <v>#N/A</v>
      </c>
      <c r="AE588" s="62" t="e">
        <f t="shared" ref="AE588:AE651" ca="1" si="126">VLOOKUP(AB588,ModelOutputs,6,FALSE)</f>
        <v>#N/A</v>
      </c>
    </row>
    <row r="589" spans="18:31" x14ac:dyDescent="0.25">
      <c r="R589" s="62" t="e">
        <f ca="1"/>
        <v>#N/A</v>
      </c>
      <c r="S589" s="62" t="e">
        <f t="shared" ca="1" si="115"/>
        <v>#N/A</v>
      </c>
      <c r="T589" s="62" t="e">
        <f t="shared" ca="1" si="116"/>
        <v>#N/A</v>
      </c>
      <c r="U589" s="62" t="e">
        <f t="shared" ca="1" si="117"/>
        <v>#N/A</v>
      </c>
      <c r="V589" s="62" t="e">
        <f t="shared" ca="1" si="118"/>
        <v>#N/A</v>
      </c>
      <c r="W589" s="60" t="e">
        <f t="shared" ca="1" si="119"/>
        <v>#N/A</v>
      </c>
      <c r="X589" s="60" t="e">
        <f t="shared" ca="1" si="120"/>
        <v>#N/A</v>
      </c>
      <c r="Y589" s="60" t="e">
        <f t="shared" ca="1" si="121"/>
        <v>#N/A</v>
      </c>
      <c r="Z589" s="60" t="e">
        <f t="shared" ca="1" si="122"/>
        <v>#N/A</v>
      </c>
      <c r="AA589" s="92" t="e">
        <f ca="1"/>
        <v>#N/A</v>
      </c>
      <c r="AB589" s="62" t="e">
        <f t="shared" ca="1" si="123"/>
        <v>#N/A</v>
      </c>
      <c r="AC589" s="62" t="e">
        <f t="shared" ca="1" si="124"/>
        <v>#N/A</v>
      </c>
      <c r="AD589" s="62" t="e">
        <f t="shared" ca="1" si="125"/>
        <v>#N/A</v>
      </c>
      <c r="AE589" s="62" t="e">
        <f t="shared" ca="1" si="126"/>
        <v>#N/A</v>
      </c>
    </row>
    <row r="590" spans="18:31" x14ac:dyDescent="0.25">
      <c r="R590" s="62" t="e">
        <f ca="1"/>
        <v>#N/A</v>
      </c>
      <c r="S590" s="62" t="e">
        <f t="shared" ca="1" si="115"/>
        <v>#N/A</v>
      </c>
      <c r="T590" s="62" t="e">
        <f t="shared" ca="1" si="116"/>
        <v>#N/A</v>
      </c>
      <c r="U590" s="62" t="e">
        <f t="shared" ca="1" si="117"/>
        <v>#N/A</v>
      </c>
      <c r="V590" s="62" t="e">
        <f t="shared" ca="1" si="118"/>
        <v>#N/A</v>
      </c>
      <c r="W590" s="60" t="e">
        <f t="shared" ca="1" si="119"/>
        <v>#N/A</v>
      </c>
      <c r="X590" s="60" t="e">
        <f t="shared" ca="1" si="120"/>
        <v>#N/A</v>
      </c>
      <c r="Y590" s="60" t="e">
        <f t="shared" ca="1" si="121"/>
        <v>#N/A</v>
      </c>
      <c r="Z590" s="60" t="e">
        <f t="shared" ca="1" si="122"/>
        <v>#N/A</v>
      </c>
      <c r="AA590" s="92" t="e">
        <f ca="1"/>
        <v>#N/A</v>
      </c>
      <c r="AB590" s="62" t="e">
        <f t="shared" ca="1" si="123"/>
        <v>#N/A</v>
      </c>
      <c r="AC590" s="62" t="e">
        <f t="shared" ca="1" si="124"/>
        <v>#N/A</v>
      </c>
      <c r="AD590" s="62" t="e">
        <f t="shared" ca="1" si="125"/>
        <v>#N/A</v>
      </c>
      <c r="AE590" s="62" t="e">
        <f t="shared" ca="1" si="126"/>
        <v>#N/A</v>
      </c>
    </row>
    <row r="591" spans="18:31" x14ac:dyDescent="0.25">
      <c r="R591" s="62" t="e">
        <f ca="1"/>
        <v>#N/A</v>
      </c>
      <c r="S591" s="62" t="e">
        <f t="shared" ca="1" si="115"/>
        <v>#N/A</v>
      </c>
      <c r="T591" s="62" t="e">
        <f t="shared" ca="1" si="116"/>
        <v>#N/A</v>
      </c>
      <c r="U591" s="62" t="e">
        <f t="shared" ca="1" si="117"/>
        <v>#N/A</v>
      </c>
      <c r="V591" s="62" t="e">
        <f t="shared" ca="1" si="118"/>
        <v>#N/A</v>
      </c>
      <c r="W591" s="60" t="e">
        <f t="shared" ca="1" si="119"/>
        <v>#N/A</v>
      </c>
      <c r="X591" s="60" t="e">
        <f t="shared" ca="1" si="120"/>
        <v>#N/A</v>
      </c>
      <c r="Y591" s="60" t="e">
        <f t="shared" ca="1" si="121"/>
        <v>#N/A</v>
      </c>
      <c r="Z591" s="60" t="e">
        <f t="shared" ca="1" si="122"/>
        <v>#N/A</v>
      </c>
      <c r="AA591" s="92" t="e">
        <f ca="1"/>
        <v>#N/A</v>
      </c>
      <c r="AB591" s="62" t="e">
        <f t="shared" ca="1" si="123"/>
        <v>#N/A</v>
      </c>
      <c r="AC591" s="62" t="e">
        <f t="shared" ca="1" si="124"/>
        <v>#N/A</v>
      </c>
      <c r="AD591" s="62" t="e">
        <f t="shared" ca="1" si="125"/>
        <v>#N/A</v>
      </c>
      <c r="AE591" s="62" t="e">
        <f t="shared" ca="1" si="126"/>
        <v>#N/A</v>
      </c>
    </row>
    <row r="592" spans="18:31" x14ac:dyDescent="0.25">
      <c r="R592" s="62" t="e">
        <f ca="1"/>
        <v>#N/A</v>
      </c>
      <c r="S592" s="62" t="e">
        <f t="shared" ca="1" si="115"/>
        <v>#N/A</v>
      </c>
      <c r="T592" s="62" t="e">
        <f t="shared" ca="1" si="116"/>
        <v>#N/A</v>
      </c>
      <c r="U592" s="62" t="e">
        <f t="shared" ca="1" si="117"/>
        <v>#N/A</v>
      </c>
      <c r="V592" s="62" t="e">
        <f t="shared" ca="1" si="118"/>
        <v>#N/A</v>
      </c>
      <c r="W592" s="60" t="e">
        <f t="shared" ca="1" si="119"/>
        <v>#N/A</v>
      </c>
      <c r="X592" s="60" t="e">
        <f t="shared" ca="1" si="120"/>
        <v>#N/A</v>
      </c>
      <c r="Y592" s="60" t="e">
        <f t="shared" ca="1" si="121"/>
        <v>#N/A</v>
      </c>
      <c r="Z592" s="60" t="e">
        <f t="shared" ca="1" si="122"/>
        <v>#N/A</v>
      </c>
      <c r="AA592" s="92" t="e">
        <f ca="1"/>
        <v>#N/A</v>
      </c>
      <c r="AB592" s="62" t="e">
        <f t="shared" ca="1" si="123"/>
        <v>#N/A</v>
      </c>
      <c r="AC592" s="62" t="e">
        <f t="shared" ca="1" si="124"/>
        <v>#N/A</v>
      </c>
      <c r="AD592" s="62" t="e">
        <f t="shared" ca="1" si="125"/>
        <v>#N/A</v>
      </c>
      <c r="AE592" s="62" t="e">
        <f t="shared" ca="1" si="126"/>
        <v>#N/A</v>
      </c>
    </row>
    <row r="593" spans="18:31" x14ac:dyDescent="0.25">
      <c r="R593" s="62" t="e">
        <f ca="1"/>
        <v>#N/A</v>
      </c>
      <c r="S593" s="62" t="e">
        <f t="shared" ca="1" si="115"/>
        <v>#N/A</v>
      </c>
      <c r="T593" s="62" t="e">
        <f t="shared" ca="1" si="116"/>
        <v>#N/A</v>
      </c>
      <c r="U593" s="62" t="e">
        <f t="shared" ca="1" si="117"/>
        <v>#N/A</v>
      </c>
      <c r="V593" s="62" t="e">
        <f t="shared" ca="1" si="118"/>
        <v>#N/A</v>
      </c>
      <c r="W593" s="60" t="e">
        <f t="shared" ca="1" si="119"/>
        <v>#N/A</v>
      </c>
      <c r="X593" s="60" t="e">
        <f t="shared" ca="1" si="120"/>
        <v>#N/A</v>
      </c>
      <c r="Y593" s="60" t="e">
        <f t="shared" ca="1" si="121"/>
        <v>#N/A</v>
      </c>
      <c r="Z593" s="60" t="e">
        <f t="shared" ca="1" si="122"/>
        <v>#N/A</v>
      </c>
      <c r="AA593" s="92" t="e">
        <f ca="1"/>
        <v>#N/A</v>
      </c>
      <c r="AB593" s="62" t="e">
        <f t="shared" ca="1" si="123"/>
        <v>#N/A</v>
      </c>
      <c r="AC593" s="62" t="e">
        <f t="shared" ca="1" si="124"/>
        <v>#N/A</v>
      </c>
      <c r="AD593" s="62" t="e">
        <f t="shared" ca="1" si="125"/>
        <v>#N/A</v>
      </c>
      <c r="AE593" s="62" t="e">
        <f t="shared" ca="1" si="126"/>
        <v>#N/A</v>
      </c>
    </row>
    <row r="594" spans="18:31" x14ac:dyDescent="0.25">
      <c r="R594" s="62" t="e">
        <f ca="1"/>
        <v>#N/A</v>
      </c>
      <c r="S594" s="62" t="e">
        <f t="shared" ca="1" si="115"/>
        <v>#N/A</v>
      </c>
      <c r="T594" s="62" t="e">
        <f t="shared" ca="1" si="116"/>
        <v>#N/A</v>
      </c>
      <c r="U594" s="62" t="e">
        <f t="shared" ca="1" si="117"/>
        <v>#N/A</v>
      </c>
      <c r="V594" s="62" t="e">
        <f t="shared" ca="1" si="118"/>
        <v>#N/A</v>
      </c>
      <c r="W594" s="60" t="e">
        <f t="shared" ca="1" si="119"/>
        <v>#N/A</v>
      </c>
      <c r="X594" s="60" t="e">
        <f t="shared" ca="1" si="120"/>
        <v>#N/A</v>
      </c>
      <c r="Y594" s="60" t="e">
        <f t="shared" ca="1" si="121"/>
        <v>#N/A</v>
      </c>
      <c r="Z594" s="60" t="e">
        <f t="shared" ca="1" si="122"/>
        <v>#N/A</v>
      </c>
      <c r="AA594" s="92" t="e">
        <f ca="1"/>
        <v>#N/A</v>
      </c>
      <c r="AB594" s="62" t="e">
        <f t="shared" ca="1" si="123"/>
        <v>#N/A</v>
      </c>
      <c r="AC594" s="62" t="e">
        <f t="shared" ca="1" si="124"/>
        <v>#N/A</v>
      </c>
      <c r="AD594" s="62" t="e">
        <f t="shared" ca="1" si="125"/>
        <v>#N/A</v>
      </c>
      <c r="AE594" s="62" t="e">
        <f t="shared" ca="1" si="126"/>
        <v>#N/A</v>
      </c>
    </row>
    <row r="595" spans="18:31" x14ac:dyDescent="0.25">
      <c r="R595" s="62" t="e">
        <f ca="1"/>
        <v>#N/A</v>
      </c>
      <c r="S595" s="62" t="e">
        <f t="shared" ca="1" si="115"/>
        <v>#N/A</v>
      </c>
      <c r="T595" s="62" t="e">
        <f t="shared" ca="1" si="116"/>
        <v>#N/A</v>
      </c>
      <c r="U595" s="62" t="e">
        <f t="shared" ca="1" si="117"/>
        <v>#N/A</v>
      </c>
      <c r="V595" s="62" t="e">
        <f t="shared" ca="1" si="118"/>
        <v>#N/A</v>
      </c>
      <c r="W595" s="60" t="e">
        <f t="shared" ca="1" si="119"/>
        <v>#N/A</v>
      </c>
      <c r="X595" s="60" t="e">
        <f t="shared" ca="1" si="120"/>
        <v>#N/A</v>
      </c>
      <c r="Y595" s="60" t="e">
        <f t="shared" ca="1" si="121"/>
        <v>#N/A</v>
      </c>
      <c r="Z595" s="60" t="e">
        <f t="shared" ca="1" si="122"/>
        <v>#N/A</v>
      </c>
      <c r="AA595" s="92" t="e">
        <f ca="1"/>
        <v>#N/A</v>
      </c>
      <c r="AB595" s="62" t="e">
        <f t="shared" ca="1" si="123"/>
        <v>#N/A</v>
      </c>
      <c r="AC595" s="62" t="e">
        <f t="shared" ca="1" si="124"/>
        <v>#N/A</v>
      </c>
      <c r="AD595" s="62" t="e">
        <f t="shared" ca="1" si="125"/>
        <v>#N/A</v>
      </c>
      <c r="AE595" s="62" t="e">
        <f t="shared" ca="1" si="126"/>
        <v>#N/A</v>
      </c>
    </row>
    <row r="596" spans="18:31" x14ac:dyDescent="0.25">
      <c r="R596" s="62" t="e">
        <f ca="1"/>
        <v>#N/A</v>
      </c>
      <c r="S596" s="62" t="e">
        <f t="shared" ca="1" si="115"/>
        <v>#N/A</v>
      </c>
      <c r="T596" s="62" t="e">
        <f t="shared" ca="1" si="116"/>
        <v>#N/A</v>
      </c>
      <c r="U596" s="62" t="e">
        <f t="shared" ca="1" si="117"/>
        <v>#N/A</v>
      </c>
      <c r="V596" s="62" t="e">
        <f t="shared" ca="1" si="118"/>
        <v>#N/A</v>
      </c>
      <c r="W596" s="60" t="e">
        <f t="shared" ca="1" si="119"/>
        <v>#N/A</v>
      </c>
      <c r="X596" s="60" t="e">
        <f t="shared" ca="1" si="120"/>
        <v>#N/A</v>
      </c>
      <c r="Y596" s="60" t="e">
        <f t="shared" ca="1" si="121"/>
        <v>#N/A</v>
      </c>
      <c r="Z596" s="60" t="e">
        <f t="shared" ca="1" si="122"/>
        <v>#N/A</v>
      </c>
      <c r="AA596" s="92" t="e">
        <f ca="1"/>
        <v>#N/A</v>
      </c>
      <c r="AB596" s="62" t="e">
        <f t="shared" ca="1" si="123"/>
        <v>#N/A</v>
      </c>
      <c r="AC596" s="62" t="e">
        <f t="shared" ca="1" si="124"/>
        <v>#N/A</v>
      </c>
      <c r="AD596" s="62" t="e">
        <f t="shared" ca="1" si="125"/>
        <v>#N/A</v>
      </c>
      <c r="AE596" s="62" t="e">
        <f t="shared" ca="1" si="126"/>
        <v>#N/A</v>
      </c>
    </row>
    <row r="597" spans="18:31" x14ac:dyDescent="0.25">
      <c r="R597" s="62" t="e">
        <f ca="1"/>
        <v>#N/A</v>
      </c>
      <c r="S597" s="62" t="e">
        <f t="shared" ca="1" si="115"/>
        <v>#N/A</v>
      </c>
      <c r="T597" s="62" t="e">
        <f t="shared" ca="1" si="116"/>
        <v>#N/A</v>
      </c>
      <c r="U597" s="62" t="e">
        <f t="shared" ca="1" si="117"/>
        <v>#N/A</v>
      </c>
      <c r="V597" s="62" t="e">
        <f t="shared" ca="1" si="118"/>
        <v>#N/A</v>
      </c>
      <c r="W597" s="60" t="e">
        <f t="shared" ca="1" si="119"/>
        <v>#N/A</v>
      </c>
      <c r="X597" s="60" t="e">
        <f t="shared" ca="1" si="120"/>
        <v>#N/A</v>
      </c>
      <c r="Y597" s="60" t="e">
        <f t="shared" ca="1" si="121"/>
        <v>#N/A</v>
      </c>
      <c r="Z597" s="60" t="e">
        <f t="shared" ca="1" si="122"/>
        <v>#N/A</v>
      </c>
      <c r="AA597" s="92" t="e">
        <f ca="1"/>
        <v>#N/A</v>
      </c>
      <c r="AB597" s="62" t="e">
        <f t="shared" ca="1" si="123"/>
        <v>#N/A</v>
      </c>
      <c r="AC597" s="62" t="e">
        <f t="shared" ca="1" si="124"/>
        <v>#N/A</v>
      </c>
      <c r="AD597" s="62" t="e">
        <f t="shared" ca="1" si="125"/>
        <v>#N/A</v>
      </c>
      <c r="AE597" s="62" t="e">
        <f t="shared" ca="1" si="126"/>
        <v>#N/A</v>
      </c>
    </row>
    <row r="598" spans="18:31" x14ac:dyDescent="0.25">
      <c r="R598" s="62" t="e">
        <f ca="1"/>
        <v>#N/A</v>
      </c>
      <c r="S598" s="62" t="e">
        <f t="shared" ca="1" si="115"/>
        <v>#N/A</v>
      </c>
      <c r="T598" s="62" t="e">
        <f t="shared" ca="1" si="116"/>
        <v>#N/A</v>
      </c>
      <c r="U598" s="62" t="e">
        <f t="shared" ca="1" si="117"/>
        <v>#N/A</v>
      </c>
      <c r="V598" s="62" t="e">
        <f t="shared" ca="1" si="118"/>
        <v>#N/A</v>
      </c>
      <c r="W598" s="60" t="e">
        <f t="shared" ca="1" si="119"/>
        <v>#N/A</v>
      </c>
      <c r="X598" s="60" t="e">
        <f t="shared" ca="1" si="120"/>
        <v>#N/A</v>
      </c>
      <c r="Y598" s="60" t="e">
        <f t="shared" ca="1" si="121"/>
        <v>#N/A</v>
      </c>
      <c r="Z598" s="60" t="e">
        <f t="shared" ca="1" si="122"/>
        <v>#N/A</v>
      </c>
      <c r="AA598" s="92" t="e">
        <f ca="1"/>
        <v>#N/A</v>
      </c>
      <c r="AB598" s="62" t="e">
        <f t="shared" ca="1" si="123"/>
        <v>#N/A</v>
      </c>
      <c r="AC598" s="62" t="e">
        <f t="shared" ca="1" si="124"/>
        <v>#N/A</v>
      </c>
      <c r="AD598" s="62" t="e">
        <f t="shared" ca="1" si="125"/>
        <v>#N/A</v>
      </c>
      <c r="AE598" s="62" t="e">
        <f t="shared" ca="1" si="126"/>
        <v>#N/A</v>
      </c>
    </row>
    <row r="599" spans="18:31" x14ac:dyDescent="0.25">
      <c r="R599" s="62" t="e">
        <f ca="1"/>
        <v>#N/A</v>
      </c>
      <c r="S599" s="62" t="e">
        <f t="shared" ca="1" si="115"/>
        <v>#N/A</v>
      </c>
      <c r="T599" s="62" t="e">
        <f t="shared" ca="1" si="116"/>
        <v>#N/A</v>
      </c>
      <c r="U599" s="62" t="e">
        <f t="shared" ca="1" si="117"/>
        <v>#N/A</v>
      </c>
      <c r="V599" s="62" t="e">
        <f t="shared" ca="1" si="118"/>
        <v>#N/A</v>
      </c>
      <c r="W599" s="60" t="e">
        <f t="shared" ca="1" si="119"/>
        <v>#N/A</v>
      </c>
      <c r="X599" s="60" t="e">
        <f t="shared" ca="1" si="120"/>
        <v>#N/A</v>
      </c>
      <c r="Y599" s="60" t="e">
        <f t="shared" ca="1" si="121"/>
        <v>#N/A</v>
      </c>
      <c r="Z599" s="60" t="e">
        <f t="shared" ca="1" si="122"/>
        <v>#N/A</v>
      </c>
      <c r="AA599" s="92" t="e">
        <f ca="1"/>
        <v>#N/A</v>
      </c>
      <c r="AB599" s="62" t="e">
        <f t="shared" ca="1" si="123"/>
        <v>#N/A</v>
      </c>
      <c r="AC599" s="62" t="e">
        <f t="shared" ca="1" si="124"/>
        <v>#N/A</v>
      </c>
      <c r="AD599" s="62" t="e">
        <f t="shared" ca="1" si="125"/>
        <v>#N/A</v>
      </c>
      <c r="AE599" s="62" t="e">
        <f t="shared" ca="1" si="126"/>
        <v>#N/A</v>
      </c>
    </row>
    <row r="600" spans="18:31" x14ac:dyDescent="0.25">
      <c r="R600" s="62" t="e">
        <f ca="1"/>
        <v>#N/A</v>
      </c>
      <c r="S600" s="62" t="e">
        <f t="shared" ca="1" si="115"/>
        <v>#N/A</v>
      </c>
      <c r="T600" s="62" t="e">
        <f t="shared" ca="1" si="116"/>
        <v>#N/A</v>
      </c>
      <c r="U600" s="62" t="e">
        <f t="shared" ca="1" si="117"/>
        <v>#N/A</v>
      </c>
      <c r="V600" s="62" t="e">
        <f t="shared" ca="1" si="118"/>
        <v>#N/A</v>
      </c>
      <c r="W600" s="60" t="e">
        <f t="shared" ca="1" si="119"/>
        <v>#N/A</v>
      </c>
      <c r="X600" s="60" t="e">
        <f t="shared" ca="1" si="120"/>
        <v>#N/A</v>
      </c>
      <c r="Y600" s="60" t="e">
        <f t="shared" ca="1" si="121"/>
        <v>#N/A</v>
      </c>
      <c r="Z600" s="60" t="e">
        <f t="shared" ca="1" si="122"/>
        <v>#N/A</v>
      </c>
      <c r="AA600" s="92" t="e">
        <f ca="1"/>
        <v>#N/A</v>
      </c>
      <c r="AB600" s="62" t="e">
        <f t="shared" ca="1" si="123"/>
        <v>#N/A</v>
      </c>
      <c r="AC600" s="62" t="e">
        <f t="shared" ca="1" si="124"/>
        <v>#N/A</v>
      </c>
      <c r="AD600" s="62" t="e">
        <f t="shared" ca="1" si="125"/>
        <v>#N/A</v>
      </c>
      <c r="AE600" s="62" t="e">
        <f t="shared" ca="1" si="126"/>
        <v>#N/A</v>
      </c>
    </row>
    <row r="601" spans="18:31" x14ac:dyDescent="0.25">
      <c r="R601" s="62" t="e">
        <f ca="1"/>
        <v>#N/A</v>
      </c>
      <c r="S601" s="62" t="e">
        <f t="shared" ca="1" si="115"/>
        <v>#N/A</v>
      </c>
      <c r="T601" s="62" t="e">
        <f t="shared" ca="1" si="116"/>
        <v>#N/A</v>
      </c>
      <c r="U601" s="62" t="e">
        <f t="shared" ca="1" si="117"/>
        <v>#N/A</v>
      </c>
      <c r="V601" s="62" t="e">
        <f t="shared" ca="1" si="118"/>
        <v>#N/A</v>
      </c>
      <c r="W601" s="60" t="e">
        <f t="shared" ca="1" si="119"/>
        <v>#N/A</v>
      </c>
      <c r="X601" s="60" t="e">
        <f t="shared" ca="1" si="120"/>
        <v>#N/A</v>
      </c>
      <c r="Y601" s="60" t="e">
        <f t="shared" ca="1" si="121"/>
        <v>#N/A</v>
      </c>
      <c r="Z601" s="60" t="e">
        <f t="shared" ca="1" si="122"/>
        <v>#N/A</v>
      </c>
      <c r="AA601" s="92" t="e">
        <f ca="1"/>
        <v>#N/A</v>
      </c>
      <c r="AB601" s="62" t="e">
        <f t="shared" ca="1" si="123"/>
        <v>#N/A</v>
      </c>
      <c r="AC601" s="62" t="e">
        <f t="shared" ca="1" si="124"/>
        <v>#N/A</v>
      </c>
      <c r="AD601" s="62" t="e">
        <f t="shared" ca="1" si="125"/>
        <v>#N/A</v>
      </c>
      <c r="AE601" s="62" t="e">
        <f t="shared" ca="1" si="126"/>
        <v>#N/A</v>
      </c>
    </row>
    <row r="602" spans="18:31" x14ac:dyDescent="0.25">
      <c r="R602" s="62" t="e">
        <f ca="1"/>
        <v>#N/A</v>
      </c>
      <c r="S602" s="62" t="e">
        <f t="shared" ca="1" si="115"/>
        <v>#N/A</v>
      </c>
      <c r="T602" s="62" t="e">
        <f t="shared" ca="1" si="116"/>
        <v>#N/A</v>
      </c>
      <c r="U602" s="62" t="e">
        <f t="shared" ca="1" si="117"/>
        <v>#N/A</v>
      </c>
      <c r="V602" s="62" t="e">
        <f t="shared" ca="1" si="118"/>
        <v>#N/A</v>
      </c>
      <c r="W602" s="60" t="e">
        <f t="shared" ca="1" si="119"/>
        <v>#N/A</v>
      </c>
      <c r="X602" s="60" t="e">
        <f t="shared" ca="1" si="120"/>
        <v>#N/A</v>
      </c>
      <c r="Y602" s="60" t="e">
        <f t="shared" ca="1" si="121"/>
        <v>#N/A</v>
      </c>
      <c r="Z602" s="60" t="e">
        <f t="shared" ca="1" si="122"/>
        <v>#N/A</v>
      </c>
      <c r="AA602" s="92" t="e">
        <f ca="1"/>
        <v>#N/A</v>
      </c>
      <c r="AB602" s="62" t="e">
        <f t="shared" ca="1" si="123"/>
        <v>#N/A</v>
      </c>
      <c r="AC602" s="62" t="e">
        <f t="shared" ca="1" si="124"/>
        <v>#N/A</v>
      </c>
      <c r="AD602" s="62" t="e">
        <f t="shared" ca="1" si="125"/>
        <v>#N/A</v>
      </c>
      <c r="AE602" s="62" t="e">
        <f t="shared" ca="1" si="126"/>
        <v>#N/A</v>
      </c>
    </row>
    <row r="603" spans="18:31" x14ac:dyDescent="0.25">
      <c r="R603" s="62" t="e">
        <f ca="1"/>
        <v>#N/A</v>
      </c>
      <c r="S603" s="62" t="e">
        <f t="shared" ca="1" si="115"/>
        <v>#N/A</v>
      </c>
      <c r="T603" s="62" t="e">
        <f t="shared" ca="1" si="116"/>
        <v>#N/A</v>
      </c>
      <c r="U603" s="62" t="e">
        <f t="shared" ca="1" si="117"/>
        <v>#N/A</v>
      </c>
      <c r="V603" s="62" t="e">
        <f t="shared" ca="1" si="118"/>
        <v>#N/A</v>
      </c>
      <c r="W603" s="60" t="e">
        <f t="shared" ca="1" si="119"/>
        <v>#N/A</v>
      </c>
      <c r="X603" s="60" t="e">
        <f t="shared" ca="1" si="120"/>
        <v>#N/A</v>
      </c>
      <c r="Y603" s="60" t="e">
        <f t="shared" ca="1" si="121"/>
        <v>#N/A</v>
      </c>
      <c r="Z603" s="60" t="e">
        <f t="shared" ca="1" si="122"/>
        <v>#N/A</v>
      </c>
      <c r="AA603" s="92" t="e">
        <f ca="1"/>
        <v>#N/A</v>
      </c>
      <c r="AB603" s="62" t="e">
        <f t="shared" ca="1" si="123"/>
        <v>#N/A</v>
      </c>
      <c r="AC603" s="62" t="e">
        <f t="shared" ca="1" si="124"/>
        <v>#N/A</v>
      </c>
      <c r="AD603" s="62" t="e">
        <f t="shared" ca="1" si="125"/>
        <v>#N/A</v>
      </c>
      <c r="AE603" s="62" t="e">
        <f t="shared" ca="1" si="126"/>
        <v>#N/A</v>
      </c>
    </row>
    <row r="604" spans="18:31" x14ac:dyDescent="0.25">
      <c r="R604" s="62" t="e">
        <f ca="1"/>
        <v>#N/A</v>
      </c>
      <c r="S604" s="62" t="e">
        <f t="shared" ca="1" si="115"/>
        <v>#N/A</v>
      </c>
      <c r="T604" s="62" t="e">
        <f t="shared" ca="1" si="116"/>
        <v>#N/A</v>
      </c>
      <c r="U604" s="62" t="e">
        <f t="shared" ca="1" si="117"/>
        <v>#N/A</v>
      </c>
      <c r="V604" s="62" t="e">
        <f t="shared" ca="1" si="118"/>
        <v>#N/A</v>
      </c>
      <c r="W604" s="60" t="e">
        <f t="shared" ca="1" si="119"/>
        <v>#N/A</v>
      </c>
      <c r="X604" s="60" t="e">
        <f t="shared" ca="1" si="120"/>
        <v>#N/A</v>
      </c>
      <c r="Y604" s="60" t="e">
        <f t="shared" ca="1" si="121"/>
        <v>#N/A</v>
      </c>
      <c r="Z604" s="60" t="e">
        <f t="shared" ca="1" si="122"/>
        <v>#N/A</v>
      </c>
      <c r="AA604" s="92" t="e">
        <f ca="1"/>
        <v>#N/A</v>
      </c>
      <c r="AB604" s="62" t="e">
        <f t="shared" ca="1" si="123"/>
        <v>#N/A</v>
      </c>
      <c r="AC604" s="62" t="e">
        <f t="shared" ca="1" si="124"/>
        <v>#N/A</v>
      </c>
      <c r="AD604" s="62" t="e">
        <f t="shared" ca="1" si="125"/>
        <v>#N/A</v>
      </c>
      <c r="AE604" s="62" t="e">
        <f t="shared" ca="1" si="126"/>
        <v>#N/A</v>
      </c>
    </row>
    <row r="605" spans="18:31" x14ac:dyDescent="0.25">
      <c r="R605" s="62" t="e">
        <f ca="1"/>
        <v>#N/A</v>
      </c>
      <c r="S605" s="62" t="e">
        <f t="shared" ca="1" si="115"/>
        <v>#N/A</v>
      </c>
      <c r="T605" s="62" t="e">
        <f t="shared" ca="1" si="116"/>
        <v>#N/A</v>
      </c>
      <c r="U605" s="62" t="e">
        <f t="shared" ca="1" si="117"/>
        <v>#N/A</v>
      </c>
      <c r="V605" s="62" t="e">
        <f t="shared" ca="1" si="118"/>
        <v>#N/A</v>
      </c>
      <c r="W605" s="60" t="e">
        <f t="shared" ca="1" si="119"/>
        <v>#N/A</v>
      </c>
      <c r="X605" s="60" t="e">
        <f t="shared" ca="1" si="120"/>
        <v>#N/A</v>
      </c>
      <c r="Y605" s="60" t="e">
        <f t="shared" ca="1" si="121"/>
        <v>#N/A</v>
      </c>
      <c r="Z605" s="60" t="e">
        <f t="shared" ca="1" si="122"/>
        <v>#N/A</v>
      </c>
      <c r="AA605" s="92" t="e">
        <f ca="1"/>
        <v>#N/A</v>
      </c>
      <c r="AB605" s="62" t="e">
        <f t="shared" ca="1" si="123"/>
        <v>#N/A</v>
      </c>
      <c r="AC605" s="62" t="e">
        <f t="shared" ca="1" si="124"/>
        <v>#N/A</v>
      </c>
      <c r="AD605" s="62" t="e">
        <f t="shared" ca="1" si="125"/>
        <v>#N/A</v>
      </c>
      <c r="AE605" s="62" t="e">
        <f t="shared" ca="1" si="126"/>
        <v>#N/A</v>
      </c>
    </row>
    <row r="606" spans="18:31" x14ac:dyDescent="0.25">
      <c r="R606" s="62" t="e">
        <f ca="1"/>
        <v>#N/A</v>
      </c>
      <c r="S606" s="62" t="e">
        <f t="shared" ca="1" si="115"/>
        <v>#N/A</v>
      </c>
      <c r="T606" s="62" t="e">
        <f t="shared" ca="1" si="116"/>
        <v>#N/A</v>
      </c>
      <c r="U606" s="62" t="e">
        <f t="shared" ca="1" si="117"/>
        <v>#N/A</v>
      </c>
      <c r="V606" s="62" t="e">
        <f t="shared" ca="1" si="118"/>
        <v>#N/A</v>
      </c>
      <c r="W606" s="60" t="e">
        <f t="shared" ca="1" si="119"/>
        <v>#N/A</v>
      </c>
      <c r="X606" s="60" t="e">
        <f t="shared" ca="1" si="120"/>
        <v>#N/A</v>
      </c>
      <c r="Y606" s="60" t="e">
        <f t="shared" ca="1" si="121"/>
        <v>#N/A</v>
      </c>
      <c r="Z606" s="60" t="e">
        <f t="shared" ca="1" si="122"/>
        <v>#N/A</v>
      </c>
      <c r="AA606" s="92" t="e">
        <f ca="1"/>
        <v>#N/A</v>
      </c>
      <c r="AB606" s="62" t="e">
        <f t="shared" ca="1" si="123"/>
        <v>#N/A</v>
      </c>
      <c r="AC606" s="62" t="e">
        <f t="shared" ca="1" si="124"/>
        <v>#N/A</v>
      </c>
      <c r="AD606" s="62" t="e">
        <f t="shared" ca="1" si="125"/>
        <v>#N/A</v>
      </c>
      <c r="AE606" s="62" t="e">
        <f t="shared" ca="1" si="126"/>
        <v>#N/A</v>
      </c>
    </row>
    <row r="607" spans="18:31" x14ac:dyDescent="0.25">
      <c r="R607" s="62" t="e">
        <f ca="1"/>
        <v>#N/A</v>
      </c>
      <c r="S607" s="62" t="e">
        <f t="shared" ca="1" si="115"/>
        <v>#N/A</v>
      </c>
      <c r="T607" s="62" t="e">
        <f t="shared" ca="1" si="116"/>
        <v>#N/A</v>
      </c>
      <c r="U607" s="62" t="e">
        <f t="shared" ca="1" si="117"/>
        <v>#N/A</v>
      </c>
      <c r="V607" s="62" t="e">
        <f t="shared" ca="1" si="118"/>
        <v>#N/A</v>
      </c>
      <c r="W607" s="60" t="e">
        <f t="shared" ca="1" si="119"/>
        <v>#N/A</v>
      </c>
      <c r="X607" s="60" t="e">
        <f t="shared" ca="1" si="120"/>
        <v>#N/A</v>
      </c>
      <c r="Y607" s="60" t="e">
        <f t="shared" ca="1" si="121"/>
        <v>#N/A</v>
      </c>
      <c r="Z607" s="60" t="e">
        <f t="shared" ca="1" si="122"/>
        <v>#N/A</v>
      </c>
      <c r="AA607" s="92" t="e">
        <f ca="1"/>
        <v>#N/A</v>
      </c>
      <c r="AB607" s="62" t="e">
        <f t="shared" ca="1" si="123"/>
        <v>#N/A</v>
      </c>
      <c r="AC607" s="62" t="e">
        <f t="shared" ca="1" si="124"/>
        <v>#N/A</v>
      </c>
      <c r="AD607" s="62" t="e">
        <f t="shared" ca="1" si="125"/>
        <v>#N/A</v>
      </c>
      <c r="AE607" s="62" t="e">
        <f t="shared" ca="1" si="126"/>
        <v>#N/A</v>
      </c>
    </row>
    <row r="608" spans="18:31" x14ac:dyDescent="0.25">
      <c r="R608" s="62" t="e">
        <f ca="1"/>
        <v>#N/A</v>
      </c>
      <c r="S608" s="62" t="e">
        <f t="shared" ca="1" si="115"/>
        <v>#N/A</v>
      </c>
      <c r="T608" s="62" t="e">
        <f t="shared" ca="1" si="116"/>
        <v>#N/A</v>
      </c>
      <c r="U608" s="62" t="e">
        <f t="shared" ca="1" si="117"/>
        <v>#N/A</v>
      </c>
      <c r="V608" s="62" t="e">
        <f t="shared" ca="1" si="118"/>
        <v>#N/A</v>
      </c>
      <c r="W608" s="60" t="e">
        <f t="shared" ca="1" si="119"/>
        <v>#N/A</v>
      </c>
      <c r="X608" s="60" t="e">
        <f t="shared" ca="1" si="120"/>
        <v>#N/A</v>
      </c>
      <c r="Y608" s="60" t="e">
        <f t="shared" ca="1" si="121"/>
        <v>#N/A</v>
      </c>
      <c r="Z608" s="60" t="e">
        <f t="shared" ca="1" si="122"/>
        <v>#N/A</v>
      </c>
      <c r="AA608" s="92" t="e">
        <f ca="1"/>
        <v>#N/A</v>
      </c>
      <c r="AB608" s="62" t="e">
        <f t="shared" ca="1" si="123"/>
        <v>#N/A</v>
      </c>
      <c r="AC608" s="62" t="e">
        <f t="shared" ca="1" si="124"/>
        <v>#N/A</v>
      </c>
      <c r="AD608" s="62" t="e">
        <f t="shared" ca="1" si="125"/>
        <v>#N/A</v>
      </c>
      <c r="AE608" s="62" t="e">
        <f t="shared" ca="1" si="126"/>
        <v>#N/A</v>
      </c>
    </row>
    <row r="609" spans="18:31" x14ac:dyDescent="0.25">
      <c r="R609" s="62" t="e">
        <f ca="1"/>
        <v>#N/A</v>
      </c>
      <c r="S609" s="62" t="e">
        <f t="shared" ca="1" si="115"/>
        <v>#N/A</v>
      </c>
      <c r="T609" s="62" t="e">
        <f t="shared" ca="1" si="116"/>
        <v>#N/A</v>
      </c>
      <c r="U609" s="62" t="e">
        <f t="shared" ca="1" si="117"/>
        <v>#N/A</v>
      </c>
      <c r="V609" s="62" t="e">
        <f t="shared" ca="1" si="118"/>
        <v>#N/A</v>
      </c>
      <c r="W609" s="60" t="e">
        <f t="shared" ca="1" si="119"/>
        <v>#N/A</v>
      </c>
      <c r="X609" s="60" t="e">
        <f t="shared" ca="1" si="120"/>
        <v>#N/A</v>
      </c>
      <c r="Y609" s="60" t="e">
        <f t="shared" ca="1" si="121"/>
        <v>#N/A</v>
      </c>
      <c r="Z609" s="60" t="e">
        <f t="shared" ca="1" si="122"/>
        <v>#N/A</v>
      </c>
      <c r="AA609" s="92" t="e">
        <f ca="1"/>
        <v>#N/A</v>
      </c>
      <c r="AB609" s="62" t="e">
        <f t="shared" ca="1" si="123"/>
        <v>#N/A</v>
      </c>
      <c r="AC609" s="62" t="e">
        <f t="shared" ca="1" si="124"/>
        <v>#N/A</v>
      </c>
      <c r="AD609" s="62" t="e">
        <f t="shared" ca="1" si="125"/>
        <v>#N/A</v>
      </c>
      <c r="AE609" s="62" t="e">
        <f t="shared" ca="1" si="126"/>
        <v>#N/A</v>
      </c>
    </row>
    <row r="610" spans="18:31" x14ac:dyDescent="0.25">
      <c r="R610" s="62" t="e">
        <f ca="1"/>
        <v>#N/A</v>
      </c>
      <c r="S610" s="62" t="e">
        <f t="shared" ca="1" si="115"/>
        <v>#N/A</v>
      </c>
      <c r="T610" s="62" t="e">
        <f t="shared" ca="1" si="116"/>
        <v>#N/A</v>
      </c>
      <c r="U610" s="62" t="e">
        <f t="shared" ca="1" si="117"/>
        <v>#N/A</v>
      </c>
      <c r="V610" s="62" t="e">
        <f t="shared" ca="1" si="118"/>
        <v>#N/A</v>
      </c>
      <c r="W610" s="60" t="e">
        <f t="shared" ca="1" si="119"/>
        <v>#N/A</v>
      </c>
      <c r="X610" s="60" t="e">
        <f t="shared" ca="1" si="120"/>
        <v>#N/A</v>
      </c>
      <c r="Y610" s="60" t="e">
        <f t="shared" ca="1" si="121"/>
        <v>#N/A</v>
      </c>
      <c r="Z610" s="60" t="e">
        <f t="shared" ca="1" si="122"/>
        <v>#N/A</v>
      </c>
      <c r="AA610" s="92" t="e">
        <f ca="1"/>
        <v>#N/A</v>
      </c>
      <c r="AB610" s="62" t="e">
        <f t="shared" ca="1" si="123"/>
        <v>#N/A</v>
      </c>
      <c r="AC610" s="62" t="e">
        <f t="shared" ca="1" si="124"/>
        <v>#N/A</v>
      </c>
      <c r="AD610" s="62" t="e">
        <f t="shared" ca="1" si="125"/>
        <v>#N/A</v>
      </c>
      <c r="AE610" s="62" t="e">
        <f t="shared" ca="1" si="126"/>
        <v>#N/A</v>
      </c>
    </row>
    <row r="611" spans="18:31" x14ac:dyDescent="0.25">
      <c r="R611" s="62" t="e">
        <f ca="1"/>
        <v>#N/A</v>
      </c>
      <c r="S611" s="62" t="e">
        <f t="shared" ca="1" si="115"/>
        <v>#N/A</v>
      </c>
      <c r="T611" s="62" t="e">
        <f t="shared" ca="1" si="116"/>
        <v>#N/A</v>
      </c>
      <c r="U611" s="62" t="e">
        <f t="shared" ca="1" si="117"/>
        <v>#N/A</v>
      </c>
      <c r="V611" s="62" t="e">
        <f t="shared" ca="1" si="118"/>
        <v>#N/A</v>
      </c>
      <c r="W611" s="60" t="e">
        <f t="shared" ca="1" si="119"/>
        <v>#N/A</v>
      </c>
      <c r="X611" s="60" t="e">
        <f t="shared" ca="1" si="120"/>
        <v>#N/A</v>
      </c>
      <c r="Y611" s="60" t="e">
        <f t="shared" ca="1" si="121"/>
        <v>#N/A</v>
      </c>
      <c r="Z611" s="60" t="e">
        <f t="shared" ca="1" si="122"/>
        <v>#N/A</v>
      </c>
      <c r="AA611" s="92" t="e">
        <f ca="1"/>
        <v>#N/A</v>
      </c>
      <c r="AB611" s="62" t="e">
        <f t="shared" ca="1" si="123"/>
        <v>#N/A</v>
      </c>
      <c r="AC611" s="62" t="e">
        <f t="shared" ca="1" si="124"/>
        <v>#N/A</v>
      </c>
      <c r="AD611" s="62" t="e">
        <f t="shared" ca="1" si="125"/>
        <v>#N/A</v>
      </c>
      <c r="AE611" s="62" t="e">
        <f t="shared" ca="1" si="126"/>
        <v>#N/A</v>
      </c>
    </row>
    <row r="612" spans="18:31" x14ac:dyDescent="0.25">
      <c r="R612" s="62" t="e">
        <f ca="1"/>
        <v>#N/A</v>
      </c>
      <c r="S612" s="62" t="e">
        <f t="shared" ca="1" si="115"/>
        <v>#N/A</v>
      </c>
      <c r="T612" s="62" t="e">
        <f t="shared" ca="1" si="116"/>
        <v>#N/A</v>
      </c>
      <c r="U612" s="62" t="e">
        <f t="shared" ca="1" si="117"/>
        <v>#N/A</v>
      </c>
      <c r="V612" s="62" t="e">
        <f t="shared" ca="1" si="118"/>
        <v>#N/A</v>
      </c>
      <c r="W612" s="60" t="e">
        <f t="shared" ca="1" si="119"/>
        <v>#N/A</v>
      </c>
      <c r="X612" s="60" t="e">
        <f t="shared" ca="1" si="120"/>
        <v>#N/A</v>
      </c>
      <c r="Y612" s="60" t="e">
        <f t="shared" ca="1" si="121"/>
        <v>#N/A</v>
      </c>
      <c r="Z612" s="60" t="e">
        <f t="shared" ca="1" si="122"/>
        <v>#N/A</v>
      </c>
      <c r="AA612" s="92" t="e">
        <f ca="1"/>
        <v>#N/A</v>
      </c>
      <c r="AB612" s="62" t="e">
        <f t="shared" ca="1" si="123"/>
        <v>#N/A</v>
      </c>
      <c r="AC612" s="62" t="e">
        <f t="shared" ca="1" si="124"/>
        <v>#N/A</v>
      </c>
      <c r="AD612" s="62" t="e">
        <f t="shared" ca="1" si="125"/>
        <v>#N/A</v>
      </c>
      <c r="AE612" s="62" t="e">
        <f t="shared" ca="1" si="126"/>
        <v>#N/A</v>
      </c>
    </row>
    <row r="613" spans="18:31" x14ac:dyDescent="0.25">
      <c r="R613" s="62" t="e">
        <f ca="1"/>
        <v>#N/A</v>
      </c>
      <c r="S613" s="62" t="e">
        <f t="shared" ca="1" si="115"/>
        <v>#N/A</v>
      </c>
      <c r="T613" s="62" t="e">
        <f t="shared" ca="1" si="116"/>
        <v>#N/A</v>
      </c>
      <c r="U613" s="62" t="e">
        <f t="shared" ca="1" si="117"/>
        <v>#N/A</v>
      </c>
      <c r="V613" s="62" t="e">
        <f t="shared" ca="1" si="118"/>
        <v>#N/A</v>
      </c>
      <c r="W613" s="60" t="e">
        <f t="shared" ca="1" si="119"/>
        <v>#N/A</v>
      </c>
      <c r="X613" s="60" t="e">
        <f t="shared" ca="1" si="120"/>
        <v>#N/A</v>
      </c>
      <c r="Y613" s="60" t="e">
        <f t="shared" ca="1" si="121"/>
        <v>#N/A</v>
      </c>
      <c r="Z613" s="60" t="e">
        <f t="shared" ca="1" si="122"/>
        <v>#N/A</v>
      </c>
      <c r="AA613" s="92" t="e">
        <f ca="1"/>
        <v>#N/A</v>
      </c>
      <c r="AB613" s="62" t="e">
        <f t="shared" ca="1" si="123"/>
        <v>#N/A</v>
      </c>
      <c r="AC613" s="62" t="e">
        <f t="shared" ca="1" si="124"/>
        <v>#N/A</v>
      </c>
      <c r="AD613" s="62" t="e">
        <f t="shared" ca="1" si="125"/>
        <v>#N/A</v>
      </c>
      <c r="AE613" s="62" t="e">
        <f t="shared" ca="1" si="126"/>
        <v>#N/A</v>
      </c>
    </row>
    <row r="614" spans="18:31" x14ac:dyDescent="0.25">
      <c r="R614" s="62" t="e">
        <f ca="1"/>
        <v>#N/A</v>
      </c>
      <c r="S614" s="62" t="e">
        <f t="shared" ca="1" si="115"/>
        <v>#N/A</v>
      </c>
      <c r="T614" s="62" t="e">
        <f t="shared" ca="1" si="116"/>
        <v>#N/A</v>
      </c>
      <c r="U614" s="62" t="e">
        <f t="shared" ca="1" si="117"/>
        <v>#N/A</v>
      </c>
      <c r="V614" s="62" t="e">
        <f t="shared" ca="1" si="118"/>
        <v>#N/A</v>
      </c>
      <c r="W614" s="60" t="e">
        <f t="shared" ca="1" si="119"/>
        <v>#N/A</v>
      </c>
      <c r="X614" s="60" t="e">
        <f t="shared" ca="1" si="120"/>
        <v>#N/A</v>
      </c>
      <c r="Y614" s="60" t="e">
        <f t="shared" ca="1" si="121"/>
        <v>#N/A</v>
      </c>
      <c r="Z614" s="60" t="e">
        <f t="shared" ca="1" si="122"/>
        <v>#N/A</v>
      </c>
      <c r="AA614" s="92" t="e">
        <f ca="1"/>
        <v>#N/A</v>
      </c>
      <c r="AB614" s="62" t="e">
        <f t="shared" ca="1" si="123"/>
        <v>#N/A</v>
      </c>
      <c r="AC614" s="62" t="e">
        <f t="shared" ca="1" si="124"/>
        <v>#N/A</v>
      </c>
      <c r="AD614" s="62" t="e">
        <f t="shared" ca="1" si="125"/>
        <v>#N/A</v>
      </c>
      <c r="AE614" s="62" t="e">
        <f t="shared" ca="1" si="126"/>
        <v>#N/A</v>
      </c>
    </row>
    <row r="615" spans="18:31" x14ac:dyDescent="0.25">
      <c r="R615" s="62" t="e">
        <f ca="1"/>
        <v>#N/A</v>
      </c>
      <c r="S615" s="62" t="e">
        <f t="shared" ca="1" si="115"/>
        <v>#N/A</v>
      </c>
      <c r="T615" s="62" t="e">
        <f t="shared" ca="1" si="116"/>
        <v>#N/A</v>
      </c>
      <c r="U615" s="62" t="e">
        <f t="shared" ca="1" si="117"/>
        <v>#N/A</v>
      </c>
      <c r="V615" s="62" t="e">
        <f t="shared" ca="1" si="118"/>
        <v>#N/A</v>
      </c>
      <c r="W615" s="60" t="e">
        <f t="shared" ca="1" si="119"/>
        <v>#N/A</v>
      </c>
      <c r="X615" s="60" t="e">
        <f t="shared" ca="1" si="120"/>
        <v>#N/A</v>
      </c>
      <c r="Y615" s="60" t="e">
        <f t="shared" ca="1" si="121"/>
        <v>#N/A</v>
      </c>
      <c r="Z615" s="60" t="e">
        <f t="shared" ca="1" si="122"/>
        <v>#N/A</v>
      </c>
      <c r="AA615" s="92" t="e">
        <f ca="1"/>
        <v>#N/A</v>
      </c>
      <c r="AB615" s="62" t="e">
        <f t="shared" ca="1" si="123"/>
        <v>#N/A</v>
      </c>
      <c r="AC615" s="62" t="e">
        <f t="shared" ca="1" si="124"/>
        <v>#N/A</v>
      </c>
      <c r="AD615" s="62" t="e">
        <f t="shared" ca="1" si="125"/>
        <v>#N/A</v>
      </c>
      <c r="AE615" s="62" t="e">
        <f t="shared" ca="1" si="126"/>
        <v>#N/A</v>
      </c>
    </row>
    <row r="616" spans="18:31" x14ac:dyDescent="0.25">
      <c r="R616" s="62" t="e">
        <f ca="1"/>
        <v>#N/A</v>
      </c>
      <c r="S616" s="62" t="e">
        <f t="shared" ca="1" si="115"/>
        <v>#N/A</v>
      </c>
      <c r="T616" s="62" t="e">
        <f t="shared" ca="1" si="116"/>
        <v>#N/A</v>
      </c>
      <c r="U616" s="62" t="e">
        <f t="shared" ca="1" si="117"/>
        <v>#N/A</v>
      </c>
      <c r="V616" s="62" t="e">
        <f t="shared" ca="1" si="118"/>
        <v>#N/A</v>
      </c>
      <c r="W616" s="60" t="e">
        <f t="shared" ca="1" si="119"/>
        <v>#N/A</v>
      </c>
      <c r="X616" s="60" t="e">
        <f t="shared" ca="1" si="120"/>
        <v>#N/A</v>
      </c>
      <c r="Y616" s="60" t="e">
        <f t="shared" ca="1" si="121"/>
        <v>#N/A</v>
      </c>
      <c r="Z616" s="60" t="e">
        <f t="shared" ca="1" si="122"/>
        <v>#N/A</v>
      </c>
      <c r="AA616" s="92" t="e">
        <f ca="1"/>
        <v>#N/A</v>
      </c>
      <c r="AB616" s="62" t="e">
        <f t="shared" ca="1" si="123"/>
        <v>#N/A</v>
      </c>
      <c r="AC616" s="62" t="e">
        <f t="shared" ca="1" si="124"/>
        <v>#N/A</v>
      </c>
      <c r="AD616" s="62" t="e">
        <f t="shared" ca="1" si="125"/>
        <v>#N/A</v>
      </c>
      <c r="AE616" s="62" t="e">
        <f t="shared" ca="1" si="126"/>
        <v>#N/A</v>
      </c>
    </row>
    <row r="617" spans="18:31" x14ac:dyDescent="0.25">
      <c r="R617" s="62" t="e">
        <f ca="1"/>
        <v>#N/A</v>
      </c>
      <c r="S617" s="62" t="e">
        <f t="shared" ca="1" si="115"/>
        <v>#N/A</v>
      </c>
      <c r="T617" s="62" t="e">
        <f t="shared" ca="1" si="116"/>
        <v>#N/A</v>
      </c>
      <c r="U617" s="62" t="e">
        <f t="shared" ca="1" si="117"/>
        <v>#N/A</v>
      </c>
      <c r="V617" s="62" t="e">
        <f t="shared" ca="1" si="118"/>
        <v>#N/A</v>
      </c>
      <c r="W617" s="60" t="e">
        <f t="shared" ca="1" si="119"/>
        <v>#N/A</v>
      </c>
      <c r="X617" s="60" t="e">
        <f t="shared" ca="1" si="120"/>
        <v>#N/A</v>
      </c>
      <c r="Y617" s="60" t="e">
        <f t="shared" ca="1" si="121"/>
        <v>#N/A</v>
      </c>
      <c r="Z617" s="60" t="e">
        <f t="shared" ca="1" si="122"/>
        <v>#N/A</v>
      </c>
      <c r="AA617" s="92" t="e">
        <f ca="1"/>
        <v>#N/A</v>
      </c>
      <c r="AB617" s="62" t="e">
        <f t="shared" ca="1" si="123"/>
        <v>#N/A</v>
      </c>
      <c r="AC617" s="62" t="e">
        <f t="shared" ca="1" si="124"/>
        <v>#N/A</v>
      </c>
      <c r="AD617" s="62" t="e">
        <f t="shared" ca="1" si="125"/>
        <v>#N/A</v>
      </c>
      <c r="AE617" s="62" t="e">
        <f t="shared" ca="1" si="126"/>
        <v>#N/A</v>
      </c>
    </row>
    <row r="618" spans="18:31" x14ac:dyDescent="0.25">
      <c r="R618" s="62" t="e">
        <f ca="1"/>
        <v>#N/A</v>
      </c>
      <c r="S618" s="62" t="e">
        <f t="shared" ca="1" si="115"/>
        <v>#N/A</v>
      </c>
      <c r="T618" s="62" t="e">
        <f t="shared" ca="1" si="116"/>
        <v>#N/A</v>
      </c>
      <c r="U618" s="62" t="e">
        <f t="shared" ca="1" si="117"/>
        <v>#N/A</v>
      </c>
      <c r="V618" s="62" t="e">
        <f t="shared" ca="1" si="118"/>
        <v>#N/A</v>
      </c>
      <c r="W618" s="60" t="e">
        <f t="shared" ca="1" si="119"/>
        <v>#N/A</v>
      </c>
      <c r="X618" s="60" t="e">
        <f t="shared" ca="1" si="120"/>
        <v>#N/A</v>
      </c>
      <c r="Y618" s="60" t="e">
        <f t="shared" ca="1" si="121"/>
        <v>#N/A</v>
      </c>
      <c r="Z618" s="60" t="e">
        <f t="shared" ca="1" si="122"/>
        <v>#N/A</v>
      </c>
      <c r="AA618" s="92" t="e">
        <f ca="1"/>
        <v>#N/A</v>
      </c>
      <c r="AB618" s="62" t="e">
        <f t="shared" ca="1" si="123"/>
        <v>#N/A</v>
      </c>
      <c r="AC618" s="62" t="e">
        <f t="shared" ca="1" si="124"/>
        <v>#N/A</v>
      </c>
      <c r="AD618" s="62" t="e">
        <f t="shared" ca="1" si="125"/>
        <v>#N/A</v>
      </c>
      <c r="AE618" s="62" t="e">
        <f t="shared" ca="1" si="126"/>
        <v>#N/A</v>
      </c>
    </row>
    <row r="619" spans="18:31" x14ac:dyDescent="0.25">
      <c r="R619" s="62" t="e">
        <f ca="1"/>
        <v>#N/A</v>
      </c>
      <c r="S619" s="62" t="e">
        <f t="shared" ca="1" si="115"/>
        <v>#N/A</v>
      </c>
      <c r="T619" s="62" t="e">
        <f t="shared" ca="1" si="116"/>
        <v>#N/A</v>
      </c>
      <c r="U619" s="62" t="e">
        <f t="shared" ca="1" si="117"/>
        <v>#N/A</v>
      </c>
      <c r="V619" s="62" t="e">
        <f t="shared" ca="1" si="118"/>
        <v>#N/A</v>
      </c>
      <c r="W619" s="60" t="e">
        <f t="shared" ca="1" si="119"/>
        <v>#N/A</v>
      </c>
      <c r="X619" s="60" t="e">
        <f t="shared" ca="1" si="120"/>
        <v>#N/A</v>
      </c>
      <c r="Y619" s="60" t="e">
        <f t="shared" ca="1" si="121"/>
        <v>#N/A</v>
      </c>
      <c r="Z619" s="60" t="e">
        <f t="shared" ca="1" si="122"/>
        <v>#N/A</v>
      </c>
      <c r="AA619" s="92" t="e">
        <f ca="1"/>
        <v>#N/A</v>
      </c>
      <c r="AB619" s="62" t="e">
        <f t="shared" ca="1" si="123"/>
        <v>#N/A</v>
      </c>
      <c r="AC619" s="62" t="e">
        <f t="shared" ca="1" si="124"/>
        <v>#N/A</v>
      </c>
      <c r="AD619" s="62" t="e">
        <f t="shared" ca="1" si="125"/>
        <v>#N/A</v>
      </c>
      <c r="AE619" s="62" t="e">
        <f t="shared" ca="1" si="126"/>
        <v>#N/A</v>
      </c>
    </row>
    <row r="620" spans="18:31" x14ac:dyDescent="0.25">
      <c r="R620" s="62" t="e">
        <f ca="1"/>
        <v>#N/A</v>
      </c>
      <c r="S620" s="62" t="e">
        <f t="shared" ca="1" si="115"/>
        <v>#N/A</v>
      </c>
      <c r="T620" s="62" t="e">
        <f t="shared" ca="1" si="116"/>
        <v>#N/A</v>
      </c>
      <c r="U620" s="62" t="e">
        <f t="shared" ca="1" si="117"/>
        <v>#N/A</v>
      </c>
      <c r="V620" s="62" t="e">
        <f t="shared" ca="1" si="118"/>
        <v>#N/A</v>
      </c>
      <c r="W620" s="60" t="e">
        <f t="shared" ca="1" si="119"/>
        <v>#N/A</v>
      </c>
      <c r="X620" s="60" t="e">
        <f t="shared" ca="1" si="120"/>
        <v>#N/A</v>
      </c>
      <c r="Y620" s="60" t="e">
        <f t="shared" ca="1" si="121"/>
        <v>#N/A</v>
      </c>
      <c r="Z620" s="60" t="e">
        <f t="shared" ca="1" si="122"/>
        <v>#N/A</v>
      </c>
      <c r="AA620" s="92" t="e">
        <f ca="1"/>
        <v>#N/A</v>
      </c>
      <c r="AB620" s="62" t="e">
        <f t="shared" ca="1" si="123"/>
        <v>#N/A</v>
      </c>
      <c r="AC620" s="62" t="e">
        <f t="shared" ca="1" si="124"/>
        <v>#N/A</v>
      </c>
      <c r="AD620" s="62" t="e">
        <f t="shared" ca="1" si="125"/>
        <v>#N/A</v>
      </c>
      <c r="AE620" s="62" t="e">
        <f t="shared" ca="1" si="126"/>
        <v>#N/A</v>
      </c>
    </row>
    <row r="621" spans="18:31" x14ac:dyDescent="0.25">
      <c r="R621" s="62" t="e">
        <f ca="1"/>
        <v>#N/A</v>
      </c>
      <c r="S621" s="62" t="e">
        <f t="shared" ca="1" si="115"/>
        <v>#N/A</v>
      </c>
      <c r="T621" s="62" t="e">
        <f t="shared" ca="1" si="116"/>
        <v>#N/A</v>
      </c>
      <c r="U621" s="62" t="e">
        <f t="shared" ca="1" si="117"/>
        <v>#N/A</v>
      </c>
      <c r="V621" s="62" t="e">
        <f t="shared" ca="1" si="118"/>
        <v>#N/A</v>
      </c>
      <c r="W621" s="60" t="e">
        <f t="shared" ca="1" si="119"/>
        <v>#N/A</v>
      </c>
      <c r="X621" s="60" t="e">
        <f t="shared" ca="1" si="120"/>
        <v>#N/A</v>
      </c>
      <c r="Y621" s="60" t="e">
        <f t="shared" ca="1" si="121"/>
        <v>#N/A</v>
      </c>
      <c r="Z621" s="60" t="e">
        <f t="shared" ca="1" si="122"/>
        <v>#N/A</v>
      </c>
      <c r="AA621" s="92" t="e">
        <f ca="1"/>
        <v>#N/A</v>
      </c>
      <c r="AB621" s="62" t="e">
        <f t="shared" ca="1" si="123"/>
        <v>#N/A</v>
      </c>
      <c r="AC621" s="62" t="e">
        <f t="shared" ca="1" si="124"/>
        <v>#N/A</v>
      </c>
      <c r="AD621" s="62" t="e">
        <f t="shared" ca="1" si="125"/>
        <v>#N/A</v>
      </c>
      <c r="AE621" s="62" t="e">
        <f t="shared" ca="1" si="126"/>
        <v>#N/A</v>
      </c>
    </row>
    <row r="622" spans="18:31" x14ac:dyDescent="0.25">
      <c r="R622" s="62" t="e">
        <f ca="1"/>
        <v>#N/A</v>
      </c>
      <c r="S622" s="62" t="e">
        <f t="shared" ca="1" si="115"/>
        <v>#N/A</v>
      </c>
      <c r="T622" s="62" t="e">
        <f t="shared" ca="1" si="116"/>
        <v>#N/A</v>
      </c>
      <c r="U622" s="62" t="e">
        <f t="shared" ca="1" si="117"/>
        <v>#N/A</v>
      </c>
      <c r="V622" s="62" t="e">
        <f t="shared" ca="1" si="118"/>
        <v>#N/A</v>
      </c>
      <c r="W622" s="60" t="e">
        <f t="shared" ca="1" si="119"/>
        <v>#N/A</v>
      </c>
      <c r="X622" s="60" t="e">
        <f t="shared" ca="1" si="120"/>
        <v>#N/A</v>
      </c>
      <c r="Y622" s="60" t="e">
        <f t="shared" ca="1" si="121"/>
        <v>#N/A</v>
      </c>
      <c r="Z622" s="60" t="e">
        <f t="shared" ca="1" si="122"/>
        <v>#N/A</v>
      </c>
      <c r="AA622" s="92" t="e">
        <f ca="1"/>
        <v>#N/A</v>
      </c>
      <c r="AB622" s="62" t="e">
        <f t="shared" ca="1" si="123"/>
        <v>#N/A</v>
      </c>
      <c r="AC622" s="62" t="e">
        <f t="shared" ca="1" si="124"/>
        <v>#N/A</v>
      </c>
      <c r="AD622" s="62" t="e">
        <f t="shared" ca="1" si="125"/>
        <v>#N/A</v>
      </c>
      <c r="AE622" s="62" t="e">
        <f t="shared" ca="1" si="126"/>
        <v>#N/A</v>
      </c>
    </row>
    <row r="623" spans="18:31" x14ac:dyDescent="0.25">
      <c r="R623" s="62" t="e">
        <f ca="1"/>
        <v>#N/A</v>
      </c>
      <c r="S623" s="62" t="e">
        <f t="shared" ca="1" si="115"/>
        <v>#N/A</v>
      </c>
      <c r="T623" s="62" t="e">
        <f t="shared" ca="1" si="116"/>
        <v>#N/A</v>
      </c>
      <c r="U623" s="62" t="e">
        <f t="shared" ca="1" si="117"/>
        <v>#N/A</v>
      </c>
      <c r="V623" s="62" t="e">
        <f t="shared" ca="1" si="118"/>
        <v>#N/A</v>
      </c>
      <c r="W623" s="60" t="e">
        <f t="shared" ca="1" si="119"/>
        <v>#N/A</v>
      </c>
      <c r="X623" s="60" t="e">
        <f t="shared" ca="1" si="120"/>
        <v>#N/A</v>
      </c>
      <c r="Y623" s="60" t="e">
        <f t="shared" ca="1" si="121"/>
        <v>#N/A</v>
      </c>
      <c r="Z623" s="60" t="e">
        <f t="shared" ca="1" si="122"/>
        <v>#N/A</v>
      </c>
      <c r="AA623" s="92" t="e">
        <f ca="1"/>
        <v>#N/A</v>
      </c>
      <c r="AB623" s="62" t="e">
        <f t="shared" ca="1" si="123"/>
        <v>#N/A</v>
      </c>
      <c r="AC623" s="62" t="e">
        <f t="shared" ca="1" si="124"/>
        <v>#N/A</v>
      </c>
      <c r="AD623" s="62" t="e">
        <f t="shared" ca="1" si="125"/>
        <v>#N/A</v>
      </c>
      <c r="AE623" s="62" t="e">
        <f t="shared" ca="1" si="126"/>
        <v>#N/A</v>
      </c>
    </row>
    <row r="624" spans="18:31" x14ac:dyDescent="0.25">
      <c r="R624" s="62" t="e">
        <f ca="1"/>
        <v>#N/A</v>
      </c>
      <c r="S624" s="62" t="e">
        <f t="shared" ca="1" si="115"/>
        <v>#N/A</v>
      </c>
      <c r="T624" s="62" t="e">
        <f t="shared" ca="1" si="116"/>
        <v>#N/A</v>
      </c>
      <c r="U624" s="62" t="e">
        <f t="shared" ca="1" si="117"/>
        <v>#N/A</v>
      </c>
      <c r="V624" s="62" t="e">
        <f t="shared" ca="1" si="118"/>
        <v>#N/A</v>
      </c>
      <c r="W624" s="60" t="e">
        <f t="shared" ca="1" si="119"/>
        <v>#N/A</v>
      </c>
      <c r="X624" s="60" t="e">
        <f t="shared" ca="1" si="120"/>
        <v>#N/A</v>
      </c>
      <c r="Y624" s="60" t="e">
        <f t="shared" ca="1" si="121"/>
        <v>#N/A</v>
      </c>
      <c r="Z624" s="60" t="e">
        <f t="shared" ca="1" si="122"/>
        <v>#N/A</v>
      </c>
      <c r="AA624" s="92" t="e">
        <f ca="1"/>
        <v>#N/A</v>
      </c>
      <c r="AB624" s="62" t="e">
        <f t="shared" ca="1" si="123"/>
        <v>#N/A</v>
      </c>
      <c r="AC624" s="62" t="e">
        <f t="shared" ca="1" si="124"/>
        <v>#N/A</v>
      </c>
      <c r="AD624" s="62" t="e">
        <f t="shared" ca="1" si="125"/>
        <v>#N/A</v>
      </c>
      <c r="AE624" s="62" t="e">
        <f t="shared" ca="1" si="126"/>
        <v>#N/A</v>
      </c>
    </row>
    <row r="625" spans="18:31" x14ac:dyDescent="0.25">
      <c r="R625" s="62" t="e">
        <f ca="1"/>
        <v>#N/A</v>
      </c>
      <c r="S625" s="62" t="e">
        <f t="shared" ca="1" si="115"/>
        <v>#N/A</v>
      </c>
      <c r="T625" s="62" t="e">
        <f t="shared" ca="1" si="116"/>
        <v>#N/A</v>
      </c>
      <c r="U625" s="62" t="e">
        <f t="shared" ca="1" si="117"/>
        <v>#N/A</v>
      </c>
      <c r="V625" s="62" t="e">
        <f t="shared" ca="1" si="118"/>
        <v>#N/A</v>
      </c>
      <c r="W625" s="60" t="e">
        <f t="shared" ca="1" si="119"/>
        <v>#N/A</v>
      </c>
      <c r="X625" s="60" t="e">
        <f t="shared" ca="1" si="120"/>
        <v>#N/A</v>
      </c>
      <c r="Y625" s="60" t="e">
        <f t="shared" ca="1" si="121"/>
        <v>#N/A</v>
      </c>
      <c r="Z625" s="60" t="e">
        <f t="shared" ca="1" si="122"/>
        <v>#N/A</v>
      </c>
      <c r="AA625" s="92" t="e">
        <f ca="1"/>
        <v>#N/A</v>
      </c>
      <c r="AB625" s="62" t="e">
        <f t="shared" ca="1" si="123"/>
        <v>#N/A</v>
      </c>
      <c r="AC625" s="62" t="e">
        <f t="shared" ca="1" si="124"/>
        <v>#N/A</v>
      </c>
      <c r="AD625" s="62" t="e">
        <f t="shared" ca="1" si="125"/>
        <v>#N/A</v>
      </c>
      <c r="AE625" s="62" t="e">
        <f t="shared" ca="1" si="126"/>
        <v>#N/A</v>
      </c>
    </row>
    <row r="626" spans="18:31" x14ac:dyDescent="0.25">
      <c r="R626" s="62" t="e">
        <f ca="1"/>
        <v>#N/A</v>
      </c>
      <c r="S626" s="62" t="e">
        <f t="shared" ca="1" si="115"/>
        <v>#N/A</v>
      </c>
      <c r="T626" s="62" t="e">
        <f t="shared" ca="1" si="116"/>
        <v>#N/A</v>
      </c>
      <c r="U626" s="62" t="e">
        <f t="shared" ca="1" si="117"/>
        <v>#N/A</v>
      </c>
      <c r="V626" s="62" t="e">
        <f t="shared" ca="1" si="118"/>
        <v>#N/A</v>
      </c>
      <c r="W626" s="60" t="e">
        <f t="shared" ca="1" si="119"/>
        <v>#N/A</v>
      </c>
      <c r="X626" s="60" t="e">
        <f t="shared" ca="1" si="120"/>
        <v>#N/A</v>
      </c>
      <c r="Y626" s="60" t="e">
        <f t="shared" ca="1" si="121"/>
        <v>#N/A</v>
      </c>
      <c r="Z626" s="60" t="e">
        <f t="shared" ca="1" si="122"/>
        <v>#N/A</v>
      </c>
      <c r="AA626" s="92" t="e">
        <f ca="1"/>
        <v>#N/A</v>
      </c>
      <c r="AB626" s="62" t="e">
        <f t="shared" ca="1" si="123"/>
        <v>#N/A</v>
      </c>
      <c r="AC626" s="62" t="e">
        <f t="shared" ca="1" si="124"/>
        <v>#N/A</v>
      </c>
      <c r="AD626" s="62" t="e">
        <f t="shared" ca="1" si="125"/>
        <v>#N/A</v>
      </c>
      <c r="AE626" s="62" t="e">
        <f t="shared" ca="1" si="126"/>
        <v>#N/A</v>
      </c>
    </row>
    <row r="627" spans="18:31" x14ac:dyDescent="0.25">
      <c r="R627" s="62" t="e">
        <f ca="1"/>
        <v>#N/A</v>
      </c>
      <c r="S627" s="62" t="e">
        <f t="shared" ca="1" si="115"/>
        <v>#N/A</v>
      </c>
      <c r="T627" s="62" t="e">
        <f t="shared" ca="1" si="116"/>
        <v>#N/A</v>
      </c>
      <c r="U627" s="62" t="e">
        <f t="shared" ca="1" si="117"/>
        <v>#N/A</v>
      </c>
      <c r="V627" s="62" t="e">
        <f t="shared" ca="1" si="118"/>
        <v>#N/A</v>
      </c>
      <c r="W627" s="60" t="e">
        <f t="shared" ca="1" si="119"/>
        <v>#N/A</v>
      </c>
      <c r="X627" s="60" t="e">
        <f t="shared" ca="1" si="120"/>
        <v>#N/A</v>
      </c>
      <c r="Y627" s="60" t="e">
        <f t="shared" ca="1" si="121"/>
        <v>#N/A</v>
      </c>
      <c r="Z627" s="60" t="e">
        <f t="shared" ca="1" si="122"/>
        <v>#N/A</v>
      </c>
      <c r="AA627" s="92" t="e">
        <f ca="1"/>
        <v>#N/A</v>
      </c>
      <c r="AB627" s="62" t="e">
        <f t="shared" ca="1" si="123"/>
        <v>#N/A</v>
      </c>
      <c r="AC627" s="62" t="e">
        <f t="shared" ca="1" si="124"/>
        <v>#N/A</v>
      </c>
      <c r="AD627" s="62" t="e">
        <f t="shared" ca="1" si="125"/>
        <v>#N/A</v>
      </c>
      <c r="AE627" s="62" t="e">
        <f t="shared" ca="1" si="126"/>
        <v>#N/A</v>
      </c>
    </row>
    <row r="628" spans="18:31" x14ac:dyDescent="0.25">
      <c r="R628" s="62" t="e">
        <f ca="1"/>
        <v>#N/A</v>
      </c>
      <c r="S628" s="62" t="e">
        <f t="shared" ca="1" si="115"/>
        <v>#N/A</v>
      </c>
      <c r="T628" s="62" t="e">
        <f t="shared" ca="1" si="116"/>
        <v>#N/A</v>
      </c>
      <c r="U628" s="62" t="e">
        <f t="shared" ca="1" si="117"/>
        <v>#N/A</v>
      </c>
      <c r="V628" s="62" t="e">
        <f t="shared" ca="1" si="118"/>
        <v>#N/A</v>
      </c>
      <c r="W628" s="60" t="e">
        <f t="shared" ca="1" si="119"/>
        <v>#N/A</v>
      </c>
      <c r="X628" s="60" t="e">
        <f t="shared" ca="1" si="120"/>
        <v>#N/A</v>
      </c>
      <c r="Y628" s="60" t="e">
        <f t="shared" ca="1" si="121"/>
        <v>#N/A</v>
      </c>
      <c r="Z628" s="60" t="e">
        <f t="shared" ca="1" si="122"/>
        <v>#N/A</v>
      </c>
      <c r="AA628" s="92" t="e">
        <f ca="1"/>
        <v>#N/A</v>
      </c>
      <c r="AB628" s="62" t="e">
        <f t="shared" ca="1" si="123"/>
        <v>#N/A</v>
      </c>
      <c r="AC628" s="62" t="e">
        <f t="shared" ca="1" si="124"/>
        <v>#N/A</v>
      </c>
      <c r="AD628" s="62" t="e">
        <f t="shared" ca="1" si="125"/>
        <v>#N/A</v>
      </c>
      <c r="AE628" s="62" t="e">
        <f t="shared" ca="1" si="126"/>
        <v>#N/A</v>
      </c>
    </row>
    <row r="629" spans="18:31" x14ac:dyDescent="0.25">
      <c r="R629" s="62" t="e">
        <f ca="1"/>
        <v>#N/A</v>
      </c>
      <c r="S629" s="62" t="e">
        <f t="shared" ca="1" si="115"/>
        <v>#N/A</v>
      </c>
      <c r="T629" s="62" t="e">
        <f t="shared" ca="1" si="116"/>
        <v>#N/A</v>
      </c>
      <c r="U629" s="62" t="e">
        <f t="shared" ca="1" si="117"/>
        <v>#N/A</v>
      </c>
      <c r="V629" s="62" t="e">
        <f t="shared" ca="1" si="118"/>
        <v>#N/A</v>
      </c>
      <c r="W629" s="60" t="e">
        <f t="shared" ca="1" si="119"/>
        <v>#N/A</v>
      </c>
      <c r="X629" s="60" t="e">
        <f t="shared" ca="1" si="120"/>
        <v>#N/A</v>
      </c>
      <c r="Y629" s="60" t="e">
        <f t="shared" ca="1" si="121"/>
        <v>#N/A</v>
      </c>
      <c r="Z629" s="60" t="e">
        <f t="shared" ca="1" si="122"/>
        <v>#N/A</v>
      </c>
      <c r="AA629" s="92" t="e">
        <f ca="1"/>
        <v>#N/A</v>
      </c>
      <c r="AB629" s="62" t="e">
        <f t="shared" ca="1" si="123"/>
        <v>#N/A</v>
      </c>
      <c r="AC629" s="62" t="e">
        <f t="shared" ca="1" si="124"/>
        <v>#N/A</v>
      </c>
      <c r="AD629" s="62" t="e">
        <f t="shared" ca="1" si="125"/>
        <v>#N/A</v>
      </c>
      <c r="AE629" s="62" t="e">
        <f t="shared" ca="1" si="126"/>
        <v>#N/A</v>
      </c>
    </row>
    <row r="630" spans="18:31" x14ac:dyDescent="0.25">
      <c r="R630" s="62" t="e">
        <f ca="1"/>
        <v>#N/A</v>
      </c>
      <c r="S630" s="62" t="e">
        <f t="shared" ca="1" si="115"/>
        <v>#N/A</v>
      </c>
      <c r="T630" s="62" t="e">
        <f t="shared" ca="1" si="116"/>
        <v>#N/A</v>
      </c>
      <c r="U630" s="62" t="e">
        <f t="shared" ca="1" si="117"/>
        <v>#N/A</v>
      </c>
      <c r="V630" s="62" t="e">
        <f t="shared" ca="1" si="118"/>
        <v>#N/A</v>
      </c>
      <c r="W630" s="60" t="e">
        <f t="shared" ca="1" si="119"/>
        <v>#N/A</v>
      </c>
      <c r="X630" s="60" t="e">
        <f t="shared" ca="1" si="120"/>
        <v>#N/A</v>
      </c>
      <c r="Y630" s="60" t="e">
        <f t="shared" ca="1" si="121"/>
        <v>#N/A</v>
      </c>
      <c r="Z630" s="60" t="e">
        <f t="shared" ca="1" si="122"/>
        <v>#N/A</v>
      </c>
      <c r="AA630" s="92" t="e">
        <f ca="1"/>
        <v>#N/A</v>
      </c>
      <c r="AB630" s="62" t="e">
        <f t="shared" ca="1" si="123"/>
        <v>#N/A</v>
      </c>
      <c r="AC630" s="62" t="e">
        <f t="shared" ca="1" si="124"/>
        <v>#N/A</v>
      </c>
      <c r="AD630" s="62" t="e">
        <f t="shared" ca="1" si="125"/>
        <v>#N/A</v>
      </c>
      <c r="AE630" s="62" t="e">
        <f t="shared" ca="1" si="126"/>
        <v>#N/A</v>
      </c>
    </row>
    <row r="631" spans="18:31" x14ac:dyDescent="0.25">
      <c r="R631" s="62" t="e">
        <f ca="1"/>
        <v>#N/A</v>
      </c>
      <c r="S631" s="62" t="e">
        <f t="shared" ca="1" si="115"/>
        <v>#N/A</v>
      </c>
      <c r="T631" s="62" t="e">
        <f t="shared" ca="1" si="116"/>
        <v>#N/A</v>
      </c>
      <c r="U631" s="62" t="e">
        <f t="shared" ca="1" si="117"/>
        <v>#N/A</v>
      </c>
      <c r="V631" s="62" t="e">
        <f t="shared" ca="1" si="118"/>
        <v>#N/A</v>
      </c>
      <c r="W631" s="60" t="e">
        <f t="shared" ca="1" si="119"/>
        <v>#N/A</v>
      </c>
      <c r="X631" s="60" t="e">
        <f t="shared" ca="1" si="120"/>
        <v>#N/A</v>
      </c>
      <c r="Y631" s="60" t="e">
        <f t="shared" ca="1" si="121"/>
        <v>#N/A</v>
      </c>
      <c r="Z631" s="60" t="e">
        <f t="shared" ca="1" si="122"/>
        <v>#N/A</v>
      </c>
      <c r="AA631" s="92" t="e">
        <f ca="1"/>
        <v>#N/A</v>
      </c>
      <c r="AB631" s="62" t="e">
        <f t="shared" ca="1" si="123"/>
        <v>#N/A</v>
      </c>
      <c r="AC631" s="62" t="e">
        <f t="shared" ca="1" si="124"/>
        <v>#N/A</v>
      </c>
      <c r="AD631" s="62" t="e">
        <f t="shared" ca="1" si="125"/>
        <v>#N/A</v>
      </c>
      <c r="AE631" s="62" t="e">
        <f t="shared" ca="1" si="126"/>
        <v>#N/A</v>
      </c>
    </row>
    <row r="632" spans="18:31" x14ac:dyDescent="0.25">
      <c r="R632" s="62" t="e">
        <f ca="1"/>
        <v>#N/A</v>
      </c>
      <c r="S632" s="62" t="e">
        <f t="shared" ca="1" si="115"/>
        <v>#N/A</v>
      </c>
      <c r="T632" s="62" t="e">
        <f t="shared" ca="1" si="116"/>
        <v>#N/A</v>
      </c>
      <c r="U632" s="62" t="e">
        <f t="shared" ca="1" si="117"/>
        <v>#N/A</v>
      </c>
      <c r="V632" s="62" t="e">
        <f t="shared" ca="1" si="118"/>
        <v>#N/A</v>
      </c>
      <c r="W632" s="60" t="e">
        <f t="shared" ca="1" si="119"/>
        <v>#N/A</v>
      </c>
      <c r="X632" s="60" t="e">
        <f t="shared" ca="1" si="120"/>
        <v>#N/A</v>
      </c>
      <c r="Y632" s="60" t="e">
        <f t="shared" ca="1" si="121"/>
        <v>#N/A</v>
      </c>
      <c r="Z632" s="60" t="e">
        <f t="shared" ca="1" si="122"/>
        <v>#N/A</v>
      </c>
      <c r="AA632" s="92" t="e">
        <f ca="1"/>
        <v>#N/A</v>
      </c>
      <c r="AB632" s="62" t="e">
        <f t="shared" ca="1" si="123"/>
        <v>#N/A</v>
      </c>
      <c r="AC632" s="62" t="e">
        <f t="shared" ca="1" si="124"/>
        <v>#N/A</v>
      </c>
      <c r="AD632" s="62" t="e">
        <f t="shared" ca="1" si="125"/>
        <v>#N/A</v>
      </c>
      <c r="AE632" s="62" t="e">
        <f t="shared" ca="1" si="126"/>
        <v>#N/A</v>
      </c>
    </row>
    <row r="633" spans="18:31" x14ac:dyDescent="0.25">
      <c r="R633" s="62" t="e">
        <f ca="1"/>
        <v>#N/A</v>
      </c>
      <c r="S633" s="62" t="e">
        <f t="shared" ca="1" si="115"/>
        <v>#N/A</v>
      </c>
      <c r="T633" s="62" t="e">
        <f t="shared" ca="1" si="116"/>
        <v>#N/A</v>
      </c>
      <c r="U633" s="62" t="e">
        <f t="shared" ca="1" si="117"/>
        <v>#N/A</v>
      </c>
      <c r="V633" s="62" t="e">
        <f t="shared" ca="1" si="118"/>
        <v>#N/A</v>
      </c>
      <c r="W633" s="60" t="e">
        <f t="shared" ca="1" si="119"/>
        <v>#N/A</v>
      </c>
      <c r="X633" s="60" t="e">
        <f t="shared" ca="1" si="120"/>
        <v>#N/A</v>
      </c>
      <c r="Y633" s="60" t="e">
        <f t="shared" ca="1" si="121"/>
        <v>#N/A</v>
      </c>
      <c r="Z633" s="60" t="e">
        <f t="shared" ca="1" si="122"/>
        <v>#N/A</v>
      </c>
      <c r="AA633" s="92" t="e">
        <f ca="1"/>
        <v>#N/A</v>
      </c>
      <c r="AB633" s="62" t="e">
        <f t="shared" ca="1" si="123"/>
        <v>#N/A</v>
      </c>
      <c r="AC633" s="62" t="e">
        <f t="shared" ca="1" si="124"/>
        <v>#N/A</v>
      </c>
      <c r="AD633" s="62" t="e">
        <f t="shared" ca="1" si="125"/>
        <v>#N/A</v>
      </c>
      <c r="AE633" s="62" t="e">
        <f t="shared" ca="1" si="126"/>
        <v>#N/A</v>
      </c>
    </row>
    <row r="634" spans="18:31" x14ac:dyDescent="0.25">
      <c r="R634" s="62" t="e">
        <f ca="1"/>
        <v>#N/A</v>
      </c>
      <c r="S634" s="62" t="e">
        <f t="shared" ca="1" si="115"/>
        <v>#N/A</v>
      </c>
      <c r="T634" s="62" t="e">
        <f t="shared" ca="1" si="116"/>
        <v>#N/A</v>
      </c>
      <c r="U634" s="62" t="e">
        <f t="shared" ca="1" si="117"/>
        <v>#N/A</v>
      </c>
      <c r="V634" s="62" t="e">
        <f t="shared" ca="1" si="118"/>
        <v>#N/A</v>
      </c>
      <c r="W634" s="60" t="e">
        <f t="shared" ca="1" si="119"/>
        <v>#N/A</v>
      </c>
      <c r="X634" s="60" t="e">
        <f t="shared" ca="1" si="120"/>
        <v>#N/A</v>
      </c>
      <c r="Y634" s="60" t="e">
        <f t="shared" ca="1" si="121"/>
        <v>#N/A</v>
      </c>
      <c r="Z634" s="60" t="e">
        <f t="shared" ca="1" si="122"/>
        <v>#N/A</v>
      </c>
      <c r="AA634" s="92" t="e">
        <f ca="1"/>
        <v>#N/A</v>
      </c>
      <c r="AB634" s="62" t="e">
        <f t="shared" ca="1" si="123"/>
        <v>#N/A</v>
      </c>
      <c r="AC634" s="62" t="e">
        <f t="shared" ca="1" si="124"/>
        <v>#N/A</v>
      </c>
      <c r="AD634" s="62" t="e">
        <f t="shared" ca="1" si="125"/>
        <v>#N/A</v>
      </c>
      <c r="AE634" s="62" t="e">
        <f t="shared" ca="1" si="126"/>
        <v>#N/A</v>
      </c>
    </row>
    <row r="635" spans="18:31" x14ac:dyDescent="0.25">
      <c r="R635" s="62" t="e">
        <f ca="1"/>
        <v>#N/A</v>
      </c>
      <c r="S635" s="62" t="e">
        <f t="shared" ca="1" si="115"/>
        <v>#N/A</v>
      </c>
      <c r="T635" s="62" t="e">
        <f t="shared" ca="1" si="116"/>
        <v>#N/A</v>
      </c>
      <c r="U635" s="62" t="e">
        <f t="shared" ca="1" si="117"/>
        <v>#N/A</v>
      </c>
      <c r="V635" s="62" t="e">
        <f t="shared" ca="1" si="118"/>
        <v>#N/A</v>
      </c>
      <c r="W635" s="60" t="e">
        <f t="shared" ca="1" si="119"/>
        <v>#N/A</v>
      </c>
      <c r="X635" s="60" t="e">
        <f t="shared" ca="1" si="120"/>
        <v>#N/A</v>
      </c>
      <c r="Y635" s="60" t="e">
        <f t="shared" ca="1" si="121"/>
        <v>#N/A</v>
      </c>
      <c r="Z635" s="60" t="e">
        <f t="shared" ca="1" si="122"/>
        <v>#N/A</v>
      </c>
      <c r="AA635" s="92" t="e">
        <f ca="1"/>
        <v>#N/A</v>
      </c>
      <c r="AB635" s="62" t="e">
        <f t="shared" ca="1" si="123"/>
        <v>#N/A</v>
      </c>
      <c r="AC635" s="62" t="e">
        <f t="shared" ca="1" si="124"/>
        <v>#N/A</v>
      </c>
      <c r="AD635" s="62" t="e">
        <f t="shared" ca="1" si="125"/>
        <v>#N/A</v>
      </c>
      <c r="AE635" s="62" t="e">
        <f t="shared" ca="1" si="126"/>
        <v>#N/A</v>
      </c>
    </row>
    <row r="636" spans="18:31" x14ac:dyDescent="0.25">
      <c r="R636" s="62" t="e">
        <f ca="1"/>
        <v>#N/A</v>
      </c>
      <c r="S636" s="62" t="e">
        <f t="shared" ca="1" si="115"/>
        <v>#N/A</v>
      </c>
      <c r="T636" s="62" t="e">
        <f t="shared" ca="1" si="116"/>
        <v>#N/A</v>
      </c>
      <c r="U636" s="62" t="e">
        <f t="shared" ca="1" si="117"/>
        <v>#N/A</v>
      </c>
      <c r="V636" s="62" t="e">
        <f t="shared" ca="1" si="118"/>
        <v>#N/A</v>
      </c>
      <c r="W636" s="60" t="e">
        <f t="shared" ca="1" si="119"/>
        <v>#N/A</v>
      </c>
      <c r="X636" s="60" t="e">
        <f t="shared" ca="1" si="120"/>
        <v>#N/A</v>
      </c>
      <c r="Y636" s="60" t="e">
        <f t="shared" ca="1" si="121"/>
        <v>#N/A</v>
      </c>
      <c r="Z636" s="60" t="e">
        <f t="shared" ca="1" si="122"/>
        <v>#N/A</v>
      </c>
      <c r="AA636" s="92" t="e">
        <f ca="1"/>
        <v>#N/A</v>
      </c>
      <c r="AB636" s="62" t="e">
        <f t="shared" ca="1" si="123"/>
        <v>#N/A</v>
      </c>
      <c r="AC636" s="62" t="e">
        <f t="shared" ca="1" si="124"/>
        <v>#N/A</v>
      </c>
      <c r="AD636" s="62" t="e">
        <f t="shared" ca="1" si="125"/>
        <v>#N/A</v>
      </c>
      <c r="AE636" s="62" t="e">
        <f t="shared" ca="1" si="126"/>
        <v>#N/A</v>
      </c>
    </row>
    <row r="637" spans="18:31" x14ac:dyDescent="0.25">
      <c r="R637" s="62" t="e">
        <f ca="1"/>
        <v>#N/A</v>
      </c>
      <c r="S637" s="62" t="e">
        <f t="shared" ca="1" si="115"/>
        <v>#N/A</v>
      </c>
      <c r="T637" s="62" t="e">
        <f t="shared" ca="1" si="116"/>
        <v>#N/A</v>
      </c>
      <c r="U637" s="62" t="e">
        <f t="shared" ca="1" si="117"/>
        <v>#N/A</v>
      </c>
      <c r="V637" s="62" t="e">
        <f t="shared" ca="1" si="118"/>
        <v>#N/A</v>
      </c>
      <c r="W637" s="60" t="e">
        <f t="shared" ca="1" si="119"/>
        <v>#N/A</v>
      </c>
      <c r="X637" s="60" t="e">
        <f t="shared" ca="1" si="120"/>
        <v>#N/A</v>
      </c>
      <c r="Y637" s="60" t="e">
        <f t="shared" ca="1" si="121"/>
        <v>#N/A</v>
      </c>
      <c r="Z637" s="60" t="e">
        <f t="shared" ca="1" si="122"/>
        <v>#N/A</v>
      </c>
      <c r="AA637" s="92" t="e">
        <f ca="1"/>
        <v>#N/A</v>
      </c>
      <c r="AB637" s="62" t="e">
        <f t="shared" ca="1" si="123"/>
        <v>#N/A</v>
      </c>
      <c r="AC637" s="62" t="e">
        <f t="shared" ca="1" si="124"/>
        <v>#N/A</v>
      </c>
      <c r="AD637" s="62" t="e">
        <f t="shared" ca="1" si="125"/>
        <v>#N/A</v>
      </c>
      <c r="AE637" s="62" t="e">
        <f t="shared" ca="1" si="126"/>
        <v>#N/A</v>
      </c>
    </row>
    <row r="638" spans="18:31" x14ac:dyDescent="0.25">
      <c r="R638" s="62" t="e">
        <f ca="1"/>
        <v>#N/A</v>
      </c>
      <c r="S638" s="62" t="e">
        <f t="shared" ca="1" si="115"/>
        <v>#N/A</v>
      </c>
      <c r="T638" s="62" t="e">
        <f t="shared" ca="1" si="116"/>
        <v>#N/A</v>
      </c>
      <c r="U638" s="62" t="e">
        <f t="shared" ca="1" si="117"/>
        <v>#N/A</v>
      </c>
      <c r="V638" s="62" t="e">
        <f t="shared" ca="1" si="118"/>
        <v>#N/A</v>
      </c>
      <c r="W638" s="60" t="e">
        <f t="shared" ca="1" si="119"/>
        <v>#N/A</v>
      </c>
      <c r="X638" s="60" t="e">
        <f t="shared" ca="1" si="120"/>
        <v>#N/A</v>
      </c>
      <c r="Y638" s="60" t="e">
        <f t="shared" ca="1" si="121"/>
        <v>#N/A</v>
      </c>
      <c r="Z638" s="60" t="e">
        <f t="shared" ca="1" si="122"/>
        <v>#N/A</v>
      </c>
      <c r="AA638" s="92" t="e">
        <f ca="1"/>
        <v>#N/A</v>
      </c>
      <c r="AB638" s="62" t="e">
        <f t="shared" ca="1" si="123"/>
        <v>#N/A</v>
      </c>
      <c r="AC638" s="62" t="e">
        <f t="shared" ca="1" si="124"/>
        <v>#N/A</v>
      </c>
      <c r="AD638" s="62" t="e">
        <f t="shared" ca="1" si="125"/>
        <v>#N/A</v>
      </c>
      <c r="AE638" s="62" t="e">
        <f t="shared" ca="1" si="126"/>
        <v>#N/A</v>
      </c>
    </row>
    <row r="639" spans="18:31" x14ac:dyDescent="0.25">
      <c r="R639" s="62" t="e">
        <f ca="1"/>
        <v>#N/A</v>
      </c>
      <c r="S639" s="62" t="e">
        <f t="shared" ca="1" si="115"/>
        <v>#N/A</v>
      </c>
      <c r="T639" s="62" t="e">
        <f t="shared" ca="1" si="116"/>
        <v>#N/A</v>
      </c>
      <c r="U639" s="62" t="e">
        <f t="shared" ca="1" si="117"/>
        <v>#N/A</v>
      </c>
      <c r="V639" s="62" t="e">
        <f t="shared" ca="1" si="118"/>
        <v>#N/A</v>
      </c>
      <c r="W639" s="60" t="e">
        <f t="shared" ca="1" si="119"/>
        <v>#N/A</v>
      </c>
      <c r="X639" s="60" t="e">
        <f t="shared" ca="1" si="120"/>
        <v>#N/A</v>
      </c>
      <c r="Y639" s="60" t="e">
        <f t="shared" ca="1" si="121"/>
        <v>#N/A</v>
      </c>
      <c r="Z639" s="60" t="e">
        <f t="shared" ca="1" si="122"/>
        <v>#N/A</v>
      </c>
      <c r="AA639" s="92" t="e">
        <f ca="1"/>
        <v>#N/A</v>
      </c>
      <c r="AB639" s="62" t="e">
        <f t="shared" ca="1" si="123"/>
        <v>#N/A</v>
      </c>
      <c r="AC639" s="62" t="e">
        <f t="shared" ca="1" si="124"/>
        <v>#N/A</v>
      </c>
      <c r="AD639" s="62" t="e">
        <f t="shared" ca="1" si="125"/>
        <v>#N/A</v>
      </c>
      <c r="AE639" s="62" t="e">
        <f t="shared" ca="1" si="126"/>
        <v>#N/A</v>
      </c>
    </row>
    <row r="640" spans="18:31" x14ac:dyDescent="0.25">
      <c r="R640" s="62" t="e">
        <f ca="1"/>
        <v>#N/A</v>
      </c>
      <c r="S640" s="62" t="e">
        <f t="shared" ca="1" si="115"/>
        <v>#N/A</v>
      </c>
      <c r="T640" s="62" t="e">
        <f t="shared" ca="1" si="116"/>
        <v>#N/A</v>
      </c>
      <c r="U640" s="62" t="e">
        <f t="shared" ca="1" si="117"/>
        <v>#N/A</v>
      </c>
      <c r="V640" s="62" t="e">
        <f t="shared" ca="1" si="118"/>
        <v>#N/A</v>
      </c>
      <c r="W640" s="60" t="e">
        <f t="shared" ca="1" si="119"/>
        <v>#N/A</v>
      </c>
      <c r="X640" s="60" t="e">
        <f t="shared" ca="1" si="120"/>
        <v>#N/A</v>
      </c>
      <c r="Y640" s="60" t="e">
        <f t="shared" ca="1" si="121"/>
        <v>#N/A</v>
      </c>
      <c r="Z640" s="60" t="e">
        <f t="shared" ca="1" si="122"/>
        <v>#N/A</v>
      </c>
      <c r="AA640" s="92" t="e">
        <f ca="1"/>
        <v>#N/A</v>
      </c>
      <c r="AB640" s="62" t="e">
        <f t="shared" ca="1" si="123"/>
        <v>#N/A</v>
      </c>
      <c r="AC640" s="62" t="e">
        <f t="shared" ca="1" si="124"/>
        <v>#N/A</v>
      </c>
      <c r="AD640" s="62" t="e">
        <f t="shared" ca="1" si="125"/>
        <v>#N/A</v>
      </c>
      <c r="AE640" s="62" t="e">
        <f t="shared" ca="1" si="126"/>
        <v>#N/A</v>
      </c>
    </row>
    <row r="641" spans="18:31" x14ac:dyDescent="0.25">
      <c r="R641" s="62" t="e">
        <f ca="1"/>
        <v>#N/A</v>
      </c>
      <c r="S641" s="62" t="e">
        <f t="shared" ca="1" si="115"/>
        <v>#N/A</v>
      </c>
      <c r="T641" s="62" t="e">
        <f t="shared" ca="1" si="116"/>
        <v>#N/A</v>
      </c>
      <c r="U641" s="62" t="e">
        <f t="shared" ca="1" si="117"/>
        <v>#N/A</v>
      </c>
      <c r="V641" s="62" t="e">
        <f t="shared" ca="1" si="118"/>
        <v>#N/A</v>
      </c>
      <c r="W641" s="60" t="e">
        <f t="shared" ca="1" si="119"/>
        <v>#N/A</v>
      </c>
      <c r="X641" s="60" t="e">
        <f t="shared" ca="1" si="120"/>
        <v>#N/A</v>
      </c>
      <c r="Y641" s="60" t="e">
        <f t="shared" ca="1" si="121"/>
        <v>#N/A</v>
      </c>
      <c r="Z641" s="60" t="e">
        <f t="shared" ca="1" si="122"/>
        <v>#N/A</v>
      </c>
      <c r="AA641" s="92" t="e">
        <f ca="1"/>
        <v>#N/A</v>
      </c>
      <c r="AB641" s="62" t="e">
        <f t="shared" ca="1" si="123"/>
        <v>#N/A</v>
      </c>
      <c r="AC641" s="62" t="e">
        <f t="shared" ca="1" si="124"/>
        <v>#N/A</v>
      </c>
      <c r="AD641" s="62" t="e">
        <f t="shared" ca="1" si="125"/>
        <v>#N/A</v>
      </c>
      <c r="AE641" s="62" t="e">
        <f t="shared" ca="1" si="126"/>
        <v>#N/A</v>
      </c>
    </row>
    <row r="642" spans="18:31" x14ac:dyDescent="0.25">
      <c r="R642" s="62" t="e">
        <f ca="1"/>
        <v>#N/A</v>
      </c>
      <c r="S642" s="62" t="e">
        <f t="shared" ca="1" si="115"/>
        <v>#N/A</v>
      </c>
      <c r="T642" s="62" t="e">
        <f t="shared" ca="1" si="116"/>
        <v>#N/A</v>
      </c>
      <c r="U642" s="62" t="e">
        <f t="shared" ca="1" si="117"/>
        <v>#N/A</v>
      </c>
      <c r="V642" s="62" t="e">
        <f t="shared" ca="1" si="118"/>
        <v>#N/A</v>
      </c>
      <c r="W642" s="60" t="e">
        <f t="shared" ca="1" si="119"/>
        <v>#N/A</v>
      </c>
      <c r="X642" s="60" t="e">
        <f t="shared" ca="1" si="120"/>
        <v>#N/A</v>
      </c>
      <c r="Y642" s="60" t="e">
        <f t="shared" ca="1" si="121"/>
        <v>#N/A</v>
      </c>
      <c r="Z642" s="60" t="e">
        <f t="shared" ca="1" si="122"/>
        <v>#N/A</v>
      </c>
      <c r="AA642" s="92" t="e">
        <f ca="1"/>
        <v>#N/A</v>
      </c>
      <c r="AB642" s="62" t="e">
        <f t="shared" ca="1" si="123"/>
        <v>#N/A</v>
      </c>
      <c r="AC642" s="62" t="e">
        <f t="shared" ca="1" si="124"/>
        <v>#N/A</v>
      </c>
      <c r="AD642" s="62" t="e">
        <f t="shared" ca="1" si="125"/>
        <v>#N/A</v>
      </c>
      <c r="AE642" s="62" t="e">
        <f t="shared" ca="1" si="126"/>
        <v>#N/A</v>
      </c>
    </row>
    <row r="643" spans="18:31" x14ac:dyDescent="0.25">
      <c r="R643" s="62" t="e">
        <f ca="1"/>
        <v>#N/A</v>
      </c>
      <c r="S643" s="62" t="e">
        <f t="shared" ca="1" si="115"/>
        <v>#N/A</v>
      </c>
      <c r="T643" s="62" t="e">
        <f t="shared" ca="1" si="116"/>
        <v>#N/A</v>
      </c>
      <c r="U643" s="62" t="e">
        <f t="shared" ca="1" si="117"/>
        <v>#N/A</v>
      </c>
      <c r="V643" s="62" t="e">
        <f t="shared" ca="1" si="118"/>
        <v>#N/A</v>
      </c>
      <c r="W643" s="60" t="e">
        <f t="shared" ca="1" si="119"/>
        <v>#N/A</v>
      </c>
      <c r="X643" s="60" t="e">
        <f t="shared" ca="1" si="120"/>
        <v>#N/A</v>
      </c>
      <c r="Y643" s="60" t="e">
        <f t="shared" ca="1" si="121"/>
        <v>#N/A</v>
      </c>
      <c r="Z643" s="60" t="e">
        <f t="shared" ca="1" si="122"/>
        <v>#N/A</v>
      </c>
      <c r="AA643" s="92" t="e">
        <f ca="1"/>
        <v>#N/A</v>
      </c>
      <c r="AB643" s="62" t="e">
        <f t="shared" ca="1" si="123"/>
        <v>#N/A</v>
      </c>
      <c r="AC643" s="62" t="e">
        <f t="shared" ca="1" si="124"/>
        <v>#N/A</v>
      </c>
      <c r="AD643" s="62" t="e">
        <f t="shared" ca="1" si="125"/>
        <v>#N/A</v>
      </c>
      <c r="AE643" s="62" t="e">
        <f t="shared" ca="1" si="126"/>
        <v>#N/A</v>
      </c>
    </row>
    <row r="644" spans="18:31" x14ac:dyDescent="0.25">
      <c r="R644" s="62" t="e">
        <f ca="1"/>
        <v>#N/A</v>
      </c>
      <c r="S644" s="62" t="e">
        <f t="shared" ca="1" si="115"/>
        <v>#N/A</v>
      </c>
      <c r="T644" s="62" t="e">
        <f t="shared" ca="1" si="116"/>
        <v>#N/A</v>
      </c>
      <c r="U644" s="62" t="e">
        <f t="shared" ca="1" si="117"/>
        <v>#N/A</v>
      </c>
      <c r="V644" s="62" t="e">
        <f t="shared" ca="1" si="118"/>
        <v>#N/A</v>
      </c>
      <c r="W644" s="60" t="e">
        <f t="shared" ca="1" si="119"/>
        <v>#N/A</v>
      </c>
      <c r="X644" s="60" t="e">
        <f t="shared" ca="1" si="120"/>
        <v>#N/A</v>
      </c>
      <c r="Y644" s="60" t="e">
        <f t="shared" ca="1" si="121"/>
        <v>#N/A</v>
      </c>
      <c r="Z644" s="60" t="e">
        <f t="shared" ca="1" si="122"/>
        <v>#N/A</v>
      </c>
      <c r="AA644" s="92" t="e">
        <f ca="1"/>
        <v>#N/A</v>
      </c>
      <c r="AB644" s="62" t="e">
        <f t="shared" ca="1" si="123"/>
        <v>#N/A</v>
      </c>
      <c r="AC644" s="62" t="e">
        <f t="shared" ca="1" si="124"/>
        <v>#N/A</v>
      </c>
      <c r="AD644" s="62" t="e">
        <f t="shared" ca="1" si="125"/>
        <v>#N/A</v>
      </c>
      <c r="AE644" s="62" t="e">
        <f t="shared" ca="1" si="126"/>
        <v>#N/A</v>
      </c>
    </row>
    <row r="645" spans="18:31" x14ac:dyDescent="0.25">
      <c r="R645" s="62" t="e">
        <f ca="1"/>
        <v>#N/A</v>
      </c>
      <c r="S645" s="62" t="e">
        <f t="shared" ca="1" si="115"/>
        <v>#N/A</v>
      </c>
      <c r="T645" s="62" t="e">
        <f t="shared" ca="1" si="116"/>
        <v>#N/A</v>
      </c>
      <c r="U645" s="62" t="e">
        <f t="shared" ca="1" si="117"/>
        <v>#N/A</v>
      </c>
      <c r="V645" s="62" t="e">
        <f t="shared" ca="1" si="118"/>
        <v>#N/A</v>
      </c>
      <c r="W645" s="60" t="e">
        <f t="shared" ca="1" si="119"/>
        <v>#N/A</v>
      </c>
      <c r="X645" s="60" t="e">
        <f t="shared" ca="1" si="120"/>
        <v>#N/A</v>
      </c>
      <c r="Y645" s="60" t="e">
        <f t="shared" ca="1" si="121"/>
        <v>#N/A</v>
      </c>
      <c r="Z645" s="60" t="e">
        <f t="shared" ca="1" si="122"/>
        <v>#N/A</v>
      </c>
      <c r="AA645" s="92" t="e">
        <f ca="1"/>
        <v>#N/A</v>
      </c>
      <c r="AB645" s="62" t="e">
        <f t="shared" ca="1" si="123"/>
        <v>#N/A</v>
      </c>
      <c r="AC645" s="62" t="e">
        <f t="shared" ca="1" si="124"/>
        <v>#N/A</v>
      </c>
      <c r="AD645" s="62" t="e">
        <f t="shared" ca="1" si="125"/>
        <v>#N/A</v>
      </c>
      <c r="AE645" s="62" t="e">
        <f t="shared" ca="1" si="126"/>
        <v>#N/A</v>
      </c>
    </row>
    <row r="646" spans="18:31" x14ac:dyDescent="0.25">
      <c r="R646" s="62" t="e">
        <f ca="1"/>
        <v>#N/A</v>
      </c>
      <c r="S646" s="62" t="e">
        <f t="shared" ca="1" si="115"/>
        <v>#N/A</v>
      </c>
      <c r="T646" s="62" t="e">
        <f t="shared" ca="1" si="116"/>
        <v>#N/A</v>
      </c>
      <c r="U646" s="62" t="e">
        <f t="shared" ca="1" si="117"/>
        <v>#N/A</v>
      </c>
      <c r="V646" s="62" t="e">
        <f t="shared" ca="1" si="118"/>
        <v>#N/A</v>
      </c>
      <c r="W646" s="60" t="e">
        <f t="shared" ca="1" si="119"/>
        <v>#N/A</v>
      </c>
      <c r="X646" s="60" t="e">
        <f t="shared" ca="1" si="120"/>
        <v>#N/A</v>
      </c>
      <c r="Y646" s="60" t="e">
        <f t="shared" ca="1" si="121"/>
        <v>#N/A</v>
      </c>
      <c r="Z646" s="60" t="e">
        <f t="shared" ca="1" si="122"/>
        <v>#N/A</v>
      </c>
      <c r="AA646" s="92" t="e">
        <f ca="1"/>
        <v>#N/A</v>
      </c>
      <c r="AB646" s="62" t="e">
        <f t="shared" ca="1" si="123"/>
        <v>#N/A</v>
      </c>
      <c r="AC646" s="62" t="e">
        <f t="shared" ca="1" si="124"/>
        <v>#N/A</v>
      </c>
      <c r="AD646" s="62" t="e">
        <f t="shared" ca="1" si="125"/>
        <v>#N/A</v>
      </c>
      <c r="AE646" s="62" t="e">
        <f t="shared" ca="1" si="126"/>
        <v>#N/A</v>
      </c>
    </row>
    <row r="647" spans="18:31" x14ac:dyDescent="0.25">
      <c r="R647" s="62" t="e">
        <f ca="1"/>
        <v>#N/A</v>
      </c>
      <c r="S647" s="62" t="e">
        <f t="shared" ca="1" si="115"/>
        <v>#N/A</v>
      </c>
      <c r="T647" s="62" t="e">
        <f t="shared" ca="1" si="116"/>
        <v>#N/A</v>
      </c>
      <c r="U647" s="62" t="e">
        <f t="shared" ca="1" si="117"/>
        <v>#N/A</v>
      </c>
      <c r="V647" s="62" t="e">
        <f t="shared" ca="1" si="118"/>
        <v>#N/A</v>
      </c>
      <c r="W647" s="60" t="e">
        <f t="shared" ca="1" si="119"/>
        <v>#N/A</v>
      </c>
      <c r="X647" s="60" t="e">
        <f t="shared" ca="1" si="120"/>
        <v>#N/A</v>
      </c>
      <c r="Y647" s="60" t="e">
        <f t="shared" ca="1" si="121"/>
        <v>#N/A</v>
      </c>
      <c r="Z647" s="60" t="e">
        <f t="shared" ca="1" si="122"/>
        <v>#N/A</v>
      </c>
      <c r="AA647" s="92" t="e">
        <f ca="1"/>
        <v>#N/A</v>
      </c>
      <c r="AB647" s="62" t="e">
        <f t="shared" ca="1" si="123"/>
        <v>#N/A</v>
      </c>
      <c r="AC647" s="62" t="e">
        <f t="shared" ca="1" si="124"/>
        <v>#N/A</v>
      </c>
      <c r="AD647" s="62" t="e">
        <f t="shared" ca="1" si="125"/>
        <v>#N/A</v>
      </c>
      <c r="AE647" s="62" t="e">
        <f t="shared" ca="1" si="126"/>
        <v>#N/A</v>
      </c>
    </row>
    <row r="648" spans="18:31" x14ac:dyDescent="0.25">
      <c r="R648" s="62" t="e">
        <f ca="1"/>
        <v>#N/A</v>
      </c>
      <c r="S648" s="62" t="e">
        <f t="shared" ca="1" si="115"/>
        <v>#N/A</v>
      </c>
      <c r="T648" s="62" t="e">
        <f t="shared" ca="1" si="116"/>
        <v>#N/A</v>
      </c>
      <c r="U648" s="62" t="e">
        <f t="shared" ca="1" si="117"/>
        <v>#N/A</v>
      </c>
      <c r="V648" s="62" t="e">
        <f t="shared" ca="1" si="118"/>
        <v>#N/A</v>
      </c>
      <c r="W648" s="60" t="e">
        <f t="shared" ca="1" si="119"/>
        <v>#N/A</v>
      </c>
      <c r="X648" s="60" t="e">
        <f t="shared" ca="1" si="120"/>
        <v>#N/A</v>
      </c>
      <c r="Y648" s="60" t="e">
        <f t="shared" ca="1" si="121"/>
        <v>#N/A</v>
      </c>
      <c r="Z648" s="60" t="e">
        <f t="shared" ca="1" si="122"/>
        <v>#N/A</v>
      </c>
      <c r="AA648" s="92" t="e">
        <f ca="1"/>
        <v>#N/A</v>
      </c>
      <c r="AB648" s="62" t="e">
        <f t="shared" ca="1" si="123"/>
        <v>#N/A</v>
      </c>
      <c r="AC648" s="62" t="e">
        <f t="shared" ca="1" si="124"/>
        <v>#N/A</v>
      </c>
      <c r="AD648" s="62" t="e">
        <f t="shared" ca="1" si="125"/>
        <v>#N/A</v>
      </c>
      <c r="AE648" s="62" t="e">
        <f t="shared" ca="1" si="126"/>
        <v>#N/A</v>
      </c>
    </row>
    <row r="649" spans="18:31" x14ac:dyDescent="0.25">
      <c r="R649" s="62" t="e">
        <f ca="1"/>
        <v>#N/A</v>
      </c>
      <c r="S649" s="62" t="e">
        <f t="shared" ca="1" si="115"/>
        <v>#N/A</v>
      </c>
      <c r="T649" s="62" t="e">
        <f t="shared" ca="1" si="116"/>
        <v>#N/A</v>
      </c>
      <c r="U649" s="62" t="e">
        <f t="shared" ca="1" si="117"/>
        <v>#N/A</v>
      </c>
      <c r="V649" s="62" t="e">
        <f t="shared" ca="1" si="118"/>
        <v>#N/A</v>
      </c>
      <c r="W649" s="60" t="e">
        <f t="shared" ca="1" si="119"/>
        <v>#N/A</v>
      </c>
      <c r="X649" s="60" t="e">
        <f t="shared" ca="1" si="120"/>
        <v>#N/A</v>
      </c>
      <c r="Y649" s="60" t="e">
        <f t="shared" ca="1" si="121"/>
        <v>#N/A</v>
      </c>
      <c r="Z649" s="60" t="e">
        <f t="shared" ca="1" si="122"/>
        <v>#N/A</v>
      </c>
      <c r="AA649" s="92" t="e">
        <f ca="1"/>
        <v>#N/A</v>
      </c>
      <c r="AB649" s="62" t="e">
        <f t="shared" ca="1" si="123"/>
        <v>#N/A</v>
      </c>
      <c r="AC649" s="62" t="e">
        <f t="shared" ca="1" si="124"/>
        <v>#N/A</v>
      </c>
      <c r="AD649" s="62" t="e">
        <f t="shared" ca="1" si="125"/>
        <v>#N/A</v>
      </c>
      <c r="AE649" s="62" t="e">
        <f t="shared" ca="1" si="126"/>
        <v>#N/A</v>
      </c>
    </row>
    <row r="650" spans="18:31" x14ac:dyDescent="0.25">
      <c r="R650" s="62" t="e">
        <f ca="1"/>
        <v>#N/A</v>
      </c>
      <c r="S650" s="62" t="e">
        <f t="shared" ca="1" si="115"/>
        <v>#N/A</v>
      </c>
      <c r="T650" s="62" t="e">
        <f t="shared" ca="1" si="116"/>
        <v>#N/A</v>
      </c>
      <c r="U650" s="62" t="e">
        <f t="shared" ca="1" si="117"/>
        <v>#N/A</v>
      </c>
      <c r="V650" s="62" t="e">
        <f t="shared" ca="1" si="118"/>
        <v>#N/A</v>
      </c>
      <c r="W650" s="60" t="e">
        <f t="shared" ca="1" si="119"/>
        <v>#N/A</v>
      </c>
      <c r="X650" s="60" t="e">
        <f t="shared" ca="1" si="120"/>
        <v>#N/A</v>
      </c>
      <c r="Y650" s="60" t="e">
        <f t="shared" ca="1" si="121"/>
        <v>#N/A</v>
      </c>
      <c r="Z650" s="60" t="e">
        <f t="shared" ca="1" si="122"/>
        <v>#N/A</v>
      </c>
      <c r="AA650" s="92" t="e">
        <f ca="1"/>
        <v>#N/A</v>
      </c>
      <c r="AB650" s="62" t="e">
        <f t="shared" ca="1" si="123"/>
        <v>#N/A</v>
      </c>
      <c r="AC650" s="62" t="e">
        <f t="shared" ca="1" si="124"/>
        <v>#N/A</v>
      </c>
      <c r="AD650" s="62" t="e">
        <f t="shared" ca="1" si="125"/>
        <v>#N/A</v>
      </c>
      <c r="AE650" s="62" t="e">
        <f t="shared" ca="1" si="126"/>
        <v>#N/A</v>
      </c>
    </row>
    <row r="651" spans="18:31" x14ac:dyDescent="0.25">
      <c r="R651" s="62" t="e">
        <f ca="1"/>
        <v>#N/A</v>
      </c>
      <c r="S651" s="62" t="e">
        <f t="shared" ca="1" si="115"/>
        <v>#N/A</v>
      </c>
      <c r="T651" s="62" t="e">
        <f t="shared" ca="1" si="116"/>
        <v>#N/A</v>
      </c>
      <c r="U651" s="62" t="e">
        <f t="shared" ca="1" si="117"/>
        <v>#N/A</v>
      </c>
      <c r="V651" s="62" t="e">
        <f t="shared" ca="1" si="118"/>
        <v>#N/A</v>
      </c>
      <c r="W651" s="60" t="e">
        <f t="shared" ca="1" si="119"/>
        <v>#N/A</v>
      </c>
      <c r="X651" s="60" t="e">
        <f t="shared" ca="1" si="120"/>
        <v>#N/A</v>
      </c>
      <c r="Y651" s="60" t="e">
        <f t="shared" ca="1" si="121"/>
        <v>#N/A</v>
      </c>
      <c r="Z651" s="60" t="e">
        <f t="shared" ca="1" si="122"/>
        <v>#N/A</v>
      </c>
      <c r="AA651" s="92" t="e">
        <f ca="1"/>
        <v>#N/A</v>
      </c>
      <c r="AB651" s="62" t="e">
        <f t="shared" ca="1" si="123"/>
        <v>#N/A</v>
      </c>
      <c r="AC651" s="62" t="e">
        <f t="shared" ca="1" si="124"/>
        <v>#N/A</v>
      </c>
      <c r="AD651" s="62" t="e">
        <f t="shared" ca="1" si="125"/>
        <v>#N/A</v>
      </c>
      <c r="AE651" s="62" t="e">
        <f t="shared" ca="1" si="126"/>
        <v>#N/A</v>
      </c>
    </row>
    <row r="652" spans="18:31" x14ac:dyDescent="0.25">
      <c r="R652" s="62" t="e">
        <f ca="1"/>
        <v>#N/A</v>
      </c>
      <c r="S652" s="62" t="e">
        <f t="shared" ref="S652:S662" ca="1" si="127">IF(R652&gt;1,R652,"")</f>
        <v>#N/A</v>
      </c>
      <c r="T652" s="62" t="e">
        <f t="shared" ref="T652:T662" ca="1" si="128">VLOOKUP(S652,ModelOutputs,2,FALSE)</f>
        <v>#N/A</v>
      </c>
      <c r="U652" s="62" t="e">
        <f t="shared" ref="U652:U662" ca="1" si="129">VLOOKUP(S652,ModelOutputs,7,FALSE)</f>
        <v>#N/A</v>
      </c>
      <c r="V652" s="62" t="e">
        <f t="shared" ref="V652:V662" ca="1" si="130">VLOOKUP(S652,ModelOutputs,6,FALSE)</f>
        <v>#N/A</v>
      </c>
      <c r="W652" s="60" t="e">
        <f t="shared" ref="W652:W662" ca="1" si="131">VLOOKUP(S652,ModelOutputs,10,FALSE)*AWC</f>
        <v>#N/A</v>
      </c>
      <c r="X652" s="60" t="e">
        <f t="shared" ref="X652:X662" ca="1" si="132">VLOOKUP(S652,ModelOutputs,11,FALSE)+X651</f>
        <v>#N/A</v>
      </c>
      <c r="Y652" s="60" t="e">
        <f t="shared" ref="Y652:Y662" ca="1" si="133">VLOOKUP(S652,ModelOutputs,12,FALSE)</f>
        <v>#N/A</v>
      </c>
      <c r="Z652" s="60" t="e">
        <f t="shared" ref="Z652:Z662" ca="1" si="134">VLOOKUP(S652,ModelOutputs,13,FALSE)</f>
        <v>#N/A</v>
      </c>
      <c r="AA652" s="92" t="e">
        <f ca="1"/>
        <v>#N/A</v>
      </c>
      <c r="AB652" s="62" t="e">
        <f t="shared" ref="AB652:AB662" ca="1" si="135">IF(AA652&gt;1,AA652,"")</f>
        <v>#N/A</v>
      </c>
      <c r="AC652" s="62" t="e">
        <f t="shared" ref="AC652:AC662" ca="1" si="136">VLOOKUP(AB652,ModelOutputs,2,FALSE)</f>
        <v>#N/A</v>
      </c>
      <c r="AD652" s="62" t="e">
        <f t="shared" ref="AD652:AD662" ca="1" si="137">VLOOKUP(AB652,ModelOutputs,7,FALSE)</f>
        <v>#N/A</v>
      </c>
      <c r="AE652" s="62" t="e">
        <f t="shared" ref="AE652:AE662" ca="1" si="138">VLOOKUP(AB652,ModelOutputs,6,FALSE)</f>
        <v>#N/A</v>
      </c>
    </row>
    <row r="653" spans="18:31" x14ac:dyDescent="0.25">
      <c r="R653" s="62" t="e">
        <f ca="1"/>
        <v>#N/A</v>
      </c>
      <c r="S653" s="62" t="e">
        <f t="shared" ca="1" si="127"/>
        <v>#N/A</v>
      </c>
      <c r="T653" s="62" t="e">
        <f t="shared" ca="1" si="128"/>
        <v>#N/A</v>
      </c>
      <c r="U653" s="62" t="e">
        <f t="shared" ca="1" si="129"/>
        <v>#N/A</v>
      </c>
      <c r="V653" s="62" t="e">
        <f t="shared" ca="1" si="130"/>
        <v>#N/A</v>
      </c>
      <c r="W653" s="60" t="e">
        <f t="shared" ca="1" si="131"/>
        <v>#N/A</v>
      </c>
      <c r="X653" s="60" t="e">
        <f t="shared" ca="1" si="132"/>
        <v>#N/A</v>
      </c>
      <c r="Y653" s="60" t="e">
        <f t="shared" ca="1" si="133"/>
        <v>#N/A</v>
      </c>
      <c r="Z653" s="60" t="e">
        <f t="shared" ca="1" si="134"/>
        <v>#N/A</v>
      </c>
      <c r="AA653" s="92" t="e">
        <f ca="1"/>
        <v>#N/A</v>
      </c>
      <c r="AB653" s="62" t="e">
        <f t="shared" ca="1" si="135"/>
        <v>#N/A</v>
      </c>
      <c r="AC653" s="62" t="e">
        <f t="shared" ca="1" si="136"/>
        <v>#N/A</v>
      </c>
      <c r="AD653" s="62" t="e">
        <f t="shared" ca="1" si="137"/>
        <v>#N/A</v>
      </c>
      <c r="AE653" s="62" t="e">
        <f t="shared" ca="1" si="138"/>
        <v>#N/A</v>
      </c>
    </row>
    <row r="654" spans="18:31" x14ac:dyDescent="0.25">
      <c r="R654" s="62" t="e">
        <f ca="1"/>
        <v>#N/A</v>
      </c>
      <c r="S654" s="62" t="e">
        <f t="shared" ca="1" si="127"/>
        <v>#N/A</v>
      </c>
      <c r="T654" s="62" t="e">
        <f t="shared" ca="1" si="128"/>
        <v>#N/A</v>
      </c>
      <c r="U654" s="62" t="e">
        <f t="shared" ca="1" si="129"/>
        <v>#N/A</v>
      </c>
      <c r="V654" s="62" t="e">
        <f t="shared" ca="1" si="130"/>
        <v>#N/A</v>
      </c>
      <c r="W654" s="60" t="e">
        <f t="shared" ca="1" si="131"/>
        <v>#N/A</v>
      </c>
      <c r="X654" s="60" t="e">
        <f t="shared" ca="1" si="132"/>
        <v>#N/A</v>
      </c>
      <c r="Y654" s="60" t="e">
        <f t="shared" ca="1" si="133"/>
        <v>#N/A</v>
      </c>
      <c r="Z654" s="60" t="e">
        <f t="shared" ca="1" si="134"/>
        <v>#N/A</v>
      </c>
      <c r="AA654" s="92" t="e">
        <f ca="1"/>
        <v>#N/A</v>
      </c>
      <c r="AB654" s="62" t="e">
        <f t="shared" ca="1" si="135"/>
        <v>#N/A</v>
      </c>
      <c r="AC654" s="62" t="e">
        <f t="shared" ca="1" si="136"/>
        <v>#N/A</v>
      </c>
      <c r="AD654" s="62" t="e">
        <f t="shared" ca="1" si="137"/>
        <v>#N/A</v>
      </c>
      <c r="AE654" s="62" t="e">
        <f t="shared" ca="1" si="138"/>
        <v>#N/A</v>
      </c>
    </row>
    <row r="655" spans="18:31" x14ac:dyDescent="0.25">
      <c r="R655" s="62" t="e">
        <f ca="1"/>
        <v>#N/A</v>
      </c>
      <c r="S655" s="62" t="e">
        <f t="shared" ca="1" si="127"/>
        <v>#N/A</v>
      </c>
      <c r="T655" s="62" t="e">
        <f t="shared" ca="1" si="128"/>
        <v>#N/A</v>
      </c>
      <c r="U655" s="62" t="e">
        <f t="shared" ca="1" si="129"/>
        <v>#N/A</v>
      </c>
      <c r="V655" s="62" t="e">
        <f t="shared" ca="1" si="130"/>
        <v>#N/A</v>
      </c>
      <c r="W655" s="60" t="e">
        <f t="shared" ca="1" si="131"/>
        <v>#N/A</v>
      </c>
      <c r="X655" s="60" t="e">
        <f t="shared" ca="1" si="132"/>
        <v>#N/A</v>
      </c>
      <c r="Y655" s="60" t="e">
        <f t="shared" ca="1" si="133"/>
        <v>#N/A</v>
      </c>
      <c r="Z655" s="60" t="e">
        <f t="shared" ca="1" si="134"/>
        <v>#N/A</v>
      </c>
      <c r="AA655" s="92" t="e">
        <f ca="1"/>
        <v>#N/A</v>
      </c>
      <c r="AB655" s="62" t="e">
        <f t="shared" ca="1" si="135"/>
        <v>#N/A</v>
      </c>
      <c r="AC655" s="62" t="e">
        <f t="shared" ca="1" si="136"/>
        <v>#N/A</v>
      </c>
      <c r="AD655" s="62" t="e">
        <f t="shared" ca="1" si="137"/>
        <v>#N/A</v>
      </c>
      <c r="AE655" s="62" t="e">
        <f t="shared" ca="1" si="138"/>
        <v>#N/A</v>
      </c>
    </row>
    <row r="656" spans="18:31" x14ac:dyDescent="0.25">
      <c r="R656" s="62" t="e">
        <f ca="1"/>
        <v>#N/A</v>
      </c>
      <c r="S656" s="62" t="e">
        <f t="shared" ca="1" si="127"/>
        <v>#N/A</v>
      </c>
      <c r="T656" s="62" t="e">
        <f t="shared" ca="1" si="128"/>
        <v>#N/A</v>
      </c>
      <c r="U656" s="62" t="e">
        <f t="shared" ca="1" si="129"/>
        <v>#N/A</v>
      </c>
      <c r="V656" s="62" t="e">
        <f t="shared" ca="1" si="130"/>
        <v>#N/A</v>
      </c>
      <c r="W656" s="60" t="e">
        <f t="shared" ca="1" si="131"/>
        <v>#N/A</v>
      </c>
      <c r="X656" s="60" t="e">
        <f t="shared" ca="1" si="132"/>
        <v>#N/A</v>
      </c>
      <c r="Y656" s="60" t="e">
        <f t="shared" ca="1" si="133"/>
        <v>#N/A</v>
      </c>
      <c r="Z656" s="60" t="e">
        <f t="shared" ca="1" si="134"/>
        <v>#N/A</v>
      </c>
      <c r="AA656" s="92" t="e">
        <f ca="1"/>
        <v>#N/A</v>
      </c>
      <c r="AB656" s="62" t="e">
        <f t="shared" ca="1" si="135"/>
        <v>#N/A</v>
      </c>
      <c r="AC656" s="62" t="e">
        <f t="shared" ca="1" si="136"/>
        <v>#N/A</v>
      </c>
      <c r="AD656" s="62" t="e">
        <f t="shared" ca="1" si="137"/>
        <v>#N/A</v>
      </c>
      <c r="AE656" s="62" t="e">
        <f t="shared" ca="1" si="138"/>
        <v>#N/A</v>
      </c>
    </row>
    <row r="657" spans="18:31" x14ac:dyDescent="0.25">
      <c r="R657" s="62" t="e">
        <f ca="1"/>
        <v>#N/A</v>
      </c>
      <c r="S657" s="62" t="e">
        <f t="shared" ca="1" si="127"/>
        <v>#N/A</v>
      </c>
      <c r="T657" s="62" t="e">
        <f t="shared" ca="1" si="128"/>
        <v>#N/A</v>
      </c>
      <c r="U657" s="62" t="e">
        <f t="shared" ca="1" si="129"/>
        <v>#N/A</v>
      </c>
      <c r="V657" s="62" t="e">
        <f t="shared" ca="1" si="130"/>
        <v>#N/A</v>
      </c>
      <c r="W657" s="60" t="e">
        <f t="shared" ca="1" si="131"/>
        <v>#N/A</v>
      </c>
      <c r="X657" s="60" t="e">
        <f t="shared" ca="1" si="132"/>
        <v>#N/A</v>
      </c>
      <c r="Y657" s="60" t="e">
        <f t="shared" ca="1" si="133"/>
        <v>#N/A</v>
      </c>
      <c r="Z657" s="60" t="e">
        <f t="shared" ca="1" si="134"/>
        <v>#N/A</v>
      </c>
      <c r="AA657" s="92" t="e">
        <f ca="1"/>
        <v>#N/A</v>
      </c>
      <c r="AB657" s="62" t="e">
        <f t="shared" ca="1" si="135"/>
        <v>#N/A</v>
      </c>
      <c r="AC657" s="62" t="e">
        <f t="shared" ca="1" si="136"/>
        <v>#N/A</v>
      </c>
      <c r="AD657" s="62" t="e">
        <f t="shared" ca="1" si="137"/>
        <v>#N/A</v>
      </c>
      <c r="AE657" s="62" t="e">
        <f t="shared" ca="1" si="138"/>
        <v>#N/A</v>
      </c>
    </row>
    <row r="658" spans="18:31" x14ac:dyDescent="0.25">
      <c r="R658" s="62" t="e">
        <f ca="1"/>
        <v>#N/A</v>
      </c>
      <c r="S658" s="62" t="e">
        <f t="shared" ca="1" si="127"/>
        <v>#N/A</v>
      </c>
      <c r="T658" s="62" t="e">
        <f t="shared" ca="1" si="128"/>
        <v>#N/A</v>
      </c>
      <c r="U658" s="62" t="e">
        <f t="shared" ca="1" si="129"/>
        <v>#N/A</v>
      </c>
      <c r="V658" s="62" t="e">
        <f t="shared" ca="1" si="130"/>
        <v>#N/A</v>
      </c>
      <c r="W658" s="60" t="e">
        <f t="shared" ca="1" si="131"/>
        <v>#N/A</v>
      </c>
      <c r="X658" s="60" t="e">
        <f t="shared" ca="1" si="132"/>
        <v>#N/A</v>
      </c>
      <c r="Y658" s="60" t="e">
        <f t="shared" ca="1" si="133"/>
        <v>#N/A</v>
      </c>
      <c r="Z658" s="60" t="e">
        <f t="shared" ca="1" si="134"/>
        <v>#N/A</v>
      </c>
      <c r="AA658" s="92" t="e">
        <f ca="1"/>
        <v>#N/A</v>
      </c>
      <c r="AB658" s="62" t="e">
        <f t="shared" ca="1" si="135"/>
        <v>#N/A</v>
      </c>
      <c r="AC658" s="62" t="e">
        <f t="shared" ca="1" si="136"/>
        <v>#N/A</v>
      </c>
      <c r="AD658" s="62" t="e">
        <f t="shared" ca="1" si="137"/>
        <v>#N/A</v>
      </c>
      <c r="AE658" s="62" t="e">
        <f t="shared" ca="1" si="138"/>
        <v>#N/A</v>
      </c>
    </row>
    <row r="659" spans="18:31" x14ac:dyDescent="0.25">
      <c r="R659" s="62" t="e">
        <f ca="1"/>
        <v>#N/A</v>
      </c>
      <c r="S659" s="62" t="e">
        <f t="shared" ca="1" si="127"/>
        <v>#N/A</v>
      </c>
      <c r="T659" s="62" t="e">
        <f t="shared" ca="1" si="128"/>
        <v>#N/A</v>
      </c>
      <c r="U659" s="62" t="e">
        <f t="shared" ca="1" si="129"/>
        <v>#N/A</v>
      </c>
      <c r="V659" s="62" t="e">
        <f t="shared" ca="1" si="130"/>
        <v>#N/A</v>
      </c>
      <c r="W659" s="60" t="e">
        <f t="shared" ca="1" si="131"/>
        <v>#N/A</v>
      </c>
      <c r="X659" s="60" t="e">
        <f t="shared" ca="1" si="132"/>
        <v>#N/A</v>
      </c>
      <c r="Y659" s="60" t="e">
        <f t="shared" ca="1" si="133"/>
        <v>#N/A</v>
      </c>
      <c r="Z659" s="60" t="e">
        <f t="shared" ca="1" si="134"/>
        <v>#N/A</v>
      </c>
      <c r="AA659" s="92" t="e">
        <f ca="1"/>
        <v>#N/A</v>
      </c>
      <c r="AB659" s="62" t="e">
        <f t="shared" ca="1" si="135"/>
        <v>#N/A</v>
      </c>
      <c r="AC659" s="62" t="e">
        <f t="shared" ca="1" si="136"/>
        <v>#N/A</v>
      </c>
      <c r="AD659" s="62" t="e">
        <f t="shared" ca="1" si="137"/>
        <v>#N/A</v>
      </c>
      <c r="AE659" s="62" t="e">
        <f t="shared" ca="1" si="138"/>
        <v>#N/A</v>
      </c>
    </row>
    <row r="660" spans="18:31" x14ac:dyDescent="0.25">
      <c r="R660" s="62" t="e">
        <f ca="1"/>
        <v>#N/A</v>
      </c>
      <c r="S660" s="62" t="e">
        <f t="shared" ca="1" si="127"/>
        <v>#N/A</v>
      </c>
      <c r="T660" s="62" t="e">
        <f t="shared" ca="1" si="128"/>
        <v>#N/A</v>
      </c>
      <c r="U660" s="62" t="e">
        <f t="shared" ca="1" si="129"/>
        <v>#N/A</v>
      </c>
      <c r="V660" s="62" t="e">
        <f t="shared" ca="1" si="130"/>
        <v>#N/A</v>
      </c>
      <c r="W660" s="60" t="e">
        <f t="shared" ca="1" si="131"/>
        <v>#N/A</v>
      </c>
      <c r="X660" s="60" t="e">
        <f t="shared" ca="1" si="132"/>
        <v>#N/A</v>
      </c>
      <c r="Y660" s="60" t="e">
        <f t="shared" ca="1" si="133"/>
        <v>#N/A</v>
      </c>
      <c r="Z660" s="60" t="e">
        <f t="shared" ca="1" si="134"/>
        <v>#N/A</v>
      </c>
      <c r="AA660" s="92" t="e">
        <f ca="1"/>
        <v>#N/A</v>
      </c>
      <c r="AB660" s="62" t="e">
        <f t="shared" ca="1" si="135"/>
        <v>#N/A</v>
      </c>
      <c r="AC660" s="62" t="e">
        <f t="shared" ca="1" si="136"/>
        <v>#N/A</v>
      </c>
      <c r="AD660" s="62" t="e">
        <f t="shared" ca="1" si="137"/>
        <v>#N/A</v>
      </c>
      <c r="AE660" s="62" t="e">
        <f t="shared" ca="1" si="138"/>
        <v>#N/A</v>
      </c>
    </row>
    <row r="661" spans="18:31" x14ac:dyDescent="0.25">
      <c r="R661" s="62" t="e">
        <f ca="1"/>
        <v>#N/A</v>
      </c>
      <c r="S661" s="62" t="e">
        <f t="shared" ca="1" si="127"/>
        <v>#N/A</v>
      </c>
      <c r="T661" s="62" t="e">
        <f t="shared" ca="1" si="128"/>
        <v>#N/A</v>
      </c>
      <c r="U661" s="62" t="e">
        <f t="shared" ca="1" si="129"/>
        <v>#N/A</v>
      </c>
      <c r="V661" s="62" t="e">
        <f t="shared" ca="1" si="130"/>
        <v>#N/A</v>
      </c>
      <c r="W661" s="60" t="e">
        <f t="shared" ca="1" si="131"/>
        <v>#N/A</v>
      </c>
      <c r="X661" s="60" t="e">
        <f t="shared" ca="1" si="132"/>
        <v>#N/A</v>
      </c>
      <c r="Y661" s="60" t="e">
        <f t="shared" ca="1" si="133"/>
        <v>#N/A</v>
      </c>
      <c r="Z661" s="60" t="e">
        <f t="shared" ca="1" si="134"/>
        <v>#N/A</v>
      </c>
      <c r="AA661" s="92" t="e">
        <f ca="1"/>
        <v>#N/A</v>
      </c>
      <c r="AB661" s="62" t="e">
        <f t="shared" ca="1" si="135"/>
        <v>#N/A</v>
      </c>
      <c r="AC661" s="62" t="e">
        <f t="shared" ca="1" si="136"/>
        <v>#N/A</v>
      </c>
      <c r="AD661" s="62" t="e">
        <f t="shared" ca="1" si="137"/>
        <v>#N/A</v>
      </c>
      <c r="AE661" s="62" t="e">
        <f t="shared" ca="1" si="138"/>
        <v>#N/A</v>
      </c>
    </row>
    <row r="662" spans="18:31" x14ac:dyDescent="0.25">
      <c r="R662" s="62" t="e">
        <f ca="1"/>
        <v>#N/A</v>
      </c>
      <c r="S662" s="62" t="e">
        <f t="shared" ca="1" si="127"/>
        <v>#N/A</v>
      </c>
      <c r="T662" s="62" t="e">
        <f t="shared" ca="1" si="128"/>
        <v>#N/A</v>
      </c>
      <c r="U662" s="62" t="e">
        <f t="shared" ca="1" si="129"/>
        <v>#N/A</v>
      </c>
      <c r="V662" s="62" t="e">
        <f t="shared" ca="1" si="130"/>
        <v>#N/A</v>
      </c>
      <c r="W662" s="60" t="e">
        <f t="shared" ca="1" si="131"/>
        <v>#N/A</v>
      </c>
      <c r="X662" s="60" t="e">
        <f t="shared" ca="1" si="132"/>
        <v>#N/A</v>
      </c>
      <c r="Y662" s="60" t="e">
        <f t="shared" ca="1" si="133"/>
        <v>#N/A</v>
      </c>
      <c r="Z662" s="60" t="e">
        <f t="shared" ca="1" si="134"/>
        <v>#N/A</v>
      </c>
      <c r="AA662" s="92" t="e">
        <f ca="1"/>
        <v>#N/A</v>
      </c>
      <c r="AB662" s="62" t="e">
        <f t="shared" ca="1" si="135"/>
        <v>#N/A</v>
      </c>
      <c r="AC662" s="62" t="e">
        <f t="shared" ca="1" si="136"/>
        <v>#N/A</v>
      </c>
      <c r="AD662" s="62" t="e">
        <f t="shared" ca="1" si="137"/>
        <v>#N/A</v>
      </c>
      <c r="AE662" s="62" t="e">
        <f t="shared" ca="1" si="138"/>
        <v>#N/A</v>
      </c>
    </row>
  </sheetData>
  <sheetProtection sheet="1" selectLockedCells="1"/>
  <mergeCells count="13">
    <mergeCell ref="W15:Z15"/>
    <mergeCell ref="AA15:AE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29:G29">
    <cfRule type="expression" dxfId="20" priority="52">
      <formula>$B$29=1</formula>
    </cfRule>
  </conditionalFormatting>
  <conditionalFormatting sqref="F30:G30">
    <cfRule type="expression" dxfId="19" priority="59">
      <formula>$B$30=1</formula>
    </cfRule>
  </conditionalFormatting>
  <conditionalFormatting sqref="F31:G31">
    <cfRule type="expression" dxfId="18" priority="61">
      <formula>$B$31=1</formula>
    </cfRule>
  </conditionalFormatting>
  <conditionalFormatting sqref="F32:G32">
    <cfRule type="expression" dxfId="17" priority="63">
      <formula>$B$32=1</formula>
    </cfRule>
  </conditionalFormatting>
  <conditionalFormatting sqref="F33:G33">
    <cfRule type="expression" dxfId="16" priority="65">
      <formula>$B$33=1</formula>
    </cfRule>
  </conditionalFormatting>
  <conditionalFormatting sqref="F34:G34">
    <cfRule type="expression" dxfId="15" priority="67">
      <formula>$B$34=1</formula>
    </cfRule>
  </conditionalFormatting>
  <conditionalFormatting sqref="F35:G35">
    <cfRule type="expression" dxfId="14" priority="69">
      <formula>$B$35=1</formula>
    </cfRule>
  </conditionalFormatting>
  <conditionalFormatting sqref="F36">
    <cfRule type="expression" dxfId="13" priority="71">
      <formula>$B$36=1</formula>
    </cfRule>
  </conditionalFormatting>
  <conditionalFormatting sqref="F37:G37">
    <cfRule type="expression" dxfId="12" priority="73">
      <formula>$B$37=1</formula>
    </cfRule>
  </conditionalFormatting>
  <conditionalFormatting sqref="F38:G38">
    <cfRule type="expression" dxfId="11" priority="75">
      <formula>$B$38=1</formula>
    </cfRule>
  </conditionalFormatting>
  <conditionalFormatting sqref="F22:H24 C22:E23 C17:H21 C25:H45">
    <cfRule type="expression" dxfId="10" priority="6">
      <formula>$B$1=1</formula>
    </cfRule>
  </conditionalFormatting>
  <conditionalFormatting sqref="C54:E56 F54:H55 C46:H53 C57:H63 C68:H71 C64:E67 F65:H66 F8:H15">
    <cfRule type="expression" dxfId="9" priority="5">
      <formula>NOT($B$1=3)</formula>
    </cfRule>
  </conditionalFormatting>
  <conditionalFormatting sqref="E15">
    <cfRule type="expression" dxfId="8" priority="3">
      <formula>NOT($B$1=1)</formula>
    </cfRule>
  </conditionalFormatting>
  <conditionalFormatting sqref="D72:E72">
    <cfRule type="expression" dxfId="7" priority="2">
      <formula>NOT($B$1=3)</formula>
    </cfRule>
  </conditionalFormatting>
  <conditionalFormatting sqref="C72">
    <cfRule type="expression" dxfId="6" priority="1">
      <formula>NOT($B$1=3)</formula>
    </cfRule>
  </conditionalFormatting>
  <conditionalFormatting sqref="G36">
    <cfRule type="expression" dxfId="5" priority="84">
      <formula>$B$36</formula>
    </cfRule>
  </conditionalFormatting>
  <conditionalFormatting sqref="F39:G39">
    <cfRule type="expression" dxfId="4" priority="87">
      <formula>$B$39=1</formula>
    </cfRule>
  </conditionalFormatting>
  <conditionalFormatting sqref="F40:G40">
    <cfRule type="expression" dxfId="3" priority="88">
      <formula>$B$40=1</formula>
    </cfRule>
  </conditionalFormatting>
  <conditionalFormatting sqref="F41:G41">
    <cfRule type="expression" dxfId="2" priority="89">
      <formula>$B$41=1</formula>
    </cfRule>
  </conditionalFormatting>
  <conditionalFormatting sqref="F42:G42">
    <cfRule type="expression" dxfId="1" priority="90">
      <formula>$B$42=1</formula>
    </cfRule>
  </conditionalFormatting>
  <conditionalFormatting sqref="F43:G43">
    <cfRule type="expression" dxfId="0" priority="91">
      <formula>$B$43=1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  <dataValidation type="date" allowBlank="1" showInputMessage="1" showErrorMessage="1" sqref="E9 E10 C29:C34 C38:C43 E51 E52 E62 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opLeftCell="P1" zoomScale="105" workbookViewId="0">
      <selection activeCell="X4" sqref="X4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 x14ac:dyDescent="0.45">
      <c r="A1" s="156" t="s">
        <v>115</v>
      </c>
      <c r="B1" s="157"/>
      <c r="O1" s="35" t="s">
        <v>114</v>
      </c>
      <c r="P1" s="24"/>
      <c r="Q1" s="23" t="s">
        <v>190</v>
      </c>
      <c r="R1" s="24"/>
      <c r="S1" s="23" t="s">
        <v>187</v>
      </c>
      <c r="T1" s="25" t="s">
        <v>188</v>
      </c>
      <c r="U1" s="25" t="s">
        <v>13</v>
      </c>
      <c r="V1" s="23" t="s">
        <v>187</v>
      </c>
      <c r="W1" s="23" t="s">
        <v>189</v>
      </c>
      <c r="X1" s="26" t="s">
        <v>184</v>
      </c>
      <c r="Y1" s="130"/>
      <c r="Z1" s="130"/>
      <c r="AA1" s="130"/>
      <c r="AB1" s="130"/>
      <c r="AC1" s="112" t="s">
        <v>186</v>
      </c>
      <c r="AD1" s="112" t="s">
        <v>185</v>
      </c>
      <c r="AG1" s="112"/>
    </row>
    <row r="2" spans="1:37" ht="15.75" thickBot="1" x14ac:dyDescent="0.3">
      <c r="A2" s="5" t="s">
        <v>18</v>
      </c>
      <c r="B2" s="6">
        <f>ConceptDemo!D69</f>
        <v>50</v>
      </c>
      <c r="D2" s="44" t="str">
        <f>ConceptDemo!C27</f>
        <v>Fertiliser already applied or planned</v>
      </c>
      <c r="E2" s="45"/>
      <c r="O2" s="14" t="s">
        <v>0</v>
      </c>
      <c r="P2" s="33">
        <f ca="1">InitialDate</f>
        <v>44293</v>
      </c>
      <c r="Q2" s="27">
        <f ca="1">VLOOKUP(P2-1,ModelOutputs,2,FALSE)</f>
        <v>68.181462221268106</v>
      </c>
      <c r="R2" s="27"/>
      <c r="S2" s="27">
        <f ca="1">SUMIF($O$6:$O$999,TRUE,S6:S999)</f>
        <v>3.6610025523910884E-2</v>
      </c>
      <c r="T2" s="27">
        <f ca="1">SUMIF($O$6:$O$999,TRUE,T6:T999)</f>
        <v>84.339251719614751</v>
      </c>
      <c r="U2" s="27">
        <f ca="1">SUMIF($O$6:$O$999,TRUE,U6:U999)</f>
        <v>122</v>
      </c>
      <c r="V2" s="27"/>
      <c r="W2" s="28"/>
      <c r="X2" s="15"/>
      <c r="Y2" s="28"/>
      <c r="Z2" s="28"/>
      <c r="AA2" s="28"/>
      <c r="AB2" s="28"/>
      <c r="AC2" s="3">
        <f ca="1">MAX(0,AD3-AD2)</f>
        <v>0</v>
      </c>
      <c r="AD2" s="3">
        <f ca="1">SUM(Q2:X2)</f>
        <v>274.55732396640678</v>
      </c>
      <c r="AG2" s="3"/>
    </row>
    <row r="3" spans="1:37" ht="15.75" thickBot="1" x14ac:dyDescent="0.3">
      <c r="A3" s="14" t="s">
        <v>221</v>
      </c>
      <c r="B3" s="15" t="str">
        <f>SoilOrder</f>
        <v>Granular</v>
      </c>
      <c r="D3" s="21" t="str">
        <f>ConceptDemo!C28</f>
        <v>Date</v>
      </c>
      <c r="E3" s="22" t="str">
        <f>ConceptDemo!D28</f>
        <v>Amount</v>
      </c>
      <c r="I3" t="s">
        <v>211</v>
      </c>
      <c r="J3">
        <f>VLOOKUP(PrePlantRain,ListMembers!$Z$7:$AA$11,2,FALSE)</f>
        <v>0.65</v>
      </c>
      <c r="O3" s="16" t="s">
        <v>12</v>
      </c>
      <c r="P3" s="34">
        <f>B33</f>
        <v>44518</v>
      </c>
      <c r="Q3" s="29">
        <f ca="1">VLOOKUP(P3,ModelOutputs,2,FALSE)</f>
        <v>29.931663770224525</v>
      </c>
      <c r="R3" s="32"/>
      <c r="S3" s="30"/>
      <c r="T3" s="30"/>
      <c r="U3" s="30"/>
      <c r="V3" s="29">
        <f ca="1">(VLOOKUP($P$3,ModelOutputs,V4,FALSE)-VLOOKUP($P$2+1,ModelOutputs,V4,FALSE))-W3</f>
        <v>31.124368361908893</v>
      </c>
      <c r="W3" s="31">
        <f ca="1">VLOOKUP($P$3,ModelOutputs,W4,FALSE)-VLOOKUP($P$2+1,ModelOutputs,W4,FALSE)</f>
        <v>125.85070685467454</v>
      </c>
      <c r="X3" s="32">
        <f ca="1">SUMIF($O$6:$O$999,TRUE,X6:X999)</f>
        <v>24.399999999999995</v>
      </c>
      <c r="Y3" s="27"/>
      <c r="Z3" s="27"/>
      <c r="AA3" s="27"/>
      <c r="AB3" s="27"/>
      <c r="AC3" s="3">
        <f ca="1">MAX(0,AD2-AD3)</f>
        <v>63.250584979598813</v>
      </c>
      <c r="AD3" s="3">
        <f ca="1">SUM(Q3:X3)</f>
        <v>211.30673898680797</v>
      </c>
    </row>
    <row r="4" spans="1:37" ht="15.75" thickBot="1" x14ac:dyDescent="0.3">
      <c r="A4" s="14" t="s">
        <v>222</v>
      </c>
      <c r="B4" s="15" t="str">
        <f>SampleDepth</f>
        <v>0-30cm</v>
      </c>
      <c r="D4" s="42">
        <f>IF(ConceptDemo!C29="","",ConceptDemo!C29)</f>
        <v>44384</v>
      </c>
      <c r="E4" s="43">
        <f>IF(ConceptDemo!D29="","",ConceptDemo!D29)</f>
        <v>24</v>
      </c>
      <c r="H4" t="str">
        <f>ConceptDemo!D4</f>
        <v>Pukekohe</v>
      </c>
      <c r="I4" t="s">
        <v>212</v>
      </c>
      <c r="J4">
        <f>VLOOKUP(InCropRain,ListMembers!$Z$7:$AA$11,2,FALSE)</f>
        <v>1</v>
      </c>
      <c r="R4">
        <f ca="1">SUMIF(N6:N999,FALSE,R6:R999)</f>
        <v>110.07888782325033</v>
      </c>
      <c r="S4">
        <f ca="1">SUMIF(N6:N999,TRUE,S6:S999)</f>
        <v>6.7739143823105792</v>
      </c>
      <c r="V4">
        <v>7</v>
      </c>
      <c r="W4">
        <v>8</v>
      </c>
      <c r="AC4" s="3"/>
      <c r="AG4" s="3"/>
    </row>
    <row r="5" spans="1:37" x14ac:dyDescent="0.25">
      <c r="A5" s="14" t="s">
        <v>223</v>
      </c>
      <c r="B5" s="15">
        <f>BulkDensity</f>
        <v>0.88</v>
      </c>
      <c r="D5" s="20">
        <f>IF(ConceptDemo!C30="","",ConceptDemo!C30)</f>
        <v>44412</v>
      </c>
      <c r="E5" s="19">
        <f>IF(ConceptDemo!D30="","",ConceptDemo!D30)</f>
        <v>18</v>
      </c>
      <c r="G5" t="s">
        <v>101</v>
      </c>
      <c r="H5" s="102" t="s">
        <v>14</v>
      </c>
      <c r="I5" s="132" t="s">
        <v>17</v>
      </c>
      <c r="J5" s="132" t="s">
        <v>208</v>
      </c>
      <c r="K5" s="103" t="s">
        <v>210</v>
      </c>
      <c r="N5" t="s">
        <v>183</v>
      </c>
      <c r="O5" t="s">
        <v>113</v>
      </c>
      <c r="P5" t="str">
        <f t="array" aca="1" ref="P5:AB999" ca="1">_xll.GetDailyNBalance(H5:K999,A2:B47,D12:E18,D3:E9)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150</v>
      </c>
      <c r="AE5" t="s">
        <v>151</v>
      </c>
    </row>
    <row r="6" spans="1:37" x14ac:dyDescent="0.25">
      <c r="A6" s="14" t="s">
        <v>224</v>
      </c>
      <c r="B6" s="15" t="str">
        <f>PMNtype</f>
        <v>HWEON</v>
      </c>
      <c r="D6" s="20" t="str">
        <f>IF(ConceptDemo!C31="","",ConceptDemo!C31)</f>
        <v/>
      </c>
      <c r="E6" s="19" t="str">
        <f>IF(ConceptDemo!D31="","",ConceptDemo!D31)</f>
        <v/>
      </c>
      <c r="G6" s="3">
        <f>H6-DATE(YEAR(H6),1,0)+1</f>
        <v>275</v>
      </c>
      <c r="H6" s="104">
        <f>B20-1</f>
        <v>44104</v>
      </c>
      <c r="I6" s="131">
        <f>HLOOKUP($H$4,'Met Data'!$A$2:$F$368,G6,FALSE)</f>
        <v>13.0233333333333</v>
      </c>
      <c r="J6" s="131">
        <f ca="1">HLOOKUP($H$4,'Met Data'!$H$2:$M$368,G6,FALSE)*L6</f>
        <v>4.6821666666666646</v>
      </c>
      <c r="K6" s="105">
        <f>HLOOKUP($H$4,'Met Data'!$O$2:$T$368,G6,FALSE)</f>
        <v>2.7120872842053001</v>
      </c>
      <c r="L6">
        <f t="shared" ref="L6:L69" ca="1" si="0">IF(H6&lt;$B$31,$J$3,$J$4)</f>
        <v>0.65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44251</v>
      </c>
      <c r="Q6">
        <f ca="1"/>
        <v>48.675557671287073</v>
      </c>
      <c r="R6">
        <f ca="1"/>
        <v>1.93533719835253</v>
      </c>
      <c r="S6">
        <f ca="1"/>
        <v>0.17590559999999972</v>
      </c>
      <c r="T6" s="4">
        <f ca="1"/>
        <v>0.43498926963959944</v>
      </c>
      <c r="U6">
        <f ca="1"/>
        <v>0</v>
      </c>
      <c r="V6">
        <f ca="1"/>
        <v>229.76906860602099</v>
      </c>
      <c r="W6">
        <f ca="1"/>
        <v>223.80104085002</v>
      </c>
      <c r="X6">
        <f ca="1"/>
        <v>0</v>
      </c>
      <c r="Y6">
        <f ca="1"/>
        <v>0.65</v>
      </c>
      <c r="Z6">
        <f ca="1"/>
        <v>0</v>
      </c>
      <c r="AA6">
        <f ca="1"/>
        <v>0</v>
      </c>
      <c r="AB6">
        <f ca="1"/>
        <v>0.99999862923613303</v>
      </c>
      <c r="AD6" s="2">
        <f t="shared" ref="AD6:AD69" ca="1" si="2">IFERROR(P6,$AD$4)</f>
        <v>44251</v>
      </c>
      <c r="AE6" s="4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220</v>
      </c>
      <c r="B7" s="15">
        <f>HWEON</f>
        <v>38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si="4">H7-DATE(YEAR(H7),1,0)+1</f>
        <v>276</v>
      </c>
      <c r="H7" s="104">
        <f>H6+1</f>
        <v>44105</v>
      </c>
      <c r="I7" s="131">
        <f>HLOOKUP($H$4,'Met Data'!$A$2:$F$368,G7,FALSE)</f>
        <v>12.938333333333301</v>
      </c>
      <c r="J7" s="131">
        <f ca="1">HLOOKUP($H$4,'Met Data'!$H$2:$M$368,G7,FALSE)*L7</f>
        <v>2.8361666666666645</v>
      </c>
      <c r="K7" s="105">
        <f>HLOOKUP($H$4,'Met Data'!$O$2:$T$368,G7,FALSE)</f>
        <v>2.5284096014561799</v>
      </c>
      <c r="L7">
        <f t="shared" ca="1" si="0"/>
        <v>0.65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44252</v>
      </c>
      <c r="Q7">
        <f ca="1"/>
        <v>47.38204463755212</v>
      </c>
      <c r="R7">
        <f ca="1"/>
        <v>1.83895955967873</v>
      </c>
      <c r="S7">
        <f ca="1"/>
        <v>0.14033728588354558</v>
      </c>
      <c r="T7" s="4">
        <f ca="1"/>
        <v>0.40510924006022753</v>
      </c>
      <c r="U7">
        <f ca="1"/>
        <v>0</v>
      </c>
      <c r="V7">
        <f ca="1"/>
        <v>231.60802816569901</v>
      </c>
      <c r="W7">
        <f ca="1"/>
        <v>225.59223522632999</v>
      </c>
      <c r="X7">
        <f ca="1"/>
        <v>0</v>
      </c>
      <c r="Y7">
        <f ca="1"/>
        <v>0.62402321396037241</v>
      </c>
      <c r="Z7">
        <f ca="1"/>
        <v>0</v>
      </c>
      <c r="AA7">
        <f ca="1"/>
        <v>0</v>
      </c>
      <c r="AB7">
        <f ca="1"/>
        <v>0.99999880682183295</v>
      </c>
      <c r="AD7" s="2">
        <f t="shared" ca="1" si="2"/>
        <v>44252</v>
      </c>
      <c r="AE7" s="46">
        <f t="shared" ca="1" si="3"/>
        <v>0</v>
      </c>
      <c r="AF7" s="3"/>
      <c r="AG7" s="72">
        <f ca="1">Q6+S7+T7+U7</f>
        <v>49.221004197230847</v>
      </c>
      <c r="AH7" s="72">
        <f ca="1">Q7+R7+X7</f>
        <v>49.221004197230847</v>
      </c>
      <c r="AI7" s="3">
        <f ca="1">AH7-AG7</f>
        <v>0</v>
      </c>
      <c r="AK7" s="3"/>
    </row>
    <row r="8" spans="1:37" x14ac:dyDescent="0.25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si="4"/>
        <v>277</v>
      </c>
      <c r="H8" s="104">
        <f t="shared" ref="H8:H71" si="6">H7+1</f>
        <v>44106</v>
      </c>
      <c r="I8" s="131">
        <f>HLOOKUP($H$4,'Met Data'!$A$2:$F$368,G8,FALSE)</f>
        <v>13.2433333333333</v>
      </c>
      <c r="J8" s="131">
        <f ca="1">HLOOKUP($H$4,'Met Data'!$H$2:$M$368,G8,FALSE)*L8</f>
        <v>3.3366666666666647</v>
      </c>
      <c r="K8" s="105">
        <f>HLOOKUP($H$4,'Met Data'!$O$2:$T$368,G8,FALSE)</f>
        <v>2.88480468453885</v>
      </c>
      <c r="L8">
        <f t="shared" ca="1" si="0"/>
        <v>0.65</v>
      </c>
      <c r="N8" t="b">
        <f t="shared" ca="1" si="5"/>
        <v>1</v>
      </c>
      <c r="O8" t="b">
        <f t="shared" ca="1" si="1"/>
        <v>0</v>
      </c>
      <c r="P8" s="2">
        <f ca="1"/>
        <v>44253</v>
      </c>
      <c r="Q8">
        <f ca="1"/>
        <v>48.660760493874989</v>
      </c>
      <c r="R8">
        <f ca="1"/>
        <v>0</v>
      </c>
      <c r="S8">
        <f ca="1"/>
        <v>0.87576943372507599</v>
      </c>
      <c r="T8" s="4">
        <f ca="1"/>
        <v>0.40294642259779506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0.61387337877320491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44253</v>
      </c>
      <c r="AE8" s="46">
        <f t="shared" ca="1" si="3"/>
        <v>0</v>
      </c>
      <c r="AG8" s="72">
        <f t="shared" ref="AG8:AG71" ca="1" si="7">Q7+S8+T8+U8</f>
        <v>48.660760493874989</v>
      </c>
      <c r="AH8" s="72">
        <f t="shared" ref="AH8:AH71" ca="1" si="8">Q8+R8+X8</f>
        <v>48.660760493874989</v>
      </c>
      <c r="AI8" s="3">
        <f t="shared" ref="AI8:AI71" ca="1" si="9">AH8-AG8</f>
        <v>0</v>
      </c>
    </row>
    <row r="9" spans="1:37" ht="15.75" thickBot="1" x14ac:dyDescent="0.3">
      <c r="A9" s="14" t="s">
        <v>28</v>
      </c>
      <c r="B9" s="15">
        <f>ConceptDemo!D71</f>
        <v>80</v>
      </c>
      <c r="D9" s="40" t="str">
        <f>IF(ConceptDemo!C34="","",ConceptDemo!C34)</f>
        <v/>
      </c>
      <c r="E9" s="22" t="str">
        <f>IF(ConceptDemo!D34="","",ConceptDemo!D34)</f>
        <v/>
      </c>
      <c r="G9" s="3">
        <f t="shared" si="4"/>
        <v>278</v>
      </c>
      <c r="H9" s="104">
        <f t="shared" si="6"/>
        <v>44107</v>
      </c>
      <c r="I9" s="131">
        <f>HLOOKUP($H$4,'Met Data'!$A$2:$F$368,G9,FALSE)</f>
        <v>12.85</v>
      </c>
      <c r="J9" s="131">
        <f ca="1">HLOOKUP($H$4,'Met Data'!$H$2:$M$368,G9,FALSE)*L9</f>
        <v>1.6271666666666644</v>
      </c>
      <c r="K9" s="105">
        <f>HLOOKUP($H$4,'Met Data'!$O$2:$T$368,G9,FALSE)</f>
        <v>2.7808067783335901</v>
      </c>
      <c r="L9">
        <f t="shared" ca="1" si="0"/>
        <v>0.65</v>
      </c>
      <c r="N9" t="b">
        <f t="shared" ca="1" si="5"/>
        <v>1</v>
      </c>
      <c r="O9" t="b">
        <f t="shared" ca="1" si="1"/>
        <v>0</v>
      </c>
      <c r="P9" s="2">
        <f ca="1"/>
        <v>44254</v>
      </c>
      <c r="Q9">
        <f ca="1"/>
        <v>49.80841316389953</v>
      </c>
      <c r="R9">
        <f ca="1"/>
        <v>0</v>
      </c>
      <c r="S9">
        <f ca="1"/>
        <v>0.7475182327907941</v>
      </c>
      <c r="T9" s="4">
        <f ca="1"/>
        <v>0.40013443723374736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0.60269213372342378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44254</v>
      </c>
      <c r="AE9" s="46">
        <f t="shared" ca="1" si="3"/>
        <v>0</v>
      </c>
      <c r="AG9" s="72">
        <f t="shared" ca="1" si="7"/>
        <v>49.80841316389953</v>
      </c>
      <c r="AH9" s="72">
        <f t="shared" ca="1" si="8"/>
        <v>49.80841316389953</v>
      </c>
      <c r="AI9" s="3">
        <f t="shared" ca="1" si="9"/>
        <v>0</v>
      </c>
    </row>
    <row r="10" spans="1:37" ht="15.75" thickBot="1" x14ac:dyDescent="0.3">
      <c r="A10" s="14" t="s">
        <v>29</v>
      </c>
      <c r="B10" s="15">
        <f>Splits</f>
        <v>1</v>
      </c>
      <c r="G10" s="3">
        <f t="shared" si="4"/>
        <v>279</v>
      </c>
      <c r="H10" s="104">
        <f t="shared" si="6"/>
        <v>44108</v>
      </c>
      <c r="I10" s="131">
        <f>HLOOKUP($H$4,'Met Data'!$A$2:$F$368,G10,FALSE)</f>
        <v>12.875806451612901</v>
      </c>
      <c r="J10" s="131">
        <f ca="1">HLOOKUP($H$4,'Met Data'!$H$2:$M$368,G10,FALSE)*L10</f>
        <v>2.6880645161290313</v>
      </c>
      <c r="K10" s="105">
        <f>HLOOKUP($H$4,'Met Data'!$O$2:$T$368,G10,FALSE)</f>
        <v>3.0772949163384999</v>
      </c>
      <c r="L10">
        <f t="shared" ca="1" si="0"/>
        <v>0.65</v>
      </c>
      <c r="N10" t="b">
        <f t="shared" ca="1" si="5"/>
        <v>1</v>
      </c>
      <c r="O10" t="b">
        <f t="shared" ca="1" si="1"/>
        <v>0</v>
      </c>
      <c r="P10" s="2">
        <f ca="1"/>
        <v>44255</v>
      </c>
      <c r="Q10">
        <f ca="1"/>
        <v>50.841148508741085</v>
      </c>
      <c r="R10">
        <f ca="1"/>
        <v>0</v>
      </c>
      <c r="S10">
        <f ca="1"/>
        <v>0.63964657511751788</v>
      </c>
      <c r="T10" s="4">
        <f ca="1"/>
        <v>0.39308876972403828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0.60404578000610998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44255</v>
      </c>
      <c r="AE10" s="46">
        <f t="shared" ca="1" si="3"/>
        <v>0</v>
      </c>
      <c r="AG10" s="72">
        <f t="shared" ca="1" si="7"/>
        <v>50.841148508741085</v>
      </c>
      <c r="AH10" s="72">
        <f t="shared" ca="1" si="8"/>
        <v>50.841148508741085</v>
      </c>
      <c r="AI10" s="3">
        <f t="shared" ca="1" si="9"/>
        <v>0</v>
      </c>
    </row>
    <row r="11" spans="1:37" x14ac:dyDescent="0.25">
      <c r="A11" s="14" t="s">
        <v>214</v>
      </c>
      <c r="B11" s="15">
        <f>AWC</f>
        <v>120</v>
      </c>
      <c r="D11" s="154" t="str">
        <f>ConceptDemo!C36</f>
        <v>Soil Mineral N Test Results</v>
      </c>
      <c r="E11" s="155"/>
      <c r="G11" s="3">
        <f t="shared" si="4"/>
        <v>280</v>
      </c>
      <c r="H11" s="104">
        <f t="shared" si="6"/>
        <v>44109</v>
      </c>
      <c r="I11" s="131">
        <f>HLOOKUP($H$4,'Met Data'!$A$2:$F$368,G11,FALSE)</f>
        <v>12.9966666666666</v>
      </c>
      <c r="J11" s="131">
        <f ca="1">HLOOKUP($H$4,'Met Data'!$H$2:$M$368,G11,FALSE)*L11</f>
        <v>1.9304999999999934</v>
      </c>
      <c r="K11" s="105">
        <f>HLOOKUP($H$4,'Met Data'!$O$2:$T$368,G11,FALSE)</f>
        <v>3.1690364753373701</v>
      </c>
      <c r="L11">
        <f t="shared" ca="1" si="0"/>
        <v>0.65</v>
      </c>
      <c r="N11" t="b">
        <f t="shared" ca="1" si="5"/>
        <v>1</v>
      </c>
      <c r="O11" t="b">
        <f t="shared" ca="1" si="1"/>
        <v>0</v>
      </c>
      <c r="P11" s="2">
        <f ca="1"/>
        <v>44256</v>
      </c>
      <c r="Q11">
        <f ca="1"/>
        <v>51.798714156454089</v>
      </c>
      <c r="R11">
        <f ca="1"/>
        <v>0</v>
      </c>
      <c r="S11">
        <f ca="1"/>
        <v>0.56057114850580314</v>
      </c>
      <c r="T11" s="4">
        <f ca="1"/>
        <v>0.39699449920720226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0.60808799417916037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44256</v>
      </c>
      <c r="AE11" s="46">
        <f t="shared" ca="1" si="3"/>
        <v>0</v>
      </c>
      <c r="AG11" s="72">
        <f t="shared" ca="1" si="7"/>
        <v>51.798714156454089</v>
      </c>
      <c r="AH11" s="72">
        <f t="shared" ca="1" si="8"/>
        <v>51.798714156454089</v>
      </c>
      <c r="AI11" s="3">
        <f t="shared" ca="1" si="9"/>
        <v>0</v>
      </c>
    </row>
    <row r="12" spans="1:37" ht="15.75" thickBot="1" x14ac:dyDescent="0.3">
      <c r="A12" s="14" t="s">
        <v>211</v>
      </c>
      <c r="B12" s="15" t="str">
        <f>PrePlantRain</f>
        <v>Dry</v>
      </c>
      <c r="D12" s="21" t="str">
        <f>ConceptDemo!C37</f>
        <v>Date</v>
      </c>
      <c r="E12" s="22" t="str">
        <f>ConceptDemo!D37</f>
        <v>Value</v>
      </c>
      <c r="G12" s="3">
        <f t="shared" si="4"/>
        <v>281</v>
      </c>
      <c r="H12" s="104">
        <f t="shared" si="6"/>
        <v>44110</v>
      </c>
      <c r="I12" s="131">
        <f>HLOOKUP($H$4,'Met Data'!$A$2:$F$368,G12,FALSE)</f>
        <v>12.7633333333333</v>
      </c>
      <c r="J12" s="131">
        <f ca="1">HLOOKUP($H$4,'Met Data'!$H$2:$M$368,G12,FALSE)*L12</f>
        <v>1.6964999999999999</v>
      </c>
      <c r="K12" s="105">
        <f>HLOOKUP($H$4,'Met Data'!$O$2:$T$368,G12,FALSE)</f>
        <v>2.8220150579732999</v>
      </c>
      <c r="L12">
        <f t="shared" ca="1" si="0"/>
        <v>0.65</v>
      </c>
      <c r="N12" t="b">
        <f t="shared" ca="1" si="5"/>
        <v>1</v>
      </c>
      <c r="O12" t="b">
        <f t="shared" ca="1" si="1"/>
        <v>0</v>
      </c>
      <c r="P12" s="2">
        <f ca="1"/>
        <v>44257</v>
      </c>
      <c r="Q12">
        <f ca="1"/>
        <v>52.695253065801083</v>
      </c>
      <c r="R12">
        <f ca="1"/>
        <v>0</v>
      </c>
      <c r="S12">
        <f ca="1"/>
        <v>0.49115525742495769</v>
      </c>
      <c r="T12" s="4">
        <f ca="1"/>
        <v>0.40538365192204007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0.60221439284673794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44257</v>
      </c>
      <c r="AE12" s="46">
        <f t="shared" ca="1" si="3"/>
        <v>0</v>
      </c>
      <c r="AG12" s="72">
        <f t="shared" ca="1" si="7"/>
        <v>52.695253065801083</v>
      </c>
      <c r="AH12" s="72">
        <f t="shared" ca="1" si="8"/>
        <v>52.695253065801083</v>
      </c>
      <c r="AI12" s="3">
        <f t="shared" ca="1" si="9"/>
        <v>0</v>
      </c>
    </row>
    <row r="13" spans="1:37" x14ac:dyDescent="0.25">
      <c r="A13" s="14" t="s">
        <v>212</v>
      </c>
      <c r="B13" s="15" t="str">
        <f>InCropRain</f>
        <v>Typical</v>
      </c>
      <c r="D13" s="20">
        <f>IF(ConceptDemo!C38="","",ConceptDemo!C38)</f>
        <v>44306</v>
      </c>
      <c r="E13" s="19">
        <f>IF(ConceptDemo!D38="","",ConceptDemo!D38)</f>
        <v>24.2</v>
      </c>
      <c r="G13" s="3">
        <f t="shared" si="4"/>
        <v>282</v>
      </c>
      <c r="H13" s="104">
        <f t="shared" si="6"/>
        <v>44111</v>
      </c>
      <c r="I13" s="131">
        <f>HLOOKUP($H$4,'Met Data'!$A$2:$F$368,G13,FALSE)</f>
        <v>13.4816666666666</v>
      </c>
      <c r="J13" s="131">
        <f ca="1">HLOOKUP($H$4,'Met Data'!$H$2:$M$368,G13,FALSE)*L13</f>
        <v>2.6433333333333291</v>
      </c>
      <c r="K13" s="105">
        <f>HLOOKUP($H$4,'Met Data'!$O$2:$T$368,G13,FALSE)</f>
        <v>2.68549157073894</v>
      </c>
      <c r="L13">
        <f t="shared" ca="1" si="0"/>
        <v>0.65</v>
      </c>
      <c r="N13" t="b">
        <f t="shared" ca="1" si="5"/>
        <v>1</v>
      </c>
      <c r="O13" t="b">
        <f t="shared" ca="1" si="1"/>
        <v>0</v>
      </c>
      <c r="P13" s="2">
        <f ca="1"/>
        <v>44258</v>
      </c>
      <c r="Q13">
        <f ca="1"/>
        <v>53.529533065787156</v>
      </c>
      <c r="R13">
        <f ca="1"/>
        <v>0</v>
      </c>
      <c r="S13">
        <f ca="1"/>
        <v>0.42669594426665469</v>
      </c>
      <c r="T13" s="4">
        <f ca="1"/>
        <v>0.4075840557194198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0.60305726636789503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44258</v>
      </c>
      <c r="AE13" s="46">
        <f t="shared" ca="1" si="3"/>
        <v>0</v>
      </c>
      <c r="AG13" s="72">
        <f t="shared" ca="1" si="7"/>
        <v>53.529533065787156</v>
      </c>
      <c r="AH13" s="72">
        <f t="shared" ca="1" si="8"/>
        <v>53.529533065787156</v>
      </c>
      <c r="AI13" s="3">
        <f t="shared" ca="1" si="9"/>
        <v>0</v>
      </c>
    </row>
    <row r="14" spans="1:37" ht="15.75" thickBot="1" x14ac:dyDescent="0.3">
      <c r="A14" s="14" t="s">
        <v>198</v>
      </c>
      <c r="B14" s="15" t="str">
        <f>Irrigation</f>
        <v>None</v>
      </c>
      <c r="D14" s="20">
        <f>IF(ConceptDemo!C39="","",ConceptDemo!C39)</f>
        <v>44365</v>
      </c>
      <c r="E14" s="19">
        <f>IF(ConceptDemo!D39="","",ConceptDemo!D39)</f>
        <v>15</v>
      </c>
      <c r="G14" s="3">
        <f t="shared" si="4"/>
        <v>283</v>
      </c>
      <c r="H14" s="104">
        <f t="shared" si="6"/>
        <v>44112</v>
      </c>
      <c r="I14" s="131">
        <f>HLOOKUP($H$4,'Met Data'!$A$2:$F$368,G14,FALSE)</f>
        <v>13.6933333333333</v>
      </c>
      <c r="J14" s="131">
        <f ca="1">HLOOKUP($H$4,'Met Data'!$H$2:$M$368,G14,FALSE)*L14</f>
        <v>2.7429999999999999</v>
      </c>
      <c r="K14" s="105">
        <f>HLOOKUP($H$4,'Met Data'!$O$2:$T$368,G14,FALSE)</f>
        <v>2.6969590648562201</v>
      </c>
      <c r="L14">
        <f t="shared" ca="1" si="0"/>
        <v>0.65</v>
      </c>
      <c r="N14" t="b">
        <f t="shared" ca="1" si="5"/>
        <v>1</v>
      </c>
      <c r="O14" t="b">
        <f t="shared" ca="1" si="1"/>
        <v>0</v>
      </c>
      <c r="P14" s="2">
        <f ca="1"/>
        <v>44259</v>
      </c>
      <c r="Q14">
        <f ca="1"/>
        <v>54.281746142018129</v>
      </c>
      <c r="R14">
        <f ca="1"/>
        <v>0</v>
      </c>
      <c r="S14">
        <f ca="1"/>
        <v>0.36064407445947794</v>
      </c>
      <c r="T14" s="4">
        <f ca="1"/>
        <v>0.39156900177149395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0.61357453115004179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44259</v>
      </c>
      <c r="AE14" s="46">
        <f t="shared" ca="1" si="3"/>
        <v>0</v>
      </c>
      <c r="AG14" s="72">
        <f t="shared" ca="1" si="7"/>
        <v>54.281746142018129</v>
      </c>
      <c r="AH14" s="72">
        <f t="shared" ca="1" si="8"/>
        <v>54.281746142018129</v>
      </c>
      <c r="AI14" s="3">
        <f t="shared" ca="1" si="9"/>
        <v>0</v>
      </c>
    </row>
    <row r="15" spans="1:37" x14ac:dyDescent="0.25">
      <c r="A15" s="7" t="s">
        <v>147</v>
      </c>
      <c r="B15" s="36" t="str">
        <f>PriorCropNameFull</f>
        <v>Mustard Green_Manure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si="4"/>
        <v>284</v>
      </c>
      <c r="H15" s="104">
        <f t="shared" si="6"/>
        <v>44113</v>
      </c>
      <c r="I15" s="131">
        <f>HLOOKUP($H$4,'Met Data'!$A$2:$F$368,G15,FALSE)</f>
        <v>12.9568965517241</v>
      </c>
      <c r="J15" s="131">
        <f ca="1">HLOOKUP($H$4,'Met Data'!$H$2:$M$368,G15,FALSE)*L15</f>
        <v>2.9878333333333287</v>
      </c>
      <c r="K15" s="105">
        <f>HLOOKUP($H$4,'Met Data'!$O$2:$T$368,G15,FALSE)</f>
        <v>2.9040985917251398</v>
      </c>
      <c r="L15">
        <f t="shared" ca="1" si="0"/>
        <v>0.65</v>
      </c>
      <c r="N15" t="b">
        <f t="shared" ca="1" si="5"/>
        <v>1</v>
      </c>
      <c r="O15" t="b">
        <f t="shared" ca="1" si="1"/>
        <v>0</v>
      </c>
      <c r="P15" s="2">
        <f ca="1"/>
        <v>44260</v>
      </c>
      <c r="Q15">
        <f ca="1"/>
        <v>54.977243665550468</v>
      </c>
      <c r="R15">
        <f ca="1"/>
        <v>0</v>
      </c>
      <c r="S15">
        <f ca="1"/>
        <v>0.30886539092049276</v>
      </c>
      <c r="T15" s="4">
        <f ca="1"/>
        <v>0.38663213261184537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0.60870790839660494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44260</v>
      </c>
      <c r="AE15" s="46">
        <f t="shared" ca="1" si="3"/>
        <v>0</v>
      </c>
      <c r="AG15" s="72">
        <f t="shared" ca="1" si="7"/>
        <v>54.977243665550468</v>
      </c>
      <c r="AH15" s="72">
        <f t="shared" ca="1" si="8"/>
        <v>54.977243665550468</v>
      </c>
      <c r="AI15" s="3">
        <f t="shared" ca="1" si="9"/>
        <v>0</v>
      </c>
    </row>
    <row r="16" spans="1:37" x14ac:dyDescent="0.25">
      <c r="A16" s="8" t="s">
        <v>117</v>
      </c>
      <c r="B16" s="37">
        <f>PriorYield_tperHa</f>
        <v>7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si="4"/>
        <v>285</v>
      </c>
      <c r="H16" s="104">
        <f t="shared" si="6"/>
        <v>44114</v>
      </c>
      <c r="I16" s="131">
        <f>HLOOKUP($H$4,'Met Data'!$A$2:$F$368,G16,FALSE)</f>
        <v>13.2293103448275</v>
      </c>
      <c r="J16" s="131">
        <f ca="1">HLOOKUP($H$4,'Met Data'!$H$2:$M$368,G16,FALSE)*L16</f>
        <v>1.5532758620689637</v>
      </c>
      <c r="K16" s="105">
        <f>HLOOKUP($H$4,'Met Data'!$O$2:$T$368,G16,FALSE)</f>
        <v>2.90858576113735</v>
      </c>
      <c r="L16">
        <f t="shared" ca="1" si="0"/>
        <v>0.65</v>
      </c>
      <c r="N16" t="b">
        <f t="shared" ca="1" si="5"/>
        <v>1</v>
      </c>
      <c r="O16" t="b">
        <f t="shared" ca="1" si="1"/>
        <v>0</v>
      </c>
      <c r="P16" s="2">
        <f ca="1"/>
        <v>44261</v>
      </c>
      <c r="Q16">
        <f ca="1"/>
        <v>55.64360408969609</v>
      </c>
      <c r="R16">
        <f ca="1"/>
        <v>0</v>
      </c>
      <c r="S16">
        <f ca="1"/>
        <v>0.27134900965098951</v>
      </c>
      <c r="T16" s="4">
        <f ca="1"/>
        <v>0.39501141449463101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0.60168229864327694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44261</v>
      </c>
      <c r="AE16" s="46">
        <f t="shared" ca="1" si="3"/>
        <v>0</v>
      </c>
      <c r="AG16" s="72">
        <f t="shared" ca="1" si="7"/>
        <v>55.64360408969609</v>
      </c>
      <c r="AH16" s="72">
        <f t="shared" ca="1" si="8"/>
        <v>55.64360408969609</v>
      </c>
      <c r="AI16" s="3">
        <f t="shared" ca="1" si="9"/>
        <v>0</v>
      </c>
    </row>
    <row r="17" spans="1:35" x14ac:dyDescent="0.25">
      <c r="A17" s="8" t="s">
        <v>118</v>
      </c>
      <c r="B17" s="37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si="4"/>
        <v>286</v>
      </c>
      <c r="H17" s="104">
        <f t="shared" si="6"/>
        <v>44115</v>
      </c>
      <c r="I17" s="131">
        <f>HLOOKUP($H$4,'Met Data'!$A$2:$F$368,G17,FALSE)</f>
        <v>13.7431034482758</v>
      </c>
      <c r="J17" s="131">
        <f ca="1">HLOOKUP($H$4,'Met Data'!$H$2:$M$368,G17,FALSE)*L17</f>
        <v>3.5055172413793092</v>
      </c>
      <c r="K17" s="105">
        <f>HLOOKUP($H$4,'Met Data'!$O$2:$T$368,G17,FALSE)</f>
        <v>2.9187130451018599</v>
      </c>
      <c r="L17">
        <f t="shared" ca="1" si="0"/>
        <v>0.65</v>
      </c>
      <c r="N17" t="b">
        <f t="shared" ca="1" si="5"/>
        <v>1</v>
      </c>
      <c r="O17" t="b">
        <f t="shared" ca="1" si="1"/>
        <v>0</v>
      </c>
      <c r="P17" s="2">
        <f ca="1"/>
        <v>44262</v>
      </c>
      <c r="Q17">
        <f ca="1"/>
        <v>56.248442752462566</v>
      </c>
      <c r="R17">
        <f ca="1"/>
        <v>0</v>
      </c>
      <c r="S17">
        <f ca="1"/>
        <v>0.22734946298041903</v>
      </c>
      <c r="T17" s="4">
        <f ca="1"/>
        <v>0.37748919978605255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0.59981710268147626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44262</v>
      </c>
      <c r="AE17" s="46">
        <f t="shared" ca="1" si="3"/>
        <v>0</v>
      </c>
      <c r="AG17" s="72">
        <f t="shared" ca="1" si="7"/>
        <v>56.248442752462566</v>
      </c>
      <c r="AH17" s="72">
        <f t="shared" ca="1" si="8"/>
        <v>56.248442752462566</v>
      </c>
      <c r="AI17" s="3">
        <f t="shared" ca="1" si="9"/>
        <v>0</v>
      </c>
    </row>
    <row r="18" spans="1:35" ht="15.75" thickBot="1" x14ac:dyDescent="0.3">
      <c r="A18" s="8" t="s">
        <v>119</v>
      </c>
      <c r="B18" s="37">
        <f>PriorDressingLoss</f>
        <v>0</v>
      </c>
      <c r="D18" s="40" t="str">
        <f>IF(ConceptDemo!C43="","",ConceptDemo!C43)</f>
        <v/>
      </c>
      <c r="E18" s="22" t="str">
        <f>IF(ConceptDemo!D43="","",ConceptDemo!D43)</f>
        <v/>
      </c>
      <c r="G18" s="3">
        <f t="shared" si="4"/>
        <v>287</v>
      </c>
      <c r="H18" s="104">
        <f t="shared" si="6"/>
        <v>44116</v>
      </c>
      <c r="I18" s="131">
        <f>HLOOKUP($H$4,'Met Data'!$A$2:$F$368,G18,FALSE)</f>
        <v>13.6551724137931</v>
      </c>
      <c r="J18" s="131">
        <f ca="1">HLOOKUP($H$4,'Met Data'!$H$2:$M$368,G18,FALSE)*L18</f>
        <v>3.2231034482758605</v>
      </c>
      <c r="K18" s="105">
        <f>HLOOKUP($H$4,'Met Data'!$O$2:$T$368,G18,FALSE)</f>
        <v>2.9944315874670302</v>
      </c>
      <c r="L18">
        <f t="shared" ca="1" si="0"/>
        <v>0.65</v>
      </c>
      <c r="N18" t="b">
        <f t="shared" ca="1" si="5"/>
        <v>1</v>
      </c>
      <c r="O18" t="b">
        <f t="shared" ca="1" si="1"/>
        <v>0</v>
      </c>
      <c r="P18" s="2">
        <f ca="1"/>
        <v>44263</v>
      </c>
      <c r="Q18">
        <f ca="1"/>
        <v>56.826808336683477</v>
      </c>
      <c r="R18">
        <f ca="1"/>
        <v>0</v>
      </c>
      <c r="S18">
        <f ca="1"/>
        <v>0.197628003358744</v>
      </c>
      <c r="T18" s="4">
        <f ca="1"/>
        <v>0.38073758086216408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0.5864027091188414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44263</v>
      </c>
      <c r="AE18" s="46">
        <f t="shared" ca="1" si="3"/>
        <v>0</v>
      </c>
      <c r="AG18" s="72">
        <f t="shared" ca="1" si="7"/>
        <v>56.826808336683477</v>
      </c>
      <c r="AH18" s="72">
        <f t="shared" ca="1" si="8"/>
        <v>56.826808336683477</v>
      </c>
      <c r="AI18" s="3">
        <f t="shared" ca="1" si="9"/>
        <v>0</v>
      </c>
    </row>
    <row r="19" spans="1:35" x14ac:dyDescent="0.25">
      <c r="A19" s="8" t="s">
        <v>120</v>
      </c>
      <c r="B19" s="37">
        <f>PriorMoistureContent</f>
        <v>0</v>
      </c>
      <c r="G19" s="3">
        <f t="shared" si="4"/>
        <v>288</v>
      </c>
      <c r="H19" s="104">
        <f t="shared" si="6"/>
        <v>44117</v>
      </c>
      <c r="I19" s="131">
        <f>HLOOKUP($H$4,'Met Data'!$A$2:$F$368,G19,FALSE)</f>
        <v>13.334482758620601</v>
      </c>
      <c r="J19" s="131">
        <f ca="1">HLOOKUP($H$4,'Met Data'!$H$2:$M$368,G19,FALSE)*L19</f>
        <v>3.6893103448275819</v>
      </c>
      <c r="K19" s="105">
        <f>HLOOKUP($H$4,'Met Data'!$O$2:$T$368,G19,FALSE)</f>
        <v>2.9220059834019998</v>
      </c>
      <c r="L19">
        <f t="shared" ca="1" si="0"/>
        <v>0.65</v>
      </c>
      <c r="N19" t="b">
        <f t="shared" ca="1" si="5"/>
        <v>1</v>
      </c>
      <c r="O19" t="b">
        <f t="shared" ca="1" si="1"/>
        <v>0</v>
      </c>
      <c r="P19" s="2">
        <f ca="1"/>
        <v>44264</v>
      </c>
      <c r="Q19">
        <f ca="1"/>
        <v>57.389185150013155</v>
      </c>
      <c r="R19">
        <f ca="1"/>
        <v>0</v>
      </c>
      <c r="S19">
        <f ca="1"/>
        <v>0.17470582545868943</v>
      </c>
      <c r="T19" s="4">
        <f ca="1"/>
        <v>0.38767098787099086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0.58648030272284146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44264</v>
      </c>
      <c r="AE19" s="46">
        <f t="shared" ca="1" si="3"/>
        <v>0</v>
      </c>
      <c r="AG19" s="72">
        <f t="shared" ca="1" si="7"/>
        <v>57.389185150013155</v>
      </c>
      <c r="AH19" s="72">
        <f t="shared" ca="1" si="8"/>
        <v>57.389185150013155</v>
      </c>
      <c r="AI19" s="3">
        <f t="shared" ca="1" si="9"/>
        <v>0</v>
      </c>
    </row>
    <row r="20" spans="1:35" x14ac:dyDescent="0.25">
      <c r="A20" s="8" t="s">
        <v>121</v>
      </c>
      <c r="B20" s="39">
        <f>PriorEstablishDate</f>
        <v>44105</v>
      </c>
      <c r="G20" s="3">
        <f t="shared" si="4"/>
        <v>289</v>
      </c>
      <c r="H20" s="104">
        <f t="shared" si="6"/>
        <v>44118</v>
      </c>
      <c r="I20" s="131">
        <f>HLOOKUP($H$4,'Met Data'!$A$2:$F$368,G20,FALSE)</f>
        <v>13.0379310344827</v>
      </c>
      <c r="J20" s="131">
        <f ca="1">HLOOKUP($H$4,'Met Data'!$H$2:$M$368,G20,FALSE)*L20</f>
        <v>3.8574137931034485</v>
      </c>
      <c r="K20" s="105">
        <f>HLOOKUP($H$4,'Met Data'!$O$2:$T$368,G20,FALSE)</f>
        <v>3.1812494285264998</v>
      </c>
      <c r="L20">
        <f t="shared" ca="1" si="0"/>
        <v>0.65</v>
      </c>
      <c r="N20" t="b">
        <f t="shared" ca="1" si="5"/>
        <v>1</v>
      </c>
      <c r="O20" t="b">
        <f t="shared" ca="1" si="1"/>
        <v>0</v>
      </c>
      <c r="P20" s="2">
        <f ca="1"/>
        <v>44265</v>
      </c>
      <c r="Q20">
        <f ca="1"/>
        <v>57.911211144811404</v>
      </c>
      <c r="R20">
        <f ca="1"/>
        <v>0</v>
      </c>
      <c r="S20">
        <f ca="1"/>
        <v>0.1472995243711179</v>
      </c>
      <c r="T20" s="4">
        <f ca="1"/>
        <v>0.37472647042712709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0.57679035519380961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44265</v>
      </c>
      <c r="AE20" s="46">
        <f t="shared" ca="1" si="3"/>
        <v>0</v>
      </c>
      <c r="AG20" s="72">
        <f t="shared" ca="1" si="7"/>
        <v>57.911211144811404</v>
      </c>
      <c r="AH20" s="72">
        <f t="shared" ca="1" si="8"/>
        <v>57.911211144811404</v>
      </c>
      <c r="AI20" s="3">
        <f t="shared" ca="1" si="9"/>
        <v>0</v>
      </c>
    </row>
    <row r="21" spans="1:35" x14ac:dyDescent="0.25">
      <c r="A21" s="8" t="s">
        <v>122</v>
      </c>
      <c r="B21" s="37" t="str">
        <f>PriorEstablishStage</f>
        <v>Seed</v>
      </c>
      <c r="G21" s="3">
        <f t="shared" si="4"/>
        <v>290</v>
      </c>
      <c r="H21" s="104">
        <f t="shared" si="6"/>
        <v>44119</v>
      </c>
      <c r="I21" s="131">
        <f>HLOOKUP($H$4,'Met Data'!$A$2:$F$368,G21,FALSE)</f>
        <v>13.094827586206801</v>
      </c>
      <c r="J21" s="131">
        <f ca="1">HLOOKUP($H$4,'Met Data'!$H$2:$M$368,G21,FALSE)*L21</f>
        <v>2.136034482758618</v>
      </c>
      <c r="K21" s="105">
        <f>HLOOKUP($H$4,'Met Data'!$O$2:$T$368,G21,FALSE)</f>
        <v>3.1846462671739202</v>
      </c>
      <c r="L21">
        <f t="shared" ca="1" si="0"/>
        <v>0.65</v>
      </c>
      <c r="N21" t="b">
        <f t="shared" ca="1" si="5"/>
        <v>1</v>
      </c>
      <c r="O21" t="b">
        <f t="shared" ca="1" si="1"/>
        <v>0</v>
      </c>
      <c r="P21" s="2">
        <f ca="1"/>
        <v>44266</v>
      </c>
      <c r="Q21">
        <f ca="1"/>
        <v>58.424010978567757</v>
      </c>
      <c r="R21">
        <f ca="1"/>
        <v>0</v>
      </c>
      <c r="S21">
        <f ca="1"/>
        <v>0.13229199059022195</v>
      </c>
      <c r="T21" s="4">
        <f ca="1"/>
        <v>0.3805078431661289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0.59777602699142929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44266</v>
      </c>
      <c r="AE21" s="46">
        <f t="shared" ca="1" si="3"/>
        <v>0</v>
      </c>
      <c r="AG21" s="72">
        <f t="shared" ca="1" si="7"/>
        <v>58.424010978567757</v>
      </c>
      <c r="AH21" s="72">
        <f t="shared" ca="1" si="8"/>
        <v>58.424010978567757</v>
      </c>
      <c r="AI21" s="3">
        <f t="shared" ca="1" si="9"/>
        <v>0</v>
      </c>
    </row>
    <row r="22" spans="1:35" x14ac:dyDescent="0.25">
      <c r="A22" s="8" t="s">
        <v>123</v>
      </c>
      <c r="B22" s="39">
        <f>PriorHarvestDate</f>
        <v>44252</v>
      </c>
      <c r="G22" s="3">
        <f t="shared" si="4"/>
        <v>291</v>
      </c>
      <c r="H22" s="104">
        <f t="shared" si="6"/>
        <v>44120</v>
      </c>
      <c r="I22" s="131">
        <f>HLOOKUP($H$4,'Met Data'!$A$2:$F$368,G22,FALSE)</f>
        <v>13.6775862068965</v>
      </c>
      <c r="J22" s="131">
        <f ca="1">HLOOKUP($H$4,'Met Data'!$H$2:$M$368,G22,FALSE)*L22</f>
        <v>2.2256896551724124</v>
      </c>
      <c r="K22" s="105">
        <f>HLOOKUP($H$4,'Met Data'!$O$2:$T$368,G22,FALSE)</f>
        <v>3.2300602691540199</v>
      </c>
      <c r="L22">
        <f t="shared" ca="1" si="0"/>
        <v>0.65</v>
      </c>
      <c r="N22" t="b">
        <f t="shared" ca="1" si="5"/>
        <v>1</v>
      </c>
      <c r="O22" t="b">
        <f t="shared" ca="1" si="1"/>
        <v>0</v>
      </c>
      <c r="P22" s="2">
        <f ca="1"/>
        <v>44267</v>
      </c>
      <c r="Q22">
        <f ca="1"/>
        <v>58.925297537978381</v>
      </c>
      <c r="R22">
        <f ca="1"/>
        <v>0</v>
      </c>
      <c r="S22">
        <f ca="1"/>
        <v>0.11620668284742268</v>
      </c>
      <c r="T22" s="4">
        <f ca="1"/>
        <v>0.38507987656320664</v>
      </c>
      <c r="U22">
        <f ca="1"/>
        <v>0</v>
      </c>
      <c r="V22">
        <f ca="1"/>
        <v>0</v>
      </c>
      <c r="W22">
        <f ca="1"/>
        <v>0</v>
      </c>
      <c r="X22">
        <f ca="1"/>
        <v>0</v>
      </c>
      <c r="Y22">
        <f ca="1"/>
        <v>0.59667160948345632</v>
      </c>
      <c r="Z22">
        <f ca="1"/>
        <v>0</v>
      </c>
      <c r="AA22">
        <f ca="1"/>
        <v>0</v>
      </c>
      <c r="AB22">
        <f ca="1"/>
        <v>0</v>
      </c>
      <c r="AD22" s="2">
        <f t="shared" ca="1" si="2"/>
        <v>44267</v>
      </c>
      <c r="AE22" s="46">
        <f t="shared" ca="1" si="3"/>
        <v>0</v>
      </c>
      <c r="AG22" s="72">
        <f t="shared" ca="1" si="7"/>
        <v>58.925297537978381</v>
      </c>
      <c r="AH22" s="72">
        <f t="shared" ca="1" si="8"/>
        <v>58.925297537978381</v>
      </c>
      <c r="AI22" s="3">
        <f t="shared" ca="1" si="9"/>
        <v>0</v>
      </c>
    </row>
    <row r="23" spans="1:35" x14ac:dyDescent="0.25">
      <c r="A23" s="8" t="s">
        <v>124</v>
      </c>
      <c r="B23" s="37" t="str">
        <f>PriorHarvestStage</f>
        <v>EarlyReproductive</v>
      </c>
      <c r="G23" s="3">
        <f t="shared" si="4"/>
        <v>292</v>
      </c>
      <c r="H23" s="104">
        <f t="shared" si="6"/>
        <v>44121</v>
      </c>
      <c r="I23" s="131">
        <f>HLOOKUP($H$4,'Met Data'!$A$2:$F$368,G23,FALSE)</f>
        <v>13.189655172413699</v>
      </c>
      <c r="J23" s="131">
        <f ca="1">HLOOKUP($H$4,'Met Data'!$H$2:$M$368,G23,FALSE)*L23</f>
        <v>2.3781034482758603</v>
      </c>
      <c r="K23" s="105">
        <f>HLOOKUP($H$4,'Met Data'!$O$2:$T$368,G23,FALSE)</f>
        <v>2.98673361950474</v>
      </c>
      <c r="L23">
        <f t="shared" ca="1" si="0"/>
        <v>0.65</v>
      </c>
      <c r="N23" t="b">
        <f t="shared" ca="1" si="5"/>
        <v>1</v>
      </c>
      <c r="O23" t="b">
        <f t="shared" ca="1" si="1"/>
        <v>0</v>
      </c>
      <c r="P23" s="2">
        <f ca="1"/>
        <v>44268</v>
      </c>
      <c r="Q23">
        <f ca="1"/>
        <v>59.393815653045088</v>
      </c>
      <c r="R23">
        <f ca="1"/>
        <v>0</v>
      </c>
      <c r="S23">
        <f ca="1"/>
        <v>9.7814078347674832E-2</v>
      </c>
      <c r="T23" s="4">
        <f ca="1"/>
        <v>0.37070403671903329</v>
      </c>
      <c r="U23">
        <f ca="1"/>
        <v>0</v>
      </c>
      <c r="V23">
        <f ca="1"/>
        <v>0</v>
      </c>
      <c r="W23">
        <f ca="1"/>
        <v>0</v>
      </c>
      <c r="X23">
        <f ca="1"/>
        <v>0</v>
      </c>
      <c r="Y23">
        <f ca="1"/>
        <v>0.58911942522547522</v>
      </c>
      <c r="Z23">
        <f ca="1"/>
        <v>0</v>
      </c>
      <c r="AA23">
        <f ca="1"/>
        <v>0</v>
      </c>
      <c r="AB23">
        <f ca="1"/>
        <v>0</v>
      </c>
      <c r="AD23" s="2">
        <f t="shared" ca="1" si="2"/>
        <v>44268</v>
      </c>
      <c r="AE23" s="46">
        <f t="shared" ca="1" si="3"/>
        <v>0</v>
      </c>
      <c r="AG23" s="72">
        <f t="shared" ca="1" si="7"/>
        <v>59.393815653045088</v>
      </c>
      <c r="AH23" s="72">
        <f t="shared" ca="1" si="8"/>
        <v>59.393815653045088</v>
      </c>
      <c r="AI23" s="3">
        <f t="shared" ca="1" si="9"/>
        <v>0</v>
      </c>
    </row>
    <row r="24" spans="1:35" x14ac:dyDescent="0.25">
      <c r="A24" s="8" t="s">
        <v>173</v>
      </c>
      <c r="B24" s="37" t="str">
        <f>PriorResidueRemoval</f>
        <v>None removed</v>
      </c>
      <c r="G24" s="3">
        <f t="shared" si="4"/>
        <v>293</v>
      </c>
      <c r="H24" s="104">
        <f t="shared" si="6"/>
        <v>44122</v>
      </c>
      <c r="I24" s="131">
        <f>HLOOKUP($H$4,'Met Data'!$A$2:$F$368,G24,FALSE)</f>
        <v>12.9428571428571</v>
      </c>
      <c r="J24" s="131">
        <f ca="1">HLOOKUP($H$4,'Met Data'!$H$2:$M$368,G24,FALSE)*L24</f>
        <v>1.5530357142857114</v>
      </c>
      <c r="K24" s="105">
        <f>HLOOKUP($H$4,'Met Data'!$O$2:$T$368,G24,FALSE)</f>
        <v>3.3877860671285598</v>
      </c>
      <c r="L24">
        <f t="shared" ca="1" si="0"/>
        <v>0.65</v>
      </c>
      <c r="N24" t="b">
        <f t="shared" ca="1" si="5"/>
        <v>1</v>
      </c>
      <c r="O24" t="b">
        <f t="shared" ca="1" si="1"/>
        <v>0</v>
      </c>
      <c r="P24" s="2">
        <f ca="1"/>
        <v>44269</v>
      </c>
      <c r="Q24">
        <f ca="1"/>
        <v>59.845992988540829</v>
      </c>
      <c r="R24">
        <f ca="1"/>
        <v>0</v>
      </c>
      <c r="S24">
        <f ca="1"/>
        <v>8.4608883638311025E-2</v>
      </c>
      <c r="T24" s="4">
        <f ca="1"/>
        <v>0.36756845185742865</v>
      </c>
      <c r="U24">
        <f ca="1"/>
        <v>0</v>
      </c>
      <c r="V24">
        <f ca="1"/>
        <v>0</v>
      </c>
      <c r="W24">
        <f ca="1"/>
        <v>0</v>
      </c>
      <c r="X24">
        <f ca="1"/>
        <v>0</v>
      </c>
      <c r="Y24">
        <f ca="1"/>
        <v>0.58253005287595339</v>
      </c>
      <c r="Z24">
        <f ca="1"/>
        <v>0</v>
      </c>
      <c r="AA24">
        <f ca="1"/>
        <v>0</v>
      </c>
      <c r="AB24">
        <f ca="1"/>
        <v>0</v>
      </c>
      <c r="AD24" s="2">
        <f t="shared" ca="1" si="2"/>
        <v>44269</v>
      </c>
      <c r="AE24" s="46">
        <f t="shared" ca="1" si="3"/>
        <v>0</v>
      </c>
      <c r="AG24" s="72">
        <f t="shared" ca="1" si="7"/>
        <v>59.845992988540829</v>
      </c>
      <c r="AH24" s="72">
        <f t="shared" ca="1" si="8"/>
        <v>59.845992988540829</v>
      </c>
      <c r="AI24" s="3">
        <f t="shared" ca="1" si="9"/>
        <v>0</v>
      </c>
    </row>
    <row r="25" spans="1:35" ht="15.75" thickBot="1" x14ac:dyDescent="0.3">
      <c r="A25" s="8" t="s">
        <v>176</v>
      </c>
      <c r="B25" s="110" t="str">
        <f>PriorResidueIncorporation</f>
        <v>Part (Cultivate)</v>
      </c>
      <c r="G25" s="3">
        <f t="shared" si="4"/>
        <v>294</v>
      </c>
      <c r="H25" s="104">
        <f t="shared" si="6"/>
        <v>44123</v>
      </c>
      <c r="I25" s="131">
        <f>HLOOKUP($H$4,'Met Data'!$A$2:$F$368,G25,FALSE)</f>
        <v>12.819642857142799</v>
      </c>
      <c r="J25" s="131">
        <f ca="1">HLOOKUP($H$4,'Met Data'!$H$2:$M$368,G25,FALSE)*L25</f>
        <v>1.0492857142857117</v>
      </c>
      <c r="K25" s="105">
        <f>HLOOKUP($H$4,'Met Data'!$O$2:$T$368,G25,FALSE)</f>
        <v>3.30175747979975</v>
      </c>
      <c r="L25">
        <f t="shared" ca="1" si="0"/>
        <v>0.65</v>
      </c>
      <c r="N25" t="b">
        <f t="shared" ca="1" si="5"/>
        <v>1</v>
      </c>
      <c r="O25" t="b">
        <f t="shared" ca="1" si="1"/>
        <v>0</v>
      </c>
      <c r="P25" s="2">
        <f ca="1"/>
        <v>44270</v>
      </c>
      <c r="Q25">
        <f ca="1"/>
        <v>60.283611888520774</v>
      </c>
      <c r="R25">
        <f ca="1"/>
        <v>0</v>
      </c>
      <c r="S25">
        <f ca="1"/>
        <v>7.3664372381489179E-2</v>
      </c>
      <c r="T25" s="4">
        <f ca="1"/>
        <v>0.36395452759846042</v>
      </c>
      <c r="U25">
        <f ca="1"/>
        <v>0</v>
      </c>
      <c r="V25">
        <f ca="1"/>
        <v>0</v>
      </c>
      <c r="W25">
        <f ca="1"/>
        <v>0</v>
      </c>
      <c r="X25">
        <f ca="1"/>
        <v>0</v>
      </c>
      <c r="Y25">
        <f ca="1"/>
        <v>0.58426994222992767</v>
      </c>
      <c r="Z25">
        <f ca="1"/>
        <v>0</v>
      </c>
      <c r="AA25">
        <f ca="1"/>
        <v>0</v>
      </c>
      <c r="AB25">
        <f ca="1"/>
        <v>0</v>
      </c>
      <c r="AD25" s="2">
        <f t="shared" ca="1" si="2"/>
        <v>44270</v>
      </c>
      <c r="AE25" s="46">
        <f t="shared" ca="1" si="3"/>
        <v>0</v>
      </c>
      <c r="AG25" s="72">
        <f t="shared" ca="1" si="7"/>
        <v>60.283611888520774</v>
      </c>
      <c r="AH25" s="72">
        <f t="shared" ca="1" si="8"/>
        <v>60.283611888520774</v>
      </c>
      <c r="AI25" s="3">
        <f t="shared" ca="1" si="9"/>
        <v>0</v>
      </c>
    </row>
    <row r="26" spans="1:35" ht="15.75" thickBot="1" x14ac:dyDescent="0.3">
      <c r="A26" s="10" t="s">
        <v>148</v>
      </c>
      <c r="B26" s="13" t="str">
        <f>CurrentCropNameFull</f>
        <v>Carrot Vegetable General</v>
      </c>
      <c r="G26" s="3">
        <f t="shared" si="4"/>
        <v>295</v>
      </c>
      <c r="H26" s="104">
        <f t="shared" si="6"/>
        <v>44124</v>
      </c>
      <c r="I26" s="131">
        <f>HLOOKUP($H$4,'Met Data'!$A$2:$F$368,G26,FALSE)</f>
        <v>13.2785714285714</v>
      </c>
      <c r="J26" s="131">
        <f ca="1">HLOOKUP($H$4,'Met Data'!$H$2:$M$368,G26,FALSE)*L26</f>
        <v>1.8989285714285704</v>
      </c>
      <c r="K26" s="105">
        <f>HLOOKUP($H$4,'Met Data'!$O$2:$T$368,G26,FALSE)</f>
        <v>2.9372247945615499</v>
      </c>
      <c r="L26">
        <f t="shared" ca="1" si="0"/>
        <v>0.65</v>
      </c>
      <c r="N26" t="b">
        <f t="shared" ca="1" si="5"/>
        <v>1</v>
      </c>
      <c r="O26" t="b">
        <f t="shared" ca="1" si="1"/>
        <v>0</v>
      </c>
      <c r="P26" s="2">
        <f ca="1"/>
        <v>44271</v>
      </c>
      <c r="Q26">
        <f ca="1"/>
        <v>60.717027108307839</v>
      </c>
      <c r="R26">
        <f ca="1"/>
        <v>0</v>
      </c>
      <c r="S26">
        <f ca="1"/>
        <v>6.5180448387770498E-2</v>
      </c>
      <c r="T26" s="4">
        <f ca="1"/>
        <v>0.36823477139929239</v>
      </c>
      <c r="U26">
        <f ca="1"/>
        <v>0</v>
      </c>
      <c r="V26">
        <f ca="1"/>
        <v>0</v>
      </c>
      <c r="W26">
        <f ca="1"/>
        <v>0</v>
      </c>
      <c r="X26">
        <f ca="1"/>
        <v>0</v>
      </c>
      <c r="Y26">
        <f ca="1"/>
        <v>0.58496900162288334</v>
      </c>
      <c r="Z26">
        <f ca="1"/>
        <v>0</v>
      </c>
      <c r="AA26">
        <f ca="1"/>
        <v>0</v>
      </c>
      <c r="AB26">
        <f ca="1"/>
        <v>0</v>
      </c>
      <c r="AD26" s="2">
        <f t="shared" ca="1" si="2"/>
        <v>44271</v>
      </c>
      <c r="AE26" s="46">
        <f t="shared" ca="1" si="3"/>
        <v>0</v>
      </c>
      <c r="AG26" s="72">
        <f t="shared" ca="1" si="7"/>
        <v>60.717027108307839</v>
      </c>
      <c r="AH26" s="72">
        <f t="shared" ca="1" si="8"/>
        <v>60.717027108307839</v>
      </c>
      <c r="AI26" s="3">
        <f t="shared" ca="1" si="9"/>
        <v>0</v>
      </c>
    </row>
    <row r="27" spans="1:35" x14ac:dyDescent="0.25">
      <c r="A27" s="11" t="s">
        <v>125</v>
      </c>
      <c r="B27" s="13">
        <f>CurrentYield_tperHa</f>
        <v>100</v>
      </c>
      <c r="G27" s="3">
        <f t="shared" si="4"/>
        <v>296</v>
      </c>
      <c r="H27" s="104">
        <f t="shared" si="6"/>
        <v>44125</v>
      </c>
      <c r="I27" s="131">
        <f>HLOOKUP($H$4,'Met Data'!$A$2:$F$368,G27,FALSE)</f>
        <v>13.5625</v>
      </c>
      <c r="J27" s="131">
        <f ca="1">HLOOKUP($H$4,'Met Data'!$H$2:$M$368,G27,FALSE)*L27</f>
        <v>2.1774999999999936</v>
      </c>
      <c r="K27" s="105">
        <f>HLOOKUP($H$4,'Met Data'!$O$2:$T$368,G27,FALSE)</f>
        <v>2.9112128548041598</v>
      </c>
      <c r="L27">
        <f t="shared" ca="1" si="0"/>
        <v>0.65</v>
      </c>
      <c r="N27" t="b">
        <f t="shared" ca="1" si="5"/>
        <v>1</v>
      </c>
      <c r="O27" t="b">
        <f t="shared" ca="1" si="1"/>
        <v>0</v>
      </c>
      <c r="P27" s="2">
        <f ca="1"/>
        <v>44272</v>
      </c>
      <c r="Q27">
        <f ca="1"/>
        <v>61.140101050401483</v>
      </c>
      <c r="R27">
        <f ca="1"/>
        <v>0</v>
      </c>
      <c r="S27">
        <f ca="1"/>
        <v>5.6750697582510355E-2</v>
      </c>
      <c r="T27" s="4">
        <f ca="1"/>
        <v>0.36632324451113896</v>
      </c>
      <c r="U27">
        <f ca="1"/>
        <v>0</v>
      </c>
      <c r="V27">
        <f ca="1"/>
        <v>0</v>
      </c>
      <c r="W27">
        <f ca="1"/>
        <v>0</v>
      </c>
      <c r="X27">
        <f ca="1"/>
        <v>0</v>
      </c>
      <c r="Y27">
        <f ca="1"/>
        <v>0.58253506366544783</v>
      </c>
      <c r="Z27">
        <f ca="1"/>
        <v>0</v>
      </c>
      <c r="AA27">
        <f ca="1"/>
        <v>0</v>
      </c>
      <c r="AB27">
        <f ca="1"/>
        <v>0</v>
      </c>
      <c r="AD27" s="2">
        <f t="shared" ca="1" si="2"/>
        <v>44272</v>
      </c>
      <c r="AE27" s="46">
        <f t="shared" ca="1" si="3"/>
        <v>0</v>
      </c>
      <c r="AG27" s="72">
        <f t="shared" ca="1" si="7"/>
        <v>61.140101050401483</v>
      </c>
      <c r="AH27" s="72">
        <f t="shared" ca="1" si="8"/>
        <v>61.140101050401483</v>
      </c>
      <c r="AI27" s="3">
        <f t="shared" ca="1" si="9"/>
        <v>0</v>
      </c>
    </row>
    <row r="28" spans="1:35" x14ac:dyDescent="0.25">
      <c r="A28" s="11" t="s">
        <v>126</v>
      </c>
      <c r="B28" s="12">
        <f>CurrentFieldLoss</f>
        <v>0</v>
      </c>
      <c r="G28" s="3">
        <f t="shared" si="4"/>
        <v>297</v>
      </c>
      <c r="H28" s="104">
        <f t="shared" si="6"/>
        <v>44126</v>
      </c>
      <c r="I28" s="131">
        <f>HLOOKUP($H$4,'Met Data'!$A$2:$F$368,G28,FALSE)</f>
        <v>13.9310344827586</v>
      </c>
      <c r="J28" s="131">
        <f ca="1">HLOOKUP($H$4,'Met Data'!$H$2:$M$368,G28,FALSE)*L28</f>
        <v>2.9989655172413756</v>
      </c>
      <c r="K28" s="105">
        <f>HLOOKUP($H$4,'Met Data'!$O$2:$T$368,G28,FALSE)</f>
        <v>3.5318790230099002</v>
      </c>
      <c r="L28">
        <f t="shared" ca="1" si="0"/>
        <v>0.65</v>
      </c>
      <c r="N28" t="b">
        <f t="shared" ca="1" si="5"/>
        <v>1</v>
      </c>
      <c r="O28" t="b">
        <f t="shared" ca="1" si="1"/>
        <v>0</v>
      </c>
      <c r="P28" s="2">
        <f ca="1"/>
        <v>44273</v>
      </c>
      <c r="Q28">
        <f ca="1"/>
        <v>61.550196875865481</v>
      </c>
      <c r="R28">
        <f ca="1"/>
        <v>0</v>
      </c>
      <c r="S28">
        <f ca="1"/>
        <v>4.8976988960711849E-2</v>
      </c>
      <c r="T28" s="4">
        <f ca="1"/>
        <v>0.36111883650329019</v>
      </c>
      <c r="U28">
        <f ca="1"/>
        <v>0</v>
      </c>
      <c r="V28">
        <f ca="1"/>
        <v>0</v>
      </c>
      <c r="W28">
        <f ca="1"/>
        <v>0</v>
      </c>
      <c r="X28">
        <f ca="1"/>
        <v>0</v>
      </c>
      <c r="Y28">
        <f ca="1"/>
        <v>0.57626987795184881</v>
      </c>
      <c r="Z28">
        <f ca="1"/>
        <v>0</v>
      </c>
      <c r="AA28">
        <f ca="1"/>
        <v>0</v>
      </c>
      <c r="AB28">
        <f ca="1"/>
        <v>0</v>
      </c>
      <c r="AD28" s="2">
        <f t="shared" ca="1" si="2"/>
        <v>44273</v>
      </c>
      <c r="AE28" s="46">
        <f t="shared" ca="1" si="3"/>
        <v>0</v>
      </c>
      <c r="AG28" s="72">
        <f t="shared" ca="1" si="7"/>
        <v>61.550196875865481</v>
      </c>
      <c r="AH28" s="72">
        <f t="shared" ca="1" si="8"/>
        <v>61.550196875865481</v>
      </c>
      <c r="AI28" s="3">
        <f t="shared" ca="1" si="9"/>
        <v>0</v>
      </c>
    </row>
    <row r="29" spans="1:35" x14ac:dyDescent="0.25">
      <c r="A29" s="11" t="s">
        <v>127</v>
      </c>
      <c r="B29" s="12">
        <f>CurrentDressingLoss</f>
        <v>0</v>
      </c>
      <c r="G29" s="3">
        <f t="shared" si="4"/>
        <v>298</v>
      </c>
      <c r="H29" s="104">
        <f t="shared" si="6"/>
        <v>44127</v>
      </c>
      <c r="I29" s="131">
        <f>HLOOKUP($H$4,'Met Data'!$A$2:$F$368,G29,FALSE)</f>
        <v>13.336206896551699</v>
      </c>
      <c r="J29" s="131">
        <f ca="1">HLOOKUP($H$4,'Met Data'!$H$2:$M$368,G29,FALSE)*L29</f>
        <v>2.1494827586206844</v>
      </c>
      <c r="K29" s="105">
        <f>HLOOKUP($H$4,'Met Data'!$O$2:$T$368,G29,FALSE)</f>
        <v>3.2578637469081699</v>
      </c>
      <c r="L29">
        <f t="shared" ca="1" si="0"/>
        <v>0.65</v>
      </c>
      <c r="N29" t="b">
        <f t="shared" ca="1" si="5"/>
        <v>1</v>
      </c>
      <c r="O29" t="b">
        <f t="shared" ca="1" si="1"/>
        <v>0</v>
      </c>
      <c r="P29" s="2">
        <f ca="1"/>
        <v>44274</v>
      </c>
      <c r="Q29">
        <f ca="1"/>
        <v>61.936680017495213</v>
      </c>
      <c r="R29">
        <f ca="1"/>
        <v>0</v>
      </c>
      <c r="S29">
        <f ca="1"/>
        <v>4.1327457825621944E-2</v>
      </c>
      <c r="T29" s="4">
        <f ca="1"/>
        <v>0.34515568380410599</v>
      </c>
      <c r="U29">
        <f ca="1"/>
        <v>0</v>
      </c>
      <c r="V29">
        <f ca="1"/>
        <v>0</v>
      </c>
      <c r="W29">
        <f ca="1"/>
        <v>0</v>
      </c>
      <c r="X29">
        <f ca="1"/>
        <v>0</v>
      </c>
      <c r="Y29">
        <f ca="1"/>
        <v>0.56824772104632026</v>
      </c>
      <c r="Z29">
        <f ca="1"/>
        <v>0</v>
      </c>
      <c r="AA29">
        <f ca="1"/>
        <v>0</v>
      </c>
      <c r="AB29">
        <f ca="1"/>
        <v>0</v>
      </c>
      <c r="AD29" s="2">
        <f t="shared" ca="1" si="2"/>
        <v>44274</v>
      </c>
      <c r="AE29" s="46">
        <f t="shared" ca="1" si="3"/>
        <v>0</v>
      </c>
      <c r="AG29" s="72">
        <f t="shared" ca="1" si="7"/>
        <v>61.936680017495213</v>
      </c>
      <c r="AH29" s="72">
        <f t="shared" ca="1" si="8"/>
        <v>61.936680017495213</v>
      </c>
      <c r="AI29" s="3">
        <f t="shared" ca="1" si="9"/>
        <v>0</v>
      </c>
    </row>
    <row r="30" spans="1:35" x14ac:dyDescent="0.25">
      <c r="A30" s="11" t="s">
        <v>128</v>
      </c>
      <c r="B30" s="12">
        <f>CurrentMoistureContent</f>
        <v>88</v>
      </c>
      <c r="G30" s="3">
        <f t="shared" si="4"/>
        <v>299</v>
      </c>
      <c r="H30" s="104">
        <f t="shared" si="6"/>
        <v>44128</v>
      </c>
      <c r="I30" s="131">
        <f>HLOOKUP($H$4,'Met Data'!$A$2:$F$368,G30,FALSE)</f>
        <v>13.789655172413701</v>
      </c>
      <c r="J30" s="131">
        <f ca="1">HLOOKUP($H$4,'Met Data'!$H$2:$M$368,G30,FALSE)*L30</f>
        <v>1.1812068965517211</v>
      </c>
      <c r="K30" s="105">
        <f>HLOOKUP($H$4,'Met Data'!$O$2:$T$368,G30,FALSE)</f>
        <v>3.4101531049699898</v>
      </c>
      <c r="L30">
        <f t="shared" ca="1" si="0"/>
        <v>0.65</v>
      </c>
      <c r="N30" t="b">
        <f t="shared" ca="1" si="5"/>
        <v>1</v>
      </c>
      <c r="O30" t="b">
        <f t="shared" ca="1" si="1"/>
        <v>0</v>
      </c>
      <c r="P30" s="2">
        <f ca="1"/>
        <v>44275</v>
      </c>
      <c r="Q30">
        <f ca="1"/>
        <v>62.322043209801102</v>
      </c>
      <c r="R30">
        <f ca="1"/>
        <v>0</v>
      </c>
      <c r="S30">
        <f ca="1"/>
        <v>3.6868618556931125E-2</v>
      </c>
      <c r="T30" s="4">
        <f ca="1"/>
        <v>0.34849457374895548</v>
      </c>
      <c r="U30">
        <f ca="1"/>
        <v>0</v>
      </c>
      <c r="V30">
        <f ca="1"/>
        <v>0</v>
      </c>
      <c r="W30">
        <f ca="1"/>
        <v>0</v>
      </c>
      <c r="X30">
        <f ca="1"/>
        <v>0</v>
      </c>
      <c r="Y30">
        <f ca="1"/>
        <v>0.57238530587450176</v>
      </c>
      <c r="Z30">
        <f ca="1"/>
        <v>0</v>
      </c>
      <c r="AA30">
        <f ca="1"/>
        <v>0</v>
      </c>
      <c r="AB30">
        <f ca="1"/>
        <v>0</v>
      </c>
      <c r="AD30" s="2">
        <f t="shared" ca="1" si="2"/>
        <v>44275</v>
      </c>
      <c r="AE30" s="46">
        <f t="shared" ca="1" si="3"/>
        <v>0</v>
      </c>
      <c r="AG30" s="72">
        <f t="shared" ca="1" si="7"/>
        <v>62.322043209801102</v>
      </c>
      <c r="AH30" s="72">
        <f t="shared" ca="1" si="8"/>
        <v>62.322043209801102</v>
      </c>
      <c r="AI30" s="3">
        <f t="shared" ca="1" si="9"/>
        <v>0</v>
      </c>
    </row>
    <row r="31" spans="1:35" x14ac:dyDescent="0.25">
      <c r="A31" s="11" t="s">
        <v>129</v>
      </c>
      <c r="B31" s="41">
        <f ca="1">CurrentEstablishDate</f>
        <v>44293</v>
      </c>
      <c r="G31" s="3">
        <f t="shared" si="4"/>
        <v>300</v>
      </c>
      <c r="H31" s="104">
        <f t="shared" si="6"/>
        <v>44129</v>
      </c>
      <c r="I31" s="131">
        <f>HLOOKUP($H$4,'Met Data'!$A$2:$F$368,G31,FALSE)</f>
        <v>14.0810344827586</v>
      </c>
      <c r="J31" s="131">
        <f ca="1">HLOOKUP($H$4,'Met Data'!$H$2:$M$368,G31,FALSE)*L31</f>
        <v>0.51327586206896547</v>
      </c>
      <c r="K31" s="105">
        <f>HLOOKUP($H$4,'Met Data'!$O$2:$T$368,G31,FALSE)</f>
        <v>3.2764418127891499</v>
      </c>
      <c r="L31">
        <f t="shared" ca="1" si="0"/>
        <v>0.65</v>
      </c>
      <c r="N31" t="b">
        <f t="shared" ca="1" si="5"/>
        <v>1</v>
      </c>
      <c r="O31" t="b">
        <f t="shared" ca="1" si="1"/>
        <v>0</v>
      </c>
      <c r="P31" s="2">
        <f ca="1"/>
        <v>44276</v>
      </c>
      <c r="Q31">
        <f ca="1"/>
        <v>62.704951981581758</v>
      </c>
      <c r="R31">
        <f ca="1"/>
        <v>0</v>
      </c>
      <c r="S31">
        <f ca="1"/>
        <v>3.2364593395035564E-2</v>
      </c>
      <c r="T31" s="4">
        <f ca="1"/>
        <v>0.35054417838561991</v>
      </c>
      <c r="U31">
        <f ca="1"/>
        <v>0</v>
      </c>
      <c r="V31">
        <f ca="1"/>
        <v>0</v>
      </c>
      <c r="W31">
        <f ca="1"/>
        <v>0</v>
      </c>
      <c r="X31">
        <f ca="1"/>
        <v>0</v>
      </c>
      <c r="Y31">
        <f ca="1"/>
        <v>0.56092105211915777</v>
      </c>
      <c r="Z31">
        <f ca="1"/>
        <v>0</v>
      </c>
      <c r="AA31">
        <f ca="1"/>
        <v>0</v>
      </c>
      <c r="AB31">
        <f ca="1"/>
        <v>0</v>
      </c>
      <c r="AD31" s="2">
        <f t="shared" ca="1" si="2"/>
        <v>44276</v>
      </c>
      <c r="AE31" s="46">
        <f t="shared" ca="1" si="3"/>
        <v>0</v>
      </c>
      <c r="AG31" s="72">
        <f t="shared" ca="1" si="7"/>
        <v>62.704951981581758</v>
      </c>
      <c r="AH31" s="72">
        <f t="shared" ca="1" si="8"/>
        <v>62.704951981581758</v>
      </c>
      <c r="AI31" s="3">
        <f t="shared" ca="1" si="9"/>
        <v>0</v>
      </c>
    </row>
    <row r="32" spans="1:35" x14ac:dyDescent="0.25">
      <c r="A32" s="11" t="s">
        <v>130</v>
      </c>
      <c r="B32" s="12" t="str">
        <f>CurrentEstablishStage</f>
        <v>Seed</v>
      </c>
      <c r="G32" s="3">
        <f t="shared" si="4"/>
        <v>301</v>
      </c>
      <c r="H32" s="104">
        <f t="shared" si="6"/>
        <v>44130</v>
      </c>
      <c r="I32" s="131">
        <f>HLOOKUP($H$4,'Met Data'!$A$2:$F$368,G32,FALSE)</f>
        <v>14.8396551724137</v>
      </c>
      <c r="J32" s="131">
        <f ca="1">HLOOKUP($H$4,'Met Data'!$H$2:$M$368,G32,FALSE)*L32</f>
        <v>2.2256896551724124</v>
      </c>
      <c r="K32" s="105">
        <f>HLOOKUP($H$4,'Met Data'!$O$2:$T$368,G32,FALSE)</f>
        <v>3.3023555527193</v>
      </c>
      <c r="L32">
        <f t="shared" ca="1" si="0"/>
        <v>0.65</v>
      </c>
      <c r="N32" t="b">
        <f t="shared" ca="1" si="5"/>
        <v>1</v>
      </c>
      <c r="O32" t="b">
        <f t="shared" ca="1" si="1"/>
        <v>0</v>
      </c>
      <c r="P32" s="2">
        <f ca="1"/>
        <v>44277</v>
      </c>
      <c r="Q32">
        <f ca="1"/>
        <v>63.08092638970885</v>
      </c>
      <c r="R32">
        <f ca="1"/>
        <v>0</v>
      </c>
      <c r="S32">
        <f ca="1"/>
        <v>2.8370705585447742E-2</v>
      </c>
      <c r="T32" s="4">
        <f ca="1"/>
        <v>0.34760370254164841</v>
      </c>
      <c r="U32">
        <f ca="1"/>
        <v>0</v>
      </c>
      <c r="V32">
        <f ca="1"/>
        <v>0</v>
      </c>
      <c r="W32">
        <f ca="1"/>
        <v>0</v>
      </c>
      <c r="X32">
        <f ca="1"/>
        <v>0</v>
      </c>
      <c r="Y32">
        <f ca="1"/>
        <v>0.56080897356753545</v>
      </c>
      <c r="Z32">
        <f ca="1"/>
        <v>0</v>
      </c>
      <c r="AA32">
        <f ca="1"/>
        <v>0</v>
      </c>
      <c r="AB32">
        <f ca="1"/>
        <v>0</v>
      </c>
      <c r="AD32" s="2">
        <f t="shared" ca="1" si="2"/>
        <v>44277</v>
      </c>
      <c r="AE32" s="46">
        <f t="shared" ca="1" si="3"/>
        <v>0</v>
      </c>
      <c r="AG32" s="72">
        <f t="shared" ca="1" si="7"/>
        <v>63.08092638970885</v>
      </c>
      <c r="AH32" s="72">
        <f t="shared" ca="1" si="8"/>
        <v>63.08092638970885</v>
      </c>
      <c r="AI32" s="3">
        <f t="shared" ca="1" si="9"/>
        <v>0</v>
      </c>
    </row>
    <row r="33" spans="1:35" x14ac:dyDescent="0.25">
      <c r="A33" s="11" t="s">
        <v>131</v>
      </c>
      <c r="B33" s="41">
        <f>CurrentHarvestDate</f>
        <v>44518</v>
      </c>
      <c r="G33" s="3">
        <f t="shared" si="4"/>
        <v>302</v>
      </c>
      <c r="H33" s="104">
        <f t="shared" si="6"/>
        <v>44131</v>
      </c>
      <c r="I33" s="131">
        <f>HLOOKUP($H$4,'Met Data'!$A$2:$F$368,G33,FALSE)</f>
        <v>14.274137931034399</v>
      </c>
      <c r="J33" s="131">
        <f ca="1">HLOOKUP($H$4,'Met Data'!$H$2:$M$368,G33,FALSE)*L33</f>
        <v>2.705344827586206</v>
      </c>
      <c r="K33" s="105">
        <f>HLOOKUP($H$4,'Met Data'!$O$2:$T$368,G33,FALSE)</f>
        <v>2.9394492851949701</v>
      </c>
      <c r="L33">
        <f t="shared" ca="1" si="0"/>
        <v>0.65</v>
      </c>
      <c r="N33" t="b">
        <f t="shared" ca="1" si="5"/>
        <v>1</v>
      </c>
      <c r="O33" t="b">
        <f t="shared" ca="1" si="1"/>
        <v>0</v>
      </c>
      <c r="P33" s="2">
        <f ca="1"/>
        <v>44278</v>
      </c>
      <c r="Q33">
        <f ca="1"/>
        <v>63.444872015037149</v>
      </c>
      <c r="R33">
        <f ca="1"/>
        <v>0</v>
      </c>
      <c r="S33">
        <f ca="1"/>
        <v>2.4626769076808202E-2</v>
      </c>
      <c r="T33" s="4">
        <f ca="1"/>
        <v>0.33931885625148928</v>
      </c>
      <c r="U33">
        <f ca="1"/>
        <v>0</v>
      </c>
      <c r="V33">
        <f ca="1"/>
        <v>0</v>
      </c>
      <c r="W33">
        <f ca="1"/>
        <v>0</v>
      </c>
      <c r="X33">
        <f ca="1"/>
        <v>0</v>
      </c>
      <c r="Y33">
        <f ca="1"/>
        <v>0.56221903229421299</v>
      </c>
      <c r="Z33">
        <f ca="1"/>
        <v>0</v>
      </c>
      <c r="AA33">
        <f ca="1"/>
        <v>0</v>
      </c>
      <c r="AB33">
        <f ca="1"/>
        <v>0</v>
      </c>
      <c r="AD33" s="2">
        <f t="shared" ca="1" si="2"/>
        <v>44278</v>
      </c>
      <c r="AE33" s="46">
        <f t="shared" ca="1" si="3"/>
        <v>0</v>
      </c>
      <c r="AG33" s="72">
        <f t="shared" ca="1" si="7"/>
        <v>63.444872015037149</v>
      </c>
      <c r="AH33" s="72">
        <f t="shared" ca="1" si="8"/>
        <v>63.444872015037149</v>
      </c>
      <c r="AI33" s="3">
        <f t="shared" ca="1" si="9"/>
        <v>0</v>
      </c>
    </row>
    <row r="34" spans="1:35" x14ac:dyDescent="0.25">
      <c r="A34" s="11" t="s">
        <v>132</v>
      </c>
      <c r="B34" s="12" t="str">
        <f>CurrentHarvestStage</f>
        <v>EarlyReproductive</v>
      </c>
      <c r="G34" s="3">
        <f t="shared" si="4"/>
        <v>303</v>
      </c>
      <c r="H34" s="104">
        <f t="shared" si="6"/>
        <v>44132</v>
      </c>
      <c r="I34" s="131">
        <f>HLOOKUP($H$4,'Met Data'!$A$2:$F$368,G34,FALSE)</f>
        <v>14.29</v>
      </c>
      <c r="J34" s="131">
        <f ca="1">HLOOKUP($H$4,'Met Data'!$H$2:$M$368,G34,FALSE)*L34</f>
        <v>1.6206666666666647</v>
      </c>
      <c r="K34" s="105">
        <f>HLOOKUP($H$4,'Met Data'!$O$2:$T$368,G34,FALSE)</f>
        <v>3.1793308523033601</v>
      </c>
      <c r="L34">
        <f t="shared" ca="1" si="0"/>
        <v>0.65</v>
      </c>
      <c r="N34" t="b">
        <f t="shared" ca="1" si="5"/>
        <v>1</v>
      </c>
      <c r="O34" t="b">
        <f t="shared" ca="1" si="1"/>
        <v>0</v>
      </c>
      <c r="P34" s="2">
        <f ca="1"/>
        <v>44279</v>
      </c>
      <c r="Q34">
        <f ca="1"/>
        <v>63.80148820528062</v>
      </c>
      <c r="R34">
        <f ca="1"/>
        <v>0</v>
      </c>
      <c r="S34">
        <f ca="1"/>
        <v>2.1509075073711713E-2</v>
      </c>
      <c r="T34" s="4">
        <f ca="1"/>
        <v>0.33510711516976388</v>
      </c>
      <c r="U34">
        <f ca="1"/>
        <v>0</v>
      </c>
      <c r="V34">
        <f ca="1"/>
        <v>0</v>
      </c>
      <c r="W34">
        <f ca="1"/>
        <v>0</v>
      </c>
      <c r="X34">
        <f ca="1"/>
        <v>0</v>
      </c>
      <c r="Y34">
        <f ca="1"/>
        <v>0.55749949217075556</v>
      </c>
      <c r="Z34">
        <f ca="1"/>
        <v>0</v>
      </c>
      <c r="AA34">
        <f ca="1"/>
        <v>0</v>
      </c>
      <c r="AB34">
        <f ca="1"/>
        <v>0</v>
      </c>
      <c r="AD34" s="2">
        <f t="shared" ca="1" si="2"/>
        <v>44279</v>
      </c>
      <c r="AE34" s="46">
        <f t="shared" ca="1" si="3"/>
        <v>0</v>
      </c>
      <c r="AG34" s="72">
        <f t="shared" ca="1" si="7"/>
        <v>63.80148820528062</v>
      </c>
      <c r="AH34" s="72">
        <f t="shared" ca="1" si="8"/>
        <v>63.80148820528062</v>
      </c>
      <c r="AI34" s="3">
        <f t="shared" ca="1" si="9"/>
        <v>0</v>
      </c>
    </row>
    <row r="35" spans="1:35" x14ac:dyDescent="0.25">
      <c r="A35" s="11" t="s">
        <v>174</v>
      </c>
      <c r="B35" s="12" t="str">
        <f>CurrentResidueRemoval</f>
        <v>None removed</v>
      </c>
      <c r="G35" s="3">
        <f t="shared" si="4"/>
        <v>304</v>
      </c>
      <c r="H35" s="104">
        <f t="shared" si="6"/>
        <v>44133</v>
      </c>
      <c r="I35" s="131">
        <f>HLOOKUP($H$4,'Met Data'!$A$2:$F$368,G35,FALSE)</f>
        <v>14.715</v>
      </c>
      <c r="J35" s="131">
        <f ca="1">HLOOKUP($H$4,'Met Data'!$H$2:$M$368,G35,FALSE)*L35</f>
        <v>1.2935000000000001</v>
      </c>
      <c r="K35" s="105">
        <f>HLOOKUP($H$4,'Met Data'!$O$2:$T$368,G35,FALSE)</f>
        <v>3.2908149619424898</v>
      </c>
      <c r="L35">
        <f t="shared" ca="1" si="0"/>
        <v>0.65</v>
      </c>
      <c r="N35" t="b">
        <f t="shared" ca="1" si="5"/>
        <v>1</v>
      </c>
      <c r="O35" t="b">
        <f t="shared" ca="1" si="1"/>
        <v>0</v>
      </c>
      <c r="P35" s="2">
        <f ca="1"/>
        <v>44280</v>
      </c>
      <c r="Q35">
        <f ca="1"/>
        <v>64.153894018758351</v>
      </c>
      <c r="R35">
        <f ca="1"/>
        <v>0</v>
      </c>
      <c r="S35">
        <f ca="1"/>
        <v>1.893074793960059E-2</v>
      </c>
      <c r="T35" s="4">
        <f ca="1"/>
        <v>0.33347506553812928</v>
      </c>
      <c r="U35">
        <f ca="1"/>
        <v>0</v>
      </c>
      <c r="V35">
        <f ca="1"/>
        <v>0</v>
      </c>
      <c r="W35">
        <f ca="1"/>
        <v>0</v>
      </c>
      <c r="X35">
        <f ca="1"/>
        <v>0</v>
      </c>
      <c r="Y35">
        <f ca="1"/>
        <v>0.55314449119865594</v>
      </c>
      <c r="Z35">
        <f ca="1"/>
        <v>0</v>
      </c>
      <c r="AA35">
        <f ca="1"/>
        <v>0</v>
      </c>
      <c r="AB35">
        <f ca="1"/>
        <v>0</v>
      </c>
      <c r="AD35" s="2">
        <f t="shared" ca="1" si="2"/>
        <v>44280</v>
      </c>
      <c r="AE35" s="46">
        <f t="shared" ca="1" si="3"/>
        <v>0</v>
      </c>
      <c r="AG35" s="72">
        <f t="shared" ca="1" si="7"/>
        <v>64.153894018758351</v>
      </c>
      <c r="AH35" s="72">
        <f t="shared" ca="1" si="8"/>
        <v>64.153894018758351</v>
      </c>
      <c r="AI35" s="3">
        <f t="shared" ca="1" si="9"/>
        <v>0</v>
      </c>
    </row>
    <row r="36" spans="1:35" ht="15.75" thickBot="1" x14ac:dyDescent="0.3">
      <c r="A36" s="11" t="s">
        <v>177</v>
      </c>
      <c r="B36" s="12" t="str">
        <f>CurrentResidueIncorporation</f>
        <v>Part (Cultivate)</v>
      </c>
      <c r="G36" s="3">
        <f t="shared" si="4"/>
        <v>305</v>
      </c>
      <c r="H36" s="104">
        <f t="shared" si="6"/>
        <v>44134</v>
      </c>
      <c r="I36" s="131">
        <f>HLOOKUP($H$4,'Met Data'!$A$2:$F$368,G36,FALSE)</f>
        <v>14.5266666666666</v>
      </c>
      <c r="J36" s="131">
        <f ca="1">HLOOKUP($H$4,'Met Data'!$H$2:$M$368,G36,FALSE)*L36</f>
        <v>1.1375</v>
      </c>
      <c r="K36" s="105">
        <f>HLOOKUP($H$4,'Met Data'!$O$2:$T$368,G36,FALSE)</f>
        <v>3.7910621493299299</v>
      </c>
      <c r="L36">
        <f t="shared" ca="1" si="0"/>
        <v>0.65</v>
      </c>
      <c r="N36" t="b">
        <f t="shared" ca="1" si="5"/>
        <v>1</v>
      </c>
      <c r="O36" t="b">
        <f t="shared" ca="1" si="1"/>
        <v>0</v>
      </c>
      <c r="P36" s="2">
        <f ca="1"/>
        <v>44281</v>
      </c>
      <c r="Q36">
        <f ca="1"/>
        <v>64.508283444625064</v>
      </c>
      <c r="R36">
        <f ca="1"/>
        <v>0</v>
      </c>
      <c r="S36">
        <f ca="1"/>
        <v>1.7001164527618934E-2</v>
      </c>
      <c r="T36">
        <f ca="1"/>
        <v>0.33738826133909589</v>
      </c>
      <c r="U36">
        <f ca="1"/>
        <v>0</v>
      </c>
      <c r="V36">
        <f ca="1"/>
        <v>0</v>
      </c>
      <c r="W36">
        <f ca="1"/>
        <v>0</v>
      </c>
      <c r="X36">
        <f ca="1"/>
        <v>0</v>
      </c>
      <c r="Y36">
        <f ca="1"/>
        <v>0.55727696775345581</v>
      </c>
      <c r="Z36">
        <f ca="1"/>
        <v>0</v>
      </c>
      <c r="AA36">
        <f ca="1"/>
        <v>0</v>
      </c>
      <c r="AB36">
        <f ca="1"/>
        <v>0</v>
      </c>
      <c r="AD36" s="2">
        <f t="shared" ca="1" si="2"/>
        <v>44281</v>
      </c>
      <c r="AE36" s="46">
        <f t="shared" ca="1" si="3"/>
        <v>0</v>
      </c>
      <c r="AG36" s="72">
        <f t="shared" ca="1" si="7"/>
        <v>64.508283444625064</v>
      </c>
      <c r="AH36" s="72">
        <f t="shared" ca="1" si="8"/>
        <v>64.508283444625064</v>
      </c>
      <c r="AI36" s="3">
        <f t="shared" ca="1" si="9"/>
        <v>0</v>
      </c>
    </row>
    <row r="37" spans="1:35" x14ac:dyDescent="0.25">
      <c r="A37" s="7" t="s">
        <v>149</v>
      </c>
      <c r="B37" s="36" t="str">
        <f>FollowingCropFullName</f>
        <v>Onion Vegetable General</v>
      </c>
      <c r="G37" s="3">
        <f t="shared" si="4"/>
        <v>306</v>
      </c>
      <c r="H37" s="104">
        <f t="shared" si="6"/>
        <v>44135</v>
      </c>
      <c r="I37" s="131">
        <f>HLOOKUP($H$4,'Met Data'!$A$2:$F$368,G37,FALSE)</f>
        <v>14.0416666666666</v>
      </c>
      <c r="J37" s="131">
        <f ca="1">HLOOKUP($H$4,'Met Data'!$H$2:$M$368,G37,FALSE)*L37</f>
        <v>1.375833333333329</v>
      </c>
      <c r="K37" s="105">
        <f>HLOOKUP($H$4,'Met Data'!$O$2:$T$368,G37,FALSE)</f>
        <v>3.7273958064413302</v>
      </c>
      <c r="L37">
        <f t="shared" ca="1" si="0"/>
        <v>0.65</v>
      </c>
      <c r="N37" t="b">
        <f t="shared" ca="1" si="5"/>
        <v>1</v>
      </c>
      <c r="O37" t="b">
        <f t="shared" ca="1" si="1"/>
        <v>0</v>
      </c>
      <c r="P37" s="2">
        <f ca="1"/>
        <v>44282</v>
      </c>
      <c r="Q37">
        <f ca="1"/>
        <v>64.860204018580021</v>
      </c>
      <c r="R37">
        <f ca="1"/>
        <v>0</v>
      </c>
      <c r="S37">
        <f ca="1"/>
        <v>1.4935485073319573E-2</v>
      </c>
      <c r="T37">
        <f ca="1"/>
        <v>0.33698508888163065</v>
      </c>
      <c r="U37">
        <f ca="1"/>
        <v>0</v>
      </c>
      <c r="V37">
        <f ca="1"/>
        <v>0</v>
      </c>
      <c r="W37">
        <f ca="1"/>
        <v>0</v>
      </c>
      <c r="X37">
        <f ca="1"/>
        <v>0</v>
      </c>
      <c r="Y37">
        <f ca="1"/>
        <v>0.5480205219354447</v>
      </c>
      <c r="Z37">
        <f ca="1"/>
        <v>0</v>
      </c>
      <c r="AA37">
        <f ca="1"/>
        <v>0</v>
      </c>
      <c r="AB37">
        <f ca="1"/>
        <v>0</v>
      </c>
      <c r="AD37" s="2">
        <f t="shared" ca="1" si="2"/>
        <v>44282</v>
      </c>
      <c r="AE37" s="46">
        <f t="shared" ca="1" si="3"/>
        <v>0</v>
      </c>
      <c r="AG37" s="72">
        <f t="shared" ca="1" si="7"/>
        <v>64.860204018580021</v>
      </c>
      <c r="AH37" s="72">
        <f t="shared" ca="1" si="8"/>
        <v>64.860204018580021</v>
      </c>
      <c r="AI37" s="3">
        <f t="shared" ca="1" si="9"/>
        <v>0</v>
      </c>
    </row>
    <row r="38" spans="1:35" x14ac:dyDescent="0.25">
      <c r="A38" s="8" t="s">
        <v>133</v>
      </c>
      <c r="B38" s="37">
        <f>FollowingYield_tperHa</f>
        <v>50</v>
      </c>
      <c r="G38" s="3">
        <f t="shared" si="4"/>
        <v>307</v>
      </c>
      <c r="H38" s="104">
        <f t="shared" si="6"/>
        <v>44136</v>
      </c>
      <c r="I38" s="131">
        <f>HLOOKUP($H$4,'Met Data'!$A$2:$F$368,G38,FALSE)</f>
        <v>14.098333333333301</v>
      </c>
      <c r="J38" s="131">
        <f ca="1">HLOOKUP($H$4,'Met Data'!$H$2:$M$368,G38,FALSE)*L38</f>
        <v>0.61099999999999999</v>
      </c>
      <c r="K38" s="105">
        <f>HLOOKUP($H$4,'Met Data'!$O$2:$T$368,G38,FALSE)</f>
        <v>3.7508089301659</v>
      </c>
      <c r="L38">
        <f t="shared" ca="1" si="0"/>
        <v>0.65</v>
      </c>
      <c r="N38" t="b">
        <f t="shared" ca="1" si="5"/>
        <v>1</v>
      </c>
      <c r="O38" t="b">
        <f t="shared" ca="1" si="1"/>
        <v>0</v>
      </c>
      <c r="P38" s="2">
        <f ca="1"/>
        <v>44283</v>
      </c>
      <c r="Q38">
        <f ca="1"/>
        <v>65.209141117936213</v>
      </c>
      <c r="R38">
        <f ca="1"/>
        <v>0</v>
      </c>
      <c r="S38">
        <f ca="1"/>
        <v>1.3218929137453277E-2</v>
      </c>
      <c r="T38">
        <f ca="1"/>
        <v>0.3357181702187374</v>
      </c>
      <c r="U38">
        <f ca="1"/>
        <v>0</v>
      </c>
      <c r="V38">
        <f ca="1"/>
        <v>0</v>
      </c>
      <c r="W38">
        <f ca="1"/>
        <v>0</v>
      </c>
      <c r="X38">
        <f ca="1"/>
        <v>0</v>
      </c>
      <c r="Y38">
        <f ca="1"/>
        <v>0.54904717333246222</v>
      </c>
      <c r="Z38">
        <f ca="1"/>
        <v>0</v>
      </c>
      <c r="AA38">
        <f ca="1"/>
        <v>0</v>
      </c>
      <c r="AB38">
        <f ca="1"/>
        <v>0</v>
      </c>
      <c r="AD38" s="2">
        <f t="shared" ca="1" si="2"/>
        <v>44283</v>
      </c>
      <c r="AE38" s="46">
        <f t="shared" ca="1" si="3"/>
        <v>0</v>
      </c>
      <c r="AG38" s="72">
        <f t="shared" ca="1" si="7"/>
        <v>65.209141117936213</v>
      </c>
      <c r="AH38" s="72">
        <f t="shared" ca="1" si="8"/>
        <v>65.209141117936213</v>
      </c>
      <c r="AI38" s="3">
        <f t="shared" ca="1" si="9"/>
        <v>0</v>
      </c>
    </row>
    <row r="39" spans="1:35" x14ac:dyDescent="0.25">
      <c r="A39" s="8" t="s">
        <v>134</v>
      </c>
      <c r="B39" s="37">
        <f>FollowingFieldLoss</f>
        <v>0</v>
      </c>
      <c r="G39" s="3">
        <f t="shared" si="4"/>
        <v>308</v>
      </c>
      <c r="H39" s="104">
        <f t="shared" si="6"/>
        <v>44137</v>
      </c>
      <c r="I39" s="131">
        <f>HLOOKUP($H$4,'Met Data'!$A$2:$F$368,G39,FALSE)</f>
        <v>13.9933333333333</v>
      </c>
      <c r="J39" s="131">
        <f ca="1">HLOOKUP($H$4,'Met Data'!$H$2:$M$368,G39,FALSE)*L39</f>
        <v>1.573</v>
      </c>
      <c r="K39" s="105">
        <f>HLOOKUP($H$4,'Met Data'!$O$2:$T$368,G39,FALSE)</f>
        <v>3.2496546498492198</v>
      </c>
      <c r="L39">
        <f t="shared" ca="1" si="0"/>
        <v>0.65</v>
      </c>
      <c r="N39" t="b">
        <f t="shared" ca="1" si="5"/>
        <v>1</v>
      </c>
      <c r="O39" t="b">
        <f t="shared" ca="1" si="1"/>
        <v>0</v>
      </c>
      <c r="P39" s="2">
        <f ca="1"/>
        <v>44284</v>
      </c>
      <c r="Q39">
        <f ca="1"/>
        <v>65.563058486124717</v>
      </c>
      <c r="R39">
        <f ca="1"/>
        <v>0</v>
      </c>
      <c r="S39">
        <f ca="1"/>
        <v>1.1915495542563137E-2</v>
      </c>
      <c r="T39">
        <f ca="1"/>
        <v>0.34200187264593346</v>
      </c>
      <c r="U39">
        <f ca="1"/>
        <v>0</v>
      </c>
      <c r="V39">
        <f ca="1"/>
        <v>0</v>
      </c>
      <c r="W39">
        <f ca="1"/>
        <v>0</v>
      </c>
      <c r="X39">
        <f ca="1"/>
        <v>0</v>
      </c>
      <c r="Y39">
        <f ca="1"/>
        <v>0.55159168100512901</v>
      </c>
      <c r="Z39">
        <f ca="1"/>
        <v>0</v>
      </c>
      <c r="AA39">
        <f ca="1"/>
        <v>0</v>
      </c>
      <c r="AB39">
        <f ca="1"/>
        <v>0</v>
      </c>
      <c r="AD39" s="2">
        <f t="shared" ca="1" si="2"/>
        <v>44284</v>
      </c>
      <c r="AE39" s="46">
        <f t="shared" ca="1" si="3"/>
        <v>0</v>
      </c>
      <c r="AG39" s="72">
        <f t="shared" ca="1" si="7"/>
        <v>65.563058486124717</v>
      </c>
      <c r="AH39" s="72">
        <f t="shared" ca="1" si="8"/>
        <v>65.563058486124717</v>
      </c>
      <c r="AI39" s="3">
        <f t="shared" ca="1" si="9"/>
        <v>0</v>
      </c>
    </row>
    <row r="40" spans="1:35" x14ac:dyDescent="0.25">
      <c r="A40" s="8" t="s">
        <v>135</v>
      </c>
      <c r="B40" s="37">
        <f>FollowingDressingLoss</f>
        <v>0</v>
      </c>
      <c r="G40" s="3">
        <f t="shared" si="4"/>
        <v>309</v>
      </c>
      <c r="H40" s="104">
        <f t="shared" si="6"/>
        <v>44138</v>
      </c>
      <c r="I40" s="131">
        <f>HLOOKUP($H$4,'Met Data'!$A$2:$F$368,G40,FALSE)</f>
        <v>14.2016666666666</v>
      </c>
      <c r="J40" s="131">
        <f ca="1">HLOOKUP($H$4,'Met Data'!$H$2:$M$368,G40,FALSE)*L40</f>
        <v>2.0929999999999938</v>
      </c>
      <c r="K40" s="105">
        <f>HLOOKUP($H$4,'Met Data'!$O$2:$T$368,G40,FALSE)</f>
        <v>3.3917308243993398</v>
      </c>
      <c r="L40">
        <f t="shared" ca="1" si="0"/>
        <v>0.65</v>
      </c>
      <c r="N40" t="b">
        <f t="shared" ca="1" si="5"/>
        <v>1</v>
      </c>
      <c r="O40" t="b">
        <f t="shared" ca="1" si="1"/>
        <v>0</v>
      </c>
      <c r="P40" s="2">
        <f ca="1"/>
        <v>44285</v>
      </c>
      <c r="Q40">
        <f ca="1"/>
        <v>65.906347134196622</v>
      </c>
      <c r="R40">
        <f ca="1"/>
        <v>0</v>
      </c>
      <c r="S40">
        <f ca="1"/>
        <v>1.026812549494948E-2</v>
      </c>
      <c r="T40">
        <f ca="1"/>
        <v>0.33302052257696113</v>
      </c>
      <c r="U40">
        <f ca="1"/>
        <v>0</v>
      </c>
      <c r="V40">
        <f ca="1"/>
        <v>0</v>
      </c>
      <c r="W40">
        <f ca="1"/>
        <v>0</v>
      </c>
      <c r="X40">
        <f ca="1"/>
        <v>0</v>
      </c>
      <c r="Y40">
        <f ca="1"/>
        <v>0.54328839953213504</v>
      </c>
      <c r="Z40">
        <f ca="1"/>
        <v>0</v>
      </c>
      <c r="AA40">
        <f ca="1"/>
        <v>0</v>
      </c>
      <c r="AB40">
        <f ca="1"/>
        <v>0</v>
      </c>
      <c r="AD40" s="2">
        <f t="shared" ca="1" si="2"/>
        <v>44285</v>
      </c>
      <c r="AE40" s="46">
        <f t="shared" ca="1" si="3"/>
        <v>0</v>
      </c>
      <c r="AG40" s="72">
        <f t="shared" ca="1" si="7"/>
        <v>65.906347134196622</v>
      </c>
      <c r="AH40" s="72">
        <f t="shared" ca="1" si="8"/>
        <v>65.906347134196622</v>
      </c>
      <c r="AI40" s="3">
        <f t="shared" ca="1" si="9"/>
        <v>0</v>
      </c>
    </row>
    <row r="41" spans="1:35" x14ac:dyDescent="0.25">
      <c r="A41" s="8" t="s">
        <v>136</v>
      </c>
      <c r="B41" s="37">
        <f>FollowingMoistureLoss</f>
        <v>89</v>
      </c>
      <c r="G41" s="3">
        <f t="shared" si="4"/>
        <v>310</v>
      </c>
      <c r="H41" s="104">
        <f t="shared" si="6"/>
        <v>44139</v>
      </c>
      <c r="I41" s="131">
        <f>HLOOKUP($H$4,'Met Data'!$A$2:$F$368,G41,FALSE)</f>
        <v>14.5483333333333</v>
      </c>
      <c r="J41" s="131">
        <f ca="1">HLOOKUP($H$4,'Met Data'!$H$2:$M$368,G41,FALSE)*L41</f>
        <v>4.0408333333333291</v>
      </c>
      <c r="K41" s="105">
        <f>HLOOKUP($H$4,'Met Data'!$O$2:$T$368,G41,FALSE)</f>
        <v>3.4940085056696999</v>
      </c>
      <c r="L41">
        <f t="shared" ca="1" si="0"/>
        <v>0.65</v>
      </c>
      <c r="N41" t="b">
        <f t="shared" ca="1" si="5"/>
        <v>1</v>
      </c>
      <c r="O41" t="b">
        <f t="shared" ca="1" si="1"/>
        <v>0</v>
      </c>
      <c r="P41" s="2">
        <f ca="1"/>
        <v>44286</v>
      </c>
      <c r="Q41">
        <f ca="1"/>
        <v>66.244358145493322</v>
      </c>
      <c r="R41">
        <f ca="1"/>
        <v>0</v>
      </c>
      <c r="S41">
        <f ca="1"/>
        <v>9.0608571017753679E-3</v>
      </c>
      <c r="T41">
        <f ca="1"/>
        <v>0.32895015419492746</v>
      </c>
      <c r="U41">
        <f ca="1"/>
        <v>0</v>
      </c>
      <c r="V41">
        <f ca="1"/>
        <v>0</v>
      </c>
      <c r="W41">
        <f ca="1"/>
        <v>0</v>
      </c>
      <c r="X41">
        <f ca="1"/>
        <v>0</v>
      </c>
      <c r="Y41">
        <f ca="1"/>
        <v>0.54652555700290495</v>
      </c>
      <c r="Z41">
        <f ca="1"/>
        <v>0</v>
      </c>
      <c r="AA41">
        <f ca="1"/>
        <v>0</v>
      </c>
      <c r="AB41">
        <f ca="1"/>
        <v>0</v>
      </c>
      <c r="AD41" s="2">
        <f t="shared" ca="1" si="2"/>
        <v>44286</v>
      </c>
      <c r="AE41" s="46">
        <f t="shared" ca="1" si="3"/>
        <v>0</v>
      </c>
      <c r="AG41" s="72">
        <f t="shared" ca="1" si="7"/>
        <v>66.244358145493322</v>
      </c>
      <c r="AH41" s="72">
        <f t="shared" ca="1" si="8"/>
        <v>66.244358145493322</v>
      </c>
      <c r="AI41" s="3">
        <f t="shared" ca="1" si="9"/>
        <v>0</v>
      </c>
    </row>
    <row r="42" spans="1:35" x14ac:dyDescent="0.25">
      <c r="A42" s="8" t="s">
        <v>137</v>
      </c>
      <c r="B42" s="39">
        <f>FollowingEstablishDate</f>
        <v>44746</v>
      </c>
      <c r="G42" s="3">
        <f t="shared" si="4"/>
        <v>311</v>
      </c>
      <c r="H42" s="104">
        <f t="shared" si="6"/>
        <v>44140</v>
      </c>
      <c r="I42" s="131">
        <f>HLOOKUP($H$4,'Met Data'!$A$2:$F$368,G42,FALSE)</f>
        <v>14.156666666666601</v>
      </c>
      <c r="J42" s="131">
        <f ca="1">HLOOKUP($H$4,'Met Data'!$H$2:$M$368,G42,FALSE)*L42</f>
        <v>2.7299999999999938</v>
      </c>
      <c r="K42" s="105">
        <f>HLOOKUP($H$4,'Met Data'!$O$2:$T$368,G42,FALSE)</f>
        <v>3.6290518837480299</v>
      </c>
      <c r="L42">
        <f t="shared" ca="1" si="0"/>
        <v>0.65</v>
      </c>
      <c r="N42" t="b">
        <f t="shared" ca="1" si="5"/>
        <v>1</v>
      </c>
      <c r="O42" t="b">
        <f t="shared" ca="1" si="1"/>
        <v>0</v>
      </c>
      <c r="P42" s="2">
        <f ca="1"/>
        <v>44287</v>
      </c>
      <c r="Q42">
        <f ca="1"/>
        <v>66.572226633232347</v>
      </c>
      <c r="R42">
        <f ca="1"/>
        <v>0</v>
      </c>
      <c r="S42">
        <f ca="1"/>
        <v>7.864858767986399E-3</v>
      </c>
      <c r="T42">
        <f ca="1"/>
        <v>0.32000362897103596</v>
      </c>
      <c r="U42">
        <f ca="1"/>
        <v>0</v>
      </c>
      <c r="V42">
        <f ca="1"/>
        <v>0</v>
      </c>
      <c r="W42">
        <f ca="1"/>
        <v>0</v>
      </c>
      <c r="X42">
        <f ca="1"/>
        <v>0</v>
      </c>
      <c r="Y42">
        <f ca="1"/>
        <v>0.54298997924034298</v>
      </c>
      <c r="Z42">
        <f ca="1"/>
        <v>0</v>
      </c>
      <c r="AA42">
        <f ca="1"/>
        <v>0</v>
      </c>
      <c r="AB42">
        <f ca="1"/>
        <v>0</v>
      </c>
      <c r="AD42" s="2">
        <f t="shared" ca="1" si="2"/>
        <v>44287</v>
      </c>
      <c r="AE42" s="46">
        <f t="shared" ca="1" si="3"/>
        <v>0</v>
      </c>
      <c r="AG42" s="72">
        <f t="shared" ca="1" si="7"/>
        <v>66.572226633232347</v>
      </c>
      <c r="AH42" s="72">
        <f t="shared" ca="1" si="8"/>
        <v>66.572226633232347</v>
      </c>
      <c r="AI42" s="3">
        <f t="shared" ca="1" si="9"/>
        <v>0</v>
      </c>
    </row>
    <row r="43" spans="1:35" x14ac:dyDescent="0.25">
      <c r="A43" s="8" t="s">
        <v>138</v>
      </c>
      <c r="B43" s="37" t="str">
        <f>FollowingEstablishStage</f>
        <v>Seed</v>
      </c>
      <c r="G43" s="3">
        <f t="shared" si="4"/>
        <v>312</v>
      </c>
      <c r="H43" s="104">
        <f t="shared" si="6"/>
        <v>44141</v>
      </c>
      <c r="I43" s="131">
        <f>HLOOKUP($H$4,'Met Data'!$A$2:$F$368,G43,FALSE)</f>
        <v>14.466666666666599</v>
      </c>
      <c r="J43" s="131">
        <f ca="1">HLOOKUP($H$4,'Met Data'!$H$2:$M$368,G43,FALSE)*L43</f>
        <v>2.7191666666666645</v>
      </c>
      <c r="K43" s="105">
        <f>HLOOKUP($H$4,'Met Data'!$O$2:$T$368,G43,FALSE)</f>
        <v>3.3196725038188899</v>
      </c>
      <c r="L43">
        <f t="shared" ca="1" si="0"/>
        <v>0.65</v>
      </c>
      <c r="N43" t="b">
        <f t="shared" ca="1" si="5"/>
        <v>1</v>
      </c>
      <c r="O43" t="b">
        <f t="shared" ca="1" si="1"/>
        <v>0</v>
      </c>
      <c r="P43" s="2">
        <f ca="1"/>
        <v>44288</v>
      </c>
      <c r="Q43">
        <f ca="1"/>
        <v>66.899717877454634</v>
      </c>
      <c r="R43">
        <f ca="1"/>
        <v>0</v>
      </c>
      <c r="S43">
        <f ca="1"/>
        <v>7.0569366423793101E-3</v>
      </c>
      <c r="T43">
        <f ca="1"/>
        <v>0.32043430757990443</v>
      </c>
      <c r="U43">
        <f ca="1"/>
        <v>0</v>
      </c>
      <c r="V43">
        <f ca="1"/>
        <v>0</v>
      </c>
      <c r="W43">
        <f ca="1"/>
        <v>0</v>
      </c>
      <c r="X43">
        <f ca="1"/>
        <v>0</v>
      </c>
      <c r="Y43">
        <f ca="1"/>
        <v>0.54946266273571931</v>
      </c>
      <c r="Z43">
        <f ca="1"/>
        <v>0</v>
      </c>
      <c r="AA43">
        <f ca="1"/>
        <v>0</v>
      </c>
      <c r="AB43">
        <f ca="1"/>
        <v>0</v>
      </c>
      <c r="AD43" s="2">
        <f t="shared" ca="1" si="2"/>
        <v>44288</v>
      </c>
      <c r="AE43" s="46">
        <f t="shared" ca="1" si="3"/>
        <v>0</v>
      </c>
      <c r="AG43" s="72">
        <f t="shared" ca="1" si="7"/>
        <v>66.899717877454634</v>
      </c>
      <c r="AH43" s="72">
        <f t="shared" ca="1" si="8"/>
        <v>66.899717877454634</v>
      </c>
      <c r="AI43" s="3">
        <f t="shared" ca="1" si="9"/>
        <v>0</v>
      </c>
    </row>
    <row r="44" spans="1:35" x14ac:dyDescent="0.25">
      <c r="A44" s="8" t="s">
        <v>139</v>
      </c>
      <c r="B44" s="39">
        <f>FollowingHarvestDate</f>
        <v>44936</v>
      </c>
      <c r="G44" s="3">
        <f t="shared" si="4"/>
        <v>313</v>
      </c>
      <c r="H44" s="104">
        <f t="shared" si="6"/>
        <v>44142</v>
      </c>
      <c r="I44" s="131">
        <f>HLOOKUP($H$4,'Met Data'!$A$2:$F$368,G44,FALSE)</f>
        <v>14.7283333333333</v>
      </c>
      <c r="J44" s="131">
        <f ca="1">HLOOKUP($H$4,'Met Data'!$H$2:$M$368,G44,FALSE)*L44</f>
        <v>2.2641666666666644</v>
      </c>
      <c r="K44" s="105">
        <f>HLOOKUP($H$4,'Met Data'!$O$2:$T$368,G44,FALSE)</f>
        <v>3.5694722560107999</v>
      </c>
      <c r="L44">
        <f t="shared" ca="1" si="0"/>
        <v>0.65</v>
      </c>
      <c r="N44" t="b">
        <f t="shared" ca="1" si="5"/>
        <v>1</v>
      </c>
      <c r="O44" t="b">
        <f t="shared" ca="1" si="1"/>
        <v>0</v>
      </c>
      <c r="P44" s="2">
        <f ca="1"/>
        <v>44289</v>
      </c>
      <c r="Q44">
        <f ca="1"/>
        <v>67.231388028878754</v>
      </c>
      <c r="R44">
        <f ca="1"/>
        <v>0</v>
      </c>
      <c r="S44">
        <f ca="1"/>
        <v>6.3713050340597844E-3</v>
      </c>
      <c r="T44">
        <f ca="1"/>
        <v>0.32529884639005141</v>
      </c>
      <c r="U44">
        <f ca="1"/>
        <v>0</v>
      </c>
      <c r="V44">
        <f ca="1"/>
        <v>0</v>
      </c>
      <c r="W44">
        <f ca="1"/>
        <v>0</v>
      </c>
      <c r="X44">
        <f ca="1"/>
        <v>0</v>
      </c>
      <c r="Y44">
        <f ca="1"/>
        <v>0.55161752888180837</v>
      </c>
      <c r="Z44">
        <f ca="1"/>
        <v>0</v>
      </c>
      <c r="AA44">
        <f ca="1"/>
        <v>0</v>
      </c>
      <c r="AB44">
        <f ca="1"/>
        <v>0</v>
      </c>
      <c r="AD44" s="2">
        <f t="shared" ca="1" si="2"/>
        <v>44289</v>
      </c>
      <c r="AE44" s="46">
        <f t="shared" ca="1" si="3"/>
        <v>0</v>
      </c>
      <c r="AG44" s="72">
        <f t="shared" ca="1" si="7"/>
        <v>67.231388028878754</v>
      </c>
      <c r="AH44" s="72">
        <f t="shared" ca="1" si="8"/>
        <v>67.231388028878754</v>
      </c>
      <c r="AI44" s="3">
        <f t="shared" ca="1" si="9"/>
        <v>0</v>
      </c>
    </row>
    <row r="45" spans="1:35" x14ac:dyDescent="0.25">
      <c r="A45" s="8" t="s">
        <v>140</v>
      </c>
      <c r="B45" s="37" t="str">
        <f>FollowingHarvestStage</f>
        <v>Maturity</v>
      </c>
      <c r="G45" s="3">
        <f t="shared" si="4"/>
        <v>314</v>
      </c>
      <c r="H45" s="104">
        <f t="shared" si="6"/>
        <v>44143</v>
      </c>
      <c r="I45" s="131">
        <f>HLOOKUP($H$4,'Met Data'!$A$2:$F$368,G45,FALSE)</f>
        <v>14.37</v>
      </c>
      <c r="J45" s="131">
        <f ca="1">HLOOKUP($H$4,'Met Data'!$H$2:$M$368,G45,FALSE)*L45</f>
        <v>2.3031666666666646</v>
      </c>
      <c r="K45" s="105">
        <f>HLOOKUP($H$4,'Met Data'!$O$2:$T$368,G45,FALSE)</f>
        <v>3.5998767062500399</v>
      </c>
      <c r="L45">
        <f t="shared" ca="1" si="0"/>
        <v>0.65</v>
      </c>
      <c r="N45" t="b">
        <f t="shared" ca="1" si="5"/>
        <v>1</v>
      </c>
      <c r="O45" t="b">
        <f t="shared" ca="1" si="1"/>
        <v>0</v>
      </c>
      <c r="P45" s="2">
        <f ca="1"/>
        <v>44290</v>
      </c>
      <c r="Q45">
        <f ca="1"/>
        <v>67.549393526990428</v>
      </c>
      <c r="R45">
        <f ca="1"/>
        <v>0</v>
      </c>
      <c r="S45">
        <f ca="1"/>
        <v>5.4685945652545665E-3</v>
      </c>
      <c r="T45">
        <f ca="1"/>
        <v>0.31253690354641772</v>
      </c>
      <c r="U45">
        <f ca="1"/>
        <v>0</v>
      </c>
      <c r="V45">
        <f ca="1"/>
        <v>0</v>
      </c>
      <c r="W45">
        <f ca="1"/>
        <v>0</v>
      </c>
      <c r="X45">
        <f ca="1"/>
        <v>0</v>
      </c>
      <c r="Y45">
        <f ca="1"/>
        <v>0.54544969522931686</v>
      </c>
      <c r="Z45">
        <f ca="1"/>
        <v>0</v>
      </c>
      <c r="AA45">
        <f ca="1"/>
        <v>0</v>
      </c>
      <c r="AB45">
        <f ca="1"/>
        <v>0</v>
      </c>
      <c r="AD45" s="2">
        <f t="shared" ca="1" si="2"/>
        <v>44290</v>
      </c>
      <c r="AE45" s="46">
        <f t="shared" ca="1" si="3"/>
        <v>0</v>
      </c>
      <c r="AG45" s="72">
        <f t="shared" ca="1" si="7"/>
        <v>67.549393526990428</v>
      </c>
      <c r="AH45" s="72">
        <f t="shared" ca="1" si="8"/>
        <v>67.549393526990428</v>
      </c>
      <c r="AI45" s="3">
        <f t="shared" ca="1" si="9"/>
        <v>0</v>
      </c>
    </row>
    <row r="46" spans="1:35" ht="15.75" thickBot="1" x14ac:dyDescent="0.3">
      <c r="A46" s="9" t="s">
        <v>175</v>
      </c>
      <c r="B46" s="38" t="str">
        <f>FollowingResidueRemoval</f>
        <v>None removed</v>
      </c>
      <c r="G46" s="3">
        <f t="shared" si="4"/>
        <v>315</v>
      </c>
      <c r="H46" s="104">
        <f t="shared" si="6"/>
        <v>44144</v>
      </c>
      <c r="I46" s="131">
        <f>HLOOKUP($H$4,'Met Data'!$A$2:$F$368,G46,FALSE)</f>
        <v>14.7216666666666</v>
      </c>
      <c r="J46" s="131">
        <f ca="1">HLOOKUP($H$4,'Met Data'!$H$2:$M$368,G46,FALSE)*L46</f>
        <v>1.8871666666666647</v>
      </c>
      <c r="K46" s="105">
        <f>HLOOKUP($H$4,'Met Data'!$O$2:$T$368,G46,FALSE)</f>
        <v>3.8854632375309301</v>
      </c>
      <c r="L46">
        <f t="shared" ca="1" si="0"/>
        <v>0.65</v>
      </c>
      <c r="N46" t="b">
        <f t="shared" ca="1" si="5"/>
        <v>1</v>
      </c>
      <c r="O46" t="b">
        <f t="shared" ca="1" si="1"/>
        <v>0</v>
      </c>
      <c r="P46" s="2">
        <f ca="1"/>
        <v>44291</v>
      </c>
      <c r="Q46">
        <f ca="1"/>
        <v>67.864729076563279</v>
      </c>
      <c r="R46">
        <f ca="1"/>
        <v>0</v>
      </c>
      <c r="S46">
        <f ca="1"/>
        <v>4.8435914148427421E-3</v>
      </c>
      <c r="T46">
        <f ca="1"/>
        <v>0.31049195815800945</v>
      </c>
      <c r="U46">
        <f ca="1"/>
        <v>0</v>
      </c>
      <c r="V46">
        <f ca="1"/>
        <v>0</v>
      </c>
      <c r="W46">
        <f ca="1"/>
        <v>0</v>
      </c>
      <c r="X46">
        <f ca="1"/>
        <v>0</v>
      </c>
      <c r="Y46">
        <f ca="1"/>
        <v>0.54110198405286147</v>
      </c>
      <c r="Z46">
        <f ca="1"/>
        <v>0</v>
      </c>
      <c r="AA46">
        <f ca="1"/>
        <v>0</v>
      </c>
      <c r="AB46">
        <f ca="1"/>
        <v>0</v>
      </c>
      <c r="AD46" s="2">
        <f t="shared" ca="1" si="2"/>
        <v>44291</v>
      </c>
      <c r="AE46" s="46">
        <f t="shared" ca="1" si="3"/>
        <v>0</v>
      </c>
      <c r="AG46" s="72">
        <f t="shared" ca="1" si="7"/>
        <v>67.864729076563279</v>
      </c>
      <c r="AH46" s="72">
        <f t="shared" ca="1" si="8"/>
        <v>67.864729076563279</v>
      </c>
      <c r="AI46" s="3">
        <f t="shared" ca="1" si="9"/>
        <v>0</v>
      </c>
    </row>
    <row r="47" spans="1:35" x14ac:dyDescent="0.25">
      <c r="A47" s="8" t="s">
        <v>178</v>
      </c>
      <c r="B47" t="str">
        <f>FollowingResidueIncorporation</f>
        <v>Part (Cultivate)</v>
      </c>
      <c r="G47" s="3">
        <f t="shared" si="4"/>
        <v>316</v>
      </c>
      <c r="H47" s="104">
        <f t="shared" si="6"/>
        <v>44145</v>
      </c>
      <c r="I47" s="131">
        <f>HLOOKUP($H$4,'Met Data'!$A$2:$F$368,G47,FALSE)</f>
        <v>14.816666666666601</v>
      </c>
      <c r="J47" s="131">
        <f ca="1">HLOOKUP($H$4,'Met Data'!$H$2:$M$368,G47,FALSE)*L47</f>
        <v>1.0031666666666645</v>
      </c>
      <c r="K47" s="105">
        <f>HLOOKUP($H$4,'Met Data'!$O$2:$T$368,G47,FALSE)</f>
        <v>3.4766729681443</v>
      </c>
      <c r="L47">
        <f t="shared" ca="1" si="0"/>
        <v>0.65</v>
      </c>
      <c r="N47" t="b">
        <f t="shared" ca="1" si="5"/>
        <v>1</v>
      </c>
      <c r="O47" t="b">
        <f t="shared" ca="1" si="1"/>
        <v>0</v>
      </c>
      <c r="P47" s="2">
        <f ca="1"/>
        <v>44292</v>
      </c>
      <c r="Q47">
        <f ca="1"/>
        <v>68.181462221268106</v>
      </c>
      <c r="R47">
        <f ca="1"/>
        <v>0</v>
      </c>
      <c r="S47">
        <f ca="1"/>
        <v>4.3661343809208979E-3</v>
      </c>
      <c r="T47">
        <f ca="1"/>
        <v>0.31236701032390651</v>
      </c>
      <c r="U47">
        <f ca="1"/>
        <v>0</v>
      </c>
      <c r="V47">
        <f ca="1"/>
        <v>0</v>
      </c>
      <c r="W47">
        <f ca="1"/>
        <v>0</v>
      </c>
      <c r="X47">
        <f ca="1"/>
        <v>0</v>
      </c>
      <c r="Y47">
        <f ca="1"/>
        <v>0.54513987211165804</v>
      </c>
      <c r="Z47">
        <f ca="1"/>
        <v>0</v>
      </c>
      <c r="AA47">
        <f ca="1"/>
        <v>0</v>
      </c>
      <c r="AB47">
        <f ca="1"/>
        <v>0</v>
      </c>
      <c r="AD47" s="2">
        <f t="shared" ca="1" si="2"/>
        <v>44292</v>
      </c>
      <c r="AE47" s="46">
        <f t="shared" ca="1" si="3"/>
        <v>0</v>
      </c>
      <c r="AG47" s="72">
        <f t="shared" ca="1" si="7"/>
        <v>68.181462221268106</v>
      </c>
      <c r="AH47" s="72">
        <f t="shared" ca="1" si="8"/>
        <v>68.181462221268106</v>
      </c>
      <c r="AI47" s="3">
        <f t="shared" ca="1" si="9"/>
        <v>0</v>
      </c>
    </row>
    <row r="48" spans="1:35" x14ac:dyDescent="0.25">
      <c r="A48" s="14"/>
      <c r="B48" s="15"/>
      <c r="G48" s="3">
        <f t="shared" si="4"/>
        <v>317</v>
      </c>
      <c r="H48" s="104">
        <f t="shared" si="6"/>
        <v>44146</v>
      </c>
      <c r="I48" s="131">
        <f>HLOOKUP($H$4,'Met Data'!$A$2:$F$368,G48,FALSE)</f>
        <v>14.7883333333333</v>
      </c>
      <c r="J48" s="131">
        <f ca="1">HLOOKUP($H$4,'Met Data'!$H$2:$M$368,G48,FALSE)*L48</f>
        <v>2.3443333333333292</v>
      </c>
      <c r="K48" s="105">
        <f>HLOOKUP($H$4,'Met Data'!$O$2:$T$368,G48,FALSE)</f>
        <v>3.49823939059966</v>
      </c>
      <c r="L48">
        <f t="shared" ca="1" si="0"/>
        <v>0.65</v>
      </c>
      <c r="N48" t="b">
        <f t="shared" ca="1" si="5"/>
        <v>1</v>
      </c>
      <c r="O48" t="b">
        <f t="shared" ca="1" si="1"/>
        <v>1</v>
      </c>
      <c r="P48" s="2">
        <f ca="1"/>
        <v>44293</v>
      </c>
      <c r="Q48">
        <f ca="1"/>
        <v>68.499465290509065</v>
      </c>
      <c r="R48">
        <f ca="1"/>
        <v>0</v>
      </c>
      <c r="S48">
        <f ca="1"/>
        <v>3.937726166143833E-3</v>
      </c>
      <c r="T48">
        <f ca="1"/>
        <v>0.31406534307481243</v>
      </c>
      <c r="U48">
        <f ca="1"/>
        <v>0</v>
      </c>
      <c r="V48">
        <f ca="1"/>
        <v>3.7018063245480501</v>
      </c>
      <c r="W48">
        <f ca="1"/>
        <v>2.96782748433594</v>
      </c>
      <c r="X48">
        <f ca="1"/>
        <v>0</v>
      </c>
      <c r="Y48">
        <f ca="1"/>
        <v>0.55166777846335813</v>
      </c>
      <c r="Z48">
        <f ca="1"/>
        <v>0</v>
      </c>
      <c r="AA48">
        <f ca="1"/>
        <v>0</v>
      </c>
      <c r="AB48">
        <f ca="1"/>
        <v>6.4484940328594503E-3</v>
      </c>
      <c r="AD48" s="2">
        <f t="shared" ca="1" si="2"/>
        <v>44293</v>
      </c>
      <c r="AE48" s="46">
        <f t="shared" ca="1" si="3"/>
        <v>0</v>
      </c>
      <c r="AG48" s="72">
        <f t="shared" ca="1" si="7"/>
        <v>68.499465290509065</v>
      </c>
      <c r="AH48" s="72">
        <f t="shared" ca="1" si="8"/>
        <v>68.499465290509065</v>
      </c>
      <c r="AI48" s="3">
        <f t="shared" ca="1" si="9"/>
        <v>0</v>
      </c>
    </row>
    <row r="49" spans="1:35" ht="15.75" thickBot="1" x14ac:dyDescent="0.3">
      <c r="A49" s="16"/>
      <c r="B49" s="17"/>
      <c r="G49" s="3">
        <f t="shared" si="4"/>
        <v>318</v>
      </c>
      <c r="H49" s="104">
        <f t="shared" si="6"/>
        <v>44147</v>
      </c>
      <c r="I49" s="131">
        <f>HLOOKUP($H$4,'Met Data'!$A$2:$F$368,G49,FALSE)</f>
        <v>14.5583333333333</v>
      </c>
      <c r="J49" s="131">
        <f ca="1">HLOOKUP($H$4,'Met Data'!$H$2:$M$368,G49,FALSE)*L49</f>
        <v>1.9911666666666645</v>
      </c>
      <c r="K49" s="105">
        <f>HLOOKUP($H$4,'Met Data'!$O$2:$T$368,G49,FALSE)</f>
        <v>3.8424324154218401</v>
      </c>
      <c r="L49">
        <f t="shared" ca="1" si="0"/>
        <v>0.65</v>
      </c>
      <c r="N49" t="b">
        <f t="shared" ca="1" si="5"/>
        <v>1</v>
      </c>
      <c r="O49" t="b">
        <f t="shared" ca="1" si="1"/>
        <v>1</v>
      </c>
      <c r="P49" s="2">
        <f ca="1"/>
        <v>44294</v>
      </c>
      <c r="Q49">
        <f ca="1"/>
        <v>68.702532657319537</v>
      </c>
      <c r="R49">
        <f ca="1"/>
        <v>0.113897483472519</v>
      </c>
      <c r="S49">
        <f ca="1"/>
        <v>3.5454939071978809E-3</v>
      </c>
      <c r="T49">
        <f ca="1"/>
        <v>0.31341935637578666</v>
      </c>
      <c r="U49">
        <f ca="1"/>
        <v>0</v>
      </c>
      <c r="V49">
        <f ca="1"/>
        <v>3.8157038080205701</v>
      </c>
      <c r="W49">
        <f ca="1"/>
        <v>3.05914184608545</v>
      </c>
      <c r="X49">
        <f ca="1"/>
        <v>0</v>
      </c>
      <c r="Y49">
        <f ca="1"/>
        <v>0.565476770046767</v>
      </c>
      <c r="Z49">
        <f ca="1"/>
        <v>0</v>
      </c>
      <c r="AA49">
        <f ca="1"/>
        <v>0</v>
      </c>
      <c r="AB49">
        <f ca="1"/>
        <v>6.8957746132373102E-3</v>
      </c>
      <c r="AD49" s="2">
        <f t="shared" ca="1" si="2"/>
        <v>44294</v>
      </c>
      <c r="AE49" s="46">
        <f t="shared" ca="1" si="3"/>
        <v>0</v>
      </c>
      <c r="AG49" s="72">
        <f t="shared" ca="1" si="7"/>
        <v>68.81643014079205</v>
      </c>
      <c r="AH49" s="72">
        <f t="shared" ca="1" si="8"/>
        <v>68.81643014079205</v>
      </c>
      <c r="AI49" s="3">
        <f t="shared" ca="1" si="9"/>
        <v>0</v>
      </c>
    </row>
    <row r="50" spans="1:35" x14ac:dyDescent="0.25">
      <c r="G50" s="3">
        <f t="shared" si="4"/>
        <v>319</v>
      </c>
      <c r="H50" s="104">
        <f t="shared" si="6"/>
        <v>44148</v>
      </c>
      <c r="I50" s="131">
        <f>HLOOKUP($H$4,'Met Data'!$A$2:$F$368,G50,FALSE)</f>
        <v>14.5066666666666</v>
      </c>
      <c r="J50" s="131">
        <f ca="1">HLOOKUP($H$4,'Met Data'!$H$2:$M$368,G50,FALSE)*L50</f>
        <v>2.1406666666666645</v>
      </c>
      <c r="K50" s="105">
        <f>HLOOKUP($H$4,'Met Data'!$O$2:$T$368,G50,FALSE)</f>
        <v>3.93837814578281</v>
      </c>
      <c r="L50">
        <f t="shared" ca="1" si="0"/>
        <v>0.65</v>
      </c>
      <c r="N50" t="b">
        <f t="shared" ca="1" si="5"/>
        <v>1</v>
      </c>
      <c r="O50" t="b">
        <f t="shared" ca="1" si="1"/>
        <v>1</v>
      </c>
      <c r="P50" s="2">
        <f ca="1"/>
        <v>44295</v>
      </c>
      <c r="Q50">
        <f ca="1"/>
        <v>68.908069647049885</v>
      </c>
      <c r="R50">
        <f ca="1"/>
        <v>0.11515826004155701</v>
      </c>
      <c r="S50">
        <f ca="1"/>
        <v>3.2525128829353728E-3</v>
      </c>
      <c r="T50">
        <f ca="1"/>
        <v>0.31744273688896896</v>
      </c>
      <c r="U50">
        <f ca="1"/>
        <v>0</v>
      </c>
      <c r="V50">
        <f ca="1"/>
        <v>3.9308620680621198</v>
      </c>
      <c r="W50">
        <f ca="1"/>
        <v>3.1514670028429101</v>
      </c>
      <c r="X50">
        <f ca="1"/>
        <v>0</v>
      </c>
      <c r="Y50">
        <f ca="1"/>
        <v>0.59271411808918673</v>
      </c>
      <c r="Z50">
        <f ca="1"/>
        <v>0</v>
      </c>
      <c r="AA50">
        <f ca="1"/>
        <v>0</v>
      </c>
      <c r="AB50">
        <f ca="1"/>
        <v>7.3648087702172802E-3</v>
      </c>
      <c r="AD50" s="2">
        <f t="shared" ca="1" si="2"/>
        <v>44295</v>
      </c>
      <c r="AE50" s="46">
        <f t="shared" ca="1" si="3"/>
        <v>0</v>
      </c>
      <c r="AG50" s="72">
        <f t="shared" ca="1" si="7"/>
        <v>69.023227907091439</v>
      </c>
      <c r="AH50" s="72">
        <f t="shared" ca="1" si="8"/>
        <v>69.023227907091439</v>
      </c>
      <c r="AI50" s="3">
        <f t="shared" ca="1" si="9"/>
        <v>0</v>
      </c>
    </row>
    <row r="51" spans="1:35" x14ac:dyDescent="0.25">
      <c r="G51" s="3">
        <f t="shared" si="4"/>
        <v>320</v>
      </c>
      <c r="H51" s="104">
        <f t="shared" si="6"/>
        <v>44149</v>
      </c>
      <c r="I51" s="131">
        <f>HLOOKUP($H$4,'Met Data'!$A$2:$F$368,G51,FALSE)</f>
        <v>14.8633333333333</v>
      </c>
      <c r="J51" s="131">
        <f ca="1">HLOOKUP($H$4,'Met Data'!$H$2:$M$368,G51,FALSE)*L51</f>
        <v>1.3433333333333293</v>
      </c>
      <c r="K51" s="105">
        <f>HLOOKUP($H$4,'Met Data'!$O$2:$T$368,G51,FALSE)</f>
        <v>3.82063419166102</v>
      </c>
      <c r="L51">
        <f t="shared" ca="1" si="0"/>
        <v>0.65</v>
      </c>
      <c r="N51" t="b">
        <f t="shared" ca="1" si="5"/>
        <v>1</v>
      </c>
      <c r="O51" t="b">
        <f t="shared" ca="1" si="1"/>
        <v>1</v>
      </c>
      <c r="P51" s="2">
        <f ca="1"/>
        <v>44296</v>
      </c>
      <c r="Q51">
        <f ca="1"/>
        <v>69.112981096528628</v>
      </c>
      <c r="R51">
        <f ca="1"/>
        <v>0.117846780414646</v>
      </c>
      <c r="S51">
        <f ca="1"/>
        <v>2.9268757072197574E-3</v>
      </c>
      <c r="T51">
        <f ca="1"/>
        <v>0.31983135418618497</v>
      </c>
      <c r="U51">
        <f ca="1"/>
        <v>0</v>
      </c>
      <c r="V51">
        <f ca="1"/>
        <v>4.0487088484767702</v>
      </c>
      <c r="W51">
        <f ca="1"/>
        <v>3.2459476112787899</v>
      </c>
      <c r="X51">
        <f ca="1"/>
        <v>0</v>
      </c>
      <c r="Y51">
        <f ca="1"/>
        <v>0.60401036992439194</v>
      </c>
      <c r="Z51">
        <f ca="1"/>
        <v>0</v>
      </c>
      <c r="AA51">
        <f ca="1"/>
        <v>0</v>
      </c>
      <c r="AB51">
        <f ca="1"/>
        <v>7.8623907742991894E-3</v>
      </c>
      <c r="AD51" s="2">
        <f t="shared" ca="1" si="2"/>
        <v>44296</v>
      </c>
      <c r="AE51" s="46">
        <f t="shared" ca="1" si="3"/>
        <v>0</v>
      </c>
      <c r="AG51" s="72">
        <f t="shared" ca="1" si="7"/>
        <v>69.23082787694328</v>
      </c>
      <c r="AH51" s="72">
        <f t="shared" ca="1" si="8"/>
        <v>69.23082787694328</v>
      </c>
      <c r="AI51" s="3">
        <f t="shared" ca="1" si="9"/>
        <v>0</v>
      </c>
    </row>
    <row r="52" spans="1:35" x14ac:dyDescent="0.25">
      <c r="G52" s="3">
        <f t="shared" si="4"/>
        <v>321</v>
      </c>
      <c r="H52" s="104">
        <f t="shared" si="6"/>
        <v>44150</v>
      </c>
      <c r="I52" s="131">
        <f>HLOOKUP($H$4,'Met Data'!$A$2:$F$368,G52,FALSE)</f>
        <v>15.191666666666601</v>
      </c>
      <c r="J52" s="131">
        <f ca="1">HLOOKUP($H$4,'Met Data'!$H$2:$M$368,G52,FALSE)*L52</f>
        <v>2.6801666666666648</v>
      </c>
      <c r="K52" s="105">
        <f>HLOOKUP($H$4,'Met Data'!$O$2:$T$368,G52,FALSE)</f>
        <v>3.4660928584042798</v>
      </c>
      <c r="L52">
        <f t="shared" ca="1" si="0"/>
        <v>0.65</v>
      </c>
      <c r="N52" t="b">
        <f t="shared" ca="1" si="5"/>
        <v>1</v>
      </c>
      <c r="O52" t="b">
        <f t="shared" ca="1" si="1"/>
        <v>1</v>
      </c>
      <c r="P52" s="2">
        <f ca="1"/>
        <v>44297</v>
      </c>
      <c r="Q52">
        <f ca="1"/>
        <v>69.313412222469566</v>
      </c>
      <c r="R52">
        <f ca="1"/>
        <v>0.11916283370958999</v>
      </c>
      <c r="S52">
        <f ca="1"/>
        <v>2.5926402429137683E-3</v>
      </c>
      <c r="T52">
        <f ca="1"/>
        <v>0.31700131940761972</v>
      </c>
      <c r="U52">
        <f ca="1"/>
        <v>0</v>
      </c>
      <c r="V52">
        <f ca="1"/>
        <v>4.1678716821863597</v>
      </c>
      <c r="W52">
        <f ca="1"/>
        <v>3.3414833314080301</v>
      </c>
      <c r="X52">
        <f ca="1"/>
        <v>0</v>
      </c>
      <c r="Y52">
        <f ca="1"/>
        <v>0.61396473449749289</v>
      </c>
      <c r="Z52">
        <f ca="1"/>
        <v>0</v>
      </c>
      <c r="AA52">
        <f ca="1"/>
        <v>0</v>
      </c>
      <c r="AB52">
        <f ca="1"/>
        <v>8.3837362767752999E-3</v>
      </c>
      <c r="AD52" s="2">
        <f t="shared" ca="1" si="2"/>
        <v>44297</v>
      </c>
      <c r="AE52" s="46">
        <f t="shared" ca="1" si="3"/>
        <v>0</v>
      </c>
      <c r="AG52" s="72">
        <f t="shared" ca="1" si="7"/>
        <v>69.432575056179161</v>
      </c>
      <c r="AH52" s="72">
        <f t="shared" ca="1" si="8"/>
        <v>69.432575056179161</v>
      </c>
      <c r="AI52" s="3">
        <f t="shared" ca="1" si="9"/>
        <v>0</v>
      </c>
    </row>
    <row r="53" spans="1:35" x14ac:dyDescent="0.25">
      <c r="G53" s="3">
        <f t="shared" si="4"/>
        <v>322</v>
      </c>
      <c r="H53" s="104">
        <f t="shared" si="6"/>
        <v>44151</v>
      </c>
      <c r="I53" s="131">
        <f>HLOOKUP($H$4,'Met Data'!$A$2:$F$368,G53,FALSE)</f>
        <v>14.805</v>
      </c>
      <c r="J53" s="131">
        <f ca="1">HLOOKUP($H$4,'Met Data'!$H$2:$M$368,G53,FALSE)*L53</f>
        <v>1.3649999999999936</v>
      </c>
      <c r="K53" s="105">
        <f>HLOOKUP($H$4,'Met Data'!$O$2:$T$368,G53,FALSE)</f>
        <v>3.7178898330930501</v>
      </c>
      <c r="L53">
        <f t="shared" ca="1" si="0"/>
        <v>0.65</v>
      </c>
      <c r="N53" t="b">
        <f t="shared" ca="1" si="5"/>
        <v>1</v>
      </c>
      <c r="O53" t="b">
        <f t="shared" ca="1" si="1"/>
        <v>1</v>
      </c>
      <c r="P53" s="2">
        <f ca="1"/>
        <v>44298</v>
      </c>
      <c r="Q53">
        <f ca="1"/>
        <v>69.520202427882396</v>
      </c>
      <c r="R53">
        <f ca="1"/>
        <v>0.123052598147794</v>
      </c>
      <c r="S53">
        <f ca="1"/>
        <v>2.3865707716279458E-3</v>
      </c>
      <c r="T53">
        <f ca="1"/>
        <v>0.32745623278899255</v>
      </c>
      <c r="U53">
        <f ca="1"/>
        <v>0</v>
      </c>
      <c r="V53">
        <f ca="1"/>
        <v>4.2909242803341501</v>
      </c>
      <c r="W53">
        <f ca="1"/>
        <v>3.4401375695782401</v>
      </c>
      <c r="X53">
        <f ca="1"/>
        <v>0</v>
      </c>
      <c r="Y53">
        <f ca="1"/>
        <v>0.63480608557393581</v>
      </c>
      <c r="Z53">
        <f ca="1"/>
        <v>0</v>
      </c>
      <c r="AA53">
        <f ca="1"/>
        <v>0</v>
      </c>
      <c r="AB53">
        <f ca="1"/>
        <v>8.9414242834893205E-3</v>
      </c>
      <c r="AD53" s="2">
        <f t="shared" ca="1" si="2"/>
        <v>44298</v>
      </c>
      <c r="AE53" s="46">
        <f t="shared" ca="1" si="3"/>
        <v>0</v>
      </c>
      <c r="AG53" s="72">
        <f t="shared" ca="1" si="7"/>
        <v>69.643255026030189</v>
      </c>
      <c r="AH53" s="72">
        <f t="shared" ca="1" si="8"/>
        <v>69.643255026030189</v>
      </c>
      <c r="AI53" s="3">
        <f t="shared" ca="1" si="9"/>
        <v>0</v>
      </c>
    </row>
    <row r="54" spans="1:35" x14ac:dyDescent="0.25">
      <c r="G54" s="3">
        <f t="shared" si="4"/>
        <v>323</v>
      </c>
      <c r="H54" s="104">
        <f t="shared" si="6"/>
        <v>44152</v>
      </c>
      <c r="I54" s="131">
        <f>HLOOKUP($H$4,'Met Data'!$A$2:$F$368,G54,FALSE)</f>
        <v>14.4366666666666</v>
      </c>
      <c r="J54" s="131">
        <f ca="1">HLOOKUP($H$4,'Met Data'!$H$2:$M$368,G54,FALSE)*L54</f>
        <v>1.4625000000000001</v>
      </c>
      <c r="K54" s="105">
        <f>HLOOKUP($H$4,'Met Data'!$O$2:$T$368,G54,FALSE)</f>
        <v>3.8903759726723899</v>
      </c>
      <c r="L54">
        <f t="shared" ca="1" si="0"/>
        <v>0.65</v>
      </c>
      <c r="N54" t="b">
        <f t="shared" ca="1" si="5"/>
        <v>1</v>
      </c>
      <c r="O54" t="b">
        <f t="shared" ca="1" si="1"/>
        <v>1</v>
      </c>
      <c r="P54" s="2">
        <f ca="1"/>
        <v>44299</v>
      </c>
      <c r="Q54">
        <f ca="1"/>
        <v>69.7310474917047</v>
      </c>
      <c r="R54">
        <f ca="1"/>
        <v>0.128718857470866</v>
      </c>
      <c r="S54">
        <f ca="1"/>
        <v>2.1648577709680386E-3</v>
      </c>
      <c r="T54">
        <f ca="1"/>
        <v>0.33739906352220994</v>
      </c>
      <c r="U54">
        <f ca="1"/>
        <v>0</v>
      </c>
      <c r="V54">
        <f ca="1"/>
        <v>4.4196431378050196</v>
      </c>
      <c r="W54">
        <f ca="1"/>
        <v>3.5433345846195401</v>
      </c>
      <c r="X54">
        <f ca="1"/>
        <v>0</v>
      </c>
      <c r="Y54">
        <f ca="1"/>
        <v>0.64174628581026072</v>
      </c>
      <c r="Z54">
        <f ca="1"/>
        <v>0</v>
      </c>
      <c r="AA54">
        <f ca="1"/>
        <v>0</v>
      </c>
      <c r="AB54">
        <f ca="1"/>
        <v>9.5459226981221904E-3</v>
      </c>
      <c r="AD54" s="2">
        <f t="shared" ca="1" si="2"/>
        <v>44299</v>
      </c>
      <c r="AE54" s="46">
        <f t="shared" ca="1" si="3"/>
        <v>0</v>
      </c>
      <c r="AG54" s="72">
        <f t="shared" ca="1" si="7"/>
        <v>69.859766349175572</v>
      </c>
      <c r="AH54" s="72">
        <f t="shared" ca="1" si="8"/>
        <v>69.859766349175572</v>
      </c>
      <c r="AI54" s="3">
        <f t="shared" ca="1" si="9"/>
        <v>0</v>
      </c>
    </row>
    <row r="55" spans="1:35" x14ac:dyDescent="0.25">
      <c r="G55" s="3">
        <f t="shared" si="4"/>
        <v>324</v>
      </c>
      <c r="H55" s="104">
        <f t="shared" si="6"/>
        <v>44153</v>
      </c>
      <c r="I55" s="131">
        <f>HLOOKUP($H$4,'Met Data'!$A$2:$F$368,G55,FALSE)</f>
        <v>14.4133333333333</v>
      </c>
      <c r="J55" s="131">
        <f ca="1">HLOOKUP($H$4,'Met Data'!$H$2:$M$368,G55,FALSE)*L55</f>
        <v>1.0768333333333291</v>
      </c>
      <c r="K55" s="105">
        <f>HLOOKUP($H$4,'Met Data'!$O$2:$T$368,G55,FALSE)</f>
        <v>3.9105195639997401</v>
      </c>
      <c r="L55">
        <f t="shared" ca="1" si="0"/>
        <v>0.65</v>
      </c>
      <c r="N55" t="b">
        <f t="shared" ca="1" si="5"/>
        <v>1</v>
      </c>
      <c r="O55" t="b">
        <f t="shared" ca="1" si="1"/>
        <v>1</v>
      </c>
      <c r="P55" s="2">
        <f ca="1"/>
        <v>44300</v>
      </c>
      <c r="Q55">
        <f ca="1"/>
        <v>69.939359262606132</v>
      </c>
      <c r="R55">
        <f ca="1"/>
        <v>0.12989965242919699</v>
      </c>
      <c r="S55">
        <f ca="1"/>
        <v>1.9138655308095216E-3</v>
      </c>
      <c r="T55">
        <f ca="1"/>
        <v>0.33629755779982901</v>
      </c>
      <c r="U55">
        <f ca="1"/>
        <v>0</v>
      </c>
      <c r="V55">
        <f ca="1"/>
        <v>4.54954279023422</v>
      </c>
      <c r="W55">
        <f ca="1"/>
        <v>3.64747827148088</v>
      </c>
      <c r="X55">
        <f ca="1"/>
        <v>0</v>
      </c>
      <c r="Y55">
        <f ca="1"/>
        <v>0.65774152626551641</v>
      </c>
      <c r="Z55">
        <f ca="1"/>
        <v>0</v>
      </c>
      <c r="AA55">
        <f ca="1"/>
        <v>0</v>
      </c>
      <c r="AB55">
        <f ca="1"/>
        <v>1.01779910348109E-2</v>
      </c>
      <c r="AD55" s="2">
        <f t="shared" ca="1" si="2"/>
        <v>44300</v>
      </c>
      <c r="AE55" s="46">
        <f t="shared" ca="1" si="3"/>
        <v>0</v>
      </c>
      <c r="AG55" s="72">
        <f t="shared" ca="1" si="7"/>
        <v>70.069258915035334</v>
      </c>
      <c r="AH55" s="72">
        <f t="shared" ca="1" si="8"/>
        <v>70.069258915035334</v>
      </c>
      <c r="AI55" s="3">
        <f t="shared" ca="1" si="9"/>
        <v>0</v>
      </c>
    </row>
    <row r="56" spans="1:35" x14ac:dyDescent="0.25">
      <c r="G56" s="3">
        <f t="shared" si="4"/>
        <v>325</v>
      </c>
      <c r="H56" s="104">
        <f t="shared" si="6"/>
        <v>44154</v>
      </c>
      <c r="I56" s="131">
        <f>HLOOKUP($H$4,'Met Data'!$A$2:$F$368,G56,FALSE)</f>
        <v>14.8266666666666</v>
      </c>
      <c r="J56" s="131">
        <f ca="1">HLOOKUP($H$4,'Met Data'!$H$2:$M$368,G56,FALSE)*L56</f>
        <v>1.5708333333333289</v>
      </c>
      <c r="K56" s="105">
        <f>HLOOKUP($H$4,'Met Data'!$O$2:$T$368,G56,FALSE)</f>
        <v>3.75734672122165</v>
      </c>
      <c r="L56">
        <f t="shared" ca="1" si="0"/>
        <v>0.65</v>
      </c>
      <c r="N56" t="b">
        <f t="shared" ca="1" si="5"/>
        <v>1</v>
      </c>
      <c r="O56" t="b">
        <f t="shared" ca="1" si="1"/>
        <v>1</v>
      </c>
      <c r="P56" s="2">
        <f ca="1"/>
        <v>44301</v>
      </c>
      <c r="Q56">
        <f ca="1"/>
        <v>70.144993029494955</v>
      </c>
      <c r="R56">
        <f ca="1"/>
        <v>0.13201643324552101</v>
      </c>
      <c r="S56">
        <f ca="1"/>
        <v>1.6886265297218891E-3</v>
      </c>
      <c r="T56">
        <f ca="1"/>
        <v>0.33596157360461831</v>
      </c>
      <c r="U56">
        <f ca="1"/>
        <v>0</v>
      </c>
      <c r="V56">
        <f ca="1"/>
        <v>4.6815592234797396</v>
      </c>
      <c r="W56">
        <f ca="1"/>
        <v>3.7533190326173802</v>
      </c>
      <c r="X56">
        <f ca="1"/>
        <v>0</v>
      </c>
      <c r="Y56">
        <f ca="1"/>
        <v>0.66823640453596578</v>
      </c>
      <c r="Z56">
        <f ca="1"/>
        <v>0</v>
      </c>
      <c r="AA56">
        <f ca="1"/>
        <v>0</v>
      </c>
      <c r="AB56">
        <f ca="1"/>
        <v>1.0843148972378E-2</v>
      </c>
      <c r="AD56" s="2">
        <f t="shared" ca="1" si="2"/>
        <v>44301</v>
      </c>
      <c r="AE56" s="46">
        <f t="shared" ca="1" si="3"/>
        <v>0</v>
      </c>
      <c r="AG56" s="72">
        <f t="shared" ca="1" si="7"/>
        <v>70.27700946274048</v>
      </c>
      <c r="AH56" s="72">
        <f t="shared" ca="1" si="8"/>
        <v>70.27700946274048</v>
      </c>
      <c r="AI56" s="3">
        <f t="shared" ca="1" si="9"/>
        <v>0</v>
      </c>
    </row>
    <row r="57" spans="1:35" x14ac:dyDescent="0.25">
      <c r="A57" s="1"/>
      <c r="B57" s="1"/>
      <c r="G57" s="3">
        <f t="shared" si="4"/>
        <v>326</v>
      </c>
      <c r="H57" s="104">
        <f t="shared" si="6"/>
        <v>44155</v>
      </c>
      <c r="I57" s="131">
        <f>HLOOKUP($H$4,'Met Data'!$A$2:$F$368,G57,FALSE)</f>
        <v>14.899999999999901</v>
      </c>
      <c r="J57" s="131">
        <f ca="1">HLOOKUP($H$4,'Met Data'!$H$2:$M$368,G57,FALSE)*L57</f>
        <v>1.843833333333329</v>
      </c>
      <c r="K57" s="105">
        <f>HLOOKUP($H$4,'Met Data'!$O$2:$T$368,G57,FALSE)</f>
        <v>3.5492721007612098</v>
      </c>
      <c r="L57">
        <f t="shared" ca="1" si="0"/>
        <v>0.65</v>
      </c>
      <c r="N57" t="b">
        <f t="shared" ca="1" si="5"/>
        <v>1</v>
      </c>
      <c r="O57" t="b">
        <f t="shared" ca="1" si="1"/>
        <v>1</v>
      </c>
      <c r="P57" s="2">
        <f ca="1"/>
        <v>44302</v>
      </c>
      <c r="Q57">
        <f ca="1"/>
        <v>70.364800085686937</v>
      </c>
      <c r="R57">
        <f ca="1"/>
        <v>0.14026501651929699</v>
      </c>
      <c r="S57">
        <f ca="1"/>
        <v>1.5738150226066322E-3</v>
      </c>
      <c r="T57">
        <f ca="1"/>
        <v>0.35849825768867166</v>
      </c>
      <c r="U57">
        <f ca="1"/>
        <v>0</v>
      </c>
      <c r="V57">
        <f ca="1"/>
        <v>4.8218242399990396</v>
      </c>
      <c r="W57">
        <f ca="1"/>
        <v>3.8657728820681898</v>
      </c>
      <c r="X57">
        <f ca="1"/>
        <v>0</v>
      </c>
      <c r="Y57">
        <f ca="1"/>
        <v>0.68650556223737458</v>
      </c>
      <c r="Z57">
        <f ca="1"/>
        <v>0</v>
      </c>
      <c r="AA57">
        <f ca="1"/>
        <v>0</v>
      </c>
      <c r="AB57">
        <f ca="1"/>
        <v>1.15751691466103E-2</v>
      </c>
      <c r="AD57" s="2">
        <f t="shared" ca="1" si="2"/>
        <v>44302</v>
      </c>
      <c r="AE57" s="46">
        <f t="shared" ca="1" si="3"/>
        <v>0</v>
      </c>
      <c r="AG57" s="72">
        <f t="shared" ca="1" si="7"/>
        <v>70.505065102206231</v>
      </c>
      <c r="AH57" s="72">
        <f t="shared" ca="1" si="8"/>
        <v>70.505065102206231</v>
      </c>
      <c r="AI57" s="3">
        <f t="shared" ca="1" si="9"/>
        <v>0</v>
      </c>
    </row>
    <row r="58" spans="1:35" x14ac:dyDescent="0.25">
      <c r="G58" s="3">
        <f t="shared" si="4"/>
        <v>327</v>
      </c>
      <c r="H58" s="104">
        <f t="shared" si="6"/>
        <v>44156</v>
      </c>
      <c r="I58" s="131">
        <f>HLOOKUP($H$4,'Met Data'!$A$2:$F$368,G58,FALSE)</f>
        <v>15.125</v>
      </c>
      <c r="J58" s="131">
        <f ca="1">HLOOKUP($H$4,'Met Data'!$H$2:$M$368,G58,FALSE)*L58</f>
        <v>2.6628333333333289</v>
      </c>
      <c r="K58" s="105">
        <f>HLOOKUP($H$4,'Met Data'!$O$2:$T$368,G58,FALSE)</f>
        <v>3.6984174874033999</v>
      </c>
      <c r="L58">
        <f t="shared" ca="1" si="0"/>
        <v>0.65</v>
      </c>
      <c r="N58" t="b">
        <f t="shared" ca="1" si="5"/>
        <v>1</v>
      </c>
      <c r="O58" t="b">
        <f t="shared" ca="1" si="1"/>
        <v>1</v>
      </c>
      <c r="P58" s="2">
        <f ca="1"/>
        <v>44303</v>
      </c>
      <c r="Q58">
        <f ca="1"/>
        <v>70.580299390696069</v>
      </c>
      <c r="R58">
        <f ca="1"/>
        <v>0.14202278667986901</v>
      </c>
      <c r="S58">
        <f ca="1"/>
        <v>1.3693240106067513E-3</v>
      </c>
      <c r="T58">
        <f ca="1"/>
        <v>0.35615276767839982</v>
      </c>
      <c r="U58">
        <f ca="1"/>
        <v>0</v>
      </c>
      <c r="V58">
        <f ca="1"/>
        <v>4.9638470266789003</v>
      </c>
      <c r="W58">
        <f ca="1"/>
        <v>3.9796359782856698</v>
      </c>
      <c r="X58">
        <f ca="1"/>
        <v>0</v>
      </c>
      <c r="Y58">
        <f ca="1"/>
        <v>0.69689048246504315</v>
      </c>
      <c r="Z58">
        <f ca="1"/>
        <v>0</v>
      </c>
      <c r="AA58">
        <f ca="1"/>
        <v>0</v>
      </c>
      <c r="AB58">
        <f ca="1"/>
        <v>1.23430566292609E-2</v>
      </c>
      <c r="AD58" s="2">
        <f t="shared" ca="1" si="2"/>
        <v>44303</v>
      </c>
      <c r="AE58" s="46">
        <f t="shared" ca="1" si="3"/>
        <v>0</v>
      </c>
      <c r="AG58" s="72">
        <f t="shared" ca="1" si="7"/>
        <v>70.722322177375943</v>
      </c>
      <c r="AH58" s="72">
        <f t="shared" ca="1" si="8"/>
        <v>70.722322177375943</v>
      </c>
      <c r="AI58" s="3">
        <f t="shared" ca="1" si="9"/>
        <v>0</v>
      </c>
    </row>
    <row r="59" spans="1:35" x14ac:dyDescent="0.25">
      <c r="G59" s="3">
        <f t="shared" si="4"/>
        <v>328</v>
      </c>
      <c r="H59" s="104">
        <f t="shared" si="6"/>
        <v>44157</v>
      </c>
      <c r="I59" s="131">
        <f>HLOOKUP($H$4,'Met Data'!$A$2:$F$368,G59,FALSE)</f>
        <v>15.358333333333301</v>
      </c>
      <c r="J59" s="131">
        <f ca="1">HLOOKUP($H$4,'Met Data'!$H$2:$M$368,G59,FALSE)*L59</f>
        <v>1.9760000000000002</v>
      </c>
      <c r="K59" s="105">
        <f>HLOOKUP($H$4,'Met Data'!$O$2:$T$368,G59,FALSE)</f>
        <v>3.9426742076693699</v>
      </c>
      <c r="L59">
        <f t="shared" ca="1" si="0"/>
        <v>0.65</v>
      </c>
      <c r="N59" t="b">
        <f t="shared" ca="1" si="5"/>
        <v>1</v>
      </c>
      <c r="O59" t="b">
        <f t="shared" ca="1" si="1"/>
        <v>1</v>
      </c>
      <c r="P59" s="2">
        <f ca="1"/>
        <v>44304</v>
      </c>
      <c r="Q59">
        <f ca="1"/>
        <v>70.797100477148206</v>
      </c>
      <c r="R59">
        <f ca="1"/>
        <v>0.14622027127619</v>
      </c>
      <c r="S59">
        <f ca="1"/>
        <v>1.2128633764169547E-3</v>
      </c>
      <c r="T59">
        <f ca="1"/>
        <v>0.36180849435190227</v>
      </c>
      <c r="U59">
        <f ca="1"/>
        <v>0</v>
      </c>
      <c r="V59">
        <f ca="1"/>
        <v>5.1100672979550898</v>
      </c>
      <c r="W59">
        <f ca="1"/>
        <v>4.0968642992226201</v>
      </c>
      <c r="X59">
        <f ca="1"/>
        <v>0</v>
      </c>
      <c r="Y59">
        <f ca="1"/>
        <v>0.70797041210025724</v>
      </c>
      <c r="Z59">
        <f ca="1"/>
        <v>0</v>
      </c>
      <c r="AA59">
        <f ca="1"/>
        <v>0</v>
      </c>
      <c r="AB59">
        <f ca="1"/>
        <v>1.3161837502597201E-2</v>
      </c>
      <c r="AD59" s="2">
        <f t="shared" ca="1" si="2"/>
        <v>44304</v>
      </c>
      <c r="AE59" s="46">
        <f t="shared" ca="1" si="3"/>
        <v>0</v>
      </c>
      <c r="AG59" s="72">
        <f t="shared" ca="1" si="7"/>
        <v>70.943320748424398</v>
      </c>
      <c r="AH59" s="72">
        <f t="shared" ca="1" si="8"/>
        <v>70.943320748424398</v>
      </c>
      <c r="AI59" s="3">
        <f t="shared" ca="1" si="9"/>
        <v>0</v>
      </c>
    </row>
    <row r="60" spans="1:35" x14ac:dyDescent="0.25">
      <c r="G60" s="3">
        <f t="shared" si="4"/>
        <v>329</v>
      </c>
      <c r="H60" s="104">
        <f t="shared" si="6"/>
        <v>44158</v>
      </c>
      <c r="I60" s="131">
        <f>HLOOKUP($H$4,'Met Data'!$A$2:$F$368,G60,FALSE)</f>
        <v>15.2051724137931</v>
      </c>
      <c r="J60" s="131">
        <f ca="1">HLOOKUP($H$4,'Met Data'!$H$2:$M$368,G60,FALSE)*L60</f>
        <v>1.6025862068965515</v>
      </c>
      <c r="K60" s="105">
        <f>HLOOKUP($H$4,'Met Data'!$O$2:$T$368,G60,FALSE)</f>
        <v>3.7475647250722499</v>
      </c>
      <c r="L60">
        <f t="shared" ca="1" si="0"/>
        <v>0.65</v>
      </c>
      <c r="N60" t="b">
        <f t="shared" ca="1" si="5"/>
        <v>1</v>
      </c>
      <c r="O60" t="b">
        <f t="shared" ca="1" si="1"/>
        <v>1</v>
      </c>
      <c r="P60" s="2">
        <f ca="1"/>
        <v>44305</v>
      </c>
      <c r="Q60">
        <f ca="1"/>
        <v>71.008217071384536</v>
      </c>
      <c r="R60">
        <f ca="1"/>
        <v>0.148161897844833</v>
      </c>
      <c r="S60">
        <f ca="1"/>
        <v>1.0480721675472857E-3</v>
      </c>
      <c r="T60">
        <f ca="1"/>
        <v>0.3582304199136146</v>
      </c>
      <c r="U60">
        <f ca="1"/>
        <v>0</v>
      </c>
      <c r="V60">
        <f ca="1"/>
        <v>5.2582291957999301</v>
      </c>
      <c r="W60">
        <f ca="1"/>
        <v>4.21564926904649</v>
      </c>
      <c r="X60">
        <f ca="1"/>
        <v>0</v>
      </c>
      <c r="Y60">
        <f ca="1"/>
        <v>0.71454993367447395</v>
      </c>
      <c r="Z60">
        <f ca="1"/>
        <v>0</v>
      </c>
      <c r="AA60">
        <f ca="1"/>
        <v>0</v>
      </c>
      <c r="AB60">
        <f ca="1"/>
        <v>1.4020806208592499E-2</v>
      </c>
      <c r="AD60" s="2">
        <f t="shared" ca="1" si="2"/>
        <v>44305</v>
      </c>
      <c r="AE60" s="46">
        <f t="shared" ca="1" si="3"/>
        <v>0</v>
      </c>
      <c r="AG60" s="72">
        <f t="shared" ca="1" si="7"/>
        <v>71.156378969229365</v>
      </c>
      <c r="AH60" s="72">
        <f t="shared" ca="1" si="8"/>
        <v>71.156378969229365</v>
      </c>
      <c r="AI60" s="3">
        <f t="shared" ca="1" si="9"/>
        <v>0</v>
      </c>
    </row>
    <row r="61" spans="1:35" x14ac:dyDescent="0.25">
      <c r="G61" s="3">
        <f t="shared" si="4"/>
        <v>330</v>
      </c>
      <c r="H61" s="104">
        <f t="shared" si="6"/>
        <v>44159</v>
      </c>
      <c r="I61" s="131">
        <f>HLOOKUP($H$4,'Met Data'!$A$2:$F$368,G61,FALSE)</f>
        <v>15.834482758620601</v>
      </c>
      <c r="J61" s="131">
        <f ca="1">HLOOKUP($H$4,'Met Data'!$H$2:$M$368,G61,FALSE)*L61</f>
        <v>1.8177586206896545</v>
      </c>
      <c r="K61" s="105">
        <f>HLOOKUP($H$4,'Met Data'!$O$2:$T$368,G61,FALSE)</f>
        <v>4.1132182691665697</v>
      </c>
      <c r="L61">
        <f t="shared" ca="1" si="0"/>
        <v>0.65</v>
      </c>
      <c r="N61" t="b">
        <f t="shared" ca="1" si="5"/>
        <v>1</v>
      </c>
      <c r="O61" t="b">
        <f t="shared" ca="1" si="1"/>
        <v>1</v>
      </c>
      <c r="P61" s="2">
        <f ca="1"/>
        <v>44306</v>
      </c>
      <c r="Q61">
        <f ca="1"/>
        <v>24.200000000000003</v>
      </c>
      <c r="R61">
        <f ca="1"/>
        <v>0.154535875003777</v>
      </c>
      <c r="S61">
        <f ca="1"/>
        <v>9.2519807846175534E-4</v>
      </c>
      <c r="T61">
        <f ca="1"/>
        <v>0.36490190896834729</v>
      </c>
      <c r="U61">
        <f ca="1"/>
        <v>0</v>
      </c>
      <c r="V61">
        <f ca="1"/>
        <v>5.4127650708037001</v>
      </c>
      <c r="W61">
        <f ca="1"/>
        <v>4.3395444102133096</v>
      </c>
      <c r="X61">
        <f ca="1"/>
        <v>0</v>
      </c>
      <c r="Y61">
        <f ca="1"/>
        <v>0.71509150828341594</v>
      </c>
      <c r="Z61">
        <f ca="1"/>
        <v>0</v>
      </c>
      <c r="AA61">
        <f ca="1"/>
        <v>0</v>
      </c>
      <c r="AB61">
        <f ca="1"/>
        <v>1.4948305672073199E-2</v>
      </c>
      <c r="AD61" s="2">
        <f t="shared" ca="1" si="2"/>
        <v>44306</v>
      </c>
      <c r="AE61" s="46">
        <f t="shared" ca="1" si="3"/>
        <v>0</v>
      </c>
      <c r="AG61" s="72">
        <f t="shared" ca="1" si="7"/>
        <v>71.374044178431348</v>
      </c>
      <c r="AH61" s="72">
        <f t="shared" ca="1" si="8"/>
        <v>24.35453587500378</v>
      </c>
      <c r="AI61" s="3">
        <f t="shared" ca="1" si="9"/>
        <v>-47.019508303427571</v>
      </c>
    </row>
    <row r="62" spans="1:35" x14ac:dyDescent="0.25">
      <c r="G62" s="3">
        <f t="shared" si="4"/>
        <v>331</v>
      </c>
      <c r="H62" s="104">
        <f t="shared" si="6"/>
        <v>44160</v>
      </c>
      <c r="I62" s="131">
        <f>HLOOKUP($H$4,'Met Data'!$A$2:$F$368,G62,FALSE)</f>
        <v>15.876666666666599</v>
      </c>
      <c r="J62" s="131">
        <f ca="1">HLOOKUP($H$4,'Met Data'!$H$2:$M$368,G62,FALSE)*L62</f>
        <v>1.4733333333333289</v>
      </c>
      <c r="K62" s="105">
        <f>HLOOKUP($H$4,'Met Data'!$O$2:$T$368,G62,FALSE)</f>
        <v>4.0838977840275996</v>
      </c>
      <c r="L62">
        <f t="shared" ca="1" si="0"/>
        <v>0.65</v>
      </c>
      <c r="N62" t="b">
        <f t="shared" ca="1" si="5"/>
        <v>1</v>
      </c>
      <c r="O62" t="b">
        <f t="shared" ca="1" si="1"/>
        <v>1</v>
      </c>
      <c r="P62" s="2">
        <f ca="1"/>
        <v>44307</v>
      </c>
      <c r="Q62">
        <f ca="1"/>
        <v>24.413328646004615</v>
      </c>
      <c r="R62">
        <f ca="1"/>
        <v>0.157399301563453</v>
      </c>
      <c r="S62">
        <f ca="1"/>
        <v>8.1680903555059355E-4</v>
      </c>
      <c r="T62">
        <f ca="1"/>
        <v>0.36991113853251467</v>
      </c>
      <c r="U62">
        <f ca="1"/>
        <v>0</v>
      </c>
      <c r="V62">
        <f ca="1"/>
        <v>5.5701643723671603</v>
      </c>
      <c r="W62">
        <f ca="1"/>
        <v>4.4657352295702202</v>
      </c>
      <c r="X62">
        <f ca="1"/>
        <v>0</v>
      </c>
      <c r="Y62">
        <f ca="1"/>
        <v>0.73457367674910445</v>
      </c>
      <c r="Z62">
        <f ca="1"/>
        <v>0</v>
      </c>
      <c r="AA62">
        <f ca="1"/>
        <v>0</v>
      </c>
      <c r="AB62">
        <f ca="1"/>
        <v>1.5926271459322499E-2</v>
      </c>
      <c r="AD62" s="2">
        <f t="shared" ca="1" si="2"/>
        <v>44307</v>
      </c>
      <c r="AE62" s="46">
        <f t="shared" ca="1" si="3"/>
        <v>0</v>
      </c>
      <c r="AG62" s="72">
        <f t="shared" ca="1" si="7"/>
        <v>24.57072794756807</v>
      </c>
      <c r="AH62" s="72">
        <f t="shared" ca="1" si="8"/>
        <v>24.570727947568066</v>
      </c>
      <c r="AI62" s="3">
        <f t="shared" ca="1" si="9"/>
        <v>0</v>
      </c>
    </row>
    <row r="63" spans="1:35" x14ac:dyDescent="0.25">
      <c r="G63" s="3">
        <f t="shared" si="4"/>
        <v>332</v>
      </c>
      <c r="H63" s="104">
        <f t="shared" si="6"/>
        <v>44161</v>
      </c>
      <c r="I63" s="131">
        <f>HLOOKUP($H$4,'Met Data'!$A$2:$F$368,G63,FALSE)</f>
        <v>15.52</v>
      </c>
      <c r="J63" s="131">
        <f ca="1">HLOOKUP($H$4,'Met Data'!$H$2:$M$368,G63,FALSE)*L63</f>
        <v>2.4006666666666643</v>
      </c>
      <c r="K63" s="105">
        <f>HLOOKUP($H$4,'Met Data'!$O$2:$T$368,G63,FALSE)</f>
        <v>4.2967341086411999</v>
      </c>
      <c r="L63">
        <f t="shared" ca="1" si="0"/>
        <v>0.65</v>
      </c>
      <c r="N63" t="b">
        <f t="shared" ca="1" si="5"/>
        <v>1</v>
      </c>
      <c r="O63" t="b">
        <f t="shared" ca="1" si="1"/>
        <v>1</v>
      </c>
      <c r="P63" s="2">
        <f ca="1"/>
        <v>44308</v>
      </c>
      <c r="Q63">
        <f ca="1"/>
        <v>24.615370949267785</v>
      </c>
      <c r="R63">
        <f ca="1"/>
        <v>0.15396132567816201</v>
      </c>
      <c r="S63">
        <f ca="1"/>
        <v>6.873557660698503E-4</v>
      </c>
      <c r="T63">
        <f ca="1"/>
        <v>0.35531627317525616</v>
      </c>
      <c r="U63">
        <f ca="1"/>
        <v>0</v>
      </c>
      <c r="V63">
        <f ca="1"/>
        <v>5.7241256980453201</v>
      </c>
      <c r="W63">
        <f ca="1"/>
        <v>4.5891697406742704</v>
      </c>
      <c r="X63">
        <f ca="1"/>
        <v>0</v>
      </c>
      <c r="Y63">
        <f ca="1"/>
        <v>0.75029226544007266</v>
      </c>
      <c r="Z63">
        <f ca="1"/>
        <v>0</v>
      </c>
      <c r="AA63">
        <f ca="1"/>
        <v>0</v>
      </c>
      <c r="AB63">
        <f ca="1"/>
        <v>1.69154930753306E-2</v>
      </c>
      <c r="AD63" s="2">
        <f t="shared" ca="1" si="2"/>
        <v>44308</v>
      </c>
      <c r="AE63" s="46">
        <f t="shared" ca="1" si="3"/>
        <v>0</v>
      </c>
      <c r="AG63" s="72">
        <f t="shared" ca="1" si="7"/>
        <v>24.769332274945938</v>
      </c>
      <c r="AH63" s="72">
        <f t="shared" ca="1" si="8"/>
        <v>24.769332274945945</v>
      </c>
      <c r="AI63" s="3">
        <f t="shared" ca="1" si="9"/>
        <v>0</v>
      </c>
    </row>
    <row r="64" spans="1:35" x14ac:dyDescent="0.25">
      <c r="G64" s="3">
        <f t="shared" si="4"/>
        <v>333</v>
      </c>
      <c r="H64" s="104">
        <f t="shared" si="6"/>
        <v>44162</v>
      </c>
      <c r="I64" s="131">
        <f>HLOOKUP($H$4,'Met Data'!$A$2:$F$368,G64,FALSE)</f>
        <v>15.438333333333301</v>
      </c>
      <c r="J64" s="131">
        <f ca="1">HLOOKUP($H$4,'Met Data'!$H$2:$M$368,G64,FALSE)*L64</f>
        <v>2.9856666666666647</v>
      </c>
      <c r="K64" s="105">
        <f>HLOOKUP($H$4,'Met Data'!$O$2:$T$368,G64,FALSE)</f>
        <v>3.7863185649490698</v>
      </c>
      <c r="L64">
        <f t="shared" ca="1" si="0"/>
        <v>0.65</v>
      </c>
      <c r="N64" t="b">
        <f t="shared" ca="1" si="5"/>
        <v>1</v>
      </c>
      <c r="O64" t="b">
        <f t="shared" ca="1" si="1"/>
        <v>1</v>
      </c>
      <c r="P64" s="2">
        <f ca="1"/>
        <v>44309</v>
      </c>
      <c r="Q64">
        <f ca="1"/>
        <v>24.818407607523639</v>
      </c>
      <c r="R64">
        <f ca="1"/>
        <v>0.159760305389817</v>
      </c>
      <c r="S64">
        <f ca="1"/>
        <v>6.0761021900552093E-4</v>
      </c>
      <c r="T64">
        <f ca="1"/>
        <v>0.36218935342666475</v>
      </c>
      <c r="U64">
        <f ca="1"/>
        <v>0</v>
      </c>
      <c r="V64">
        <f ca="1"/>
        <v>5.8838860034351397</v>
      </c>
      <c r="W64">
        <f ca="1"/>
        <v>4.7172534337885104</v>
      </c>
      <c r="X64">
        <f ca="1"/>
        <v>0</v>
      </c>
      <c r="Y64">
        <f ca="1"/>
        <v>0.75517387222390453</v>
      </c>
      <c r="Z64">
        <f ca="1"/>
        <v>0</v>
      </c>
      <c r="AA64">
        <f ca="1"/>
        <v>0</v>
      </c>
      <c r="AB64">
        <f ca="1"/>
        <v>1.7976194171586302E-2</v>
      </c>
      <c r="AD64" s="2">
        <f t="shared" ca="1" si="2"/>
        <v>44309</v>
      </c>
      <c r="AE64" s="46">
        <f t="shared" ca="1" si="3"/>
        <v>0</v>
      </c>
      <c r="AG64" s="72">
        <f t="shared" ca="1" si="7"/>
        <v>24.978167912913456</v>
      </c>
      <c r="AH64" s="72">
        <f t="shared" ca="1" si="8"/>
        <v>24.978167912913456</v>
      </c>
      <c r="AI64" s="3">
        <f t="shared" ca="1" si="9"/>
        <v>0</v>
      </c>
    </row>
    <row r="65" spans="7:35" x14ac:dyDescent="0.25">
      <c r="G65" s="3">
        <f t="shared" si="4"/>
        <v>334</v>
      </c>
      <c r="H65" s="104">
        <f t="shared" si="6"/>
        <v>44163</v>
      </c>
      <c r="I65" s="131">
        <f>HLOOKUP($H$4,'Met Data'!$A$2:$F$368,G65,FALSE)</f>
        <v>15.551724137931</v>
      </c>
      <c r="J65" s="131">
        <f ca="1">HLOOKUP($H$4,'Met Data'!$H$2:$M$368,G65,FALSE)*L65</f>
        <v>1.7124137931034487</v>
      </c>
      <c r="K65" s="105">
        <f>HLOOKUP($H$4,'Met Data'!$O$2:$T$368,G65,FALSE)</f>
        <v>3.91369181219603</v>
      </c>
      <c r="L65">
        <f t="shared" ca="1" si="0"/>
        <v>0.65</v>
      </c>
      <c r="N65" t="b">
        <f t="shared" ca="1" si="5"/>
        <v>1</v>
      </c>
      <c r="O65" t="b">
        <f t="shared" ca="1" si="1"/>
        <v>1</v>
      </c>
      <c r="P65" s="2">
        <f ca="1"/>
        <v>44310</v>
      </c>
      <c r="Q65">
        <f ca="1"/>
        <v>25.023967200795809</v>
      </c>
      <c r="R65">
        <f ca="1"/>
        <v>0.16196613546782501</v>
      </c>
      <c r="S65">
        <f ca="1"/>
        <v>5.3521415179130598E-4</v>
      </c>
      <c r="T65">
        <f ca="1"/>
        <v>0.36699051458819454</v>
      </c>
      <c r="U65">
        <f ca="1"/>
        <v>0</v>
      </c>
      <c r="V65">
        <f ca="1"/>
        <v>6.0458521389029602</v>
      </c>
      <c r="W65">
        <f ca="1"/>
        <v>4.8471055941204799</v>
      </c>
      <c r="X65">
        <f ca="1"/>
        <v>0</v>
      </c>
      <c r="Y65">
        <f ca="1"/>
        <v>0.77714828994465079</v>
      </c>
      <c r="Z65">
        <f ca="1"/>
        <v>0</v>
      </c>
      <c r="AA65">
        <f ca="1"/>
        <v>0</v>
      </c>
      <c r="AB65">
        <f ca="1"/>
        <v>1.9087229637925099E-2</v>
      </c>
      <c r="AD65" s="2">
        <f t="shared" ca="1" si="2"/>
        <v>44310</v>
      </c>
      <c r="AE65" s="46">
        <f t="shared" ca="1" si="3"/>
        <v>0</v>
      </c>
      <c r="AG65" s="72">
        <f t="shared" ca="1" si="7"/>
        <v>25.185933336263627</v>
      </c>
      <c r="AH65" s="72">
        <f t="shared" ca="1" si="8"/>
        <v>25.185933336263634</v>
      </c>
      <c r="AI65" s="3">
        <f t="shared" ca="1" si="9"/>
        <v>0</v>
      </c>
    </row>
    <row r="66" spans="7:35" x14ac:dyDescent="0.25">
      <c r="G66" s="3">
        <f t="shared" si="4"/>
        <v>335</v>
      </c>
      <c r="H66" s="104">
        <f t="shared" si="6"/>
        <v>44164</v>
      </c>
      <c r="I66" s="131">
        <f>HLOOKUP($H$4,'Met Data'!$A$2:$F$368,G66,FALSE)</f>
        <v>15.832758620689599</v>
      </c>
      <c r="J66" s="131">
        <f ca="1">HLOOKUP($H$4,'Met Data'!$H$2:$M$368,G66,FALSE)*L66</f>
        <v>1.6205172413793092</v>
      </c>
      <c r="K66" s="105">
        <f>HLOOKUP($H$4,'Met Data'!$O$2:$T$368,G66,FALSE)</f>
        <v>3.5204814386258598</v>
      </c>
      <c r="L66">
        <f t="shared" ca="1" si="0"/>
        <v>0.65</v>
      </c>
      <c r="N66" t="b">
        <f t="shared" ca="1" si="5"/>
        <v>1</v>
      </c>
      <c r="O66" t="b">
        <f t="shared" ca="1" si="1"/>
        <v>1</v>
      </c>
      <c r="P66" s="2">
        <f ca="1"/>
        <v>44311</v>
      </c>
      <c r="Q66">
        <f ca="1"/>
        <v>25.251126515691467</v>
      </c>
      <c r="R66">
        <f ca="1"/>
        <v>0.16953722001451499</v>
      </c>
      <c r="S66">
        <f ca="1"/>
        <v>4.9653624460058469E-4</v>
      </c>
      <c r="T66">
        <f ca="1"/>
        <v>0.39619999866557737</v>
      </c>
      <c r="U66">
        <f ca="1"/>
        <v>0</v>
      </c>
      <c r="V66">
        <f ca="1"/>
        <v>6.2153893589174798</v>
      </c>
      <c r="W66">
        <f ca="1"/>
        <v>4.9830276756838403</v>
      </c>
      <c r="X66">
        <f ca="1"/>
        <v>0</v>
      </c>
      <c r="Y66">
        <f ca="1"/>
        <v>0.81786589244794106</v>
      </c>
      <c r="Z66">
        <f ca="1"/>
        <v>0</v>
      </c>
      <c r="AA66">
        <f ca="1"/>
        <v>0</v>
      </c>
      <c r="AB66">
        <f ca="1"/>
        <v>2.0288802252282499E-2</v>
      </c>
      <c r="AD66" s="2">
        <f t="shared" ca="1" si="2"/>
        <v>44311</v>
      </c>
      <c r="AE66" s="46">
        <f t="shared" ca="1" si="3"/>
        <v>0</v>
      </c>
      <c r="AG66" s="72">
        <f t="shared" ca="1" si="7"/>
        <v>25.420663735705986</v>
      </c>
      <c r="AH66" s="72">
        <f t="shared" ca="1" si="8"/>
        <v>25.420663735705983</v>
      </c>
      <c r="AI66" s="3">
        <f t="shared" ca="1" si="9"/>
        <v>0</v>
      </c>
    </row>
    <row r="67" spans="7:35" x14ac:dyDescent="0.25">
      <c r="G67" s="3">
        <f t="shared" si="4"/>
        <v>336</v>
      </c>
      <c r="H67" s="104">
        <f t="shared" si="6"/>
        <v>44165</v>
      </c>
      <c r="I67" s="131">
        <f>HLOOKUP($H$4,'Met Data'!$A$2:$F$368,G67,FALSE)</f>
        <v>16.082758620689599</v>
      </c>
      <c r="J67" s="131">
        <f ca="1">HLOOKUP($H$4,'Met Data'!$H$2:$M$368,G67,FALSE)*L67</f>
        <v>1.1498275862068905</v>
      </c>
      <c r="K67" s="105">
        <f>HLOOKUP($H$4,'Met Data'!$O$2:$T$368,G67,FALSE)</f>
        <v>4.0516623269738101</v>
      </c>
      <c r="L67">
        <f t="shared" ca="1" si="0"/>
        <v>0.65</v>
      </c>
      <c r="N67" t="b">
        <f t="shared" ca="1" si="5"/>
        <v>1</v>
      </c>
      <c r="O67" t="b">
        <f t="shared" ca="1" si="1"/>
        <v>1</v>
      </c>
      <c r="P67" s="2">
        <f ca="1"/>
        <v>44312</v>
      </c>
      <c r="Q67">
        <f ca="1"/>
        <v>25.484754475827813</v>
      </c>
      <c r="R67">
        <f ca="1"/>
        <v>0.17682263183383701</v>
      </c>
      <c r="S67">
        <f ca="1"/>
        <v>4.3733393950335438E-4</v>
      </c>
      <c r="T67">
        <f ca="1"/>
        <v>0.41001325803068728</v>
      </c>
      <c r="U67">
        <f ca="1"/>
        <v>0</v>
      </c>
      <c r="V67">
        <f ca="1"/>
        <v>6.39221199075131</v>
      </c>
      <c r="W67">
        <f ca="1"/>
        <v>5.1247906477575196</v>
      </c>
      <c r="X67">
        <f ca="1"/>
        <v>0</v>
      </c>
      <c r="Y67">
        <f ca="1"/>
        <v>0.82986847761550142</v>
      </c>
      <c r="Z67">
        <f ca="1"/>
        <v>0</v>
      </c>
      <c r="AA67">
        <f ca="1"/>
        <v>0</v>
      </c>
      <c r="AB67">
        <f ca="1"/>
        <v>2.15841806337164E-2</v>
      </c>
      <c r="AD67" s="2">
        <f t="shared" ca="1" si="2"/>
        <v>44312</v>
      </c>
      <c r="AE67" s="46">
        <f t="shared" ca="1" si="3"/>
        <v>0</v>
      </c>
      <c r="AG67" s="72">
        <f t="shared" ca="1" si="7"/>
        <v>25.661577107661657</v>
      </c>
      <c r="AH67" s="72">
        <f t="shared" ca="1" si="8"/>
        <v>25.66157710766165</v>
      </c>
      <c r="AI67" s="3">
        <f t="shared" ca="1" si="9"/>
        <v>0</v>
      </c>
    </row>
    <row r="68" spans="7:35" x14ac:dyDescent="0.25">
      <c r="G68" s="3">
        <f t="shared" si="4"/>
        <v>337</v>
      </c>
      <c r="H68" s="104">
        <f t="shared" si="6"/>
        <v>44166</v>
      </c>
      <c r="I68" s="131">
        <f>HLOOKUP($H$4,'Met Data'!$A$2:$F$368,G68,FALSE)</f>
        <v>16.4931034482758</v>
      </c>
      <c r="J68" s="131">
        <f ca="1">HLOOKUP($H$4,'Met Data'!$H$2:$M$368,G68,FALSE)*L68</f>
        <v>3.3239655172413753</v>
      </c>
      <c r="K68" s="105">
        <f>HLOOKUP($H$4,'Met Data'!$O$2:$T$368,G68,FALSE)</f>
        <v>3.5036176940509298</v>
      </c>
      <c r="L68">
        <f t="shared" ca="1" si="0"/>
        <v>0.65</v>
      </c>
      <c r="N68" t="b">
        <f t="shared" ca="1" si="5"/>
        <v>1</v>
      </c>
      <c r="O68" t="b">
        <f t="shared" ca="1" si="1"/>
        <v>1</v>
      </c>
      <c r="P68" s="2">
        <f ca="1"/>
        <v>44313</v>
      </c>
      <c r="Q68">
        <f ca="1"/>
        <v>25.72713476290059</v>
      </c>
      <c r="R68">
        <f ca="1"/>
        <v>0.18655415891963001</v>
      </c>
      <c r="S68">
        <f ca="1"/>
        <v>3.8596564050315452E-4</v>
      </c>
      <c r="T68">
        <f ca="1"/>
        <v>0.42854848035191295</v>
      </c>
      <c r="U68">
        <f ca="1"/>
        <v>0</v>
      </c>
      <c r="V68">
        <f ca="1"/>
        <v>6.5787661496709404</v>
      </c>
      <c r="W68">
        <f ca="1"/>
        <v>5.2743556199948101</v>
      </c>
      <c r="X68">
        <f ca="1"/>
        <v>0</v>
      </c>
      <c r="Y68">
        <f ca="1"/>
        <v>0.83880710290336202</v>
      </c>
      <c r="Z68">
        <f ca="1"/>
        <v>0</v>
      </c>
      <c r="AA68">
        <f ca="1"/>
        <v>0</v>
      </c>
      <c r="AB68">
        <f ca="1"/>
        <v>2.29976321302779E-2</v>
      </c>
      <c r="AD68" s="2">
        <f t="shared" ca="1" si="2"/>
        <v>44313</v>
      </c>
      <c r="AE68" s="46">
        <f t="shared" ca="1" si="3"/>
        <v>0</v>
      </c>
      <c r="AG68" s="72">
        <f t="shared" ca="1" si="7"/>
        <v>25.913688921820231</v>
      </c>
      <c r="AH68" s="72">
        <f t="shared" ca="1" si="8"/>
        <v>25.913688921820221</v>
      </c>
      <c r="AI68" s="3">
        <f t="shared" ca="1" si="9"/>
        <v>0</v>
      </c>
    </row>
    <row r="69" spans="7:35" x14ac:dyDescent="0.25">
      <c r="G69" s="3">
        <f t="shared" si="4"/>
        <v>338</v>
      </c>
      <c r="H69" s="104">
        <f t="shared" si="6"/>
        <v>44167</v>
      </c>
      <c r="I69" s="131">
        <f>HLOOKUP($H$4,'Met Data'!$A$2:$F$368,G69,FALSE)</f>
        <v>16.78</v>
      </c>
      <c r="J69" s="131">
        <f ca="1">HLOOKUP($H$4,'Met Data'!$H$2:$M$368,G69,FALSE)*L69</f>
        <v>1.1114999999999999</v>
      </c>
      <c r="K69" s="105">
        <f>HLOOKUP($H$4,'Met Data'!$O$2:$T$368,G69,FALSE)</f>
        <v>3.8786861346319301</v>
      </c>
      <c r="L69">
        <f t="shared" ca="1" si="0"/>
        <v>0.65</v>
      </c>
      <c r="N69" t="b">
        <f t="shared" ca="1" si="5"/>
        <v>1</v>
      </c>
      <c r="O69" t="b">
        <f t="shared" ca="1" si="1"/>
        <v>1</v>
      </c>
      <c r="P69" s="2">
        <f ca="1"/>
        <v>44314</v>
      </c>
      <c r="Q69">
        <f ca="1"/>
        <v>25.979401701133938</v>
      </c>
      <c r="R69">
        <f ca="1"/>
        <v>0.194920965982328</v>
      </c>
      <c r="S69">
        <f ca="1"/>
        <v>3.3804419077838025E-4</v>
      </c>
      <c r="T69">
        <f ca="1"/>
        <v>0.44684986002489541</v>
      </c>
      <c r="U69">
        <f ca="1"/>
        <v>0</v>
      </c>
      <c r="V69">
        <f ca="1"/>
        <v>6.7736871156532699</v>
      </c>
      <c r="W69">
        <f ca="1"/>
        <v>5.4306284634116802</v>
      </c>
      <c r="X69">
        <f ca="1"/>
        <v>0</v>
      </c>
      <c r="Y69">
        <f ca="1"/>
        <v>0.8556870107608362</v>
      </c>
      <c r="Z69">
        <f ca="1"/>
        <v>0</v>
      </c>
      <c r="AA69">
        <f ca="1"/>
        <v>0</v>
      </c>
      <c r="AB69">
        <f ca="1"/>
        <v>2.4525883749929599E-2</v>
      </c>
      <c r="AD69" s="2">
        <f t="shared" ca="1" si="2"/>
        <v>44314</v>
      </c>
      <c r="AE69" s="46">
        <f t="shared" ca="1" si="3"/>
        <v>0</v>
      </c>
      <c r="AG69" s="72">
        <f t="shared" ca="1" si="7"/>
        <v>26.174322667116265</v>
      </c>
      <c r="AH69" s="72">
        <f t="shared" ca="1" si="8"/>
        <v>26.174322667116265</v>
      </c>
      <c r="AI69" s="3">
        <f t="shared" ca="1" si="9"/>
        <v>0</v>
      </c>
    </row>
    <row r="70" spans="7:35" x14ac:dyDescent="0.25">
      <c r="G70" s="3">
        <f t="shared" si="4"/>
        <v>339</v>
      </c>
      <c r="H70" s="104">
        <f t="shared" si="6"/>
        <v>44168</v>
      </c>
      <c r="I70" s="131">
        <f>HLOOKUP($H$4,'Met Data'!$A$2:$F$368,G70,FALSE)</f>
        <v>16.8266666666666</v>
      </c>
      <c r="J70" s="131">
        <f ca="1">HLOOKUP($H$4,'Met Data'!$H$2:$M$368,G70,FALSE)*L70</f>
        <v>3.928166666666665</v>
      </c>
      <c r="K70" s="105">
        <f>HLOOKUP($H$4,'Met Data'!$O$2:$T$368,G70,FALSE)</f>
        <v>3.6269671816345701</v>
      </c>
      <c r="L70">
        <f t="shared" ref="L70:L133" ca="1" si="10">IF(H70&lt;$B$31,$J$3,$J$4)</f>
        <v>0.65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44315</v>
      </c>
      <c r="Q70">
        <f ca="1"/>
        <v>26.212276829009767</v>
      </c>
      <c r="R70">
        <f ca="1"/>
        <v>0.18868618074075599</v>
      </c>
      <c r="S70">
        <f ca="1"/>
        <v>2.7114837602371528E-4</v>
      </c>
      <c r="T70">
        <f ca="1"/>
        <v>0.4212901602405647</v>
      </c>
      <c r="U70">
        <f ca="1"/>
        <v>0</v>
      </c>
      <c r="V70">
        <f ca="1"/>
        <v>6.9623732963940297</v>
      </c>
      <c r="W70">
        <f ca="1"/>
        <v>5.5819027290055603</v>
      </c>
      <c r="X70">
        <f ca="1"/>
        <v>0</v>
      </c>
      <c r="Y70">
        <f ca="1"/>
        <v>0.86811127244228314</v>
      </c>
      <c r="Z70">
        <f ca="1"/>
        <v>0</v>
      </c>
      <c r="AA70">
        <f ca="1"/>
        <v>0</v>
      </c>
      <c r="AB70">
        <f ca="1"/>
        <v>2.6055362883660001E-2</v>
      </c>
      <c r="AD70" s="2">
        <f t="shared" ref="AD70:AD133" ca="1" si="12">IFERROR(P70,$AD$4)</f>
        <v>44315</v>
      </c>
      <c r="AE70" s="46">
        <f t="shared" ref="AE70:AE133" ca="1" si="13">IFERROR(U70,0)</f>
        <v>0</v>
      </c>
      <c r="AG70" s="72">
        <f t="shared" ca="1" si="7"/>
        <v>26.400963009750523</v>
      </c>
      <c r="AH70" s="72">
        <f t="shared" ca="1" si="8"/>
        <v>26.400963009750523</v>
      </c>
      <c r="AI70" s="3">
        <f t="shared" ca="1" si="9"/>
        <v>0</v>
      </c>
    </row>
    <row r="71" spans="7:35" x14ac:dyDescent="0.25">
      <c r="G71" s="3">
        <f t="shared" ref="G71:G134" si="14">H71-DATE(YEAR(H71),1,0)+1</f>
        <v>340</v>
      </c>
      <c r="H71" s="104">
        <f t="shared" si="6"/>
        <v>44169</v>
      </c>
      <c r="I71" s="131">
        <f>HLOOKUP($H$4,'Met Data'!$A$2:$F$368,G71,FALSE)</f>
        <v>16.6516666666666</v>
      </c>
      <c r="J71" s="131">
        <f ca="1">HLOOKUP($H$4,'Met Data'!$H$2:$M$368,G71,FALSE)*L71</f>
        <v>3.1871666666666645</v>
      </c>
      <c r="K71" s="105">
        <f>HLOOKUP($H$4,'Met Data'!$O$2:$T$368,G71,FALSE)</f>
        <v>3.8159631078200702</v>
      </c>
      <c r="L71">
        <f t="shared" ca="1" si="10"/>
        <v>0.65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44316</v>
      </c>
      <c r="Q71">
        <f ca="1"/>
        <v>26.444312408829603</v>
      </c>
      <c r="R71">
        <f ca="1"/>
        <v>0.18841886489627799</v>
      </c>
      <c r="S71">
        <f ca="1"/>
        <v>2.2957526896746382E-4</v>
      </c>
      <c r="T71">
        <f ca="1"/>
        <v>0.42022486944714899</v>
      </c>
      <c r="U71">
        <f ca="1"/>
        <v>0</v>
      </c>
      <c r="V71">
        <f ca="1"/>
        <v>7.15079216129031</v>
      </c>
      <c r="W71">
        <f ca="1"/>
        <v>5.7329626810344703</v>
      </c>
      <c r="X71">
        <f ca="1"/>
        <v>0</v>
      </c>
      <c r="Y71">
        <f ca="1"/>
        <v>0.89250065800479628</v>
      </c>
      <c r="Z71">
        <f ca="1"/>
        <v>0</v>
      </c>
      <c r="AA71">
        <f ca="1"/>
        <v>0</v>
      </c>
      <c r="AB71">
        <f ca="1"/>
        <v>2.76319096676115E-2</v>
      </c>
      <c r="AD71" s="2">
        <f t="shared" ca="1" si="12"/>
        <v>44316</v>
      </c>
      <c r="AE71" s="46">
        <f t="shared" ca="1" si="13"/>
        <v>0</v>
      </c>
      <c r="AG71" s="72">
        <f t="shared" ca="1" si="7"/>
        <v>26.632731273725884</v>
      </c>
      <c r="AH71" s="72">
        <f t="shared" ca="1" si="8"/>
        <v>26.632731273725881</v>
      </c>
      <c r="AI71" s="3">
        <f t="shared" ca="1" si="9"/>
        <v>0</v>
      </c>
    </row>
    <row r="72" spans="7:35" x14ac:dyDescent="0.25">
      <c r="G72" s="3">
        <f t="shared" si="14"/>
        <v>341</v>
      </c>
      <c r="H72" s="104">
        <f t="shared" ref="H72:H135" si="16">H71+1</f>
        <v>44170</v>
      </c>
      <c r="I72" s="131">
        <f>HLOOKUP($H$4,'Met Data'!$A$2:$F$368,G72,FALSE)</f>
        <v>16.68</v>
      </c>
      <c r="J72" s="131">
        <f ca="1">HLOOKUP($H$4,'Met Data'!$H$2:$M$368,G72,FALSE)*L72</f>
        <v>2.4244999999999939</v>
      </c>
      <c r="K72" s="105">
        <f>HLOOKUP($H$4,'Met Data'!$O$2:$T$368,G72,FALSE)</f>
        <v>3.9805130657979602</v>
      </c>
      <c r="L72">
        <f t="shared" ca="1" si="10"/>
        <v>0.65</v>
      </c>
      <c r="N72" t="b">
        <f t="shared" ca="1" si="15"/>
        <v>1</v>
      </c>
      <c r="O72" t="b">
        <f t="shared" ca="1" si="11"/>
        <v>1</v>
      </c>
      <c r="P72" s="2">
        <f ca="1"/>
        <v>44317</v>
      </c>
      <c r="Q72">
        <f ca="1"/>
        <v>26.679388172662527</v>
      </c>
      <c r="R72">
        <f ca="1"/>
        <v>0.19421866447515099</v>
      </c>
      <c r="S72">
        <f ca="1"/>
        <v>1.978672207410753E-4</v>
      </c>
      <c r="T72">
        <f ca="1"/>
        <v>0.42909656108733379</v>
      </c>
      <c r="U72">
        <f ca="1"/>
        <v>0</v>
      </c>
      <c r="V72">
        <f ca="1"/>
        <v>7.3450108257654598</v>
      </c>
      <c r="W72">
        <f ca="1"/>
        <v>5.8886724723809296</v>
      </c>
      <c r="X72">
        <f ca="1"/>
        <v>0</v>
      </c>
      <c r="Y72">
        <f ca="1"/>
        <v>0.90458974888310251</v>
      </c>
      <c r="Z72">
        <f ca="1"/>
        <v>0</v>
      </c>
      <c r="AA72">
        <f ca="1"/>
        <v>0</v>
      </c>
      <c r="AB72">
        <f ca="1"/>
        <v>2.9308498574353001E-2</v>
      </c>
      <c r="AD72" s="2">
        <f t="shared" ca="1" si="12"/>
        <v>44317</v>
      </c>
      <c r="AE72" s="46">
        <f t="shared" ca="1" si="13"/>
        <v>0</v>
      </c>
      <c r="AG72" s="72">
        <f t="shared" ref="AG72:AG135" ca="1" si="17">Q71+S72+T72+U72</f>
        <v>26.873606837137679</v>
      </c>
      <c r="AH72" s="72">
        <f t="shared" ref="AH72:AH135" ca="1" si="18">Q72+R72+X72</f>
        <v>26.873606837137679</v>
      </c>
      <c r="AI72" s="3">
        <f t="shared" ref="AI72:AI135" ca="1" si="19">AH72-AG72</f>
        <v>0</v>
      </c>
    </row>
    <row r="73" spans="7:35" x14ac:dyDescent="0.25">
      <c r="G73" s="3">
        <f t="shared" si="14"/>
        <v>342</v>
      </c>
      <c r="H73" s="104">
        <f t="shared" si="16"/>
        <v>44171</v>
      </c>
      <c r="I73" s="131">
        <f>HLOOKUP($H$4,'Met Data'!$A$2:$F$368,G73,FALSE)</f>
        <v>16.158333333333299</v>
      </c>
      <c r="J73" s="131">
        <f ca="1">HLOOKUP($H$4,'Met Data'!$H$2:$M$368,G73,FALSE)*L73</f>
        <v>2.5804999999999936</v>
      </c>
      <c r="K73" s="105">
        <f>HLOOKUP($H$4,'Met Data'!$O$2:$T$368,G73,FALSE)</f>
        <v>3.9985245379954399</v>
      </c>
      <c r="L73">
        <f t="shared" ca="1" si="10"/>
        <v>0.65</v>
      </c>
      <c r="N73" t="b">
        <f t="shared" ca="1" si="15"/>
        <v>1</v>
      </c>
      <c r="O73" t="b">
        <f t="shared" ca="1" si="11"/>
        <v>1</v>
      </c>
      <c r="P73" s="2">
        <f ca="1"/>
        <v>44318</v>
      </c>
      <c r="Q73">
        <f ca="1"/>
        <v>26.929063495939843</v>
      </c>
      <c r="R73">
        <f ca="1"/>
        <v>0.19786249339683701</v>
      </c>
      <c r="S73">
        <f ca="1"/>
        <v>1.730813110155759E-4</v>
      </c>
      <c r="T73">
        <f ca="1"/>
        <v>0.44736473536314186</v>
      </c>
      <c r="U73">
        <f ca="1"/>
        <v>0</v>
      </c>
      <c r="V73">
        <f ca="1"/>
        <v>7.5428733191622896</v>
      </c>
      <c r="W73">
        <f ca="1"/>
        <v>6.0473036093283898</v>
      </c>
      <c r="X73">
        <f ca="1"/>
        <v>0</v>
      </c>
      <c r="Y73">
        <f ca="1"/>
        <v>0.94452345615770839</v>
      </c>
      <c r="Z73">
        <f ca="1"/>
        <v>0</v>
      </c>
      <c r="AA73">
        <f ca="1"/>
        <v>0</v>
      </c>
      <c r="AB73">
        <f ca="1"/>
        <v>3.1070311257238799E-2</v>
      </c>
      <c r="AD73" s="2">
        <f t="shared" ca="1" si="12"/>
        <v>44318</v>
      </c>
      <c r="AE73" s="46">
        <f t="shared" ca="1" si="13"/>
        <v>0</v>
      </c>
      <c r="AG73" s="72">
        <f t="shared" ca="1" si="17"/>
        <v>27.126925989336684</v>
      </c>
      <c r="AH73" s="72">
        <f t="shared" ca="1" si="18"/>
        <v>27.12692598933668</v>
      </c>
      <c r="AI73" s="3">
        <f t="shared" ca="1" si="19"/>
        <v>0</v>
      </c>
    </row>
    <row r="74" spans="7:35" x14ac:dyDescent="0.25">
      <c r="G74" s="3">
        <f t="shared" si="14"/>
        <v>343</v>
      </c>
      <c r="H74" s="104">
        <f t="shared" si="16"/>
        <v>44172</v>
      </c>
      <c r="I74" s="131">
        <f>HLOOKUP($H$4,'Met Data'!$A$2:$F$368,G74,FALSE)</f>
        <v>16.105</v>
      </c>
      <c r="J74" s="131">
        <f ca="1">HLOOKUP($H$4,'Met Data'!$H$2:$M$368,G74,FALSE)*L74</f>
        <v>1.5816666666666646</v>
      </c>
      <c r="K74" s="105">
        <f>HLOOKUP($H$4,'Met Data'!$O$2:$T$368,G74,FALSE)</f>
        <v>4.0668482894046898</v>
      </c>
      <c r="L74">
        <f t="shared" ca="1" si="10"/>
        <v>0.65</v>
      </c>
      <c r="N74" t="b">
        <f t="shared" ca="1" si="15"/>
        <v>1</v>
      </c>
      <c r="O74" t="b">
        <f t="shared" ca="1" si="11"/>
        <v>1</v>
      </c>
      <c r="P74" s="2">
        <f ca="1"/>
        <v>44319</v>
      </c>
      <c r="Q74">
        <f ca="1"/>
        <v>27.174841586436727</v>
      </c>
      <c r="R74">
        <f ca="1"/>
        <v>0.20139623954734501</v>
      </c>
      <c r="S74">
        <f ca="1"/>
        <v>1.4496664861783179E-4</v>
      </c>
      <c r="T74">
        <f ca="1"/>
        <v>0.4470293633956211</v>
      </c>
      <c r="U74">
        <f ca="1"/>
        <v>0</v>
      </c>
      <c r="V74">
        <f ca="1"/>
        <v>7.7442695587096404</v>
      </c>
      <c r="W74">
        <f ca="1"/>
        <v>6.20876783586204</v>
      </c>
      <c r="X74">
        <f ca="1"/>
        <v>0</v>
      </c>
      <c r="Y74">
        <f ca="1"/>
        <v>0.95139984415689915</v>
      </c>
      <c r="Z74">
        <f ca="1"/>
        <v>0</v>
      </c>
      <c r="AA74">
        <f ca="1"/>
        <v>0</v>
      </c>
      <c r="AB74">
        <f ca="1"/>
        <v>3.2919283125920101E-2</v>
      </c>
      <c r="AD74" s="2">
        <f t="shared" ca="1" si="12"/>
        <v>44319</v>
      </c>
      <c r="AE74" s="46">
        <f t="shared" ca="1" si="13"/>
        <v>0</v>
      </c>
      <c r="AG74" s="72">
        <f t="shared" ca="1" si="17"/>
        <v>27.376237825984084</v>
      </c>
      <c r="AH74" s="72">
        <f t="shared" ca="1" si="18"/>
        <v>27.376237825984074</v>
      </c>
      <c r="AI74" s="3">
        <f t="shared" ca="1" si="19"/>
        <v>0</v>
      </c>
    </row>
    <row r="75" spans="7:35" x14ac:dyDescent="0.25">
      <c r="G75" s="3">
        <f t="shared" si="14"/>
        <v>344</v>
      </c>
      <c r="H75" s="104">
        <f t="shared" si="16"/>
        <v>44173</v>
      </c>
      <c r="I75" s="131">
        <f>HLOOKUP($H$4,'Met Data'!$A$2:$F$368,G75,FALSE)</f>
        <v>16.565000000000001</v>
      </c>
      <c r="J75" s="131">
        <f ca="1">HLOOKUP($H$4,'Met Data'!$H$2:$M$368,G75,FALSE)*L75</f>
        <v>1.024833333333329</v>
      </c>
      <c r="K75" s="105">
        <f>HLOOKUP($H$4,'Met Data'!$O$2:$T$368,G75,FALSE)</f>
        <v>4.3303303245888296</v>
      </c>
      <c r="L75">
        <f t="shared" ca="1" si="10"/>
        <v>0.65</v>
      </c>
      <c r="N75" t="b">
        <f t="shared" ca="1" si="15"/>
        <v>1</v>
      </c>
      <c r="O75" t="b">
        <f t="shared" ca="1" si="11"/>
        <v>1</v>
      </c>
      <c r="P75" s="2">
        <f ca="1"/>
        <v>44320</v>
      </c>
      <c r="Q75">
        <f ca="1"/>
        <v>27.411275557656936</v>
      </c>
      <c r="R75">
        <f ca="1"/>
        <v>0.20249176143808301</v>
      </c>
      <c r="S75">
        <f ca="1"/>
        <v>1.1962864495672171E-4</v>
      </c>
      <c r="T75">
        <f ca="1"/>
        <v>0.43880610401333381</v>
      </c>
      <c r="U75">
        <f ca="1"/>
        <v>0</v>
      </c>
      <c r="V75">
        <f ca="1"/>
        <v>7.9467613201477203</v>
      </c>
      <c r="W75">
        <f ca="1"/>
        <v>6.37111036873912</v>
      </c>
      <c r="X75">
        <f ca="1"/>
        <v>0</v>
      </c>
      <c r="Y75">
        <f ca="1"/>
        <v>0.95539207048856978</v>
      </c>
      <c r="Z75">
        <f ca="1"/>
        <v>0</v>
      </c>
      <c r="AA75">
        <f ca="1"/>
        <v>0</v>
      </c>
      <c r="AB75">
        <f ca="1"/>
        <v>3.4834890306977603E-2</v>
      </c>
      <c r="AD75" s="2">
        <f t="shared" ca="1" si="12"/>
        <v>44320</v>
      </c>
      <c r="AE75" s="46">
        <f t="shared" ca="1" si="13"/>
        <v>0</v>
      </c>
      <c r="AG75" s="72">
        <f t="shared" ca="1" si="17"/>
        <v>27.613767319095018</v>
      </c>
      <c r="AH75" s="72">
        <f t="shared" ca="1" si="18"/>
        <v>27.613767319095018</v>
      </c>
      <c r="AI75" s="3">
        <f t="shared" ca="1" si="19"/>
        <v>0</v>
      </c>
    </row>
    <row r="76" spans="7:35" x14ac:dyDescent="0.25">
      <c r="G76" s="3">
        <f t="shared" si="14"/>
        <v>345</v>
      </c>
      <c r="H76" s="104">
        <f t="shared" si="16"/>
        <v>44174</v>
      </c>
      <c r="I76" s="131">
        <f>HLOOKUP($H$4,'Met Data'!$A$2:$F$368,G76,FALSE)</f>
        <v>16.483333333333299</v>
      </c>
      <c r="J76" s="131">
        <f ca="1">HLOOKUP($H$4,'Met Data'!$H$2:$M$368,G76,FALSE)*L76</f>
        <v>1.9326666666666645</v>
      </c>
      <c r="K76" s="105">
        <f>HLOOKUP($H$4,'Met Data'!$O$2:$T$368,G76,FALSE)</f>
        <v>4.0534379567104599</v>
      </c>
      <c r="L76">
        <f t="shared" ca="1" si="10"/>
        <v>0.65</v>
      </c>
      <c r="N76" t="b">
        <f t="shared" ca="1" si="15"/>
        <v>1</v>
      </c>
      <c r="O76" t="b">
        <f t="shared" ca="1" si="11"/>
        <v>1</v>
      </c>
      <c r="P76" s="2">
        <f ca="1"/>
        <v>44321</v>
      </c>
      <c r="Q76">
        <f ca="1"/>
        <v>27.647410331290757</v>
      </c>
      <c r="R76">
        <f ca="1"/>
        <v>0.208851039117087</v>
      </c>
      <c r="S76">
        <f ca="1"/>
        <v>1.0236514339768137E-4</v>
      </c>
      <c r="T76">
        <f ca="1"/>
        <v>0.44488344760752091</v>
      </c>
      <c r="U76">
        <f ca="1"/>
        <v>0</v>
      </c>
      <c r="V76">
        <f ca="1"/>
        <v>8.1556123592648095</v>
      </c>
      <c r="W76">
        <f ca="1"/>
        <v>6.5385512880312699</v>
      </c>
      <c r="X76">
        <f ca="1"/>
        <v>0</v>
      </c>
      <c r="Y76">
        <f ca="1"/>
        <v>0.96671366354445709</v>
      </c>
      <c r="Z76">
        <f ca="1"/>
        <v>0</v>
      </c>
      <c r="AA76">
        <f ca="1"/>
        <v>0</v>
      </c>
      <c r="AB76">
        <f ca="1"/>
        <v>3.6869982359494201E-2</v>
      </c>
      <c r="AD76" s="2">
        <f t="shared" ca="1" si="12"/>
        <v>44321</v>
      </c>
      <c r="AE76" s="46">
        <f t="shared" ca="1" si="13"/>
        <v>0</v>
      </c>
      <c r="AG76" s="72">
        <f t="shared" ca="1" si="17"/>
        <v>27.856261370407854</v>
      </c>
      <c r="AH76" s="72">
        <f t="shared" ca="1" si="18"/>
        <v>27.856261370407843</v>
      </c>
      <c r="AI76" s="3">
        <f t="shared" ca="1" si="19"/>
        <v>0</v>
      </c>
    </row>
    <row r="77" spans="7:35" x14ac:dyDescent="0.25">
      <c r="G77" s="3">
        <f t="shared" si="14"/>
        <v>346</v>
      </c>
      <c r="H77" s="104">
        <f t="shared" si="16"/>
        <v>44175</v>
      </c>
      <c r="I77" s="131">
        <f>HLOOKUP($H$4,'Met Data'!$A$2:$F$368,G77,FALSE)</f>
        <v>17.015000000000001</v>
      </c>
      <c r="J77" s="131">
        <f ca="1">HLOOKUP($H$4,'Met Data'!$H$2:$M$368,G77,FALSE)*L77</f>
        <v>0.73233333333332906</v>
      </c>
      <c r="K77" s="105">
        <f>HLOOKUP($H$4,'Met Data'!$O$2:$T$368,G77,FALSE)</f>
        <v>4.1505313677650202</v>
      </c>
      <c r="L77">
        <f t="shared" ca="1" si="10"/>
        <v>0.65</v>
      </c>
      <c r="N77" t="b">
        <f t="shared" ca="1" si="15"/>
        <v>1</v>
      </c>
      <c r="O77" t="b">
        <f t="shared" ca="1" si="11"/>
        <v>1</v>
      </c>
      <c r="P77" s="2">
        <f ca="1"/>
        <v>44322</v>
      </c>
      <c r="Q77">
        <f ca="1"/>
        <v>27.881995649453998</v>
      </c>
      <c r="R77">
        <f ca="1"/>
        <v>0.21662505573328</v>
      </c>
      <c r="S77">
        <f ca="1"/>
        <v>8.8027278063189677E-5</v>
      </c>
      <c r="T77">
        <f ca="1"/>
        <v>0.45112234661844214</v>
      </c>
      <c r="U77">
        <f ca="1"/>
        <v>0</v>
      </c>
      <c r="V77">
        <f ca="1"/>
        <v>8.3722374149980894</v>
      </c>
      <c r="W77">
        <f ca="1"/>
        <v>6.7122248240933002</v>
      </c>
      <c r="X77">
        <f ca="1"/>
        <v>0</v>
      </c>
      <c r="Y77">
        <f ca="1"/>
        <v>0.9810285965348593</v>
      </c>
      <c r="Z77">
        <f ca="1"/>
        <v>0</v>
      </c>
      <c r="AA77">
        <f ca="1"/>
        <v>0</v>
      </c>
      <c r="AB77">
        <f ca="1"/>
        <v>3.9044319503998302E-2</v>
      </c>
      <c r="AD77" s="2">
        <f t="shared" ca="1" si="12"/>
        <v>44322</v>
      </c>
      <c r="AE77" s="46">
        <f t="shared" ca="1" si="13"/>
        <v>0</v>
      </c>
      <c r="AG77" s="72">
        <f t="shared" ca="1" si="17"/>
        <v>28.098620705187262</v>
      </c>
      <c r="AH77" s="72">
        <f t="shared" ca="1" si="18"/>
        <v>28.09862070518728</v>
      </c>
      <c r="AI77" s="3">
        <f t="shared" ca="1" si="19"/>
        <v>0</v>
      </c>
    </row>
    <row r="78" spans="7:35" x14ac:dyDescent="0.25">
      <c r="G78" s="3">
        <f t="shared" si="14"/>
        <v>347</v>
      </c>
      <c r="H78" s="104">
        <f t="shared" si="16"/>
        <v>44176</v>
      </c>
      <c r="I78" s="131">
        <f>HLOOKUP($H$4,'Met Data'!$A$2:$F$368,G78,FALSE)</f>
        <v>17.483333333333299</v>
      </c>
      <c r="J78" s="131">
        <f ca="1">HLOOKUP($H$4,'Met Data'!$H$2:$M$368,G78,FALSE)*L78</f>
        <v>1.2458333333333291</v>
      </c>
      <c r="K78" s="105">
        <f>HLOOKUP($H$4,'Met Data'!$O$2:$T$368,G78,FALSE)</f>
        <v>3.8850422651579102</v>
      </c>
      <c r="L78">
        <f t="shared" ca="1" si="10"/>
        <v>0.65</v>
      </c>
      <c r="N78" t="b">
        <f t="shared" ca="1" si="15"/>
        <v>1</v>
      </c>
      <c r="O78" t="b">
        <f t="shared" ca="1" si="11"/>
        <v>1</v>
      </c>
      <c r="P78" s="2">
        <f ca="1"/>
        <v>44323</v>
      </c>
      <c r="Q78">
        <f ca="1"/>
        <v>28.103967404746456</v>
      </c>
      <c r="R78">
        <f ca="1"/>
        <v>0.21704943945709201</v>
      </c>
      <c r="S78">
        <f ca="1"/>
        <v>7.1696356943271855E-5</v>
      </c>
      <c r="T78">
        <f ca="1"/>
        <v>0.43894949839259739</v>
      </c>
      <c r="U78">
        <f ca="1"/>
        <v>0</v>
      </c>
      <c r="V78">
        <f ca="1"/>
        <v>8.5892868544551799</v>
      </c>
      <c r="W78">
        <f ca="1"/>
        <v>6.8862385988304498</v>
      </c>
      <c r="X78">
        <f ca="1"/>
        <v>0</v>
      </c>
      <c r="Y78">
        <f ca="1"/>
        <v>0.98098729263751727</v>
      </c>
      <c r="Z78">
        <f ca="1"/>
        <v>0</v>
      </c>
      <c r="AA78">
        <f ca="1"/>
        <v>0</v>
      </c>
      <c r="AB78">
        <f ca="1"/>
        <v>4.1287559599666603E-2</v>
      </c>
      <c r="AD78" s="2">
        <f t="shared" ca="1" si="12"/>
        <v>44323</v>
      </c>
      <c r="AE78" s="46">
        <f t="shared" ca="1" si="13"/>
        <v>0</v>
      </c>
      <c r="AG78" s="72">
        <f t="shared" ca="1" si="17"/>
        <v>28.321016844203537</v>
      </c>
      <c r="AH78" s="72">
        <f t="shared" ca="1" si="18"/>
        <v>28.321016844203548</v>
      </c>
      <c r="AI78" s="3">
        <f t="shared" ca="1" si="19"/>
        <v>0</v>
      </c>
    </row>
    <row r="79" spans="7:35" x14ac:dyDescent="0.25">
      <c r="G79" s="3">
        <f t="shared" si="14"/>
        <v>348</v>
      </c>
      <c r="H79" s="104">
        <f t="shared" si="16"/>
        <v>44177</v>
      </c>
      <c r="I79" s="131">
        <f>HLOOKUP($H$4,'Met Data'!$A$2:$F$368,G79,FALSE)</f>
        <v>17.251666666666601</v>
      </c>
      <c r="J79" s="131">
        <f ca="1">HLOOKUP($H$4,'Met Data'!$H$2:$M$368,G79,FALSE)*L79</f>
        <v>1.2566666666666646</v>
      </c>
      <c r="K79" s="105">
        <f>HLOOKUP($H$4,'Met Data'!$O$2:$T$368,G79,FALSE)</f>
        <v>4.3816384015384404</v>
      </c>
      <c r="L79">
        <f t="shared" ca="1" si="10"/>
        <v>0.65</v>
      </c>
      <c r="N79" t="b">
        <f t="shared" ca="1" si="15"/>
        <v>1</v>
      </c>
      <c r="O79" t="b">
        <f t="shared" ca="1" si="11"/>
        <v>1</v>
      </c>
      <c r="P79" s="2">
        <f ca="1"/>
        <v>44324</v>
      </c>
      <c r="Q79">
        <f ca="1"/>
        <v>28.31496654147044</v>
      </c>
      <c r="R79">
        <f ca="1"/>
        <v>0.218141438629125</v>
      </c>
      <c r="S79">
        <f ca="1"/>
        <v>5.9670503704236662E-5</v>
      </c>
      <c r="T79">
        <f ca="1"/>
        <v>0.42908090484939621</v>
      </c>
      <c r="U79">
        <f ca="1"/>
        <v>0</v>
      </c>
      <c r="V79">
        <f ca="1"/>
        <v>8.8074282930843104</v>
      </c>
      <c r="W79">
        <f ca="1"/>
        <v>7.06112785566242</v>
      </c>
      <c r="X79">
        <f ca="1"/>
        <v>0</v>
      </c>
      <c r="Y79">
        <f ca="1"/>
        <v>0.99423995377396401</v>
      </c>
      <c r="Z79">
        <f ca="1"/>
        <v>0</v>
      </c>
      <c r="AA79">
        <f ca="1"/>
        <v>0</v>
      </c>
      <c r="AB79">
        <f ca="1"/>
        <v>4.36070359713501E-2</v>
      </c>
      <c r="AD79" s="2">
        <f t="shared" ca="1" si="12"/>
        <v>44324</v>
      </c>
      <c r="AE79" s="46">
        <f t="shared" ca="1" si="13"/>
        <v>0</v>
      </c>
      <c r="AG79" s="72">
        <f t="shared" ca="1" si="17"/>
        <v>28.533107980099555</v>
      </c>
      <c r="AH79" s="72">
        <f t="shared" ca="1" si="18"/>
        <v>28.533107980099565</v>
      </c>
      <c r="AI79" s="3">
        <f t="shared" ca="1" si="19"/>
        <v>0</v>
      </c>
    </row>
    <row r="80" spans="7:35" x14ac:dyDescent="0.25">
      <c r="G80" s="3">
        <f t="shared" si="14"/>
        <v>349</v>
      </c>
      <c r="H80" s="104">
        <f t="shared" si="16"/>
        <v>44178</v>
      </c>
      <c r="I80" s="131">
        <f>HLOOKUP($H$4,'Met Data'!$A$2:$F$368,G80,FALSE)</f>
        <v>17.1733333333333</v>
      </c>
      <c r="J80" s="131">
        <f ca="1">HLOOKUP($H$4,'Met Data'!$H$2:$M$368,G80,FALSE)*L80</f>
        <v>2.6801666666666648</v>
      </c>
      <c r="K80" s="105">
        <f>HLOOKUP($H$4,'Met Data'!$O$2:$T$368,G80,FALSE)</f>
        <v>4.03321434314394</v>
      </c>
      <c r="L80">
        <f t="shared" ca="1" si="10"/>
        <v>0.65</v>
      </c>
      <c r="N80" t="b">
        <f t="shared" ca="1" si="15"/>
        <v>1</v>
      </c>
      <c r="O80" t="b">
        <f t="shared" ca="1" si="11"/>
        <v>1</v>
      </c>
      <c r="P80" s="2">
        <f ca="1"/>
        <v>44325</v>
      </c>
      <c r="Q80">
        <f ca="1"/>
        <v>28.512264001697844</v>
      </c>
      <c r="R80">
        <f ca="1"/>
        <v>0.21649257075415701</v>
      </c>
      <c r="S80">
        <f ca="1"/>
        <v>4.871706047723911E-5</v>
      </c>
      <c r="T80">
        <f ca="1"/>
        <v>0.41374131392107882</v>
      </c>
      <c r="U80">
        <f ca="1"/>
        <v>0</v>
      </c>
      <c r="V80">
        <f ca="1"/>
        <v>9.0239208638384607</v>
      </c>
      <c r="W80">
        <f ca="1"/>
        <v>7.2346951753187696</v>
      </c>
      <c r="X80">
        <f ca="1"/>
        <v>0</v>
      </c>
      <c r="Y80">
        <f ca="1"/>
        <v>0.99926903882698936</v>
      </c>
      <c r="Z80">
        <f ca="1"/>
        <v>0</v>
      </c>
      <c r="AA80">
        <f ca="1"/>
        <v>0</v>
      </c>
      <c r="AB80">
        <f ca="1"/>
        <v>4.5973073694949698E-2</v>
      </c>
      <c r="AD80" s="2">
        <f t="shared" ca="1" si="12"/>
        <v>44325</v>
      </c>
      <c r="AE80" s="46">
        <f t="shared" ca="1" si="13"/>
        <v>0</v>
      </c>
      <c r="AG80" s="72">
        <f t="shared" ca="1" si="17"/>
        <v>28.728756572451996</v>
      </c>
      <c r="AH80" s="72">
        <f t="shared" ca="1" si="18"/>
        <v>28.728756572451999</v>
      </c>
      <c r="AI80" s="3">
        <f t="shared" ca="1" si="19"/>
        <v>0</v>
      </c>
    </row>
    <row r="81" spans="7:35" x14ac:dyDescent="0.25">
      <c r="G81" s="3">
        <f t="shared" si="14"/>
        <v>350</v>
      </c>
      <c r="H81" s="104">
        <f t="shared" si="16"/>
        <v>44179</v>
      </c>
      <c r="I81" s="131">
        <f>HLOOKUP($H$4,'Met Data'!$A$2:$F$368,G81,FALSE)</f>
        <v>17.0068965517241</v>
      </c>
      <c r="J81" s="131">
        <f ca="1">HLOOKUP($H$4,'Met Data'!$H$2:$M$368,G81,FALSE)*L81</f>
        <v>1.6765517241379269</v>
      </c>
      <c r="K81" s="105">
        <f>HLOOKUP($H$4,'Met Data'!$O$2:$T$368,G81,FALSE)</f>
        <v>4.1838965938969297</v>
      </c>
      <c r="L81">
        <f t="shared" ca="1" si="10"/>
        <v>0.65</v>
      </c>
      <c r="N81" t="b">
        <f t="shared" ca="1" si="15"/>
        <v>1</v>
      </c>
      <c r="O81" t="b">
        <f t="shared" ca="1" si="11"/>
        <v>1</v>
      </c>
      <c r="P81" s="2">
        <f ca="1"/>
        <v>44326</v>
      </c>
      <c r="Q81">
        <f ca="1"/>
        <v>28.707044522791762</v>
      </c>
      <c r="R81">
        <f ca="1"/>
        <v>0.22378119808083399</v>
      </c>
      <c r="S81">
        <f ca="1"/>
        <v>4.1466110718694723E-5</v>
      </c>
      <c r="T81">
        <f ca="1"/>
        <v>0.41852025306403401</v>
      </c>
      <c r="U81">
        <f ca="1"/>
        <v>0</v>
      </c>
      <c r="V81">
        <f ca="1"/>
        <v>9.2477020619193002</v>
      </c>
      <c r="W81">
        <f ca="1"/>
        <v>7.4141059634352997</v>
      </c>
      <c r="X81">
        <f ca="1"/>
        <v>0</v>
      </c>
      <c r="Y81">
        <f ca="1"/>
        <v>1</v>
      </c>
      <c r="Z81">
        <f ca="1"/>
        <v>1.4212392037154729</v>
      </c>
      <c r="AA81">
        <f ca="1"/>
        <v>0</v>
      </c>
      <c r="AB81">
        <f ca="1"/>
        <v>4.8485537585833398E-2</v>
      </c>
      <c r="AD81" s="2">
        <f t="shared" ca="1" si="12"/>
        <v>44326</v>
      </c>
      <c r="AE81" s="46">
        <f t="shared" ca="1" si="13"/>
        <v>0</v>
      </c>
      <c r="AG81" s="72">
        <f t="shared" ca="1" si="17"/>
        <v>28.930825720872598</v>
      </c>
      <c r="AH81" s="72">
        <f t="shared" ca="1" si="18"/>
        <v>28.930825720872594</v>
      </c>
      <c r="AI81" s="3">
        <f t="shared" ca="1" si="19"/>
        <v>0</v>
      </c>
    </row>
    <row r="82" spans="7:35" x14ac:dyDescent="0.25">
      <c r="G82" s="3">
        <f t="shared" si="14"/>
        <v>351</v>
      </c>
      <c r="H82" s="104">
        <f t="shared" si="16"/>
        <v>44180</v>
      </c>
      <c r="I82" s="131">
        <f>HLOOKUP($H$4,'Met Data'!$A$2:$F$368,G82,FALSE)</f>
        <v>17.105172413793099</v>
      </c>
      <c r="J82" s="131">
        <f ca="1">HLOOKUP($H$4,'Met Data'!$H$2:$M$368,G82,FALSE)*L82</f>
        <v>3.4808620689655152</v>
      </c>
      <c r="K82" s="105">
        <f>HLOOKUP($H$4,'Met Data'!$O$2:$T$368,G82,FALSE)</f>
        <v>3.9954599380242</v>
      </c>
      <c r="L82">
        <f t="shared" ca="1" si="10"/>
        <v>0.65</v>
      </c>
      <c r="N82" t="b">
        <f t="shared" ca="1" si="15"/>
        <v>1</v>
      </c>
      <c r="O82" t="b">
        <f t="shared" ca="1" si="11"/>
        <v>1</v>
      </c>
      <c r="P82" s="2">
        <f ca="1"/>
        <v>44327</v>
      </c>
      <c r="Q82">
        <f ca="1"/>
        <v>28.902128064534821</v>
      </c>
      <c r="R82">
        <f ca="1"/>
        <v>0.234032963791897</v>
      </c>
      <c r="S82">
        <f ca="1"/>
        <v>3.5600685557534858E-5</v>
      </c>
      <c r="T82">
        <f ca="1"/>
        <v>0.42908090484939621</v>
      </c>
      <c r="U82">
        <f ca="1"/>
        <v>0</v>
      </c>
      <c r="V82">
        <f ca="1"/>
        <v>9.4817350257112007</v>
      </c>
      <c r="W82">
        <f ca="1"/>
        <v>7.6017358395787999</v>
      </c>
      <c r="X82">
        <f ca="1"/>
        <v>0</v>
      </c>
      <c r="Y82">
        <f ca="1"/>
        <v>1</v>
      </c>
      <c r="Z82">
        <f ca="1"/>
        <v>0.59917358401661147</v>
      </c>
      <c r="AA82">
        <f ca="1"/>
        <v>0</v>
      </c>
      <c r="AB82">
        <f ca="1"/>
        <v>5.1185282706039503E-2</v>
      </c>
      <c r="AD82" s="2">
        <f t="shared" ca="1" si="12"/>
        <v>44327</v>
      </c>
      <c r="AE82" s="46">
        <f t="shared" ca="1" si="13"/>
        <v>0</v>
      </c>
      <c r="AG82" s="72">
        <f t="shared" ca="1" si="17"/>
        <v>29.136161028326715</v>
      </c>
      <c r="AH82" s="72">
        <f t="shared" ca="1" si="18"/>
        <v>29.136161028326718</v>
      </c>
      <c r="AI82" s="3">
        <f t="shared" ca="1" si="19"/>
        <v>0</v>
      </c>
    </row>
    <row r="83" spans="7:35" x14ac:dyDescent="0.25">
      <c r="G83" s="3">
        <f t="shared" si="14"/>
        <v>352</v>
      </c>
      <c r="H83" s="104">
        <f t="shared" si="16"/>
        <v>44181</v>
      </c>
      <c r="I83" s="131">
        <f>HLOOKUP($H$4,'Met Data'!$A$2:$F$368,G83,FALSE)</f>
        <v>17.153448275862001</v>
      </c>
      <c r="J83" s="131">
        <f ca="1">HLOOKUP($H$4,'Met Data'!$H$2:$M$368,G83,FALSE)*L83</f>
        <v>3.0437931034482726</v>
      </c>
      <c r="K83" s="105">
        <f>HLOOKUP($H$4,'Met Data'!$O$2:$T$368,G83,FALSE)</f>
        <v>4.0087446707632299</v>
      </c>
      <c r="L83">
        <f t="shared" ca="1" si="10"/>
        <v>0.65</v>
      </c>
      <c r="N83" t="b">
        <f t="shared" ca="1" si="15"/>
        <v>1</v>
      </c>
      <c r="O83" t="b">
        <f t="shared" ca="1" si="11"/>
        <v>1</v>
      </c>
      <c r="P83" s="2">
        <f ca="1"/>
        <v>44328</v>
      </c>
      <c r="Q83">
        <f ca="1"/>
        <v>29.097918708929797</v>
      </c>
      <c r="R83">
        <f ca="1"/>
        <v>0.24538747659813301</v>
      </c>
      <c r="S83">
        <f ca="1"/>
        <v>3.0504774030390921E-5</v>
      </c>
      <c r="T83">
        <f ca="1"/>
        <v>0.44114761621908605</v>
      </c>
      <c r="U83">
        <f ca="1"/>
        <v>0</v>
      </c>
      <c r="V83">
        <f ca="1"/>
        <v>9.7271225023093297</v>
      </c>
      <c r="W83">
        <f ca="1"/>
        <v>7.7984689027135099</v>
      </c>
      <c r="X83">
        <f ca="1"/>
        <v>0</v>
      </c>
      <c r="Y83">
        <f ca="1"/>
        <v>1</v>
      </c>
      <c r="Z83">
        <f ca="1"/>
        <v>1.978829836156109</v>
      </c>
      <c r="AA83">
        <f ca="1"/>
        <v>0</v>
      </c>
      <c r="AB83">
        <f ca="1"/>
        <v>5.4094719778392301E-2</v>
      </c>
      <c r="AD83" s="2">
        <f t="shared" ca="1" si="12"/>
        <v>44328</v>
      </c>
      <c r="AE83" s="46">
        <f t="shared" ca="1" si="13"/>
        <v>0</v>
      </c>
      <c r="AG83" s="72">
        <f t="shared" ca="1" si="17"/>
        <v>29.34330618552794</v>
      </c>
      <c r="AH83" s="72">
        <f t="shared" ca="1" si="18"/>
        <v>29.343306185527929</v>
      </c>
      <c r="AI83" s="3">
        <f t="shared" ca="1" si="19"/>
        <v>0</v>
      </c>
    </row>
    <row r="84" spans="7:35" x14ac:dyDescent="0.25">
      <c r="G84" s="3">
        <f t="shared" si="14"/>
        <v>353</v>
      </c>
      <c r="H84" s="104">
        <f t="shared" si="16"/>
        <v>44182</v>
      </c>
      <c r="I84" s="131">
        <f>HLOOKUP($H$4,'Met Data'!$A$2:$F$368,G84,FALSE)</f>
        <v>16.853448275862</v>
      </c>
      <c r="J84" s="131">
        <f ca="1">HLOOKUP($H$4,'Met Data'!$H$2:$M$368,G84,FALSE)*L84</f>
        <v>2.8667241379310302</v>
      </c>
      <c r="K84" s="105">
        <f>HLOOKUP($H$4,'Met Data'!$O$2:$T$368,G84,FALSE)</f>
        <v>3.8624789224218001</v>
      </c>
      <c r="L84">
        <f t="shared" ca="1" si="10"/>
        <v>0.65</v>
      </c>
      <c r="N84" t="b">
        <f t="shared" ca="1" si="15"/>
        <v>1</v>
      </c>
      <c r="O84" t="b">
        <f t="shared" ca="1" si="11"/>
        <v>1</v>
      </c>
      <c r="P84" s="2">
        <f ca="1"/>
        <v>44329</v>
      </c>
      <c r="Q84">
        <f ca="1"/>
        <v>29.286143479432496</v>
      </c>
      <c r="R84">
        <f ca="1"/>
        <v>0.24995788643504499</v>
      </c>
      <c r="S84">
        <f ca="1"/>
        <v>2.5272635093268961E-5</v>
      </c>
      <c r="T84">
        <f ca="1"/>
        <v>0.43815738430264134</v>
      </c>
      <c r="U84">
        <f ca="1"/>
        <v>0</v>
      </c>
      <c r="V84">
        <f ca="1"/>
        <v>9.9770803887443709</v>
      </c>
      <c r="W84">
        <f ca="1"/>
        <v>7.9988661737347098</v>
      </c>
      <c r="X84">
        <f ca="1"/>
        <v>0</v>
      </c>
      <c r="Y84">
        <f ca="1"/>
        <v>1</v>
      </c>
      <c r="Z84">
        <f ca="1"/>
        <v>1.6257506441505427</v>
      </c>
      <c r="AA84">
        <f ca="1"/>
        <v>0</v>
      </c>
      <c r="AB84">
        <f ca="1"/>
        <v>5.7140526402338403E-2</v>
      </c>
      <c r="AD84" s="2">
        <f t="shared" ca="1" si="12"/>
        <v>44329</v>
      </c>
      <c r="AE84" s="46">
        <f t="shared" ca="1" si="13"/>
        <v>0</v>
      </c>
      <c r="AG84" s="72">
        <f t="shared" ca="1" si="17"/>
        <v>29.53610136586753</v>
      </c>
      <c r="AH84" s="72">
        <f t="shared" ca="1" si="18"/>
        <v>29.536101365867541</v>
      </c>
      <c r="AI84" s="3">
        <f t="shared" ca="1" si="19"/>
        <v>0</v>
      </c>
    </row>
    <row r="85" spans="7:35" x14ac:dyDescent="0.25">
      <c r="G85" s="3">
        <f t="shared" si="14"/>
        <v>354</v>
      </c>
      <c r="H85" s="104">
        <f t="shared" si="16"/>
        <v>44183</v>
      </c>
      <c r="I85" s="131">
        <f>HLOOKUP($H$4,'Met Data'!$A$2:$F$368,G85,FALSE)</f>
        <v>17.030357142857099</v>
      </c>
      <c r="J85" s="131">
        <f ca="1">HLOOKUP($H$4,'Met Data'!$H$2:$M$368,G85,FALSE)*L85</f>
        <v>2.8135714285714233</v>
      </c>
      <c r="K85" s="105">
        <f>HLOOKUP($H$4,'Met Data'!$O$2:$T$368,G85,FALSE)</f>
        <v>4.1713118658622399</v>
      </c>
      <c r="L85">
        <f t="shared" ca="1" si="10"/>
        <v>0.65</v>
      </c>
      <c r="N85" t="b">
        <f t="shared" ca="1" si="15"/>
        <v>1</v>
      </c>
      <c r="O85" t="b">
        <f t="shared" ca="1" si="11"/>
        <v>1</v>
      </c>
      <c r="P85" s="2">
        <f ca="1"/>
        <v>44330</v>
      </c>
      <c r="Q85">
        <f ca="1"/>
        <v>29.462132849980748</v>
      </c>
      <c r="R85">
        <f ca="1"/>
        <v>0.24986110179082199</v>
      </c>
      <c r="S85">
        <f ca="1"/>
        <v>2.0579181586596959E-5</v>
      </c>
      <c r="T85">
        <f ca="1"/>
        <v>0.42582989315749437</v>
      </c>
      <c r="U85">
        <f ca="1"/>
        <v>0</v>
      </c>
      <c r="V85">
        <f ca="1"/>
        <v>10.2269414905352</v>
      </c>
      <c r="W85">
        <f ca="1"/>
        <v>8.1991858501704602</v>
      </c>
      <c r="X85">
        <f ca="1"/>
        <v>0</v>
      </c>
      <c r="Y85">
        <f ca="1"/>
        <v>1</v>
      </c>
      <c r="Z85">
        <f ca="1"/>
        <v>1.2119786820522194</v>
      </c>
      <c r="AA85">
        <f ca="1"/>
        <v>0</v>
      </c>
      <c r="AB85">
        <f ca="1"/>
        <v>6.0267301931348598E-2</v>
      </c>
      <c r="AD85" s="2">
        <f t="shared" ca="1" si="12"/>
        <v>44330</v>
      </c>
      <c r="AE85" s="46">
        <f t="shared" ca="1" si="13"/>
        <v>0</v>
      </c>
      <c r="AG85" s="72">
        <f t="shared" ca="1" si="17"/>
        <v>29.711993951771579</v>
      </c>
      <c r="AH85" s="72">
        <f t="shared" ca="1" si="18"/>
        <v>29.711993951771568</v>
      </c>
      <c r="AI85" s="3">
        <f t="shared" ca="1" si="19"/>
        <v>0</v>
      </c>
    </row>
    <row r="86" spans="7:35" x14ac:dyDescent="0.25">
      <c r="G86" s="3">
        <f t="shared" si="14"/>
        <v>355</v>
      </c>
      <c r="H86" s="104">
        <f t="shared" si="16"/>
        <v>44184</v>
      </c>
      <c r="I86" s="131">
        <f>HLOOKUP($H$4,'Met Data'!$A$2:$F$368,G86,FALSE)</f>
        <v>17.3086206896551</v>
      </c>
      <c r="J86" s="131">
        <f ca="1">HLOOKUP($H$4,'Met Data'!$H$2:$M$368,G86,FALSE)*L86</f>
        <v>0.90103448275861808</v>
      </c>
      <c r="K86" s="105">
        <f>HLOOKUP($H$4,'Met Data'!$O$2:$T$368,G86,FALSE)</f>
        <v>4.2492728260034598</v>
      </c>
      <c r="L86">
        <f t="shared" ca="1" si="10"/>
        <v>0.65</v>
      </c>
      <c r="N86" t="b">
        <f t="shared" ca="1" si="15"/>
        <v>1</v>
      </c>
      <c r="O86" t="b">
        <f t="shared" ca="1" si="11"/>
        <v>1</v>
      </c>
      <c r="P86" s="2">
        <f ca="1"/>
        <v>44331</v>
      </c>
      <c r="Q86">
        <f ca="1"/>
        <v>29.630745662736345</v>
      </c>
      <c r="R86">
        <f ca="1"/>
        <v>0.25420092705533498</v>
      </c>
      <c r="S86">
        <f ca="1"/>
        <v>1.7143063939836453E-5</v>
      </c>
      <c r="T86">
        <f ca="1"/>
        <v>0.42279659674699144</v>
      </c>
      <c r="U86">
        <f ca="1"/>
        <v>0</v>
      </c>
      <c r="V86">
        <f ca="1"/>
        <v>10.481142417590499</v>
      </c>
      <c r="W86">
        <f ca="1"/>
        <v>8.4029848692751692</v>
      </c>
      <c r="X86">
        <f ca="1"/>
        <v>0</v>
      </c>
      <c r="Y86">
        <f ca="1"/>
        <v>1</v>
      </c>
      <c r="Z86">
        <f ca="1"/>
        <v>2.3369812874923213</v>
      </c>
      <c r="AA86">
        <f ca="1"/>
        <v>0</v>
      </c>
      <c r="AB86">
        <f ca="1"/>
        <v>6.3531833190759501E-2</v>
      </c>
      <c r="AD86" s="2">
        <f t="shared" ca="1" si="12"/>
        <v>44331</v>
      </c>
      <c r="AE86" s="46">
        <f t="shared" ca="1" si="13"/>
        <v>0</v>
      </c>
      <c r="AG86" s="72">
        <f t="shared" ca="1" si="17"/>
        <v>29.884946589791678</v>
      </c>
      <c r="AH86" s="72">
        <f t="shared" ca="1" si="18"/>
        <v>29.884946589791682</v>
      </c>
      <c r="AI86" s="3">
        <f t="shared" ca="1" si="19"/>
        <v>0</v>
      </c>
    </row>
    <row r="87" spans="7:35" x14ac:dyDescent="0.25">
      <c r="G87" s="3">
        <f t="shared" si="14"/>
        <v>356</v>
      </c>
      <c r="H87" s="104">
        <f t="shared" si="16"/>
        <v>44185</v>
      </c>
      <c r="I87" s="131">
        <f>HLOOKUP($H$4,'Met Data'!$A$2:$F$368,G87,FALSE)</f>
        <v>17.3086206896551</v>
      </c>
      <c r="J87" s="131">
        <f ca="1">HLOOKUP($H$4,'Met Data'!$H$2:$M$368,G87,FALSE)*L87</f>
        <v>2.3803448275862062</v>
      </c>
      <c r="K87" s="105">
        <f>HLOOKUP($H$4,'Met Data'!$O$2:$T$368,G87,FALSE)</f>
        <v>3.9108587200843599</v>
      </c>
      <c r="L87">
        <f t="shared" ca="1" si="10"/>
        <v>0.65</v>
      </c>
      <c r="N87" t="b">
        <f t="shared" ca="1" si="15"/>
        <v>1</v>
      </c>
      <c r="O87" t="b">
        <f t="shared" ca="1" si="11"/>
        <v>1</v>
      </c>
      <c r="P87" s="2">
        <f ca="1"/>
        <v>44332</v>
      </c>
      <c r="Q87">
        <f ca="1"/>
        <v>29.793591316415686</v>
      </c>
      <c r="R87">
        <f ca="1"/>
        <v>0.26038252236503101</v>
      </c>
      <c r="S87">
        <f ca="1"/>
        <v>1.4396913039536047E-5</v>
      </c>
      <c r="T87">
        <f ca="1"/>
        <v>0.42321377913132752</v>
      </c>
      <c r="U87">
        <f ca="1"/>
        <v>0</v>
      </c>
      <c r="V87">
        <f ca="1"/>
        <v>10.7415249399556</v>
      </c>
      <c r="W87">
        <f ca="1"/>
        <v>8.6117398225505806</v>
      </c>
      <c r="X87">
        <f ca="1"/>
        <v>0</v>
      </c>
      <c r="Y87">
        <f ca="1"/>
        <v>1</v>
      </c>
      <c r="Z87">
        <f ca="1"/>
        <v>2.3412689420328832</v>
      </c>
      <c r="AA87">
        <f ca="1"/>
        <v>0</v>
      </c>
      <c r="AB87">
        <f ca="1"/>
        <v>6.6962052113499093E-2</v>
      </c>
      <c r="AD87" s="2">
        <f t="shared" ca="1" si="12"/>
        <v>44332</v>
      </c>
      <c r="AE87" s="46">
        <f t="shared" ca="1" si="13"/>
        <v>0</v>
      </c>
      <c r="AG87" s="72">
        <f t="shared" ca="1" si="17"/>
        <v>30.053973838780713</v>
      </c>
      <c r="AH87" s="72">
        <f t="shared" ca="1" si="18"/>
        <v>30.053973838780717</v>
      </c>
      <c r="AI87" s="3">
        <f t="shared" ca="1" si="19"/>
        <v>0</v>
      </c>
    </row>
    <row r="88" spans="7:35" x14ac:dyDescent="0.25">
      <c r="G88" s="3">
        <f t="shared" si="14"/>
        <v>357</v>
      </c>
      <c r="H88" s="104">
        <f t="shared" si="16"/>
        <v>44186</v>
      </c>
      <c r="I88" s="131">
        <f>HLOOKUP($H$4,'Met Data'!$A$2:$F$368,G88,FALSE)</f>
        <v>17.474137931034399</v>
      </c>
      <c r="J88" s="131">
        <f ca="1">HLOOKUP($H$4,'Met Data'!$H$2:$M$368,G88,FALSE)*L88</f>
        <v>1.1879310344827576</v>
      </c>
      <c r="K88" s="105">
        <f>HLOOKUP($H$4,'Met Data'!$O$2:$T$368,G88,FALSE)</f>
        <v>4.3560784704810001</v>
      </c>
      <c r="L88">
        <f t="shared" ca="1" si="10"/>
        <v>0.65</v>
      </c>
      <c r="N88" t="b">
        <f t="shared" ca="1" si="15"/>
        <v>1</v>
      </c>
      <c r="O88" t="b">
        <f t="shared" ca="1" si="11"/>
        <v>1</v>
      </c>
      <c r="P88" s="2">
        <f ca="1"/>
        <v>44333</v>
      </c>
      <c r="Q88">
        <f ca="1"/>
        <v>29.943722384522374</v>
      </c>
      <c r="R88">
        <f ca="1"/>
        <v>0.25840998275347898</v>
      </c>
      <c r="S88">
        <f ca="1"/>
        <v>1.1717060303875705E-5</v>
      </c>
      <c r="T88">
        <f ca="1"/>
        <v>0.40852933379986422</v>
      </c>
      <c r="U88">
        <f ca="1"/>
        <v>0</v>
      </c>
      <c r="V88">
        <f ca="1"/>
        <v>10.999934922709</v>
      </c>
      <c r="W88">
        <f ca="1"/>
        <v>8.8189133432063898</v>
      </c>
      <c r="X88">
        <f ca="1"/>
        <v>0</v>
      </c>
      <c r="Y88">
        <f ca="1"/>
        <v>1</v>
      </c>
      <c r="Z88">
        <f ca="1"/>
        <v>2.1851901968618677</v>
      </c>
      <c r="AA88">
        <f ca="1"/>
        <v>0</v>
      </c>
      <c r="AB88">
        <f ca="1"/>
        <v>7.0451593100273699E-2</v>
      </c>
      <c r="AD88" s="2">
        <f t="shared" ca="1" si="12"/>
        <v>44333</v>
      </c>
      <c r="AE88" s="46">
        <f t="shared" ca="1" si="13"/>
        <v>0</v>
      </c>
      <c r="AG88" s="72">
        <f t="shared" ca="1" si="17"/>
        <v>30.202132367275855</v>
      </c>
      <c r="AH88" s="72">
        <f t="shared" ca="1" si="18"/>
        <v>30.202132367275855</v>
      </c>
      <c r="AI88" s="3">
        <f t="shared" ca="1" si="19"/>
        <v>0</v>
      </c>
    </row>
    <row r="89" spans="7:35" x14ac:dyDescent="0.25">
      <c r="G89" s="3">
        <f t="shared" si="14"/>
        <v>358</v>
      </c>
      <c r="H89" s="104">
        <f t="shared" si="16"/>
        <v>44187</v>
      </c>
      <c r="I89" s="131">
        <f>HLOOKUP($H$4,'Met Data'!$A$2:$F$368,G89,FALSE)</f>
        <v>17.091379310344799</v>
      </c>
      <c r="J89" s="131">
        <f ca="1">HLOOKUP($H$4,'Met Data'!$H$2:$M$368,G89,FALSE)*L89</f>
        <v>1.4456896551724121</v>
      </c>
      <c r="K89" s="105">
        <f>HLOOKUP($H$4,'Met Data'!$O$2:$T$368,G89,FALSE)</f>
        <v>4.1386344294122503</v>
      </c>
      <c r="L89">
        <f t="shared" ca="1" si="10"/>
        <v>0.65</v>
      </c>
      <c r="N89" t="b">
        <f t="shared" ca="1" si="15"/>
        <v>1</v>
      </c>
      <c r="O89" t="b">
        <f t="shared" ca="1" si="11"/>
        <v>1</v>
      </c>
      <c r="P89" s="2">
        <f ca="1"/>
        <v>44334</v>
      </c>
      <c r="Q89">
        <f ca="1"/>
        <v>30.085830338730688</v>
      </c>
      <c r="R89">
        <f ca="1"/>
        <v>0.26137566914108301</v>
      </c>
      <c r="S89">
        <f ca="1"/>
        <v>9.7801322145383944E-6</v>
      </c>
      <c r="T89">
        <f ca="1"/>
        <v>0.40347384321718172</v>
      </c>
      <c r="U89">
        <f ca="1"/>
        <v>0</v>
      </c>
      <c r="V89">
        <f ca="1"/>
        <v>11.2613105918501</v>
      </c>
      <c r="W89">
        <f ca="1"/>
        <v>9.0284645262246705</v>
      </c>
      <c r="X89">
        <f ca="1"/>
        <v>0</v>
      </c>
      <c r="Y89">
        <f ca="1"/>
        <v>1</v>
      </c>
      <c r="Z89">
        <f ca="1"/>
        <v>2.032063936865498</v>
      </c>
      <c r="AA89">
        <f ca="1"/>
        <v>0</v>
      </c>
      <c r="AB89">
        <f ca="1"/>
        <v>7.4066498948259799E-2</v>
      </c>
      <c r="AD89" s="2">
        <f t="shared" ca="1" si="12"/>
        <v>44334</v>
      </c>
      <c r="AE89" s="46">
        <f t="shared" ca="1" si="13"/>
        <v>0</v>
      </c>
      <c r="AG89" s="72">
        <f t="shared" ca="1" si="17"/>
        <v>30.347206007871769</v>
      </c>
      <c r="AH89" s="72">
        <f t="shared" ca="1" si="18"/>
        <v>30.347206007871769</v>
      </c>
      <c r="AI89" s="3">
        <f t="shared" ca="1" si="19"/>
        <v>0</v>
      </c>
    </row>
    <row r="90" spans="7:35" x14ac:dyDescent="0.25">
      <c r="G90" s="3">
        <f t="shared" si="14"/>
        <v>359</v>
      </c>
      <c r="H90" s="104">
        <f t="shared" si="16"/>
        <v>44188</v>
      </c>
      <c r="I90" s="131">
        <f>HLOOKUP($H$4,'Met Data'!$A$2:$F$368,G90,FALSE)</f>
        <v>17.2275862068965</v>
      </c>
      <c r="J90" s="131">
        <f ca="1">HLOOKUP($H$4,'Met Data'!$H$2:$M$368,G90,FALSE)*L90</f>
        <v>1.9925862068965516</v>
      </c>
      <c r="K90" s="105">
        <f>HLOOKUP($H$4,'Met Data'!$O$2:$T$368,G90,FALSE)</f>
        <v>3.7757934515094398</v>
      </c>
      <c r="L90">
        <f t="shared" ca="1" si="10"/>
        <v>0.65</v>
      </c>
      <c r="N90" t="b">
        <f t="shared" ca="1" si="15"/>
        <v>1</v>
      </c>
      <c r="O90" t="b">
        <f t="shared" ca="1" si="11"/>
        <v>1</v>
      </c>
      <c r="P90" s="2">
        <f ca="1"/>
        <v>44335</v>
      </c>
      <c r="Q90">
        <f ca="1"/>
        <v>30.229573285123493</v>
      </c>
      <c r="R90">
        <f ca="1"/>
        <v>0.27739600370214401</v>
      </c>
      <c r="S90">
        <f ca="1"/>
        <v>8.5538966955584691E-6</v>
      </c>
      <c r="T90">
        <f ca="1"/>
        <v>0.42113039619826553</v>
      </c>
      <c r="U90">
        <f ca="1"/>
        <v>0</v>
      </c>
      <c r="V90">
        <f ca="1"/>
        <v>11.5387065955523</v>
      </c>
      <c r="W90">
        <f ca="1"/>
        <v>9.2508595981582804</v>
      </c>
      <c r="X90">
        <f ca="1"/>
        <v>0</v>
      </c>
      <c r="Y90">
        <f ca="1"/>
        <v>0.99689310333770564</v>
      </c>
      <c r="Z90">
        <f ca="1"/>
        <v>0</v>
      </c>
      <c r="AA90">
        <f ca="1"/>
        <v>0</v>
      </c>
      <c r="AB90">
        <f ca="1"/>
        <v>7.7995467959550993E-2</v>
      </c>
      <c r="AD90" s="2">
        <f t="shared" ca="1" si="12"/>
        <v>44335</v>
      </c>
      <c r="AE90" s="46">
        <f t="shared" ca="1" si="13"/>
        <v>0</v>
      </c>
      <c r="AG90" s="72">
        <f t="shared" ca="1" si="17"/>
        <v>30.506969288825648</v>
      </c>
      <c r="AH90" s="72">
        <f t="shared" ca="1" si="18"/>
        <v>30.506969288825637</v>
      </c>
      <c r="AI90" s="3">
        <f t="shared" ca="1" si="19"/>
        <v>0</v>
      </c>
    </row>
    <row r="91" spans="7:35" x14ac:dyDescent="0.25">
      <c r="G91" s="3">
        <f t="shared" si="14"/>
        <v>360</v>
      </c>
      <c r="H91" s="104">
        <f t="shared" si="16"/>
        <v>44189</v>
      </c>
      <c r="I91" s="131">
        <f>HLOOKUP($H$4,'Met Data'!$A$2:$F$368,G91,FALSE)</f>
        <v>17.475862068965501</v>
      </c>
      <c r="J91" s="131">
        <f ca="1">HLOOKUP($H$4,'Met Data'!$H$2:$M$368,G91,FALSE)*L91</f>
        <v>2.9070689655172361</v>
      </c>
      <c r="K91" s="105">
        <f>HLOOKUP($H$4,'Met Data'!$O$2:$T$368,G91,FALSE)</f>
        <v>3.82075028631309</v>
      </c>
      <c r="L91">
        <f t="shared" ca="1" si="10"/>
        <v>0.65</v>
      </c>
      <c r="N91" t="b">
        <f t="shared" ca="1" si="15"/>
        <v>1</v>
      </c>
      <c r="O91" t="b">
        <f t="shared" ca="1" si="11"/>
        <v>1</v>
      </c>
      <c r="P91" s="2">
        <f ca="1"/>
        <v>44336</v>
      </c>
      <c r="Q91">
        <f ca="1"/>
        <v>30.366169471594063</v>
      </c>
      <c r="R91">
        <f ca="1"/>
        <v>0.28276066638981101</v>
      </c>
      <c r="S91">
        <f ca="1"/>
        <v>7.1827934415234921E-6</v>
      </c>
      <c r="T91">
        <f ca="1"/>
        <v>0.41934967006693774</v>
      </c>
      <c r="U91">
        <f ca="1"/>
        <v>0</v>
      </c>
      <c r="V91">
        <f ca="1"/>
        <v>11.8214672619421</v>
      </c>
      <c r="W91">
        <f ca="1"/>
        <v>9.4775556496604594</v>
      </c>
      <c r="X91">
        <f ca="1"/>
        <v>0</v>
      </c>
      <c r="Y91">
        <f ca="1"/>
        <v>1</v>
      </c>
      <c r="Z91">
        <f ca="1"/>
        <v>3.390780996528278</v>
      </c>
      <c r="AA91">
        <f ca="1"/>
        <v>0</v>
      </c>
      <c r="AB91">
        <f ca="1"/>
        <v>8.2096881534035507E-2</v>
      </c>
      <c r="AD91" s="2">
        <f t="shared" ca="1" si="12"/>
        <v>44336</v>
      </c>
      <c r="AE91" s="46">
        <f t="shared" ca="1" si="13"/>
        <v>0</v>
      </c>
      <c r="AG91" s="72">
        <f t="shared" ca="1" si="17"/>
        <v>30.648930137983875</v>
      </c>
      <c r="AH91" s="72">
        <f t="shared" ca="1" si="18"/>
        <v>30.648930137983875</v>
      </c>
      <c r="AI91" s="3">
        <f t="shared" ca="1" si="19"/>
        <v>0</v>
      </c>
    </row>
    <row r="92" spans="7:35" x14ac:dyDescent="0.25">
      <c r="G92" s="3">
        <f t="shared" si="14"/>
        <v>361</v>
      </c>
      <c r="H92" s="104">
        <f t="shared" si="16"/>
        <v>44190</v>
      </c>
      <c r="I92" s="131">
        <f>HLOOKUP($H$4,'Met Data'!$A$2:$F$368,G92,FALSE)</f>
        <v>17.193103448275799</v>
      </c>
      <c r="J92" s="131">
        <f ca="1">HLOOKUP($H$4,'Met Data'!$H$2:$M$368,G92,FALSE)*L92</f>
        <v>0.78224137931033899</v>
      </c>
      <c r="K92" s="105">
        <f>HLOOKUP($H$4,'Met Data'!$O$2:$T$368,G92,FALSE)</f>
        <v>4.4822943456663404</v>
      </c>
      <c r="L92">
        <f t="shared" ca="1" si="10"/>
        <v>0.65</v>
      </c>
      <c r="N92" t="b">
        <f t="shared" ca="1" si="15"/>
        <v>1</v>
      </c>
      <c r="O92" t="b">
        <f t="shared" ca="1" si="11"/>
        <v>1</v>
      </c>
      <c r="P92" s="2">
        <f ca="1"/>
        <v>44337</v>
      </c>
      <c r="Q92">
        <f ca="1"/>
        <v>30.500556724268208</v>
      </c>
      <c r="R92">
        <f ca="1"/>
        <v>0.29548183673662898</v>
      </c>
      <c r="S92">
        <f ca="1"/>
        <v>6.1638406882372509E-6</v>
      </c>
      <c r="T92">
        <f ca="1"/>
        <v>0.42986292557008438</v>
      </c>
      <c r="U92">
        <f ca="1"/>
        <v>0</v>
      </c>
      <c r="V92">
        <f ca="1"/>
        <v>12.116949098678701</v>
      </c>
      <c r="W92">
        <f ca="1"/>
        <v>9.71445057049241</v>
      </c>
      <c r="X92">
        <f ca="1"/>
        <v>0</v>
      </c>
      <c r="Y92">
        <f ca="1"/>
        <v>1</v>
      </c>
      <c r="Z92">
        <f ca="1"/>
        <v>3.6573517089452139</v>
      </c>
      <c r="AA92">
        <f ca="1"/>
        <v>0</v>
      </c>
      <c r="AB92">
        <f ca="1"/>
        <v>8.6485011240795301E-2</v>
      </c>
      <c r="AD92" s="2">
        <f t="shared" ca="1" si="12"/>
        <v>44337</v>
      </c>
      <c r="AE92" s="46">
        <f t="shared" ca="1" si="13"/>
        <v>0</v>
      </c>
      <c r="AG92" s="72">
        <f t="shared" ca="1" si="17"/>
        <v>30.796038561004835</v>
      </c>
      <c r="AH92" s="72">
        <f t="shared" ca="1" si="18"/>
        <v>30.796038561004835</v>
      </c>
      <c r="AI92" s="3">
        <f t="shared" ca="1" si="19"/>
        <v>0</v>
      </c>
    </row>
    <row r="93" spans="7:35" x14ac:dyDescent="0.25">
      <c r="G93" s="3">
        <f t="shared" si="14"/>
        <v>362</v>
      </c>
      <c r="H93" s="104">
        <f t="shared" si="16"/>
        <v>44191</v>
      </c>
      <c r="I93" s="131">
        <f>HLOOKUP($H$4,'Met Data'!$A$2:$F$368,G93,FALSE)</f>
        <v>17.263793103448201</v>
      </c>
      <c r="J93" s="131">
        <f ca="1">HLOOKUP($H$4,'Met Data'!$H$2:$M$368,G93,FALSE)*L93</f>
        <v>1.2596551724137877</v>
      </c>
      <c r="K93" s="105">
        <f>HLOOKUP($H$4,'Met Data'!$O$2:$T$368,G93,FALSE)</f>
        <v>4.2854150969519402</v>
      </c>
      <c r="L93">
        <f t="shared" ca="1" si="10"/>
        <v>0.65</v>
      </c>
      <c r="N93" t="b">
        <f t="shared" ca="1" si="15"/>
        <v>1</v>
      </c>
      <c r="O93" t="b">
        <f t="shared" ca="1" si="11"/>
        <v>1</v>
      </c>
      <c r="P93" s="2">
        <f ca="1"/>
        <v>44338</v>
      </c>
      <c r="Q93">
        <f ca="1"/>
        <v>30.620542479613533</v>
      </c>
      <c r="R93">
        <f ca="1"/>
        <v>0.29059333038514601</v>
      </c>
      <c r="S93">
        <f ca="1"/>
        <v>4.9591886787342654E-6</v>
      </c>
      <c r="T93">
        <f ca="1"/>
        <v>0.41057412654180919</v>
      </c>
      <c r="U93">
        <f ca="1"/>
        <v>0</v>
      </c>
      <c r="V93">
        <f ca="1"/>
        <v>12.4075424290639</v>
      </c>
      <c r="W93">
        <f ca="1"/>
        <v>9.9474262577839507</v>
      </c>
      <c r="X93">
        <f ca="1"/>
        <v>0</v>
      </c>
      <c r="Y93">
        <f ca="1"/>
        <v>1</v>
      </c>
      <c r="Z93">
        <f ca="1"/>
        <v>3.3251396957355013</v>
      </c>
      <c r="AA93">
        <f ca="1"/>
        <v>0</v>
      </c>
      <c r="AB93">
        <f ca="1"/>
        <v>9.09004325337497E-2</v>
      </c>
      <c r="AD93" s="2">
        <f t="shared" ca="1" si="12"/>
        <v>44338</v>
      </c>
      <c r="AE93" s="46">
        <f t="shared" ca="1" si="13"/>
        <v>0</v>
      </c>
      <c r="AG93" s="72">
        <f t="shared" ca="1" si="17"/>
        <v>30.911135809998697</v>
      </c>
      <c r="AH93" s="72">
        <f t="shared" ca="1" si="18"/>
        <v>30.911135809998679</v>
      </c>
      <c r="AI93" s="3">
        <f t="shared" ca="1" si="19"/>
        <v>0</v>
      </c>
    </row>
    <row r="94" spans="7:35" x14ac:dyDescent="0.25">
      <c r="G94" s="3">
        <f t="shared" si="14"/>
        <v>363</v>
      </c>
      <c r="H94" s="104">
        <f t="shared" si="16"/>
        <v>44192</v>
      </c>
      <c r="I94" s="131">
        <f>HLOOKUP($H$4,'Met Data'!$A$2:$F$368,G94,FALSE)</f>
        <v>18.060344827586199</v>
      </c>
      <c r="J94" s="131">
        <f ca="1">HLOOKUP($H$4,'Met Data'!$H$2:$M$368,G94,FALSE)*L94</f>
        <v>0.52896551724137875</v>
      </c>
      <c r="K94" s="105">
        <f>HLOOKUP($H$4,'Met Data'!$O$2:$T$368,G94,FALSE)</f>
        <v>4.2768570571644897</v>
      </c>
      <c r="L94">
        <f t="shared" ca="1" si="10"/>
        <v>0.65</v>
      </c>
      <c r="N94" t="b">
        <f t="shared" ca="1" si="15"/>
        <v>1</v>
      </c>
      <c r="O94" t="b">
        <f t="shared" ca="1" si="11"/>
        <v>1</v>
      </c>
      <c r="P94" s="2">
        <f ca="1"/>
        <v>44339</v>
      </c>
      <c r="Q94">
        <f ca="1"/>
        <v>30.730889553589861</v>
      </c>
      <c r="R94">
        <f ca="1"/>
        <v>0.29156983261026098</v>
      </c>
      <c r="S94">
        <f ca="1"/>
        <v>4.1042845693222258E-6</v>
      </c>
      <c r="T94">
        <f ca="1"/>
        <v>0.40191280230202797</v>
      </c>
      <c r="U94">
        <f ca="1"/>
        <v>0</v>
      </c>
      <c r="V94">
        <f ca="1"/>
        <v>12.699112261674101</v>
      </c>
      <c r="W94">
        <f ca="1"/>
        <v>10.181184830480101</v>
      </c>
      <c r="X94">
        <f ca="1"/>
        <v>0</v>
      </c>
      <c r="Y94">
        <f ca="1"/>
        <v>1</v>
      </c>
      <c r="Z94">
        <f ca="1"/>
        <v>6.3600079202861792</v>
      </c>
      <c r="AA94">
        <f ca="1"/>
        <v>0</v>
      </c>
      <c r="AB94">
        <f ca="1"/>
        <v>9.5428161107773204E-2</v>
      </c>
      <c r="AD94" s="2">
        <f t="shared" ca="1" si="12"/>
        <v>44339</v>
      </c>
      <c r="AE94" s="46">
        <f t="shared" ca="1" si="13"/>
        <v>0</v>
      </c>
      <c r="AG94" s="72">
        <f t="shared" ca="1" si="17"/>
        <v>31.022459386200133</v>
      </c>
      <c r="AH94" s="72">
        <f t="shared" ca="1" si="18"/>
        <v>31.022459386200122</v>
      </c>
      <c r="AI94" s="3">
        <f t="shared" ca="1" si="19"/>
        <v>0</v>
      </c>
    </row>
    <row r="95" spans="7:35" x14ac:dyDescent="0.25">
      <c r="G95" s="3">
        <f t="shared" si="14"/>
        <v>364</v>
      </c>
      <c r="H95" s="104">
        <f t="shared" si="16"/>
        <v>44193</v>
      </c>
      <c r="I95" s="131">
        <f>HLOOKUP($H$4,'Met Data'!$A$2:$F$368,G95,FALSE)</f>
        <v>18.386206896551698</v>
      </c>
      <c r="J95" s="131">
        <f ca="1">HLOOKUP($H$4,'Met Data'!$H$2:$M$368,G95,FALSE)*L95</f>
        <v>1.9544827586206848</v>
      </c>
      <c r="K95" s="105">
        <f>HLOOKUP($H$4,'Met Data'!$O$2:$T$368,G95,FALSE)</f>
        <v>4.2622812571545499</v>
      </c>
      <c r="L95">
        <f t="shared" ca="1" si="10"/>
        <v>0.65</v>
      </c>
      <c r="N95" t="b">
        <f t="shared" ca="1" si="15"/>
        <v>1</v>
      </c>
      <c r="O95" t="b">
        <f t="shared" ca="1" si="11"/>
        <v>1</v>
      </c>
      <c r="P95" s="2">
        <f ca="1"/>
        <v>44340</v>
      </c>
      <c r="Q95">
        <f ca="1"/>
        <v>30.833969785688453</v>
      </c>
      <c r="R95">
        <f ca="1"/>
        <v>0.29624260085880399</v>
      </c>
      <c r="S95">
        <f ca="1"/>
        <v>3.4525616040829574E-6</v>
      </c>
      <c r="T95">
        <f ca="1"/>
        <v>0.3993193803957939</v>
      </c>
      <c r="U95">
        <f ca="1"/>
        <v>0</v>
      </c>
      <c r="V95">
        <f ca="1"/>
        <v>12.995354862532899</v>
      </c>
      <c r="W95">
        <f ca="1"/>
        <v>10.4186896742721</v>
      </c>
      <c r="X95">
        <f ca="1"/>
        <v>0</v>
      </c>
      <c r="Y95">
        <f ca="1"/>
        <v>1</v>
      </c>
      <c r="Z95">
        <f ca="1"/>
        <v>3.8288114340229669</v>
      </c>
      <c r="AA95">
        <f ca="1"/>
        <v>0</v>
      </c>
      <c r="AB95">
        <f ca="1"/>
        <v>0.10012620817722501</v>
      </c>
      <c r="AD95" s="2">
        <f t="shared" ca="1" si="12"/>
        <v>44340</v>
      </c>
      <c r="AE95" s="46">
        <f t="shared" ca="1" si="13"/>
        <v>0</v>
      </c>
      <c r="AG95" s="72">
        <f t="shared" ca="1" si="17"/>
        <v>31.13021238654726</v>
      </c>
      <c r="AH95" s="72">
        <f t="shared" ca="1" si="18"/>
        <v>31.130212386547257</v>
      </c>
      <c r="AI95" s="3">
        <f t="shared" ca="1" si="19"/>
        <v>0</v>
      </c>
    </row>
    <row r="96" spans="7:35" x14ac:dyDescent="0.25">
      <c r="G96" s="3">
        <f t="shared" si="14"/>
        <v>365</v>
      </c>
      <c r="H96" s="104">
        <f t="shared" si="16"/>
        <v>44194</v>
      </c>
      <c r="I96" s="131">
        <f>HLOOKUP($H$4,'Met Data'!$A$2:$F$368,G96,FALSE)</f>
        <v>18.156896551724099</v>
      </c>
      <c r="J96" s="131">
        <f ca="1">HLOOKUP($H$4,'Met Data'!$H$2:$M$368,G96,FALSE)*L96</f>
        <v>2.8712068965517212</v>
      </c>
      <c r="K96" s="105">
        <f>HLOOKUP($H$4,'Met Data'!$O$2:$T$368,G96,FALSE)</f>
        <v>3.8040621578745699</v>
      </c>
      <c r="L96">
        <f t="shared" ca="1" si="10"/>
        <v>0.65</v>
      </c>
      <c r="N96" t="b">
        <f t="shared" ca="1" si="15"/>
        <v>1</v>
      </c>
      <c r="O96" t="b">
        <f t="shared" ca="1" si="11"/>
        <v>1</v>
      </c>
      <c r="P96" s="2">
        <f ca="1"/>
        <v>44341</v>
      </c>
      <c r="Q96">
        <f ca="1"/>
        <v>30.933963370835656</v>
      </c>
      <c r="R96">
        <f ca="1"/>
        <v>0.30934421657560701</v>
      </c>
      <c r="S96">
        <f ca="1"/>
        <v>2.9877095475401654E-6</v>
      </c>
      <c r="T96">
        <f ca="1"/>
        <v>0.40933481401326877</v>
      </c>
      <c r="U96">
        <f ca="1"/>
        <v>0</v>
      </c>
      <c r="V96">
        <f ca="1"/>
        <v>13.3046990791085</v>
      </c>
      <c r="W96">
        <f ca="1"/>
        <v>10.6666983996301</v>
      </c>
      <c r="X96">
        <f ca="1"/>
        <v>0</v>
      </c>
      <c r="Y96">
        <f ca="1"/>
        <v>1</v>
      </c>
      <c r="Z96">
        <f ca="1"/>
        <v>4.4719561770488241</v>
      </c>
      <c r="AA96">
        <f ca="1"/>
        <v>0</v>
      </c>
      <c r="AB96">
        <f ca="1"/>
        <v>0.105134639202145</v>
      </c>
      <c r="AD96" s="2">
        <f t="shared" ca="1" si="12"/>
        <v>44341</v>
      </c>
      <c r="AE96" s="46">
        <f t="shared" ca="1" si="13"/>
        <v>0</v>
      </c>
      <c r="AG96" s="72">
        <f t="shared" ca="1" si="17"/>
        <v>31.24330758741127</v>
      </c>
      <c r="AH96" s="72">
        <f t="shared" ca="1" si="18"/>
        <v>31.243307587411262</v>
      </c>
      <c r="AI96" s="3">
        <f t="shared" ca="1" si="19"/>
        <v>0</v>
      </c>
    </row>
    <row r="97" spans="7:35" x14ac:dyDescent="0.25">
      <c r="G97" s="3">
        <f t="shared" si="14"/>
        <v>366</v>
      </c>
      <c r="H97" s="104">
        <f t="shared" si="16"/>
        <v>44195</v>
      </c>
      <c r="I97" s="131">
        <f>HLOOKUP($H$4,'Met Data'!$A$2:$F$368,G97,FALSE)</f>
        <v>17.8086206896551</v>
      </c>
      <c r="J97" s="131">
        <f ca="1">HLOOKUP($H$4,'Met Data'!$H$2:$M$368,G97,FALSE)*L97</f>
        <v>5.7132758620689632</v>
      </c>
      <c r="K97" s="105">
        <f>HLOOKUP($H$4,'Met Data'!$O$2:$T$368,G97,FALSE)</f>
        <v>3.8298931146257198</v>
      </c>
      <c r="L97">
        <f t="shared" ca="1" si="10"/>
        <v>0.65</v>
      </c>
      <c r="N97" t="b">
        <f t="shared" ca="1" si="15"/>
        <v>1</v>
      </c>
      <c r="O97" t="b">
        <f t="shared" ca="1" si="11"/>
        <v>1</v>
      </c>
      <c r="P97" s="2">
        <f ca="1"/>
        <v>44342</v>
      </c>
      <c r="Q97">
        <f ca="1"/>
        <v>31.031965207425714</v>
      </c>
      <c r="R97">
        <f ca="1"/>
        <v>0.32597804201650499</v>
      </c>
      <c r="S97">
        <f ca="1"/>
        <v>2.5974992838460222E-6</v>
      </c>
      <c r="T97">
        <f ca="1"/>
        <v>0.42397728110726923</v>
      </c>
      <c r="U97">
        <f ca="1"/>
        <v>0</v>
      </c>
      <c r="V97">
        <f ca="1"/>
        <v>13.630677121125</v>
      </c>
      <c r="W97">
        <f ca="1"/>
        <v>10.9280428643502</v>
      </c>
      <c r="X97">
        <f ca="1"/>
        <v>0</v>
      </c>
      <c r="Y97">
        <f ca="1"/>
        <v>1</v>
      </c>
      <c r="Z97">
        <f ca="1"/>
        <v>5.4574478820009773</v>
      </c>
      <c r="AA97">
        <f ca="1"/>
        <v>0</v>
      </c>
      <c r="AB97">
        <f ca="1"/>
        <v>0.110522766604686</v>
      </c>
      <c r="AD97" s="2">
        <f t="shared" ca="1" si="12"/>
        <v>44342</v>
      </c>
      <c r="AE97" s="46">
        <f t="shared" ca="1" si="13"/>
        <v>0</v>
      </c>
      <c r="AG97" s="72">
        <f t="shared" ca="1" si="17"/>
        <v>31.357943249442208</v>
      </c>
      <c r="AH97" s="72">
        <f t="shared" ca="1" si="18"/>
        <v>31.357943249442219</v>
      </c>
      <c r="AI97" s="3">
        <f t="shared" ca="1" si="19"/>
        <v>0</v>
      </c>
    </row>
    <row r="98" spans="7:35" x14ac:dyDescent="0.25">
      <c r="G98" s="3">
        <f t="shared" si="14"/>
        <v>367</v>
      </c>
      <c r="H98" s="104">
        <f t="shared" si="16"/>
        <v>44196</v>
      </c>
      <c r="I98" s="131">
        <f>HLOOKUP($H$4,'Met Data'!$A$2:$F$368,G98,FALSE)</f>
        <v>17.691666666666599</v>
      </c>
      <c r="J98" s="131">
        <f ca="1">HLOOKUP($H$4,'Met Data'!$H$2:$M$368,G98,FALSE)*L98</f>
        <v>1.5708333333333289</v>
      </c>
      <c r="K98" s="105">
        <f>HLOOKUP($H$4,'Met Data'!$O$2:$T$368,G98,FALSE)</f>
        <v>4.2176739505731602</v>
      </c>
      <c r="L98">
        <f t="shared" ca="1" si="10"/>
        <v>0.65</v>
      </c>
      <c r="N98" t="b">
        <f t="shared" ca="1" si="15"/>
        <v>1</v>
      </c>
      <c r="O98" t="b">
        <f t="shared" ca="1" si="11"/>
        <v>1</v>
      </c>
      <c r="P98" s="2">
        <f ca="1"/>
        <v>44343</v>
      </c>
      <c r="Q98">
        <f ca="1"/>
        <v>31.115542739663709</v>
      </c>
      <c r="R98">
        <f ca="1"/>
        <v>0.31778128951900297</v>
      </c>
      <c r="S98">
        <f ca="1"/>
        <v>2.0778047177058917E-6</v>
      </c>
      <c r="T98">
        <f ca="1"/>
        <v>0.40135674395227777</v>
      </c>
      <c r="U98">
        <f ca="1"/>
        <v>0</v>
      </c>
      <c r="V98">
        <f ca="1"/>
        <v>13.948458410643999</v>
      </c>
      <c r="W98">
        <f ca="1"/>
        <v>11.182815794740501</v>
      </c>
      <c r="X98">
        <f ca="1"/>
        <v>0</v>
      </c>
      <c r="Y98">
        <f ca="1"/>
        <v>1</v>
      </c>
      <c r="Z98">
        <f ca="1"/>
        <v>2.8269550753199724</v>
      </c>
      <c r="AA98">
        <f ca="1"/>
        <v>0</v>
      </c>
      <c r="AB98">
        <f ca="1"/>
        <v>0.115881259967707</v>
      </c>
      <c r="AD98" s="2">
        <f t="shared" ca="1" si="12"/>
        <v>44343</v>
      </c>
      <c r="AE98" s="46">
        <f t="shared" ca="1" si="13"/>
        <v>0</v>
      </c>
      <c r="AG98" s="72">
        <f t="shared" ca="1" si="17"/>
        <v>31.43332402918271</v>
      </c>
      <c r="AH98" s="72">
        <f t="shared" ca="1" si="18"/>
        <v>31.433324029182714</v>
      </c>
      <c r="AI98" s="3">
        <f t="shared" ca="1" si="19"/>
        <v>0</v>
      </c>
    </row>
    <row r="99" spans="7:35" x14ac:dyDescent="0.25">
      <c r="G99" s="3">
        <f t="shared" si="14"/>
        <v>2</v>
      </c>
      <c r="H99" s="104">
        <f t="shared" si="16"/>
        <v>44197</v>
      </c>
      <c r="I99" s="131">
        <f>HLOOKUP($H$4,'Met Data'!$A$2:$F$368,G99,FALSE)</f>
        <v>17.639655172413701</v>
      </c>
      <c r="J99" s="131">
        <f ca="1">HLOOKUP($H$4,'Met Data'!$H$2:$M$368,G99,FALSE)*L99</f>
        <v>1.9410344827586181</v>
      </c>
      <c r="K99" s="105">
        <f>HLOOKUP($H$4,'Met Data'!$O$2:$T$368,G99,FALSE)</f>
        <v>4.7314305048111098</v>
      </c>
      <c r="L99">
        <f t="shared" ca="1" si="10"/>
        <v>0.65</v>
      </c>
      <c r="N99" t="b">
        <f t="shared" ca="1" si="15"/>
        <v>1</v>
      </c>
      <c r="O99" t="b">
        <f t="shared" ca="1" si="11"/>
        <v>1</v>
      </c>
      <c r="P99" s="2">
        <f ca="1"/>
        <v>44344</v>
      </c>
      <c r="Q99">
        <f ca="1"/>
        <v>31.185362950513365</v>
      </c>
      <c r="R99">
        <f ca="1"/>
        <v>0.30594839569840299</v>
      </c>
      <c r="S99">
        <f ca="1"/>
        <v>1.6580680485754498E-6</v>
      </c>
      <c r="T99">
        <f ca="1"/>
        <v>0.37576694848002623</v>
      </c>
      <c r="U99">
        <f ca="1"/>
        <v>0</v>
      </c>
      <c r="V99">
        <f ca="1"/>
        <v>14.2544068063424</v>
      </c>
      <c r="W99">
        <f ca="1"/>
        <v>11.4281020085332</v>
      </c>
      <c r="X99">
        <f ca="1"/>
        <v>0</v>
      </c>
      <c r="Y99">
        <f ca="1"/>
        <v>1</v>
      </c>
      <c r="Z99">
        <f ca="1"/>
        <v>2.3249823549977293</v>
      </c>
      <c r="AA99">
        <f ca="1"/>
        <v>0</v>
      </c>
      <c r="AB99">
        <f ca="1"/>
        <v>0.12113590394556099</v>
      </c>
      <c r="AD99" s="2">
        <f t="shared" ca="1" si="12"/>
        <v>44344</v>
      </c>
      <c r="AE99" s="46">
        <f t="shared" ca="1" si="13"/>
        <v>0</v>
      </c>
      <c r="AG99" s="72">
        <f t="shared" ca="1" si="17"/>
        <v>31.491311346211784</v>
      </c>
      <c r="AH99" s="72">
        <f t="shared" ca="1" si="18"/>
        <v>31.49131134621177</v>
      </c>
      <c r="AI99" s="3">
        <f t="shared" ca="1" si="19"/>
        <v>0</v>
      </c>
    </row>
    <row r="100" spans="7:35" x14ac:dyDescent="0.25">
      <c r="G100" s="3">
        <f t="shared" si="14"/>
        <v>3</v>
      </c>
      <c r="H100" s="104">
        <f t="shared" si="16"/>
        <v>44198</v>
      </c>
      <c r="I100" s="131">
        <f>HLOOKUP($H$4,'Met Data'!$A$2:$F$368,G100,FALSE)</f>
        <v>18.013793103448201</v>
      </c>
      <c r="J100" s="131">
        <f ca="1">HLOOKUP($H$4,'Met Data'!$H$2:$M$368,G100,FALSE)*L100</f>
        <v>0.94362068965516954</v>
      </c>
      <c r="K100" s="105">
        <f>HLOOKUP($H$4,'Met Data'!$O$2:$T$368,G100,FALSE)</f>
        <v>4.7184733001505199</v>
      </c>
      <c r="L100">
        <f t="shared" ca="1" si="10"/>
        <v>0.65</v>
      </c>
      <c r="N100" t="b">
        <f t="shared" ca="1" si="15"/>
        <v>1</v>
      </c>
      <c r="O100" t="b">
        <f t="shared" ca="1" si="11"/>
        <v>1</v>
      </c>
      <c r="P100" s="2">
        <f ca="1"/>
        <v>44345</v>
      </c>
      <c r="Q100">
        <f ca="1"/>
        <v>31.246081415056523</v>
      </c>
      <c r="R100">
        <f ca="1"/>
        <v>0.30251264087294599</v>
      </c>
      <c r="S100">
        <f ca="1"/>
        <v>1.3742801202170077E-6</v>
      </c>
      <c r="T100">
        <f ca="1"/>
        <v>0.36322973113599416</v>
      </c>
      <c r="U100">
        <f ca="1"/>
        <v>0</v>
      </c>
      <c r="V100">
        <f ca="1"/>
        <v>14.5569194472154</v>
      </c>
      <c r="W100">
        <f ca="1"/>
        <v>11.6706336947503</v>
      </c>
      <c r="X100">
        <f ca="1"/>
        <v>0</v>
      </c>
      <c r="Y100">
        <f ca="1"/>
        <v>1</v>
      </c>
      <c r="Z100">
        <f ca="1"/>
        <v>3.5117886968939303</v>
      </c>
      <c r="AA100">
        <f ca="1"/>
        <v>0</v>
      </c>
      <c r="AB100">
        <f ca="1"/>
        <v>0.12642086718262899</v>
      </c>
      <c r="AD100" s="2">
        <f t="shared" ca="1" si="12"/>
        <v>44345</v>
      </c>
      <c r="AE100" s="46">
        <f t="shared" ca="1" si="13"/>
        <v>0</v>
      </c>
      <c r="AG100" s="72">
        <f t="shared" ca="1" si="17"/>
        <v>31.548594055929481</v>
      </c>
      <c r="AH100" s="72">
        <f t="shared" ca="1" si="18"/>
        <v>31.54859405592947</v>
      </c>
      <c r="AI100" s="3">
        <f t="shared" ca="1" si="19"/>
        <v>0</v>
      </c>
    </row>
    <row r="101" spans="7:35" x14ac:dyDescent="0.25">
      <c r="G101" s="3">
        <f t="shared" si="14"/>
        <v>4</v>
      </c>
      <c r="H101" s="104">
        <f t="shared" si="16"/>
        <v>44199</v>
      </c>
      <c r="I101" s="131">
        <f>HLOOKUP($H$4,'Met Data'!$A$2:$F$368,G101,FALSE)</f>
        <v>17.827586206896498</v>
      </c>
      <c r="J101" s="131">
        <f ca="1">HLOOKUP($H$4,'Met Data'!$H$2:$M$368,G101,FALSE)*L101</f>
        <v>0.82706896551723608</v>
      </c>
      <c r="K101" s="105">
        <f>HLOOKUP($H$4,'Met Data'!$O$2:$T$368,G101,FALSE)</f>
        <v>4.5153833563593304</v>
      </c>
      <c r="L101">
        <f t="shared" ca="1" si="10"/>
        <v>0.65</v>
      </c>
      <c r="N101" t="b">
        <f t="shared" ca="1" si="15"/>
        <v>1</v>
      </c>
      <c r="O101" t="b">
        <f t="shared" ca="1" si="11"/>
        <v>1</v>
      </c>
      <c r="P101" s="2">
        <f ca="1"/>
        <v>44346</v>
      </c>
      <c r="Q101">
        <f ca="1"/>
        <v>31.303131380405361</v>
      </c>
      <c r="R101">
        <f ca="1"/>
        <v>0.31651975310425801</v>
      </c>
      <c r="S101">
        <f ca="1"/>
        <v>1.2117319691118177E-6</v>
      </c>
      <c r="T101">
        <f ca="1"/>
        <v>0.37356850672112318</v>
      </c>
      <c r="U101">
        <f ca="1"/>
        <v>0</v>
      </c>
      <c r="V101">
        <f ca="1"/>
        <v>14.8734392003196</v>
      </c>
      <c r="W101">
        <f ca="1"/>
        <v>11.9243952209459</v>
      </c>
      <c r="X101">
        <f ca="1"/>
        <v>0</v>
      </c>
      <c r="Y101">
        <f ca="1"/>
        <v>1</v>
      </c>
      <c r="Z101">
        <f ca="1"/>
        <v>4.0741996988564466</v>
      </c>
      <c r="AA101">
        <f ca="1"/>
        <v>0</v>
      </c>
      <c r="AB101">
        <f ca="1"/>
        <v>0.132042398075784</v>
      </c>
      <c r="AD101" s="2">
        <f t="shared" ca="1" si="12"/>
        <v>44346</v>
      </c>
      <c r="AE101" s="46">
        <f t="shared" ca="1" si="13"/>
        <v>0</v>
      </c>
      <c r="AG101" s="72">
        <f t="shared" ca="1" si="17"/>
        <v>31.619651133509617</v>
      </c>
      <c r="AH101" s="72">
        <f t="shared" ca="1" si="18"/>
        <v>31.61965113350962</v>
      </c>
      <c r="AI101" s="3">
        <f t="shared" ca="1" si="19"/>
        <v>0</v>
      </c>
    </row>
    <row r="102" spans="7:35" x14ac:dyDescent="0.25">
      <c r="G102" s="3">
        <f t="shared" si="14"/>
        <v>5</v>
      </c>
      <c r="H102" s="104">
        <f t="shared" si="16"/>
        <v>44200</v>
      </c>
      <c r="I102" s="131">
        <f>HLOOKUP($H$4,'Met Data'!$A$2:$F$368,G102,FALSE)</f>
        <v>18.068965517241299</v>
      </c>
      <c r="J102" s="131">
        <f ca="1">HLOOKUP($H$4,'Met Data'!$H$2:$M$368,G102,FALSE)*L102</f>
        <v>0.85844827586206662</v>
      </c>
      <c r="K102" s="105">
        <f>HLOOKUP($H$4,'Met Data'!$O$2:$T$368,G102,FALSE)</f>
        <v>4.6266971172714904</v>
      </c>
      <c r="L102">
        <f t="shared" ca="1" si="10"/>
        <v>0.65</v>
      </c>
      <c r="N102" t="b">
        <f t="shared" ca="1" si="15"/>
        <v>1</v>
      </c>
      <c r="O102" t="b">
        <f t="shared" ca="1" si="11"/>
        <v>1</v>
      </c>
      <c r="P102" s="2">
        <f ca="1"/>
        <v>44347</v>
      </c>
      <c r="Q102">
        <f ca="1"/>
        <v>31.351830926097932</v>
      </c>
      <c r="R102">
        <f ca="1"/>
        <v>0.31474813008899</v>
      </c>
      <c r="S102">
        <f ca="1"/>
        <v>1.011159747203463E-6</v>
      </c>
      <c r="T102">
        <f ca="1"/>
        <v>0.36344666462180952</v>
      </c>
      <c r="U102">
        <f ca="1"/>
        <v>0</v>
      </c>
      <c r="V102">
        <f ca="1"/>
        <v>15.188187330408599</v>
      </c>
      <c r="W102">
        <f ca="1"/>
        <v>12.1767363942069</v>
      </c>
      <c r="X102">
        <f ca="1"/>
        <v>0</v>
      </c>
      <c r="Y102">
        <f ca="1"/>
        <v>1</v>
      </c>
      <c r="Z102">
        <f ca="1"/>
        <v>4.2376404405262917</v>
      </c>
      <c r="AA102">
        <f ca="1"/>
        <v>0</v>
      </c>
      <c r="AB102">
        <f ca="1"/>
        <v>0.13772223647050799</v>
      </c>
      <c r="AD102" s="2">
        <f t="shared" ca="1" si="12"/>
        <v>44347</v>
      </c>
      <c r="AE102" s="46">
        <f t="shared" ca="1" si="13"/>
        <v>0</v>
      </c>
      <c r="AG102" s="72">
        <f t="shared" ca="1" si="17"/>
        <v>31.666579056186915</v>
      </c>
      <c r="AH102" s="72">
        <f t="shared" ca="1" si="18"/>
        <v>31.666579056186922</v>
      </c>
      <c r="AI102" s="3">
        <f t="shared" ca="1" si="19"/>
        <v>0</v>
      </c>
    </row>
    <row r="103" spans="7:35" x14ac:dyDescent="0.25">
      <c r="G103" s="3">
        <f t="shared" si="14"/>
        <v>6</v>
      </c>
      <c r="H103" s="104">
        <f t="shared" si="16"/>
        <v>44201</v>
      </c>
      <c r="I103" s="131">
        <f>HLOOKUP($H$4,'Met Data'!$A$2:$F$368,G103,FALSE)</f>
        <v>17.658620689655098</v>
      </c>
      <c r="J103" s="131">
        <f ca="1">HLOOKUP($H$4,'Met Data'!$H$2:$M$368,G103,FALSE)*L103</f>
        <v>1.0668965517241331</v>
      </c>
      <c r="K103" s="105">
        <f>HLOOKUP($H$4,'Met Data'!$O$2:$T$368,G103,FALSE)</f>
        <v>4.7524735832446101</v>
      </c>
      <c r="L103">
        <f t="shared" ca="1" si="10"/>
        <v>0.65</v>
      </c>
      <c r="N103" t="b">
        <f t="shared" ca="1" si="15"/>
        <v>1</v>
      </c>
      <c r="O103" t="b">
        <f t="shared" ca="1" si="11"/>
        <v>1</v>
      </c>
      <c r="P103" s="2">
        <f ca="1"/>
        <v>44348</v>
      </c>
      <c r="Q103">
        <f ca="1"/>
        <v>31.394613934286468</v>
      </c>
      <c r="R103">
        <f ca="1"/>
        <v>0.32169606857841199</v>
      </c>
      <c r="S103">
        <f ca="1"/>
        <v>8.7115058534426142E-7</v>
      </c>
      <c r="T103">
        <f ca="1"/>
        <v>0.36447820561635824</v>
      </c>
      <c r="U103">
        <f ca="1"/>
        <v>0</v>
      </c>
      <c r="V103">
        <f ca="1"/>
        <v>15.509883398987</v>
      </c>
      <c r="W103">
        <f ca="1"/>
        <v>12.4346478974637</v>
      </c>
      <c r="X103">
        <f ca="1"/>
        <v>0</v>
      </c>
      <c r="Y103">
        <f ca="1"/>
        <v>1</v>
      </c>
      <c r="Z103">
        <f ca="1"/>
        <v>2.8738966075926982</v>
      </c>
      <c r="AA103">
        <f ca="1"/>
        <v>0</v>
      </c>
      <c r="AB103">
        <f ca="1"/>
        <v>0.14361633536369101</v>
      </c>
      <c r="AD103" s="2">
        <f t="shared" ca="1" si="12"/>
        <v>44348</v>
      </c>
      <c r="AE103" s="46">
        <f t="shared" ca="1" si="13"/>
        <v>0</v>
      </c>
      <c r="AG103" s="72">
        <f t="shared" ca="1" si="17"/>
        <v>31.716310002864876</v>
      </c>
      <c r="AH103" s="72">
        <f t="shared" ca="1" si="18"/>
        <v>31.71631000286488</v>
      </c>
      <c r="AI103" s="3">
        <f t="shared" ca="1" si="19"/>
        <v>0</v>
      </c>
    </row>
    <row r="104" spans="7:35" x14ac:dyDescent="0.25">
      <c r="G104" s="3">
        <f t="shared" si="14"/>
        <v>7</v>
      </c>
      <c r="H104" s="104">
        <f t="shared" si="16"/>
        <v>44202</v>
      </c>
      <c r="I104" s="131">
        <f>HLOOKUP($H$4,'Met Data'!$A$2:$F$368,G104,FALSE)</f>
        <v>17.7431034482758</v>
      </c>
      <c r="J104" s="131">
        <f ca="1">HLOOKUP($H$4,'Met Data'!$H$2:$M$368,G104,FALSE)*L104</f>
        <v>1.1834482758620666</v>
      </c>
      <c r="K104" s="105">
        <f>HLOOKUP($H$4,'Met Data'!$O$2:$T$368,G104,FALSE)</f>
        <v>4.5675277776113097</v>
      </c>
      <c r="L104">
        <f t="shared" ca="1" si="10"/>
        <v>0.65</v>
      </c>
      <c r="N104" t="b">
        <f t="shared" ca="1" si="15"/>
        <v>1</v>
      </c>
      <c r="O104" t="b">
        <f t="shared" ca="1" si="11"/>
        <v>1</v>
      </c>
      <c r="P104" s="2">
        <f ca="1"/>
        <v>44349</v>
      </c>
      <c r="Q104">
        <f ca="1"/>
        <v>31.430343904290822</v>
      </c>
      <c r="R104">
        <f ca="1"/>
        <v>0.32361313909877198</v>
      </c>
      <c r="S104">
        <f ca="1"/>
        <v>7.3850554561400698E-7</v>
      </c>
      <c r="T104">
        <f ca="1"/>
        <v>0.35934237059757429</v>
      </c>
      <c r="U104">
        <f ca="1"/>
        <v>0</v>
      </c>
      <c r="V104">
        <f ca="1"/>
        <v>15.8334965380858</v>
      </c>
      <c r="W104">
        <f ca="1"/>
        <v>12.6940963624309</v>
      </c>
      <c r="X104">
        <f ca="1"/>
        <v>0</v>
      </c>
      <c r="Y104">
        <f ca="1"/>
        <v>1</v>
      </c>
      <c r="Z104">
        <f ca="1"/>
        <v>3.8128294277752417</v>
      </c>
      <c r="AA104">
        <f ca="1"/>
        <v>0</v>
      </c>
      <c r="AB104">
        <f ca="1"/>
        <v>0.149632420781248</v>
      </c>
      <c r="AD104" s="2">
        <f t="shared" ca="1" si="12"/>
        <v>44349</v>
      </c>
      <c r="AE104" s="46">
        <f t="shared" ca="1" si="13"/>
        <v>0</v>
      </c>
      <c r="AG104" s="72">
        <f t="shared" ca="1" si="17"/>
        <v>31.753957043389587</v>
      </c>
      <c r="AH104" s="72">
        <f t="shared" ca="1" si="18"/>
        <v>31.753957043389594</v>
      </c>
      <c r="AI104" s="3">
        <f t="shared" ca="1" si="19"/>
        <v>0</v>
      </c>
    </row>
    <row r="105" spans="7:35" x14ac:dyDescent="0.25">
      <c r="G105" s="3">
        <f t="shared" si="14"/>
        <v>8</v>
      </c>
      <c r="H105" s="104">
        <f t="shared" si="16"/>
        <v>44203</v>
      </c>
      <c r="I105" s="131">
        <f>HLOOKUP($H$4,'Met Data'!$A$2:$F$368,G105,FALSE)</f>
        <v>18.181034482758601</v>
      </c>
      <c r="J105" s="131">
        <f ca="1">HLOOKUP($H$4,'Met Data'!$H$2:$M$368,G105,FALSE)*L105</f>
        <v>0.96827586206896354</v>
      </c>
      <c r="K105" s="105">
        <f>HLOOKUP($H$4,'Met Data'!$O$2:$T$368,G105,FALSE)</f>
        <v>4.0945523595888398</v>
      </c>
      <c r="L105">
        <f t="shared" ca="1" si="10"/>
        <v>0.65</v>
      </c>
      <c r="N105" t="b">
        <f t="shared" ca="1" si="15"/>
        <v>1</v>
      </c>
      <c r="O105" t="b">
        <f t="shared" ca="1" si="11"/>
        <v>1</v>
      </c>
      <c r="P105" s="2">
        <f ca="1"/>
        <v>44350</v>
      </c>
      <c r="Q105">
        <f ca="1"/>
        <v>31.457625756552758</v>
      </c>
      <c r="R105">
        <f ca="1"/>
        <v>0.31409623717724999</v>
      </c>
      <c r="S105">
        <f ca="1"/>
        <v>6.0572749294153162E-7</v>
      </c>
      <c r="T105">
        <f ca="1"/>
        <v>0.3413774837116898</v>
      </c>
      <c r="U105">
        <f ca="1"/>
        <v>0</v>
      </c>
      <c r="V105">
        <f ca="1"/>
        <v>16.147592775263099</v>
      </c>
      <c r="W105">
        <f ca="1"/>
        <v>12.9459148974092</v>
      </c>
      <c r="X105">
        <f ca="1"/>
        <v>0</v>
      </c>
      <c r="Y105">
        <f ca="1"/>
        <v>1</v>
      </c>
      <c r="Z105">
        <f ca="1"/>
        <v>1.2925659807430492</v>
      </c>
      <c r="AA105">
        <f ca="1"/>
        <v>0</v>
      </c>
      <c r="AB105">
        <f ca="1"/>
        <v>0.15555120567412201</v>
      </c>
      <c r="AD105" s="2">
        <f t="shared" ca="1" si="12"/>
        <v>44350</v>
      </c>
      <c r="AE105" s="46">
        <f t="shared" ca="1" si="13"/>
        <v>0</v>
      </c>
      <c r="AG105" s="72">
        <f t="shared" ca="1" si="17"/>
        <v>31.771721993730004</v>
      </c>
      <c r="AH105" s="72">
        <f t="shared" ca="1" si="18"/>
        <v>31.771721993730008</v>
      </c>
      <c r="AI105" s="3">
        <f t="shared" ca="1" si="19"/>
        <v>0</v>
      </c>
    </row>
    <row r="106" spans="7:35" x14ac:dyDescent="0.25">
      <c r="G106" s="3">
        <f t="shared" si="14"/>
        <v>9</v>
      </c>
      <c r="H106" s="104">
        <f t="shared" si="16"/>
        <v>44204</v>
      </c>
      <c r="I106" s="131">
        <f>HLOOKUP($H$4,'Met Data'!$A$2:$F$368,G106,FALSE)</f>
        <v>18.393103448275799</v>
      </c>
      <c r="J106" s="131">
        <f ca="1">HLOOKUP($H$4,'Met Data'!$H$2:$M$368,G106,FALSE)*L106</f>
        <v>1.7527586206896546</v>
      </c>
      <c r="K106" s="105">
        <f>HLOOKUP($H$4,'Met Data'!$O$2:$T$368,G106,FALSE)</f>
        <v>4.0360392602952304</v>
      </c>
      <c r="L106">
        <f t="shared" ca="1" si="10"/>
        <v>0.65</v>
      </c>
      <c r="N106" t="b">
        <f t="shared" ca="1" si="15"/>
        <v>1</v>
      </c>
      <c r="O106" t="b">
        <f t="shared" ca="1" si="11"/>
        <v>1</v>
      </c>
      <c r="P106" s="2">
        <f ca="1"/>
        <v>44351</v>
      </c>
      <c r="Q106">
        <f ca="1"/>
        <v>31.479615893243036</v>
      </c>
      <c r="R106">
        <f ca="1"/>
        <v>0.32317329815546397</v>
      </c>
      <c r="S106">
        <f ca="1"/>
        <v>5.309030075022093E-7</v>
      </c>
      <c r="T106">
        <f ca="1"/>
        <v>0.34516290394273952</v>
      </c>
      <c r="U106">
        <f ca="1"/>
        <v>0</v>
      </c>
      <c r="V106">
        <f ca="1"/>
        <v>16.470766073418499</v>
      </c>
      <c r="W106">
        <f ca="1"/>
        <v>13.2050107312752</v>
      </c>
      <c r="X106">
        <f ca="1"/>
        <v>0</v>
      </c>
      <c r="Y106">
        <f ca="1"/>
        <v>1</v>
      </c>
      <c r="Z106">
        <f ca="1"/>
        <v>3.0354514425049928</v>
      </c>
      <c r="AA106">
        <f ca="1"/>
        <v>0</v>
      </c>
      <c r="AB106">
        <f ca="1"/>
        <v>0.16171905099676501</v>
      </c>
      <c r="AD106" s="2">
        <f t="shared" ca="1" si="12"/>
        <v>44351</v>
      </c>
      <c r="AE106" s="46">
        <f t="shared" ca="1" si="13"/>
        <v>0</v>
      </c>
      <c r="AG106" s="72">
        <f t="shared" ca="1" si="17"/>
        <v>31.802789191398507</v>
      </c>
      <c r="AH106" s="72">
        <f t="shared" ca="1" si="18"/>
        <v>31.802789191398499</v>
      </c>
      <c r="AI106" s="3">
        <f t="shared" ca="1" si="19"/>
        <v>0</v>
      </c>
    </row>
    <row r="107" spans="7:35" x14ac:dyDescent="0.25">
      <c r="G107" s="3">
        <f t="shared" si="14"/>
        <v>10</v>
      </c>
      <c r="H107" s="104">
        <f t="shared" si="16"/>
        <v>44205</v>
      </c>
      <c r="I107" s="131">
        <f>HLOOKUP($H$4,'Met Data'!$A$2:$F$368,G107,FALSE)</f>
        <v>18.6103448275862</v>
      </c>
      <c r="J107" s="131">
        <f ca="1">HLOOKUP($H$4,'Met Data'!$H$2:$M$368,G107,FALSE)*L107</f>
        <v>1.9567241379310301</v>
      </c>
      <c r="K107" s="105">
        <f>HLOOKUP($H$4,'Met Data'!$O$2:$T$368,G107,FALSE)</f>
        <v>4.1608753956650997</v>
      </c>
      <c r="L107">
        <f t="shared" ca="1" si="10"/>
        <v>0.65</v>
      </c>
      <c r="N107" t="b">
        <f t="shared" ca="1" si="15"/>
        <v>1</v>
      </c>
      <c r="O107" t="b">
        <f t="shared" ca="1" si="11"/>
        <v>1</v>
      </c>
      <c r="P107" s="2">
        <f ca="1"/>
        <v>44352</v>
      </c>
      <c r="Q107">
        <f ca="1"/>
        <v>31.496111013023921</v>
      </c>
      <c r="R107">
        <f ca="1"/>
        <v>0.33286259716633299</v>
      </c>
      <c r="S107">
        <f ca="1"/>
        <v>4.6499972378133214E-7</v>
      </c>
      <c r="T107">
        <f ca="1"/>
        <v>0.34935725194750145</v>
      </c>
      <c r="U107">
        <f ca="1"/>
        <v>0</v>
      </c>
      <c r="V107">
        <f ca="1"/>
        <v>16.803628670584899</v>
      </c>
      <c r="W107">
        <f ca="1"/>
        <v>13.4718747100379</v>
      </c>
      <c r="X107">
        <f ca="1"/>
        <v>0</v>
      </c>
      <c r="Y107">
        <f ca="1"/>
        <v>1</v>
      </c>
      <c r="Z107">
        <f ca="1"/>
        <v>2.0399880849680017</v>
      </c>
      <c r="AA107">
        <f ca="1"/>
        <v>0</v>
      </c>
      <c r="AB107">
        <f ca="1"/>
        <v>0.16815036742421199</v>
      </c>
      <c r="AD107" s="2">
        <f t="shared" ca="1" si="12"/>
        <v>44352</v>
      </c>
      <c r="AE107" s="46">
        <f t="shared" ca="1" si="13"/>
        <v>0</v>
      </c>
      <c r="AG107" s="72">
        <f t="shared" ca="1" si="17"/>
        <v>31.828973610190261</v>
      </c>
      <c r="AH107" s="72">
        <f t="shared" ca="1" si="18"/>
        <v>31.828973610190253</v>
      </c>
      <c r="AI107" s="3">
        <f t="shared" ca="1" si="19"/>
        <v>0</v>
      </c>
    </row>
    <row r="108" spans="7:35" x14ac:dyDescent="0.25">
      <c r="G108" s="3">
        <f t="shared" si="14"/>
        <v>11</v>
      </c>
      <c r="H108" s="104">
        <f t="shared" si="16"/>
        <v>44206</v>
      </c>
      <c r="I108" s="131">
        <f>HLOOKUP($H$4,'Met Data'!$A$2:$F$368,G108,FALSE)</f>
        <v>18.453448275862002</v>
      </c>
      <c r="J108" s="131">
        <f ca="1">HLOOKUP($H$4,'Met Data'!$H$2:$M$368,G108,FALSE)*L108</f>
        <v>0.82482758620689056</v>
      </c>
      <c r="K108" s="105">
        <f>HLOOKUP($H$4,'Met Data'!$O$2:$T$368,G108,FALSE)</f>
        <v>4.5179186785714496</v>
      </c>
      <c r="L108">
        <f t="shared" ca="1" si="10"/>
        <v>0.65</v>
      </c>
      <c r="N108" t="b">
        <f t="shared" ca="1" si="15"/>
        <v>1</v>
      </c>
      <c r="O108" t="b">
        <f t="shared" ca="1" si="11"/>
        <v>1</v>
      </c>
      <c r="P108" s="2">
        <f ca="1"/>
        <v>44353</v>
      </c>
      <c r="Q108">
        <f ca="1"/>
        <v>31.506359764776732</v>
      </c>
      <c r="R108">
        <f ca="1"/>
        <v>0.33714394038332102</v>
      </c>
      <c r="S108">
        <f ca="1"/>
        <v>3.9980260007049403E-7</v>
      </c>
      <c r="T108">
        <f ca="1"/>
        <v>0.34739229233353985</v>
      </c>
      <c r="U108">
        <f ca="1"/>
        <v>0</v>
      </c>
      <c r="V108">
        <f ca="1"/>
        <v>17.140772610968199</v>
      </c>
      <c r="W108">
        <f ca="1"/>
        <v>13.7421711450004</v>
      </c>
      <c r="X108">
        <f ca="1"/>
        <v>0</v>
      </c>
      <c r="Y108">
        <f ca="1"/>
        <v>1</v>
      </c>
      <c r="Z108">
        <f ca="1"/>
        <v>2.1549764906942244</v>
      </c>
      <c r="AA108">
        <f ca="1"/>
        <v>0</v>
      </c>
      <c r="AB108">
        <f ca="1"/>
        <v>0.17474120167076701</v>
      </c>
      <c r="AD108" s="2">
        <f t="shared" ca="1" si="12"/>
        <v>44353</v>
      </c>
      <c r="AE108" s="46">
        <f t="shared" ca="1" si="13"/>
        <v>0</v>
      </c>
      <c r="AG108" s="72">
        <f t="shared" ca="1" si="17"/>
        <v>31.843503705160064</v>
      </c>
      <c r="AH108" s="72">
        <f t="shared" ca="1" si="18"/>
        <v>31.843503705160053</v>
      </c>
      <c r="AI108" s="3">
        <f t="shared" ca="1" si="19"/>
        <v>0</v>
      </c>
    </row>
    <row r="109" spans="7:35" x14ac:dyDescent="0.25">
      <c r="G109" s="3">
        <f t="shared" si="14"/>
        <v>12</v>
      </c>
      <c r="H109" s="104">
        <f t="shared" si="16"/>
        <v>44207</v>
      </c>
      <c r="I109" s="131">
        <f>HLOOKUP($H$4,'Met Data'!$A$2:$F$368,G109,FALSE)</f>
        <v>18.186206896551699</v>
      </c>
      <c r="J109" s="131">
        <f ca="1">HLOOKUP($H$4,'Met Data'!$H$2:$M$368,G109,FALSE)*L109</f>
        <v>0.87189655172413294</v>
      </c>
      <c r="K109" s="105">
        <f>HLOOKUP($H$4,'Met Data'!$O$2:$T$368,G109,FALSE)</f>
        <v>4.5303746944186001</v>
      </c>
      <c r="L109">
        <f t="shared" ca="1" si="10"/>
        <v>0.65</v>
      </c>
      <c r="N109" t="b">
        <f t="shared" ca="1" si="15"/>
        <v>1</v>
      </c>
      <c r="O109" t="b">
        <f t="shared" ca="1" si="11"/>
        <v>1</v>
      </c>
      <c r="P109" s="2">
        <f ca="1"/>
        <v>44354</v>
      </c>
      <c r="Q109">
        <f ca="1"/>
        <v>31.510713107324733</v>
      </c>
      <c r="R109">
        <f ca="1"/>
        <v>0.34670189243084298</v>
      </c>
      <c r="S109">
        <f ca="1"/>
        <v>3.4930484657295097E-7</v>
      </c>
      <c r="T109">
        <f ca="1"/>
        <v>0.35105488567399673</v>
      </c>
      <c r="U109">
        <f ca="1"/>
        <v>0</v>
      </c>
      <c r="V109">
        <f ca="1"/>
        <v>17.487474503399</v>
      </c>
      <c r="W109">
        <f ca="1"/>
        <v>14.020130420828499</v>
      </c>
      <c r="X109">
        <f ca="1"/>
        <v>0</v>
      </c>
      <c r="Y109">
        <f ca="1"/>
        <v>1</v>
      </c>
      <c r="Z109">
        <f ca="1"/>
        <v>1.7458837896239885</v>
      </c>
      <c r="AA109">
        <f ca="1"/>
        <v>0</v>
      </c>
      <c r="AB109">
        <f ca="1"/>
        <v>0.18159466938167701</v>
      </c>
      <c r="AD109" s="2">
        <f t="shared" ca="1" si="12"/>
        <v>44354</v>
      </c>
      <c r="AE109" s="46">
        <f t="shared" ca="1" si="13"/>
        <v>0</v>
      </c>
      <c r="AG109" s="72">
        <f t="shared" ca="1" si="17"/>
        <v>31.857414999755576</v>
      </c>
      <c r="AH109" s="72">
        <f t="shared" ca="1" si="18"/>
        <v>31.857414999755576</v>
      </c>
      <c r="AI109" s="3">
        <f t="shared" ca="1" si="19"/>
        <v>0</v>
      </c>
    </row>
    <row r="110" spans="7:35" x14ac:dyDescent="0.25">
      <c r="G110" s="3">
        <f t="shared" si="14"/>
        <v>13</v>
      </c>
      <c r="H110" s="104">
        <f t="shared" si="16"/>
        <v>44208</v>
      </c>
      <c r="I110" s="131">
        <f>HLOOKUP($H$4,'Met Data'!$A$2:$F$368,G110,FALSE)</f>
        <v>18.314999999999898</v>
      </c>
      <c r="J110" s="131">
        <f ca="1">HLOOKUP($H$4,'Met Data'!$H$2:$M$368,G110,FALSE)*L110</f>
        <v>0.61749999999999994</v>
      </c>
      <c r="K110" s="105">
        <f>HLOOKUP($H$4,'Met Data'!$O$2:$T$368,G110,FALSE)</f>
        <v>4.1021279144140701</v>
      </c>
      <c r="L110">
        <f t="shared" ca="1" si="10"/>
        <v>0.65</v>
      </c>
      <c r="N110" t="b">
        <f t="shared" ca="1" si="15"/>
        <v>1</v>
      </c>
      <c r="O110" t="b">
        <f t="shared" ca="1" si="11"/>
        <v>1</v>
      </c>
      <c r="P110" s="2">
        <f ca="1"/>
        <v>44355</v>
      </c>
      <c r="Q110">
        <f ca="1"/>
        <v>31.509252817456087</v>
      </c>
      <c r="R110">
        <f ca="1"/>
        <v>0.36197290455846298</v>
      </c>
      <c r="S110">
        <f ca="1"/>
        <v>3.0928944737349922E-7</v>
      </c>
      <c r="T110">
        <f ca="1"/>
        <v>0.36051230540036217</v>
      </c>
      <c r="U110">
        <f ca="1"/>
        <v>0</v>
      </c>
      <c r="V110">
        <f ca="1"/>
        <v>17.849447407957499</v>
      </c>
      <c r="W110">
        <f ca="1"/>
        <v>14.310332835690099</v>
      </c>
      <c r="X110">
        <f ca="1"/>
        <v>0</v>
      </c>
      <c r="Y110">
        <f ca="1"/>
        <v>1</v>
      </c>
      <c r="Z110">
        <f ca="1"/>
        <v>1.4248539259446318</v>
      </c>
      <c r="AA110">
        <f ca="1"/>
        <v>0</v>
      </c>
      <c r="AB110">
        <f ca="1"/>
        <v>0.18882661378152099</v>
      </c>
      <c r="AD110" s="2">
        <f t="shared" ca="1" si="12"/>
        <v>44355</v>
      </c>
      <c r="AE110" s="46">
        <f t="shared" ca="1" si="13"/>
        <v>0</v>
      </c>
      <c r="AG110" s="72">
        <f t="shared" ca="1" si="17"/>
        <v>31.871225722014543</v>
      </c>
      <c r="AH110" s="72">
        <f t="shared" ca="1" si="18"/>
        <v>31.87122572201455</v>
      </c>
      <c r="AI110" s="3">
        <f t="shared" ca="1" si="19"/>
        <v>0</v>
      </c>
    </row>
    <row r="111" spans="7:35" x14ac:dyDescent="0.25">
      <c r="G111" s="3">
        <f t="shared" si="14"/>
        <v>14</v>
      </c>
      <c r="H111" s="104">
        <f t="shared" si="16"/>
        <v>44209</v>
      </c>
      <c r="I111" s="131">
        <f>HLOOKUP($H$4,'Met Data'!$A$2:$F$368,G111,FALSE)</f>
        <v>18.473333333333301</v>
      </c>
      <c r="J111" s="131">
        <f ca="1">HLOOKUP($H$4,'Met Data'!$H$2:$M$368,G111,FALSE)*L111</f>
        <v>2.4201666666666646</v>
      </c>
      <c r="K111" s="105">
        <f>HLOOKUP($H$4,'Met Data'!$O$2:$T$368,G111,FALSE)</f>
        <v>4.3613860913388498</v>
      </c>
      <c r="L111">
        <f t="shared" ca="1" si="10"/>
        <v>0.65</v>
      </c>
      <c r="N111" t="b">
        <f t="shared" ca="1" si="15"/>
        <v>1</v>
      </c>
      <c r="O111" t="b">
        <f t="shared" ca="1" si="11"/>
        <v>1</v>
      </c>
      <c r="P111" s="2">
        <f ca="1"/>
        <v>44356</v>
      </c>
      <c r="Q111">
        <f ca="1"/>
        <v>31.501785179016238</v>
      </c>
      <c r="R111">
        <f ca="1"/>
        <v>0.38134920222433499</v>
      </c>
      <c r="S111">
        <f ca="1"/>
        <v>2.7512520125546975E-7</v>
      </c>
      <c r="T111">
        <f ca="1"/>
        <v>0.37388128865928388</v>
      </c>
      <c r="U111">
        <f ca="1"/>
        <v>0</v>
      </c>
      <c r="V111">
        <f ca="1"/>
        <v>18.230796610181802</v>
      </c>
      <c r="W111">
        <f ca="1"/>
        <v>14.616069696094</v>
      </c>
      <c r="X111">
        <f ca="1"/>
        <v>0</v>
      </c>
      <c r="Y111">
        <f ca="1"/>
        <v>1</v>
      </c>
      <c r="Z111">
        <f ca="1"/>
        <v>3.8126277964546205</v>
      </c>
      <c r="AA111">
        <f ca="1"/>
        <v>0</v>
      </c>
      <c r="AB111">
        <f ca="1"/>
        <v>0.19652410958017499</v>
      </c>
      <c r="AD111" s="2">
        <f t="shared" ca="1" si="12"/>
        <v>44356</v>
      </c>
      <c r="AE111" s="46">
        <f t="shared" ca="1" si="13"/>
        <v>0</v>
      </c>
      <c r="AG111" s="72">
        <f t="shared" ca="1" si="17"/>
        <v>31.883134381240573</v>
      </c>
      <c r="AH111" s="72">
        <f t="shared" ca="1" si="18"/>
        <v>31.883134381240573</v>
      </c>
      <c r="AI111" s="3">
        <f t="shared" ca="1" si="19"/>
        <v>0</v>
      </c>
    </row>
    <row r="112" spans="7:35" x14ac:dyDescent="0.25">
      <c r="G112" s="3">
        <f t="shared" si="14"/>
        <v>15</v>
      </c>
      <c r="H112" s="104">
        <f t="shared" si="16"/>
        <v>44210</v>
      </c>
      <c r="I112" s="131">
        <f>HLOOKUP($H$4,'Met Data'!$A$2:$F$368,G112,FALSE)</f>
        <v>18.684999999999999</v>
      </c>
      <c r="J112" s="131">
        <f ca="1">HLOOKUP($H$4,'Met Data'!$H$2:$M$368,G112,FALSE)*L112</f>
        <v>1.460333333333329</v>
      </c>
      <c r="K112" s="105">
        <f>HLOOKUP($H$4,'Met Data'!$O$2:$T$368,G112,FALSE)</f>
        <v>4.5029029229169799</v>
      </c>
      <c r="L112">
        <f t="shared" ca="1" si="10"/>
        <v>0.65</v>
      </c>
      <c r="N112" t="b">
        <f t="shared" ca="1" si="15"/>
        <v>1</v>
      </c>
      <c r="O112" t="b">
        <f t="shared" ca="1" si="11"/>
        <v>1</v>
      </c>
      <c r="P112" s="2">
        <f ca="1"/>
        <v>44357</v>
      </c>
      <c r="Q112">
        <f ca="1"/>
        <v>31.487029465260122</v>
      </c>
      <c r="R112">
        <f ca="1"/>
        <v>0.38915092237521498</v>
      </c>
      <c r="S112">
        <f ca="1"/>
        <v>2.356905535099346E-7</v>
      </c>
      <c r="T112">
        <f ca="1"/>
        <v>0.37439497292854218</v>
      </c>
      <c r="U112">
        <f ca="1"/>
        <v>0</v>
      </c>
      <c r="V112">
        <f ca="1"/>
        <v>18.619947532556999</v>
      </c>
      <c r="W112">
        <f ca="1"/>
        <v>14.928061383860401</v>
      </c>
      <c r="X112">
        <f ca="1"/>
        <v>0</v>
      </c>
      <c r="Y112">
        <f ca="1"/>
        <v>1</v>
      </c>
      <c r="Z112">
        <f ca="1"/>
        <v>5.886262792865864</v>
      </c>
      <c r="AA112">
        <f ca="1"/>
        <v>0</v>
      </c>
      <c r="AB112">
        <f ca="1"/>
        <v>0.20445519976130599</v>
      </c>
      <c r="AD112" s="2">
        <f t="shared" ca="1" si="12"/>
        <v>44357</v>
      </c>
      <c r="AE112" s="46">
        <f t="shared" ca="1" si="13"/>
        <v>0</v>
      </c>
      <c r="AG112" s="72">
        <f t="shared" ca="1" si="17"/>
        <v>31.876180387635333</v>
      </c>
      <c r="AH112" s="72">
        <f t="shared" ca="1" si="18"/>
        <v>31.876180387635337</v>
      </c>
      <c r="AI112" s="3">
        <f t="shared" ca="1" si="19"/>
        <v>0</v>
      </c>
    </row>
    <row r="113" spans="7:35" x14ac:dyDescent="0.25">
      <c r="G113" s="3">
        <f t="shared" si="14"/>
        <v>16</v>
      </c>
      <c r="H113" s="104">
        <f t="shared" si="16"/>
        <v>44211</v>
      </c>
      <c r="I113" s="131">
        <f>HLOOKUP($H$4,'Met Data'!$A$2:$F$368,G113,FALSE)</f>
        <v>18.661666666666601</v>
      </c>
      <c r="J113" s="131">
        <f ca="1">HLOOKUP($H$4,'Met Data'!$H$2:$M$368,G113,FALSE)*L113</f>
        <v>0.86666666666666448</v>
      </c>
      <c r="K113" s="105">
        <f>HLOOKUP($H$4,'Met Data'!$O$2:$T$368,G113,FALSE)</f>
        <v>4.6368762557636201</v>
      </c>
      <c r="L113">
        <f t="shared" ca="1" si="10"/>
        <v>0.65</v>
      </c>
      <c r="N113" t="b">
        <f t="shared" ca="1" si="15"/>
        <v>1</v>
      </c>
      <c r="O113" t="b">
        <f t="shared" ca="1" si="11"/>
        <v>1</v>
      </c>
      <c r="P113" s="2">
        <f ca="1"/>
        <v>44358</v>
      </c>
      <c r="Q113">
        <f ca="1"/>
        <v>31.464899650874784</v>
      </c>
      <c r="R113">
        <f ca="1"/>
        <v>0.39846954551429498</v>
      </c>
      <c r="S113">
        <f ca="1"/>
        <v>2.0256266201104365E-7</v>
      </c>
      <c r="T113">
        <f ca="1"/>
        <v>0.37633952856628472</v>
      </c>
      <c r="U113">
        <f ca="1"/>
        <v>0</v>
      </c>
      <c r="V113">
        <f ca="1"/>
        <v>19.018417078071302</v>
      </c>
      <c r="W113">
        <f ca="1"/>
        <v>15.247524036729599</v>
      </c>
      <c r="X113">
        <f ca="1"/>
        <v>0</v>
      </c>
      <c r="Y113">
        <f ca="1"/>
        <v>1</v>
      </c>
      <c r="Z113">
        <f ca="1"/>
        <v>3.5351068087988722</v>
      </c>
      <c r="AA113">
        <f ca="1"/>
        <v>0</v>
      </c>
      <c r="AB113">
        <f ca="1"/>
        <v>0.21264850681771699</v>
      </c>
      <c r="AD113" s="2">
        <f t="shared" ca="1" si="12"/>
        <v>44358</v>
      </c>
      <c r="AE113" s="46">
        <f t="shared" ca="1" si="13"/>
        <v>0</v>
      </c>
      <c r="AG113" s="72">
        <f t="shared" ca="1" si="17"/>
        <v>31.863369196389069</v>
      </c>
      <c r="AH113" s="72">
        <f t="shared" ca="1" si="18"/>
        <v>31.86336919638908</v>
      </c>
      <c r="AI113" s="3">
        <f t="shared" ca="1" si="19"/>
        <v>0</v>
      </c>
    </row>
    <row r="114" spans="7:35" x14ac:dyDescent="0.25">
      <c r="G114" s="3">
        <f t="shared" si="14"/>
        <v>17</v>
      </c>
      <c r="H114" s="104">
        <f t="shared" si="16"/>
        <v>44212</v>
      </c>
      <c r="I114" s="131">
        <f>HLOOKUP($H$4,'Met Data'!$A$2:$F$368,G114,FALSE)</f>
        <v>18.636666666666599</v>
      </c>
      <c r="J114" s="131">
        <f ca="1">HLOOKUP($H$4,'Met Data'!$H$2:$M$368,G114,FALSE)*L114</f>
        <v>1.9586666666666646</v>
      </c>
      <c r="K114" s="105">
        <f>HLOOKUP($H$4,'Met Data'!$O$2:$T$368,G114,FALSE)</f>
        <v>4.4386060395545801</v>
      </c>
      <c r="L114">
        <f t="shared" ca="1" si="10"/>
        <v>0.65</v>
      </c>
      <c r="N114" t="b">
        <f t="shared" ca="1" si="15"/>
        <v>1</v>
      </c>
      <c r="O114" t="b">
        <f t="shared" ca="1" si="11"/>
        <v>1</v>
      </c>
      <c r="P114" s="2">
        <f ca="1"/>
        <v>44359</v>
      </c>
      <c r="Q114">
        <f ca="1"/>
        <v>31.435098255966011</v>
      </c>
      <c r="R114">
        <f ca="1"/>
        <v>0.40015608711068801</v>
      </c>
      <c r="S114">
        <f ca="1"/>
        <v>1.7063537612944411E-7</v>
      </c>
      <c r="T114">
        <f ca="1"/>
        <v>0.37035452156653448</v>
      </c>
      <c r="U114">
        <f ca="1"/>
        <v>0</v>
      </c>
      <c r="V114">
        <f ca="1"/>
        <v>19.418573165182</v>
      </c>
      <c r="W114">
        <f ca="1"/>
        <v>15.568338830706301</v>
      </c>
      <c r="X114">
        <f ca="1"/>
        <v>0</v>
      </c>
      <c r="Y114">
        <f ca="1"/>
        <v>1</v>
      </c>
      <c r="Z114">
        <f ca="1"/>
        <v>2.8386679200156664</v>
      </c>
      <c r="AA114">
        <f ca="1"/>
        <v>0</v>
      </c>
      <c r="AB114">
        <f ca="1"/>
        <v>0.22094252168714201</v>
      </c>
      <c r="AD114" s="2">
        <f t="shared" ca="1" si="12"/>
        <v>44359</v>
      </c>
      <c r="AE114" s="46">
        <f t="shared" ca="1" si="13"/>
        <v>0</v>
      </c>
      <c r="AG114" s="72">
        <f t="shared" ca="1" si="17"/>
        <v>31.835254343076695</v>
      </c>
      <c r="AH114" s="72">
        <f t="shared" ca="1" si="18"/>
        <v>31.835254343076699</v>
      </c>
      <c r="AI114" s="3">
        <f t="shared" ca="1" si="19"/>
        <v>0</v>
      </c>
    </row>
    <row r="115" spans="7:35" x14ac:dyDescent="0.25">
      <c r="G115" s="3">
        <f t="shared" si="14"/>
        <v>18</v>
      </c>
      <c r="H115" s="104">
        <f t="shared" si="16"/>
        <v>44213</v>
      </c>
      <c r="I115" s="131">
        <f>HLOOKUP($H$4,'Met Data'!$A$2:$F$368,G115,FALSE)</f>
        <v>18.4233333333333</v>
      </c>
      <c r="J115" s="131">
        <f ca="1">HLOOKUP($H$4,'Met Data'!$H$2:$M$368,G115,FALSE)*L115</f>
        <v>1.8091666666666646</v>
      </c>
      <c r="K115" s="105">
        <f>HLOOKUP($H$4,'Met Data'!$O$2:$T$368,G115,FALSE)</f>
        <v>4.10260332014568</v>
      </c>
      <c r="L115">
        <f t="shared" ca="1" si="10"/>
        <v>0.65</v>
      </c>
      <c r="N115" t="b">
        <f t="shared" ca="1" si="15"/>
        <v>1</v>
      </c>
      <c r="O115" t="b">
        <f t="shared" ca="1" si="11"/>
        <v>1</v>
      </c>
      <c r="P115" s="2">
        <f ca="1"/>
        <v>44360</v>
      </c>
      <c r="Q115">
        <f ca="1"/>
        <v>31.397927306771763</v>
      </c>
      <c r="R115">
        <f ca="1"/>
        <v>0.40092702788942303</v>
      </c>
      <c r="S115">
        <f ca="1"/>
        <v>1.4381740788240609E-7</v>
      </c>
      <c r="T115">
        <f ca="1"/>
        <v>0.36375593487777164</v>
      </c>
      <c r="U115">
        <f ca="1"/>
        <v>0</v>
      </c>
      <c r="V115">
        <f ca="1"/>
        <v>19.819500193071399</v>
      </c>
      <c r="W115">
        <f ca="1"/>
        <v>15.8897717065142</v>
      </c>
      <c r="X115">
        <f ca="1"/>
        <v>0</v>
      </c>
      <c r="Y115">
        <f ca="1"/>
        <v>1</v>
      </c>
      <c r="Z115">
        <f ca="1"/>
        <v>2.1265795288742879</v>
      </c>
      <c r="AA115">
        <f ca="1"/>
        <v>0</v>
      </c>
      <c r="AB115">
        <f ca="1"/>
        <v>0.22931123211980101</v>
      </c>
      <c r="AD115" s="2">
        <f t="shared" ca="1" si="12"/>
        <v>44360</v>
      </c>
      <c r="AE115" s="46">
        <f t="shared" ca="1" si="13"/>
        <v>0</v>
      </c>
      <c r="AG115" s="72">
        <f t="shared" ca="1" si="17"/>
        <v>31.798854334661193</v>
      </c>
      <c r="AH115" s="72">
        <f t="shared" ca="1" si="18"/>
        <v>31.798854334661186</v>
      </c>
      <c r="AI115" s="3">
        <f t="shared" ca="1" si="19"/>
        <v>0</v>
      </c>
    </row>
    <row r="116" spans="7:35" x14ac:dyDescent="0.25">
      <c r="G116" s="3">
        <f t="shared" si="14"/>
        <v>19</v>
      </c>
      <c r="H116" s="104">
        <f t="shared" si="16"/>
        <v>44214</v>
      </c>
      <c r="I116" s="131">
        <f>HLOOKUP($H$4,'Met Data'!$A$2:$F$368,G116,FALSE)</f>
        <v>18.466666666666601</v>
      </c>
      <c r="J116" s="131">
        <f ca="1">HLOOKUP($H$4,'Met Data'!$H$2:$M$368,G116,FALSE)*L116</f>
        <v>1.401833333333329</v>
      </c>
      <c r="K116" s="105">
        <f>HLOOKUP($H$4,'Met Data'!$O$2:$T$368,G116,FALSE)</f>
        <v>4.3976375931712202</v>
      </c>
      <c r="L116">
        <f t="shared" ca="1" si="10"/>
        <v>0.65</v>
      </c>
      <c r="N116" t="b">
        <f t="shared" ca="1" si="15"/>
        <v>1</v>
      </c>
      <c r="O116" t="b">
        <f t="shared" ca="1" si="11"/>
        <v>1</v>
      </c>
      <c r="P116" s="2">
        <f ca="1"/>
        <v>44361</v>
      </c>
      <c r="Q116">
        <f ca="1"/>
        <v>31.354541753202241</v>
      </c>
      <c r="R116">
        <f ca="1"/>
        <v>0.38833155710922501</v>
      </c>
      <c r="S116">
        <f ca="1"/>
        <v>1.1758070890207546E-7</v>
      </c>
      <c r="T116">
        <f ca="1"/>
        <v>0.34494588595899794</v>
      </c>
      <c r="U116">
        <f ca="1"/>
        <v>0</v>
      </c>
      <c r="V116">
        <f ca="1"/>
        <v>20.207831750180699</v>
      </c>
      <c r="W116">
        <f ca="1"/>
        <v>16.201106489369</v>
      </c>
      <c r="X116">
        <f ca="1"/>
        <v>0</v>
      </c>
      <c r="Y116">
        <f ca="1"/>
        <v>1</v>
      </c>
      <c r="Z116">
        <f ca="1"/>
        <v>1.9520786116335529</v>
      </c>
      <c r="AA116">
        <f ca="1"/>
        <v>0</v>
      </c>
      <c r="AB116">
        <f ca="1"/>
        <v>0.23746590647697499</v>
      </c>
      <c r="AD116" s="2">
        <f t="shared" ca="1" si="12"/>
        <v>44361</v>
      </c>
      <c r="AE116" s="46">
        <f t="shared" ca="1" si="13"/>
        <v>0</v>
      </c>
      <c r="AG116" s="72">
        <f t="shared" ca="1" si="17"/>
        <v>31.74287331031147</v>
      </c>
      <c r="AH116" s="72">
        <f t="shared" ca="1" si="18"/>
        <v>31.742873310311467</v>
      </c>
      <c r="AI116" s="3">
        <f t="shared" ca="1" si="19"/>
        <v>0</v>
      </c>
    </row>
    <row r="117" spans="7:35" x14ac:dyDescent="0.25">
      <c r="G117" s="3">
        <f t="shared" si="14"/>
        <v>20</v>
      </c>
      <c r="H117" s="104">
        <f t="shared" si="16"/>
        <v>44215</v>
      </c>
      <c r="I117" s="131">
        <f>HLOOKUP($H$4,'Met Data'!$A$2:$F$368,G117,FALSE)</f>
        <v>18.754999999999999</v>
      </c>
      <c r="J117" s="131">
        <f ca="1">HLOOKUP($H$4,'Met Data'!$H$2:$M$368,G117,FALSE)*L117</f>
        <v>1.4516666666666644</v>
      </c>
      <c r="K117" s="105">
        <f>HLOOKUP($H$4,'Met Data'!$O$2:$T$368,G117,FALSE)</f>
        <v>4.5811789756342201</v>
      </c>
      <c r="L117">
        <f t="shared" ca="1" si="10"/>
        <v>0.65</v>
      </c>
      <c r="N117" t="b">
        <f t="shared" ca="1" si="15"/>
        <v>1</v>
      </c>
      <c r="O117" t="b">
        <f t="shared" ca="1" si="11"/>
        <v>1</v>
      </c>
      <c r="P117" s="2">
        <f ca="1"/>
        <v>44362</v>
      </c>
      <c r="Q117">
        <f ca="1"/>
        <v>31.304229673179833</v>
      </c>
      <c r="R117">
        <f ca="1"/>
        <v>0.39726876305262199</v>
      </c>
      <c r="S117">
        <f ca="1"/>
        <v>1.0238721048750225E-7</v>
      </c>
      <c r="T117">
        <f ca="1"/>
        <v>0.34695658064301083</v>
      </c>
      <c r="U117">
        <f ca="1"/>
        <v>0</v>
      </c>
      <c r="V117">
        <f ca="1"/>
        <v>20.6051005132333</v>
      </c>
      <c r="W117">
        <f ca="1"/>
        <v>16.519606445954299</v>
      </c>
      <c r="X117">
        <f ca="1"/>
        <v>0</v>
      </c>
      <c r="Y117">
        <f ca="1"/>
        <v>1</v>
      </c>
      <c r="Z117">
        <f ca="1"/>
        <v>5.0924752060055738</v>
      </c>
      <c r="AA117">
        <f ca="1"/>
        <v>0</v>
      </c>
      <c r="AB117">
        <f ca="1"/>
        <v>0.245850844908752</v>
      </c>
      <c r="AD117" s="2">
        <f t="shared" ca="1" si="12"/>
        <v>44362</v>
      </c>
      <c r="AE117" s="46">
        <f t="shared" ca="1" si="13"/>
        <v>0</v>
      </c>
      <c r="AG117" s="72">
        <f t="shared" ca="1" si="17"/>
        <v>31.701498436232463</v>
      </c>
      <c r="AH117" s="72">
        <f t="shared" ca="1" si="18"/>
        <v>31.701498436232455</v>
      </c>
      <c r="AI117" s="3">
        <f t="shared" ca="1" si="19"/>
        <v>0</v>
      </c>
    </row>
    <row r="118" spans="7:35" x14ac:dyDescent="0.25">
      <c r="G118" s="3">
        <f t="shared" si="14"/>
        <v>21</v>
      </c>
      <c r="H118" s="104">
        <f t="shared" si="16"/>
        <v>44216</v>
      </c>
      <c r="I118" s="131">
        <f>HLOOKUP($H$4,'Met Data'!$A$2:$F$368,G118,FALSE)</f>
        <v>18.6933333333333</v>
      </c>
      <c r="J118" s="131">
        <f ca="1">HLOOKUP($H$4,'Met Data'!$H$2:$M$368,G118,FALSE)*L118</f>
        <v>0.667333333333329</v>
      </c>
      <c r="K118" s="105">
        <f>HLOOKUP($H$4,'Met Data'!$O$2:$T$368,G118,FALSE)</f>
        <v>4.23484882575071</v>
      </c>
      <c r="L118">
        <f t="shared" ca="1" si="10"/>
        <v>0.65</v>
      </c>
      <c r="N118" t="b">
        <f t="shared" ca="1" si="15"/>
        <v>1</v>
      </c>
      <c r="O118" t="b">
        <f t="shared" ca="1" si="11"/>
        <v>1</v>
      </c>
      <c r="P118" s="2">
        <f ca="1"/>
        <v>44363</v>
      </c>
      <c r="Q118">
        <f ca="1"/>
        <v>31.249399696392217</v>
      </c>
      <c r="R118">
        <f ca="1"/>
        <v>0.383489752211155</v>
      </c>
      <c r="S118">
        <f ca="1"/>
        <v>8.4096524594751035E-8</v>
      </c>
      <c r="T118">
        <f ca="1"/>
        <v>0.328659691327021</v>
      </c>
      <c r="U118">
        <f ca="1"/>
        <v>0</v>
      </c>
      <c r="V118">
        <f ca="1"/>
        <v>20.988590265444401</v>
      </c>
      <c r="W118">
        <f ca="1"/>
        <v>16.8270594369511</v>
      </c>
      <c r="X118">
        <f ca="1"/>
        <v>0</v>
      </c>
      <c r="Y118">
        <f ca="1"/>
        <v>1</v>
      </c>
      <c r="Z118">
        <f ca="1"/>
        <v>2.8917065829311781</v>
      </c>
      <c r="AA118">
        <f ca="1"/>
        <v>0</v>
      </c>
      <c r="AB118">
        <f ca="1"/>
        <v>0.25397913329491401</v>
      </c>
      <c r="AD118" s="2">
        <f t="shared" ca="1" si="12"/>
        <v>44363</v>
      </c>
      <c r="AE118" s="46">
        <f t="shared" ca="1" si="13"/>
        <v>0</v>
      </c>
      <c r="AG118" s="72">
        <f t="shared" ca="1" si="17"/>
        <v>31.632889448603379</v>
      </c>
      <c r="AH118" s="72">
        <f t="shared" ca="1" si="18"/>
        <v>31.632889448603372</v>
      </c>
      <c r="AI118" s="3">
        <f t="shared" ca="1" si="19"/>
        <v>0</v>
      </c>
    </row>
    <row r="119" spans="7:35" x14ac:dyDescent="0.25">
      <c r="G119" s="3">
        <f t="shared" si="14"/>
        <v>22</v>
      </c>
      <c r="H119" s="104">
        <f t="shared" si="16"/>
        <v>44217</v>
      </c>
      <c r="I119" s="131">
        <f>HLOOKUP($H$4,'Met Data'!$A$2:$F$368,G119,FALSE)</f>
        <v>18.914999999999999</v>
      </c>
      <c r="J119" s="131">
        <f ca="1">HLOOKUP($H$4,'Met Data'!$H$2:$M$368,G119,FALSE)*L119</f>
        <v>5.4643333333333288</v>
      </c>
      <c r="K119" s="105">
        <f>HLOOKUP($H$4,'Met Data'!$O$2:$T$368,G119,FALSE)</f>
        <v>4.2358684276247196</v>
      </c>
      <c r="L119">
        <f t="shared" ca="1" si="10"/>
        <v>0.65</v>
      </c>
      <c r="N119" t="b">
        <f t="shared" ca="1" si="15"/>
        <v>1</v>
      </c>
      <c r="O119" t="b">
        <f t="shared" ca="1" si="11"/>
        <v>1</v>
      </c>
      <c r="P119" s="2">
        <f ca="1"/>
        <v>44364</v>
      </c>
      <c r="Q119">
        <f ca="1"/>
        <v>31.187906257122378</v>
      </c>
      <c r="R119">
        <f ca="1"/>
        <v>0.39244419659678798</v>
      </c>
      <c r="S119">
        <f ca="1"/>
        <v>7.3838557008618691E-8</v>
      </c>
      <c r="T119">
        <f ca="1"/>
        <v>0.33095068348837497</v>
      </c>
      <c r="U119">
        <f ca="1"/>
        <v>0</v>
      </c>
      <c r="V119">
        <f ca="1"/>
        <v>21.3810344620412</v>
      </c>
      <c r="W119">
        <f ca="1"/>
        <v>17.141691422153698</v>
      </c>
      <c r="X119">
        <f ca="1"/>
        <v>0</v>
      </c>
      <c r="Y119">
        <f ca="1"/>
        <v>1</v>
      </c>
      <c r="Z119">
        <f ca="1"/>
        <v>3.3935156791244054</v>
      </c>
      <c r="AA119">
        <f ca="1"/>
        <v>0</v>
      </c>
      <c r="AB119">
        <f ca="1"/>
        <v>0.26232527225108399</v>
      </c>
      <c r="AD119" s="2">
        <f t="shared" ca="1" si="12"/>
        <v>44364</v>
      </c>
      <c r="AE119" s="46">
        <f t="shared" ca="1" si="13"/>
        <v>0</v>
      </c>
      <c r="AG119" s="72">
        <f t="shared" ca="1" si="17"/>
        <v>31.580350453719149</v>
      </c>
      <c r="AH119" s="72">
        <f t="shared" ca="1" si="18"/>
        <v>31.580350453719166</v>
      </c>
      <c r="AI119" s="3">
        <f t="shared" ca="1" si="19"/>
        <v>0</v>
      </c>
    </row>
    <row r="120" spans="7:35" x14ac:dyDescent="0.25">
      <c r="G120" s="3">
        <f t="shared" si="14"/>
        <v>23</v>
      </c>
      <c r="H120" s="104">
        <f t="shared" si="16"/>
        <v>44218</v>
      </c>
      <c r="I120" s="131">
        <f>HLOOKUP($H$4,'Met Data'!$A$2:$F$368,G120,FALSE)</f>
        <v>19.0133333333333</v>
      </c>
      <c r="J120" s="131">
        <f ca="1">HLOOKUP($H$4,'Met Data'!$H$2:$M$368,G120,FALSE)*L120</f>
        <v>2.428833333333329</v>
      </c>
      <c r="K120" s="105">
        <f>HLOOKUP($H$4,'Met Data'!$O$2:$T$368,G120,FALSE)</f>
        <v>4.0376213451036698</v>
      </c>
      <c r="L120">
        <f t="shared" ca="1" si="10"/>
        <v>0.65</v>
      </c>
      <c r="N120" t="b">
        <f t="shared" ca="1" si="15"/>
        <v>1</v>
      </c>
      <c r="O120" t="b">
        <f t="shared" ca="1" si="11"/>
        <v>1</v>
      </c>
      <c r="P120" s="2">
        <f ca="1"/>
        <v>44365</v>
      </c>
      <c r="Q120">
        <f ca="1"/>
        <v>15</v>
      </c>
      <c r="R120">
        <f ca="1"/>
        <v>0.41873037461468599</v>
      </c>
      <c r="S120">
        <f ca="1"/>
        <v>6.7503286707433405E-8</v>
      </c>
      <c r="T120">
        <f ca="1"/>
        <v>0.34800324268746513</v>
      </c>
      <c r="U120">
        <f ca="1"/>
        <v>0</v>
      </c>
      <c r="V120">
        <f ca="1"/>
        <v>21.7997648366559</v>
      </c>
      <c r="W120">
        <f ca="1"/>
        <v>17.4773976707672</v>
      </c>
      <c r="X120">
        <f ca="1"/>
        <v>0</v>
      </c>
      <c r="Y120">
        <f ca="1"/>
        <v>1</v>
      </c>
      <c r="Z120">
        <f ca="1"/>
        <v>3.6185163900303792</v>
      </c>
      <c r="AA120">
        <f ca="1"/>
        <v>0</v>
      </c>
      <c r="AB120">
        <f ca="1"/>
        <v>0.271254275842369</v>
      </c>
      <c r="AD120" s="2">
        <f t="shared" ca="1" si="12"/>
        <v>44365</v>
      </c>
      <c r="AE120" s="46">
        <f t="shared" ca="1" si="13"/>
        <v>0</v>
      </c>
      <c r="AG120" s="72">
        <f t="shared" ca="1" si="17"/>
        <v>31.53590956731313</v>
      </c>
      <c r="AH120" s="72">
        <f t="shared" ca="1" si="18"/>
        <v>15.418730374614686</v>
      </c>
      <c r="AI120" s="3">
        <f t="shared" ca="1" si="19"/>
        <v>-16.117179192698444</v>
      </c>
    </row>
    <row r="121" spans="7:35" x14ac:dyDescent="0.25">
      <c r="G121" s="3">
        <f t="shared" si="14"/>
        <v>24</v>
      </c>
      <c r="H121" s="104">
        <f t="shared" si="16"/>
        <v>44219</v>
      </c>
      <c r="I121" s="131">
        <f>HLOOKUP($H$4,'Met Data'!$A$2:$F$368,G121,FALSE)</f>
        <v>19.03</v>
      </c>
      <c r="J121" s="131">
        <f ca="1">HLOOKUP($H$4,'Met Data'!$H$2:$M$368,G121,FALSE)*L121</f>
        <v>1.577333333333329</v>
      </c>
      <c r="K121" s="105">
        <f>HLOOKUP($H$4,'Met Data'!$O$2:$T$368,G121,FALSE)</f>
        <v>4.3725520099572401</v>
      </c>
      <c r="L121">
        <f t="shared" ca="1" si="10"/>
        <v>0.65</v>
      </c>
      <c r="N121" t="b">
        <f t="shared" ca="1" si="15"/>
        <v>1</v>
      </c>
      <c r="O121" t="b">
        <f t="shared" ca="1" si="11"/>
        <v>1</v>
      </c>
      <c r="P121" s="2">
        <f ca="1"/>
        <v>44366</v>
      </c>
      <c r="Q121">
        <f ca="1"/>
        <v>14.924127171700547</v>
      </c>
      <c r="R121">
        <f ca="1"/>
        <v>0.41242935064966002</v>
      </c>
      <c r="S121">
        <f ca="1"/>
        <v>5.6549425774295864E-8</v>
      </c>
      <c r="T121">
        <f ca="1"/>
        <v>0.3365564658007868</v>
      </c>
      <c r="U121">
        <f ca="1"/>
        <v>0</v>
      </c>
      <c r="V121">
        <f ca="1"/>
        <v>22.212194187305599</v>
      </c>
      <c r="W121">
        <f ca="1"/>
        <v>17.808052236374301</v>
      </c>
      <c r="X121">
        <f ca="1"/>
        <v>0</v>
      </c>
      <c r="Y121">
        <f ca="1"/>
        <v>1</v>
      </c>
      <c r="Z121">
        <f ca="1"/>
        <v>2.9352850631103706</v>
      </c>
      <c r="AA121">
        <f ca="1"/>
        <v>0</v>
      </c>
      <c r="AB121">
        <f ca="1"/>
        <v>0.280065433732609</v>
      </c>
      <c r="AD121" s="2">
        <f t="shared" ca="1" si="12"/>
        <v>44366</v>
      </c>
      <c r="AE121" s="46">
        <f t="shared" ca="1" si="13"/>
        <v>0</v>
      </c>
      <c r="AG121" s="72">
        <f t="shared" ca="1" si="17"/>
        <v>15.336556522350213</v>
      </c>
      <c r="AH121" s="72">
        <f t="shared" ca="1" si="18"/>
        <v>15.336556522350207</v>
      </c>
      <c r="AI121" s="3">
        <f t="shared" ca="1" si="19"/>
        <v>0</v>
      </c>
    </row>
    <row r="122" spans="7:35" x14ac:dyDescent="0.25">
      <c r="G122" s="3">
        <f t="shared" si="14"/>
        <v>25</v>
      </c>
      <c r="H122" s="104">
        <f t="shared" si="16"/>
        <v>44220</v>
      </c>
      <c r="I122" s="131">
        <f>HLOOKUP($H$4,'Met Data'!$A$2:$F$368,G122,FALSE)</f>
        <v>19.07</v>
      </c>
      <c r="J122" s="131">
        <f ca="1">HLOOKUP($H$4,'Met Data'!$H$2:$M$368,G122,FALSE)*L122</f>
        <v>2.2208333333333288</v>
      </c>
      <c r="K122" s="105">
        <f>HLOOKUP($H$4,'Met Data'!$O$2:$T$368,G122,FALSE)</f>
        <v>4.19340465226154</v>
      </c>
      <c r="L122">
        <f t="shared" ca="1" si="10"/>
        <v>0.65</v>
      </c>
      <c r="N122" t="b">
        <f t="shared" ca="1" si="15"/>
        <v>1</v>
      </c>
      <c r="O122" t="b">
        <f t="shared" ca="1" si="11"/>
        <v>1</v>
      </c>
      <c r="P122" s="2">
        <f ca="1"/>
        <v>44367</v>
      </c>
      <c r="Q122">
        <f ca="1"/>
        <v>14.840360378955978</v>
      </c>
      <c r="R122">
        <f ca="1"/>
        <v>0.42565373068100198</v>
      </c>
      <c r="S122">
        <f ca="1"/>
        <v>4.9893925977857764E-8</v>
      </c>
      <c r="T122">
        <f ca="1"/>
        <v>0.34188688804250833</v>
      </c>
      <c r="U122">
        <f ca="1"/>
        <v>0</v>
      </c>
      <c r="V122">
        <f ca="1"/>
        <v>22.637847917986601</v>
      </c>
      <c r="W122">
        <f ca="1"/>
        <v>18.1493091066617</v>
      </c>
      <c r="X122">
        <f ca="1"/>
        <v>0</v>
      </c>
      <c r="Y122">
        <f ca="1"/>
        <v>1</v>
      </c>
      <c r="Z122">
        <f ca="1"/>
        <v>4.6366178696521985</v>
      </c>
      <c r="AA122">
        <f ca="1"/>
        <v>0</v>
      </c>
      <c r="AB122">
        <f ca="1"/>
        <v>0.28916845673299602</v>
      </c>
      <c r="AD122" s="2">
        <f t="shared" ca="1" si="12"/>
        <v>44367</v>
      </c>
      <c r="AE122" s="46">
        <f t="shared" ca="1" si="13"/>
        <v>0</v>
      </c>
      <c r="AG122" s="72">
        <f t="shared" ca="1" si="17"/>
        <v>15.266014109636981</v>
      </c>
      <c r="AH122" s="72">
        <f t="shared" ca="1" si="18"/>
        <v>15.266014109636981</v>
      </c>
      <c r="AI122" s="3">
        <f t="shared" ca="1" si="19"/>
        <v>0</v>
      </c>
    </row>
    <row r="123" spans="7:35" x14ac:dyDescent="0.25">
      <c r="G123" s="3">
        <f t="shared" si="14"/>
        <v>26</v>
      </c>
      <c r="H123" s="104">
        <f t="shared" si="16"/>
        <v>44221</v>
      </c>
      <c r="I123" s="131">
        <f>HLOOKUP($H$4,'Met Data'!$A$2:$F$368,G123,FALSE)</f>
        <v>19.3</v>
      </c>
      <c r="J123" s="131">
        <f ca="1">HLOOKUP($H$4,'Met Data'!$H$2:$M$368,G123,FALSE)*L123</f>
        <v>2.4071666666666647</v>
      </c>
      <c r="K123" s="105">
        <f>HLOOKUP($H$4,'Met Data'!$O$2:$T$368,G123,FALSE)</f>
        <v>4.6119458181628401</v>
      </c>
      <c r="L123">
        <f t="shared" ca="1" si="10"/>
        <v>0.65</v>
      </c>
      <c r="N123" t="b">
        <f t="shared" ca="1" si="15"/>
        <v>1</v>
      </c>
      <c r="O123" t="b">
        <f t="shared" ca="1" si="11"/>
        <v>1</v>
      </c>
      <c r="P123" s="2">
        <f ca="1"/>
        <v>44368</v>
      </c>
      <c r="Q123">
        <f ca="1"/>
        <v>14.748720342429777</v>
      </c>
      <c r="R123">
        <f ca="1"/>
        <v>0.437166120002981</v>
      </c>
      <c r="S123">
        <f ca="1"/>
        <v>4.3702472170334701E-8</v>
      </c>
      <c r="T123">
        <f ca="1"/>
        <v>0.34552603977431851</v>
      </c>
      <c r="U123">
        <f ca="1"/>
        <v>0</v>
      </c>
      <c r="V123">
        <f ca="1"/>
        <v>23.0750140379896</v>
      </c>
      <c r="W123">
        <f ca="1"/>
        <v>18.499795737353701</v>
      </c>
      <c r="X123">
        <f ca="1"/>
        <v>0</v>
      </c>
      <c r="Y123">
        <f ca="1"/>
        <v>1</v>
      </c>
      <c r="Z123">
        <f ca="1"/>
        <v>0.91093897689904679</v>
      </c>
      <c r="AA123">
        <f ca="1"/>
        <v>0</v>
      </c>
      <c r="AB123">
        <f ca="1"/>
        <v>0.29851937896882003</v>
      </c>
      <c r="AD123" s="2">
        <f t="shared" ca="1" si="12"/>
        <v>44368</v>
      </c>
      <c r="AE123" s="46">
        <f t="shared" ca="1" si="13"/>
        <v>0</v>
      </c>
      <c r="AG123" s="72">
        <f t="shared" ca="1" si="17"/>
        <v>15.185886462432769</v>
      </c>
      <c r="AH123" s="72">
        <f t="shared" ca="1" si="18"/>
        <v>15.185886462432759</v>
      </c>
      <c r="AI123" s="3">
        <f t="shared" ca="1" si="19"/>
        <v>0</v>
      </c>
    </row>
    <row r="124" spans="7:35" x14ac:dyDescent="0.25">
      <c r="G124" s="3">
        <f t="shared" si="14"/>
        <v>27</v>
      </c>
      <c r="H124" s="104">
        <f t="shared" si="16"/>
        <v>44222</v>
      </c>
      <c r="I124" s="131">
        <f>HLOOKUP($H$4,'Met Data'!$A$2:$F$368,G124,FALSE)</f>
        <v>19.418333333333301</v>
      </c>
      <c r="J124" s="131">
        <f ca="1">HLOOKUP($H$4,'Met Data'!$H$2:$M$368,G124,FALSE)*L124</f>
        <v>0.81683333333332897</v>
      </c>
      <c r="K124" s="105">
        <f>HLOOKUP($H$4,'Met Data'!$O$2:$T$368,G124,FALSE)</f>
        <v>4.4486726941054897</v>
      </c>
      <c r="L124">
        <f t="shared" ca="1" si="10"/>
        <v>0.65</v>
      </c>
      <c r="N124" t="b">
        <f t="shared" ca="1" si="15"/>
        <v>1</v>
      </c>
      <c r="O124" t="b">
        <f t="shared" ca="1" si="11"/>
        <v>1</v>
      </c>
      <c r="P124" s="2">
        <f ca="1"/>
        <v>44369</v>
      </c>
      <c r="Q124">
        <f ca="1"/>
        <v>14.652451534809032</v>
      </c>
      <c r="R124">
        <f ca="1"/>
        <v>0.43068590555632402</v>
      </c>
      <c r="S124">
        <f ca="1"/>
        <v>3.6671615752799148E-8</v>
      </c>
      <c r="T124">
        <f ca="1"/>
        <v>0.33441706126396004</v>
      </c>
      <c r="U124">
        <f ca="1"/>
        <v>0</v>
      </c>
      <c r="V124">
        <f ca="1"/>
        <v>23.505699943545899</v>
      </c>
      <c r="W124">
        <f ca="1"/>
        <v>18.845087023704899</v>
      </c>
      <c r="X124">
        <f ca="1"/>
        <v>0</v>
      </c>
      <c r="Y124">
        <f ca="1"/>
        <v>1</v>
      </c>
      <c r="Z124">
        <f ca="1"/>
        <v>0.88626849670143315</v>
      </c>
      <c r="AA124">
        <f ca="1"/>
        <v>0</v>
      </c>
      <c r="AB124">
        <f ca="1"/>
        <v>0.30772540960714401</v>
      </c>
      <c r="AD124" s="2">
        <f t="shared" ca="1" si="12"/>
        <v>44369</v>
      </c>
      <c r="AE124" s="46">
        <f t="shared" ca="1" si="13"/>
        <v>0</v>
      </c>
      <c r="AG124" s="72">
        <f t="shared" ca="1" si="17"/>
        <v>15.083137440365352</v>
      </c>
      <c r="AH124" s="72">
        <f t="shared" ca="1" si="18"/>
        <v>15.083137440365356</v>
      </c>
      <c r="AI124" s="3">
        <f t="shared" ca="1" si="19"/>
        <v>0</v>
      </c>
    </row>
    <row r="125" spans="7:35" x14ac:dyDescent="0.25">
      <c r="G125" s="3">
        <f t="shared" si="14"/>
        <v>28</v>
      </c>
      <c r="H125" s="104">
        <f t="shared" si="16"/>
        <v>44223</v>
      </c>
      <c r="I125" s="131">
        <f>HLOOKUP($H$4,'Met Data'!$A$2:$F$368,G125,FALSE)</f>
        <v>19.086666666666599</v>
      </c>
      <c r="J125" s="131">
        <f ca="1">HLOOKUP($H$4,'Met Data'!$H$2:$M$368,G125,FALSE)*L125</f>
        <v>1.7224999999999999</v>
      </c>
      <c r="K125" s="105">
        <f>HLOOKUP($H$4,'Met Data'!$O$2:$T$368,G125,FALSE)</f>
        <v>4.6925683722845504</v>
      </c>
      <c r="L125">
        <f t="shared" ca="1" si="10"/>
        <v>0.65</v>
      </c>
      <c r="N125" t="b">
        <f t="shared" ca="1" si="15"/>
        <v>1</v>
      </c>
      <c r="O125" t="b">
        <f t="shared" ca="1" si="11"/>
        <v>1</v>
      </c>
      <c r="P125" s="2">
        <f ca="1"/>
        <v>44370</v>
      </c>
      <c r="Q125">
        <f ca="1"/>
        <v>14.551595385453197</v>
      </c>
      <c r="R125">
        <f ca="1"/>
        <v>0.42698753779674797</v>
      </c>
      <c r="S125">
        <f ca="1"/>
        <v>3.1131305032227675E-8</v>
      </c>
      <c r="T125">
        <f ca="1"/>
        <v>0.32613135730960169</v>
      </c>
      <c r="U125">
        <f ca="1"/>
        <v>0</v>
      </c>
      <c r="V125">
        <f ca="1"/>
        <v>23.932687481342601</v>
      </c>
      <c r="W125">
        <f ca="1"/>
        <v>19.187413239352299</v>
      </c>
      <c r="X125">
        <f ca="1"/>
        <v>0</v>
      </c>
      <c r="Y125">
        <f ca="1"/>
        <v>1</v>
      </c>
      <c r="Z125">
        <f ca="1"/>
        <v>3.7000421070327576</v>
      </c>
      <c r="AA125">
        <f ca="1"/>
        <v>0</v>
      </c>
      <c r="AB125">
        <f ca="1"/>
        <v>0.316838694443627</v>
      </c>
      <c r="AD125" s="2">
        <f t="shared" ca="1" si="12"/>
        <v>44370</v>
      </c>
      <c r="AE125" s="46">
        <f t="shared" ca="1" si="13"/>
        <v>0</v>
      </c>
      <c r="AG125" s="72">
        <f t="shared" ca="1" si="17"/>
        <v>14.97858292324994</v>
      </c>
      <c r="AH125" s="72">
        <f t="shared" ca="1" si="18"/>
        <v>14.978582923249945</v>
      </c>
      <c r="AI125" s="3">
        <f t="shared" ca="1" si="19"/>
        <v>0</v>
      </c>
    </row>
    <row r="126" spans="7:35" x14ac:dyDescent="0.25">
      <c r="G126" s="3">
        <f t="shared" si="14"/>
        <v>29</v>
      </c>
      <c r="H126" s="104">
        <f t="shared" si="16"/>
        <v>44224</v>
      </c>
      <c r="I126" s="131">
        <f>HLOOKUP($H$4,'Met Data'!$A$2:$F$368,G126,FALSE)</f>
        <v>19.248333333333299</v>
      </c>
      <c r="J126" s="131">
        <f ca="1">HLOOKUP($H$4,'Met Data'!$H$2:$M$368,G126,FALSE)*L126</f>
        <v>1.1765000000000001</v>
      </c>
      <c r="K126" s="105">
        <f>HLOOKUP($H$4,'Met Data'!$O$2:$T$368,G126,FALSE)</f>
        <v>4.8021312602016</v>
      </c>
      <c r="L126">
        <f t="shared" ca="1" si="10"/>
        <v>0.65</v>
      </c>
      <c r="N126" t="b">
        <f t="shared" ca="1" si="15"/>
        <v>1</v>
      </c>
      <c r="O126" t="b">
        <f t="shared" ca="1" si="11"/>
        <v>1</v>
      </c>
      <c r="P126" s="2">
        <f ca="1"/>
        <v>44371</v>
      </c>
      <c r="Q126">
        <f ca="1"/>
        <v>14.442934721307239</v>
      </c>
      <c r="R126">
        <f ca="1"/>
        <v>0.43840228482660798</v>
      </c>
      <c r="S126">
        <f ca="1"/>
        <v>2.747374953226995E-8</v>
      </c>
      <c r="T126">
        <f ca="1"/>
        <v>0.32974159320690566</v>
      </c>
      <c r="U126">
        <f ca="1"/>
        <v>0</v>
      </c>
      <c r="V126">
        <f ca="1"/>
        <v>24.371089766169199</v>
      </c>
      <c r="W126">
        <f ca="1"/>
        <v>19.5388909332219</v>
      </c>
      <c r="X126">
        <f ca="1"/>
        <v>0</v>
      </c>
      <c r="Y126">
        <f ca="1"/>
        <v>1</v>
      </c>
      <c r="Z126">
        <f ca="1"/>
        <v>5.2835566899925368</v>
      </c>
      <c r="AA126">
        <f ca="1"/>
        <v>0</v>
      </c>
      <c r="AB126">
        <f ca="1"/>
        <v>0.32617389751277298</v>
      </c>
      <c r="AD126" s="2">
        <f t="shared" ca="1" si="12"/>
        <v>44371</v>
      </c>
      <c r="AE126" s="46">
        <f t="shared" ca="1" si="13"/>
        <v>0</v>
      </c>
      <c r="AG126" s="72">
        <f t="shared" ca="1" si="17"/>
        <v>14.881337006133853</v>
      </c>
      <c r="AH126" s="72">
        <f t="shared" ca="1" si="18"/>
        <v>14.881337006133847</v>
      </c>
      <c r="AI126" s="3">
        <f t="shared" ca="1" si="19"/>
        <v>0</v>
      </c>
    </row>
    <row r="127" spans="7:35" x14ac:dyDescent="0.25">
      <c r="G127" s="3">
        <f t="shared" si="14"/>
        <v>30</v>
      </c>
      <c r="H127" s="104">
        <f t="shared" si="16"/>
        <v>44225</v>
      </c>
      <c r="I127" s="131">
        <f>HLOOKUP($H$4,'Met Data'!$A$2:$F$368,G127,FALSE)</f>
        <v>19.486666666666601</v>
      </c>
      <c r="J127" s="131">
        <f ca="1">HLOOKUP($H$4,'Met Data'!$H$2:$M$368,G127,FALSE)*L127</f>
        <v>1.3693333333333289</v>
      </c>
      <c r="K127" s="105">
        <f>HLOOKUP($H$4,'Met Data'!$O$2:$T$368,G127,FALSE)</f>
        <v>4.81456570354226</v>
      </c>
      <c r="L127">
        <f t="shared" ca="1" si="10"/>
        <v>0.65</v>
      </c>
      <c r="N127" t="b">
        <f t="shared" ca="1" si="15"/>
        <v>1</v>
      </c>
      <c r="O127" t="b">
        <f t="shared" ca="1" si="11"/>
        <v>1</v>
      </c>
      <c r="P127" s="2">
        <f ca="1"/>
        <v>44372</v>
      </c>
      <c r="Q127">
        <f ca="1"/>
        <v>14.32563359342322</v>
      </c>
      <c r="R127">
        <f ca="1"/>
        <v>0.45249389412729701</v>
      </c>
      <c r="S127">
        <f ca="1"/>
        <v>2.4332418471879388E-8</v>
      </c>
      <c r="T127">
        <f ca="1"/>
        <v>0.33519274191085519</v>
      </c>
      <c r="U127">
        <f ca="1"/>
        <v>0</v>
      </c>
      <c r="V127">
        <f ca="1"/>
        <v>24.823583660296499</v>
      </c>
      <c r="W127">
        <f ca="1"/>
        <v>19.901666210410198</v>
      </c>
      <c r="X127">
        <f ca="1"/>
        <v>0</v>
      </c>
      <c r="Y127">
        <f ca="1"/>
        <v>1</v>
      </c>
      <c r="Z127">
        <f ca="1"/>
        <v>7.426594985383602</v>
      </c>
      <c r="AA127">
        <f ca="1"/>
        <v>0</v>
      </c>
      <c r="AB127">
        <f ca="1"/>
        <v>0.33577829496395101</v>
      </c>
      <c r="AD127" s="2">
        <f t="shared" ca="1" si="12"/>
        <v>44372</v>
      </c>
      <c r="AE127" s="46">
        <f t="shared" ca="1" si="13"/>
        <v>0</v>
      </c>
      <c r="AG127" s="72">
        <f t="shared" ca="1" si="17"/>
        <v>14.778127487550513</v>
      </c>
      <c r="AH127" s="72">
        <f t="shared" ca="1" si="18"/>
        <v>14.778127487550517</v>
      </c>
      <c r="AI127" s="3">
        <f t="shared" ca="1" si="19"/>
        <v>0</v>
      </c>
    </row>
    <row r="128" spans="7:35" x14ac:dyDescent="0.25">
      <c r="G128" s="3">
        <f t="shared" si="14"/>
        <v>31</v>
      </c>
      <c r="H128" s="104">
        <f t="shared" si="16"/>
        <v>44226</v>
      </c>
      <c r="I128" s="131">
        <f>HLOOKUP($H$4,'Met Data'!$A$2:$F$368,G128,FALSE)</f>
        <v>19.725000000000001</v>
      </c>
      <c r="J128" s="131">
        <f ca="1">HLOOKUP($H$4,'Met Data'!$H$2:$M$368,G128,FALSE)*L128</f>
        <v>2.0171666666666646</v>
      </c>
      <c r="K128" s="105">
        <f>HLOOKUP($H$4,'Met Data'!$O$2:$T$368,G128,FALSE)</f>
        <v>4.4640725934925003</v>
      </c>
      <c r="L128">
        <f t="shared" ca="1" si="10"/>
        <v>0.65</v>
      </c>
      <c r="N128" t="b">
        <f t="shared" ca="1" si="15"/>
        <v>1</v>
      </c>
      <c r="O128" t="b">
        <f t="shared" ca="1" si="11"/>
        <v>1</v>
      </c>
      <c r="P128" s="2">
        <f ca="1"/>
        <v>44373</v>
      </c>
      <c r="Q128">
        <f ca="1"/>
        <v>14.205239044527616</v>
      </c>
      <c r="R128">
        <f ca="1"/>
        <v>0.44384776301190598</v>
      </c>
      <c r="S128">
        <f ca="1"/>
        <v>2.0436741825697378E-8</v>
      </c>
      <c r="T128">
        <f ca="1"/>
        <v>0.32345319367955644</v>
      </c>
      <c r="U128">
        <f ca="1"/>
        <v>0</v>
      </c>
      <c r="V128">
        <f ca="1"/>
        <v>25.267431423308398</v>
      </c>
      <c r="W128">
        <f ca="1"/>
        <v>20.257509675583499</v>
      </c>
      <c r="X128">
        <f ca="1"/>
        <v>0</v>
      </c>
      <c r="Y128">
        <f ca="1"/>
        <v>1</v>
      </c>
      <c r="Z128">
        <f ca="1"/>
        <v>2.4560773675205496</v>
      </c>
      <c r="AA128">
        <f ca="1"/>
        <v>0</v>
      </c>
      <c r="AB128">
        <f ca="1"/>
        <v>0.34516125359990502</v>
      </c>
      <c r="AD128" s="2">
        <f t="shared" ca="1" si="12"/>
        <v>44373</v>
      </c>
      <c r="AE128" s="46">
        <f t="shared" ca="1" si="13"/>
        <v>0</v>
      </c>
      <c r="AG128" s="72">
        <f t="shared" ca="1" si="17"/>
        <v>14.649086807539518</v>
      </c>
      <c r="AH128" s="72">
        <f t="shared" ca="1" si="18"/>
        <v>14.649086807539522</v>
      </c>
      <c r="AI128" s="3">
        <f t="shared" ca="1" si="19"/>
        <v>0</v>
      </c>
    </row>
    <row r="129" spans="7:35" x14ac:dyDescent="0.25">
      <c r="G129" s="3">
        <f t="shared" si="14"/>
        <v>32</v>
      </c>
      <c r="H129" s="104">
        <f t="shared" si="16"/>
        <v>44227</v>
      </c>
      <c r="I129" s="131">
        <f>HLOOKUP($H$4,'Met Data'!$A$2:$F$368,G129,FALSE)</f>
        <v>19.670000000000002</v>
      </c>
      <c r="J129" s="131">
        <f ca="1">HLOOKUP($H$4,'Met Data'!$H$2:$M$368,G129,FALSE)*L129</f>
        <v>1.785333333333329</v>
      </c>
      <c r="K129" s="105">
        <f>HLOOKUP($H$4,'Met Data'!$O$2:$T$368,G129,FALSE)</f>
        <v>4.1799437739427896</v>
      </c>
      <c r="L129">
        <f t="shared" ca="1" si="10"/>
        <v>0.65</v>
      </c>
      <c r="N129" t="b">
        <f t="shared" ca="1" si="15"/>
        <v>1</v>
      </c>
      <c r="O129" t="b">
        <f t="shared" ca="1" si="11"/>
        <v>1</v>
      </c>
      <c r="P129" s="2">
        <f ca="1"/>
        <v>44374</v>
      </c>
      <c r="Q129">
        <f ca="1"/>
        <v>14.076883794117961</v>
      </c>
      <c r="R129">
        <f ca="1"/>
        <v>0.45494308052881699</v>
      </c>
      <c r="S129">
        <f ca="1"/>
        <v>1.8033708117959546E-8</v>
      </c>
      <c r="T129">
        <f ca="1"/>
        <v>0.32658781208546628</v>
      </c>
      <c r="U129">
        <f ca="1"/>
        <v>0</v>
      </c>
      <c r="V129">
        <f ca="1"/>
        <v>25.722374503837301</v>
      </c>
      <c r="W129">
        <f ca="1"/>
        <v>20.622248524628201</v>
      </c>
      <c r="X129">
        <f ca="1"/>
        <v>0</v>
      </c>
      <c r="Y129">
        <f ca="1"/>
        <v>1</v>
      </c>
      <c r="Z129">
        <f ca="1"/>
        <v>1.3387337995774971</v>
      </c>
      <c r="AA129">
        <f ca="1"/>
        <v>0</v>
      </c>
      <c r="AB129">
        <f ca="1"/>
        <v>0.35473239887970398</v>
      </c>
      <c r="AD129" s="2">
        <f t="shared" ca="1" si="12"/>
        <v>44374</v>
      </c>
      <c r="AE129" s="46">
        <f t="shared" ca="1" si="13"/>
        <v>0</v>
      </c>
      <c r="AG129" s="72">
        <f t="shared" ca="1" si="17"/>
        <v>14.531826874646789</v>
      </c>
      <c r="AH129" s="72">
        <f t="shared" ca="1" si="18"/>
        <v>14.531826874646779</v>
      </c>
      <c r="AI129" s="3">
        <f t="shared" ca="1" si="19"/>
        <v>0</v>
      </c>
    </row>
    <row r="130" spans="7:35" x14ac:dyDescent="0.25">
      <c r="G130" s="3">
        <f t="shared" si="14"/>
        <v>33</v>
      </c>
      <c r="H130" s="104">
        <f t="shared" si="16"/>
        <v>44228</v>
      </c>
      <c r="I130" s="131">
        <f>HLOOKUP($H$4,'Met Data'!$A$2:$F$368,G130,FALSE)</f>
        <v>19.770689655172401</v>
      </c>
      <c r="J130" s="131">
        <f ca="1">HLOOKUP($H$4,'Met Data'!$H$2:$M$368,G130,FALSE)*L130</f>
        <v>0.72172413793103007</v>
      </c>
      <c r="K130" s="105">
        <f>HLOOKUP($H$4,'Met Data'!$O$2:$T$368,G130,FALSE)</f>
        <v>4.5867414057587403</v>
      </c>
      <c r="L130">
        <f t="shared" ca="1" si="10"/>
        <v>0.65</v>
      </c>
      <c r="N130" t="b">
        <f t="shared" ca="1" si="15"/>
        <v>1</v>
      </c>
      <c r="O130" t="b">
        <f t="shared" ca="1" si="11"/>
        <v>1</v>
      </c>
      <c r="P130" s="2">
        <f ca="1"/>
        <v>44375</v>
      </c>
      <c r="Q130">
        <f ca="1"/>
        <v>13.943173738942619</v>
      </c>
      <c r="R130">
        <f ca="1"/>
        <v>0.45630959463085602</v>
      </c>
      <c r="S130">
        <f ca="1"/>
        <v>1.5552134524335714E-8</v>
      </c>
      <c r="T130">
        <f ca="1"/>
        <v>0.32259952390338142</v>
      </c>
      <c r="U130">
        <f ca="1"/>
        <v>0</v>
      </c>
      <c r="V130">
        <f ca="1"/>
        <v>26.1786840984681</v>
      </c>
      <c r="W130">
        <f ca="1"/>
        <v>20.9880829410132</v>
      </c>
      <c r="X130">
        <f ca="1"/>
        <v>0</v>
      </c>
      <c r="Y130">
        <f ca="1"/>
        <v>1</v>
      </c>
      <c r="Z130">
        <f ca="1"/>
        <v>4.3526820529290262</v>
      </c>
      <c r="AA130">
        <f ca="1"/>
        <v>0</v>
      </c>
      <c r="AB130">
        <f ca="1"/>
        <v>0.36427798111954701</v>
      </c>
      <c r="AD130" s="2">
        <f t="shared" ca="1" si="12"/>
        <v>44375</v>
      </c>
      <c r="AE130" s="46">
        <f t="shared" ca="1" si="13"/>
        <v>0</v>
      </c>
      <c r="AG130" s="72">
        <f t="shared" ca="1" si="17"/>
        <v>14.399483333573476</v>
      </c>
      <c r="AH130" s="72">
        <f t="shared" ca="1" si="18"/>
        <v>14.399483333573475</v>
      </c>
      <c r="AI130" s="3">
        <f t="shared" ca="1" si="19"/>
        <v>0</v>
      </c>
    </row>
    <row r="131" spans="7:35" x14ac:dyDescent="0.25">
      <c r="G131" s="3">
        <f t="shared" si="14"/>
        <v>34</v>
      </c>
      <c r="H131" s="104">
        <f t="shared" si="16"/>
        <v>44229</v>
      </c>
      <c r="I131" s="131">
        <f>HLOOKUP($H$4,'Met Data'!$A$2:$F$368,G131,FALSE)</f>
        <v>19.548275862068898</v>
      </c>
      <c r="J131" s="131">
        <f ca="1">HLOOKUP($H$4,'Met Data'!$H$2:$M$368,G131,FALSE)*L131</f>
        <v>2.6403448275862065</v>
      </c>
      <c r="K131" s="105">
        <f>HLOOKUP($H$4,'Met Data'!$O$2:$T$368,G131,FALSE)</f>
        <v>4.65070177511826</v>
      </c>
      <c r="L131">
        <f t="shared" ca="1" si="10"/>
        <v>0.65</v>
      </c>
      <c r="N131" t="b">
        <f t="shared" ca="1" si="15"/>
        <v>1</v>
      </c>
      <c r="O131" t="b">
        <f t="shared" ca="1" si="11"/>
        <v>1</v>
      </c>
      <c r="P131" s="2">
        <f ca="1"/>
        <v>44376</v>
      </c>
      <c r="Q131">
        <f ca="1"/>
        <v>13.801188873219431</v>
      </c>
      <c r="R131">
        <f ca="1"/>
        <v>0.46793031318898698</v>
      </c>
      <c r="S131">
        <f ca="1"/>
        <v>1.3737903421053296E-8</v>
      </c>
      <c r="T131">
        <f ca="1"/>
        <v>0.32594543372789686</v>
      </c>
      <c r="U131">
        <f ca="1"/>
        <v>0</v>
      </c>
      <c r="V131">
        <f ca="1"/>
        <v>26.646614411657101</v>
      </c>
      <c r="W131">
        <f ca="1"/>
        <v>21.363233967966501</v>
      </c>
      <c r="X131">
        <f ca="1"/>
        <v>0</v>
      </c>
      <c r="Y131">
        <f ca="1"/>
        <v>1</v>
      </c>
      <c r="Z131">
        <f ca="1"/>
        <v>3.9677727339223594</v>
      </c>
      <c r="AA131">
        <f ca="1"/>
        <v>0</v>
      </c>
      <c r="AB131">
        <f ca="1"/>
        <v>0.37400300121003399</v>
      </c>
      <c r="AD131" s="2">
        <f t="shared" ca="1" si="12"/>
        <v>44376</v>
      </c>
      <c r="AE131" s="46">
        <f t="shared" ca="1" si="13"/>
        <v>0</v>
      </c>
      <c r="AG131" s="72">
        <f t="shared" ca="1" si="17"/>
        <v>14.269119186408419</v>
      </c>
      <c r="AH131" s="72">
        <f t="shared" ca="1" si="18"/>
        <v>14.269119186408417</v>
      </c>
      <c r="AI131" s="3">
        <f t="shared" ca="1" si="19"/>
        <v>0</v>
      </c>
    </row>
    <row r="132" spans="7:35" x14ac:dyDescent="0.25">
      <c r="G132" s="3">
        <f t="shared" si="14"/>
        <v>35</v>
      </c>
      <c r="H132" s="104">
        <f t="shared" si="16"/>
        <v>44230</v>
      </c>
      <c r="I132" s="131">
        <f>HLOOKUP($H$4,'Met Data'!$A$2:$F$368,G132,FALSE)</f>
        <v>19.325862068965499</v>
      </c>
      <c r="J132" s="131">
        <f ca="1">HLOOKUP($H$4,'Met Data'!$H$2:$M$368,G132,FALSE)*L132</f>
        <v>0.65224137931033899</v>
      </c>
      <c r="K132" s="105">
        <f>HLOOKUP($H$4,'Met Data'!$O$2:$T$368,G132,FALSE)</f>
        <v>4.2568283320677196</v>
      </c>
      <c r="L132">
        <f t="shared" ca="1" si="10"/>
        <v>0.65</v>
      </c>
      <c r="N132" t="b">
        <f t="shared" ca="1" si="15"/>
        <v>1</v>
      </c>
      <c r="O132" t="b">
        <f t="shared" ca="1" si="11"/>
        <v>1</v>
      </c>
      <c r="P132" s="2">
        <f ca="1"/>
        <v>44377</v>
      </c>
      <c r="Q132">
        <f ca="1"/>
        <v>13.651005084063925</v>
      </c>
      <c r="R132">
        <f ca="1"/>
        <v>0.47874047903328398</v>
      </c>
      <c r="S132">
        <f ca="1"/>
        <v>1.2089093656227835E-8</v>
      </c>
      <c r="T132">
        <f ca="1"/>
        <v>0.32855667778868802</v>
      </c>
      <c r="U132">
        <f ca="1"/>
        <v>0</v>
      </c>
      <c r="V132">
        <f ca="1"/>
        <v>27.125354890690399</v>
      </c>
      <c r="W132">
        <f ca="1"/>
        <v>21.747051765812099</v>
      </c>
      <c r="X132">
        <f ca="1"/>
        <v>0</v>
      </c>
      <c r="Y132">
        <f ca="1"/>
        <v>1</v>
      </c>
      <c r="Z132">
        <f ca="1"/>
        <v>6.1631023076017044</v>
      </c>
      <c r="AA132">
        <f ca="1"/>
        <v>0</v>
      </c>
      <c r="AB132">
        <f ca="1"/>
        <v>0.38387878643887002</v>
      </c>
      <c r="AD132" s="2">
        <f t="shared" ca="1" si="12"/>
        <v>44377</v>
      </c>
      <c r="AE132" s="46">
        <f t="shared" ca="1" si="13"/>
        <v>0</v>
      </c>
      <c r="AG132" s="72">
        <f t="shared" ca="1" si="17"/>
        <v>14.129745563097213</v>
      </c>
      <c r="AH132" s="72">
        <f t="shared" ca="1" si="18"/>
        <v>14.12974556309721</v>
      </c>
      <c r="AI132" s="3">
        <f t="shared" ca="1" si="19"/>
        <v>0</v>
      </c>
    </row>
    <row r="133" spans="7:35" x14ac:dyDescent="0.25">
      <c r="G133" s="3">
        <f t="shared" si="14"/>
        <v>36</v>
      </c>
      <c r="H133" s="104">
        <f t="shared" si="16"/>
        <v>44231</v>
      </c>
      <c r="I133" s="131">
        <f>HLOOKUP($H$4,'Met Data'!$A$2:$F$368,G133,FALSE)</f>
        <v>18.712068965517201</v>
      </c>
      <c r="J133" s="131">
        <f ca="1">HLOOKUP($H$4,'Met Data'!$H$2:$M$368,G133,FALSE)*L133</f>
        <v>3.0931034482758606</v>
      </c>
      <c r="K133" s="105">
        <f>HLOOKUP($H$4,'Met Data'!$O$2:$T$368,G133,FALSE)</f>
        <v>3.6726350990735899</v>
      </c>
      <c r="L133">
        <f t="shared" ca="1" si="10"/>
        <v>0.65</v>
      </c>
      <c r="N133" t="b">
        <f t="shared" ca="1" si="15"/>
        <v>1</v>
      </c>
      <c r="O133" t="b">
        <f t="shared" ca="1" si="11"/>
        <v>1</v>
      </c>
      <c r="P133" s="2">
        <f ca="1"/>
        <v>44378</v>
      </c>
      <c r="Q133">
        <f ca="1"/>
        <v>13.502613764510357</v>
      </c>
      <c r="R133">
        <f ca="1"/>
        <v>0.45824651231192298</v>
      </c>
      <c r="S133">
        <f ca="1"/>
        <v>9.94610464770705E-9</v>
      </c>
      <c r="T133">
        <f ca="1"/>
        <v>0.30985518281224483</v>
      </c>
      <c r="U133">
        <f ca="1"/>
        <v>0</v>
      </c>
      <c r="V133">
        <f ca="1"/>
        <v>27.583601403002302</v>
      </c>
      <c r="W133">
        <f ca="1"/>
        <v>22.1144390558553</v>
      </c>
      <c r="X133">
        <f ca="1"/>
        <v>0</v>
      </c>
      <c r="Y133">
        <f ca="1"/>
        <v>1</v>
      </c>
      <c r="Z133">
        <f ca="1"/>
        <v>2.0910806622760418</v>
      </c>
      <c r="AA133">
        <f ca="1"/>
        <v>0</v>
      </c>
      <c r="AB133">
        <f ca="1"/>
        <v>0.39325538979216401</v>
      </c>
      <c r="AD133" s="2">
        <f t="shared" ca="1" si="12"/>
        <v>44378</v>
      </c>
      <c r="AE133" s="46">
        <f t="shared" ca="1" si="13"/>
        <v>0</v>
      </c>
      <c r="AG133" s="72">
        <f t="shared" ca="1" si="17"/>
        <v>13.960860276822274</v>
      </c>
      <c r="AH133" s="72">
        <f t="shared" ca="1" si="18"/>
        <v>13.960860276822281</v>
      </c>
      <c r="AI133" s="3">
        <f t="shared" ca="1" si="19"/>
        <v>0</v>
      </c>
    </row>
    <row r="134" spans="7:35" x14ac:dyDescent="0.25">
      <c r="G134" s="3">
        <f t="shared" si="14"/>
        <v>37</v>
      </c>
      <c r="H134" s="104">
        <f t="shared" si="16"/>
        <v>44232</v>
      </c>
      <c r="I134" s="131">
        <f>HLOOKUP($H$4,'Met Data'!$A$2:$F$368,G134,FALSE)</f>
        <v>19.178333333333299</v>
      </c>
      <c r="J134" s="131">
        <f ca="1">HLOOKUP($H$4,'Met Data'!$H$2:$M$368,G134,FALSE)*L134</f>
        <v>1.4841666666666646</v>
      </c>
      <c r="K134" s="105">
        <f>HLOOKUP($H$4,'Met Data'!$O$2:$T$368,G134,FALSE)</f>
        <v>4.0355922642947899</v>
      </c>
      <c r="L134">
        <f t="shared" ref="L134:L197" ca="1" si="20">IF(H134&lt;$B$31,$J$3,$J$4)</f>
        <v>0.65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44379</v>
      </c>
      <c r="Q134">
        <f ca="1"/>
        <v>13.35576890365283</v>
      </c>
      <c r="R134">
        <f ca="1"/>
        <v>0.44220585869636903</v>
      </c>
      <c r="S134">
        <f ca="1"/>
        <v>8.3253090364189899E-9</v>
      </c>
      <c r="T134">
        <f ca="1"/>
        <v>0.29536098951352446</v>
      </c>
      <c r="U134">
        <f ca="1"/>
        <v>0</v>
      </c>
      <c r="V134">
        <f ca="1"/>
        <v>28.025807261698699</v>
      </c>
      <c r="W134">
        <f ca="1"/>
        <v>22.4689661667067</v>
      </c>
      <c r="X134">
        <f ca="1"/>
        <v>0</v>
      </c>
      <c r="Y134">
        <f ca="1"/>
        <v>1</v>
      </c>
      <c r="Z134">
        <f ca="1"/>
        <v>2.9428486715873419</v>
      </c>
      <c r="AA134">
        <f ca="1"/>
        <v>0</v>
      </c>
      <c r="AB134">
        <f ca="1"/>
        <v>0.40222745357890399</v>
      </c>
      <c r="AD134" s="2">
        <f t="shared" ref="AD134:AD197" ca="1" si="22">IFERROR(P134,$AD$4)</f>
        <v>44379</v>
      </c>
      <c r="AE134" s="46">
        <f t="shared" ref="AE134:AE197" ca="1" si="23">IFERROR(U134,0)</f>
        <v>0</v>
      </c>
      <c r="AG134" s="72">
        <f t="shared" ca="1" si="17"/>
        <v>13.79797476234919</v>
      </c>
      <c r="AH134" s="72">
        <f t="shared" ca="1" si="18"/>
        <v>13.797974762349199</v>
      </c>
      <c r="AI134" s="3">
        <f t="shared" ca="1" si="19"/>
        <v>0</v>
      </c>
    </row>
    <row r="135" spans="7:35" x14ac:dyDescent="0.25">
      <c r="G135" s="3">
        <f t="shared" ref="G135:G198" si="24">H135-DATE(YEAR(H135),1,0)+1</f>
        <v>38</v>
      </c>
      <c r="H135" s="104">
        <f t="shared" si="16"/>
        <v>44233</v>
      </c>
      <c r="I135" s="131">
        <f>HLOOKUP($H$4,'Met Data'!$A$2:$F$368,G135,FALSE)</f>
        <v>19.063333333333301</v>
      </c>
      <c r="J135" s="131">
        <f ca="1">HLOOKUP($H$4,'Met Data'!$H$2:$M$368,G135,FALSE)*L135</f>
        <v>0.22749999999999998</v>
      </c>
      <c r="K135" s="105">
        <f>HLOOKUP($H$4,'Met Data'!$O$2:$T$368,G135,FALSE)</f>
        <v>4.5836031413853302</v>
      </c>
      <c r="L135">
        <f t="shared" ca="1" si="20"/>
        <v>0.65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44380</v>
      </c>
      <c r="Q135">
        <f ca="1"/>
        <v>13.200629546086205</v>
      </c>
      <c r="R135">
        <f ca="1"/>
        <v>0.45452046867617901</v>
      </c>
      <c r="S135">
        <f ca="1"/>
        <v>7.4739757554994038E-9</v>
      </c>
      <c r="T135">
        <f ca="1"/>
        <v>0.29938110363558312</v>
      </c>
      <c r="U135">
        <f ca="1"/>
        <v>0</v>
      </c>
      <c r="V135">
        <f ca="1"/>
        <v>28.480327730374899</v>
      </c>
      <c r="W135">
        <f ca="1"/>
        <v>22.833366197628099</v>
      </c>
      <c r="X135">
        <f ca="1"/>
        <v>0</v>
      </c>
      <c r="Y135">
        <f ca="1"/>
        <v>1</v>
      </c>
      <c r="Z135">
        <f ca="1"/>
        <v>1.9935841760759843</v>
      </c>
      <c r="AA135">
        <f ca="1"/>
        <v>0</v>
      </c>
      <c r="AB135">
        <f ca="1"/>
        <v>0.41136615023601503</v>
      </c>
      <c r="AD135" s="2">
        <f t="shared" ca="1" si="22"/>
        <v>44380</v>
      </c>
      <c r="AE135" s="46">
        <f t="shared" ca="1" si="23"/>
        <v>0</v>
      </c>
      <c r="AG135" s="72">
        <f t="shared" ca="1" si="17"/>
        <v>13.655150014762388</v>
      </c>
      <c r="AH135" s="72">
        <f t="shared" ca="1" si="18"/>
        <v>13.655150014762384</v>
      </c>
      <c r="AI135" s="3">
        <f t="shared" ca="1" si="19"/>
        <v>0</v>
      </c>
    </row>
    <row r="136" spans="7:35" x14ac:dyDescent="0.25">
      <c r="G136" s="3">
        <f t="shared" si="24"/>
        <v>39</v>
      </c>
      <c r="H136" s="104">
        <f t="shared" ref="H136:H199" si="26">H135+1</f>
        <v>44234</v>
      </c>
      <c r="I136" s="131">
        <f>HLOOKUP($H$4,'Met Data'!$A$2:$F$368,G136,FALSE)</f>
        <v>19.164999999999999</v>
      </c>
      <c r="J136" s="131">
        <f ca="1">HLOOKUP($H$4,'Met Data'!$H$2:$M$368,G136,FALSE)*L136</f>
        <v>0.52433333333333287</v>
      </c>
      <c r="K136" s="105">
        <f>HLOOKUP($H$4,'Met Data'!$O$2:$T$368,G136,FALSE)</f>
        <v>4.2844164584952198</v>
      </c>
      <c r="L136">
        <f t="shared" ca="1" si="20"/>
        <v>0.65</v>
      </c>
      <c r="N136" t="b">
        <f t="shared" ca="1" si="25"/>
        <v>1</v>
      </c>
      <c r="O136" t="b">
        <f t="shared" ca="1" si="21"/>
        <v>1</v>
      </c>
      <c r="P136" s="2">
        <f ca="1"/>
        <v>44381</v>
      </c>
      <c r="Q136">
        <f ca="1"/>
        <v>13.030999995491143</v>
      </c>
      <c r="R136">
        <f ca="1"/>
        <v>0.48335551314005099</v>
      </c>
      <c r="S136">
        <f ca="1"/>
        <v>6.9269419555726466E-9</v>
      </c>
      <c r="T136">
        <f ca="1"/>
        <v>0.31372595561805383</v>
      </c>
      <c r="U136">
        <f ca="1"/>
        <v>0</v>
      </c>
      <c r="V136">
        <f ca="1"/>
        <v>28.9636832435149</v>
      </c>
      <c r="W136">
        <f ca="1"/>
        <v>23.2208839797145</v>
      </c>
      <c r="X136">
        <f ca="1"/>
        <v>0</v>
      </c>
      <c r="Y136">
        <f ca="1"/>
        <v>1</v>
      </c>
      <c r="Z136">
        <f ca="1"/>
        <v>3.9658666090143981</v>
      </c>
      <c r="AA136">
        <f ca="1"/>
        <v>0</v>
      </c>
      <c r="AB136">
        <f ca="1"/>
        <v>0.42098668429854103</v>
      </c>
      <c r="AD136" s="2">
        <f t="shared" ca="1" si="22"/>
        <v>44381</v>
      </c>
      <c r="AE136" s="46">
        <f t="shared" ca="1" si="23"/>
        <v>0</v>
      </c>
      <c r="AG136" s="72">
        <f t="shared" ref="AG136:AG199" ca="1" si="27">Q135+S136+T136+U136</f>
        <v>13.514355508631201</v>
      </c>
      <c r="AH136" s="72">
        <f t="shared" ref="AH136:AH199" ca="1" si="28">Q136+R136+X136</f>
        <v>13.514355508631194</v>
      </c>
      <c r="AI136" s="3">
        <f t="shared" ref="AI136:AI199" ca="1" si="29">AH136-AG136</f>
        <v>0</v>
      </c>
    </row>
    <row r="137" spans="7:35" x14ac:dyDescent="0.25">
      <c r="G137" s="3">
        <f t="shared" si="24"/>
        <v>40</v>
      </c>
      <c r="H137" s="104">
        <f t="shared" si="26"/>
        <v>44235</v>
      </c>
      <c r="I137" s="131">
        <f>HLOOKUP($H$4,'Met Data'!$A$2:$F$368,G137,FALSE)</f>
        <v>19.145</v>
      </c>
      <c r="J137" s="131">
        <f ca="1">HLOOKUP($H$4,'Met Data'!$H$2:$M$368,G137,FALSE)*L137</f>
        <v>1.3693333333333289</v>
      </c>
      <c r="K137" s="105">
        <f>HLOOKUP($H$4,'Met Data'!$O$2:$T$368,G137,FALSE)</f>
        <v>4.0819751344129296</v>
      </c>
      <c r="L137">
        <f t="shared" ca="1" si="20"/>
        <v>0.65</v>
      </c>
      <c r="N137" t="b">
        <f t="shared" ca="1" si="25"/>
        <v>1</v>
      </c>
      <c r="O137" t="b">
        <f t="shared" ca="1" si="21"/>
        <v>1</v>
      </c>
      <c r="P137" s="2">
        <f ca="1"/>
        <v>44382</v>
      </c>
      <c r="Q137">
        <f ca="1"/>
        <v>12.845950526447737</v>
      </c>
      <c r="R137">
        <f ca="1"/>
        <v>0.51422648668991799</v>
      </c>
      <c r="S137">
        <f ca="1"/>
        <v>6.3774410180198093E-9</v>
      </c>
      <c r="T137">
        <f ca="1"/>
        <v>0.32917701126907151</v>
      </c>
      <c r="U137">
        <f ca="1"/>
        <v>0</v>
      </c>
      <c r="V137">
        <f ca="1"/>
        <v>29.4779097302048</v>
      </c>
      <c r="W137">
        <f ca="1"/>
        <v>23.633151766457299</v>
      </c>
      <c r="X137">
        <f ca="1"/>
        <v>0</v>
      </c>
      <c r="Y137">
        <f ca="1"/>
        <v>1</v>
      </c>
      <c r="Z137">
        <f ca="1"/>
        <v>1.523266523281336</v>
      </c>
      <c r="AA137">
        <f ca="1"/>
        <v>0</v>
      </c>
      <c r="AB137">
        <f ca="1"/>
        <v>0.431104968157278</v>
      </c>
      <c r="AD137" s="2">
        <f t="shared" ca="1" si="22"/>
        <v>44382</v>
      </c>
      <c r="AE137" s="46">
        <f t="shared" ca="1" si="23"/>
        <v>0</v>
      </c>
      <c r="AG137" s="72">
        <f t="shared" ca="1" si="27"/>
        <v>13.360177013137655</v>
      </c>
      <c r="AH137" s="72">
        <f t="shared" ca="1" si="28"/>
        <v>13.360177013137655</v>
      </c>
      <c r="AI137" s="3">
        <f t="shared" ca="1" si="29"/>
        <v>0</v>
      </c>
    </row>
    <row r="138" spans="7:35" x14ac:dyDescent="0.25">
      <c r="G138" s="3">
        <f t="shared" si="24"/>
        <v>41</v>
      </c>
      <c r="H138" s="104">
        <f t="shared" si="26"/>
        <v>44236</v>
      </c>
      <c r="I138" s="131">
        <f>HLOOKUP($H$4,'Met Data'!$A$2:$F$368,G138,FALSE)</f>
        <v>19.28</v>
      </c>
      <c r="J138" s="131">
        <f ca="1">HLOOKUP($H$4,'Met Data'!$H$2:$M$368,G138,FALSE)*L138</f>
        <v>0.72800000000000009</v>
      </c>
      <c r="K138" s="105">
        <f>HLOOKUP($H$4,'Met Data'!$O$2:$T$368,G138,FALSE)</f>
        <v>4.260490854165</v>
      </c>
      <c r="L138">
        <f t="shared" ca="1" si="20"/>
        <v>0.65</v>
      </c>
      <c r="N138" t="b">
        <f t="shared" ca="1" si="25"/>
        <v>1</v>
      </c>
      <c r="O138" t="b">
        <f t="shared" ca="1" si="21"/>
        <v>1</v>
      </c>
      <c r="P138" s="2">
        <f ca="1"/>
        <v>44383</v>
      </c>
      <c r="Q138">
        <f ca="1"/>
        <v>12.654165686824086</v>
      </c>
      <c r="R138">
        <f ca="1"/>
        <v>0.51955307795513095</v>
      </c>
      <c r="S138">
        <f ca="1"/>
        <v>5.5372368472664713E-9</v>
      </c>
      <c r="T138">
        <f ca="1"/>
        <v>0.32776823279425221</v>
      </c>
      <c r="U138">
        <f ca="1"/>
        <v>0</v>
      </c>
      <c r="V138">
        <f ca="1"/>
        <v>29.997462808160002</v>
      </c>
      <c r="W138">
        <f ca="1"/>
        <v>24.0496900099903</v>
      </c>
      <c r="X138">
        <f ca="1"/>
        <v>0</v>
      </c>
      <c r="Y138">
        <f ca="1"/>
        <v>1</v>
      </c>
      <c r="Z138">
        <f ca="1"/>
        <v>3.1344891447679544</v>
      </c>
      <c r="AA138">
        <f ca="1"/>
        <v>0</v>
      </c>
      <c r="AB138">
        <f ca="1"/>
        <v>0.44120000730505299</v>
      </c>
      <c r="AD138" s="2">
        <f t="shared" ca="1" si="22"/>
        <v>44383</v>
      </c>
      <c r="AE138" s="46">
        <f t="shared" ca="1" si="23"/>
        <v>0</v>
      </c>
      <c r="AG138" s="72">
        <f t="shared" ca="1" si="27"/>
        <v>13.173718764779226</v>
      </c>
      <c r="AH138" s="72">
        <f t="shared" ca="1" si="28"/>
        <v>13.173718764779217</v>
      </c>
      <c r="AI138" s="3">
        <f t="shared" ca="1" si="29"/>
        <v>0</v>
      </c>
    </row>
    <row r="139" spans="7:35" x14ac:dyDescent="0.25">
      <c r="G139" s="3">
        <f t="shared" si="24"/>
        <v>42</v>
      </c>
      <c r="H139" s="104">
        <f t="shared" si="26"/>
        <v>44237</v>
      </c>
      <c r="I139" s="131">
        <f>HLOOKUP($H$4,'Met Data'!$A$2:$F$368,G139,FALSE)</f>
        <v>19.6533333333333</v>
      </c>
      <c r="J139" s="131">
        <f ca="1">HLOOKUP($H$4,'Met Data'!$H$2:$M$368,G139,FALSE)*L139</f>
        <v>0.96633333333332894</v>
      </c>
      <c r="K139" s="105">
        <f>HLOOKUP($H$4,'Met Data'!$O$2:$T$368,G139,FALSE)</f>
        <v>3.7833097987788902</v>
      </c>
      <c r="L139">
        <f t="shared" ca="1" si="20"/>
        <v>0.65</v>
      </c>
      <c r="N139" t="b">
        <f t="shared" ca="1" si="25"/>
        <v>1</v>
      </c>
      <c r="O139" t="b">
        <f t="shared" ca="1" si="21"/>
        <v>1</v>
      </c>
      <c r="P139" s="2">
        <f ca="1"/>
        <v>44384</v>
      </c>
      <c r="Q139">
        <f ca="1"/>
        <v>31.655955803010826</v>
      </c>
      <c r="R139">
        <f ca="1"/>
        <v>0.52412438457588095</v>
      </c>
      <c r="S139">
        <f ca="1"/>
        <v>4.804103552723571E-9</v>
      </c>
      <c r="T139">
        <f ca="1"/>
        <v>0.3259144959585073</v>
      </c>
      <c r="U139">
        <f ca="1"/>
        <v>24</v>
      </c>
      <c r="V139">
        <f ca="1"/>
        <v>30.521587192735801</v>
      </c>
      <c r="W139">
        <f ca="1"/>
        <v>24.469893180383</v>
      </c>
      <c r="X139">
        <f ca="1"/>
        <v>4.7999999999999989</v>
      </c>
      <c r="Y139">
        <f ca="1"/>
        <v>1</v>
      </c>
      <c r="Z139">
        <f ca="1"/>
        <v>1.4591720273170381</v>
      </c>
      <c r="AA139">
        <f ca="1"/>
        <v>0</v>
      </c>
      <c r="AB139">
        <f ca="1"/>
        <v>0.45124789893641298</v>
      </c>
      <c r="AD139" s="2">
        <f t="shared" ca="1" si="22"/>
        <v>44384</v>
      </c>
      <c r="AE139" s="46">
        <f t="shared" ca="1" si="23"/>
        <v>24</v>
      </c>
      <c r="AG139" s="72">
        <f t="shared" ca="1" si="27"/>
        <v>36.980080187586694</v>
      </c>
      <c r="AH139" s="72">
        <f t="shared" ca="1" si="28"/>
        <v>36.980080187586708</v>
      </c>
      <c r="AI139" s="3">
        <f t="shared" ca="1" si="29"/>
        <v>0</v>
      </c>
    </row>
    <row r="140" spans="7:35" x14ac:dyDescent="0.25">
      <c r="G140" s="3">
        <f t="shared" si="24"/>
        <v>43</v>
      </c>
      <c r="H140" s="104">
        <f t="shared" si="26"/>
        <v>44238</v>
      </c>
      <c r="I140" s="131">
        <f>HLOOKUP($H$4,'Met Data'!$A$2:$F$368,G140,FALSE)</f>
        <v>19.843333333333302</v>
      </c>
      <c r="J140" s="131">
        <f ca="1">HLOOKUP($H$4,'Met Data'!$H$2:$M$368,G140,FALSE)*L140</f>
        <v>1.508</v>
      </c>
      <c r="K140" s="105">
        <f>HLOOKUP($H$4,'Met Data'!$O$2:$T$368,G140,FALSE)</f>
        <v>3.6396000191553801</v>
      </c>
      <c r="L140">
        <f t="shared" ca="1" si="20"/>
        <v>0.65</v>
      </c>
      <c r="N140" t="b">
        <f t="shared" ca="1" si="25"/>
        <v>1</v>
      </c>
      <c r="O140" t="b">
        <f t="shared" ca="1" si="21"/>
        <v>1</v>
      </c>
      <c r="P140" s="2">
        <f ca="1"/>
        <v>44385</v>
      </c>
      <c r="Q140">
        <f ca="1"/>
        <v>31.456178347100575</v>
      </c>
      <c r="R140">
        <f ca="1"/>
        <v>0.51626805614395399</v>
      </c>
      <c r="S140">
        <f ca="1"/>
        <v>4.0744761178552934E-9</v>
      </c>
      <c r="T140">
        <f ca="1"/>
        <v>0.31649059615922809</v>
      </c>
      <c r="U140">
        <f ca="1"/>
        <v>0</v>
      </c>
      <c r="V140">
        <f ca="1"/>
        <v>31.037855248879801</v>
      </c>
      <c r="W140">
        <f ca="1"/>
        <v>24.8837977426364</v>
      </c>
      <c r="X140">
        <f ca="1"/>
        <v>0</v>
      </c>
      <c r="Y140">
        <f ca="1"/>
        <v>1</v>
      </c>
      <c r="Z140">
        <f ca="1"/>
        <v>2.452277580557606</v>
      </c>
      <c r="AA140">
        <f ca="1"/>
        <v>0</v>
      </c>
      <c r="AB140">
        <f ca="1"/>
        <v>0.46100678214658602</v>
      </c>
      <c r="AD140" s="2">
        <f t="shared" ca="1" si="22"/>
        <v>44385</v>
      </c>
      <c r="AE140" s="46">
        <f t="shared" ca="1" si="23"/>
        <v>0</v>
      </c>
      <c r="AG140" s="72">
        <f t="shared" ca="1" si="27"/>
        <v>31.972446403244529</v>
      </c>
      <c r="AH140" s="72">
        <f t="shared" ca="1" si="28"/>
        <v>31.972446403244529</v>
      </c>
      <c r="AI140" s="3">
        <f t="shared" ca="1" si="29"/>
        <v>0</v>
      </c>
    </row>
    <row r="141" spans="7:35" x14ac:dyDescent="0.25">
      <c r="G141" s="3">
        <f t="shared" si="24"/>
        <v>44</v>
      </c>
      <c r="H141" s="104">
        <f t="shared" si="26"/>
        <v>44239</v>
      </c>
      <c r="I141" s="131">
        <f>HLOOKUP($H$4,'Met Data'!$A$2:$F$368,G141,FALSE)</f>
        <v>19.767241379310299</v>
      </c>
      <c r="J141" s="131">
        <f ca="1">HLOOKUP($H$4,'Met Data'!$H$2:$M$368,G141,FALSE)*L141</f>
        <v>1.694333333333329</v>
      </c>
      <c r="K141" s="105">
        <f>HLOOKUP($H$4,'Met Data'!$O$2:$T$368,G141,FALSE)</f>
        <v>3.70262305339519</v>
      </c>
      <c r="L141">
        <f t="shared" ca="1" si="20"/>
        <v>0.65</v>
      </c>
      <c r="N141" t="b">
        <f t="shared" ca="1" si="25"/>
        <v>1</v>
      </c>
      <c r="O141" t="b">
        <f t="shared" ca="1" si="21"/>
        <v>1</v>
      </c>
      <c r="P141" s="2">
        <f ca="1"/>
        <v>44386</v>
      </c>
      <c r="Q141">
        <f ca="1"/>
        <v>31.246282763577938</v>
      </c>
      <c r="R141">
        <f ca="1"/>
        <v>0.53097334386806905</v>
      </c>
      <c r="S141">
        <f ca="1"/>
        <v>3.6239507490978362E-9</v>
      </c>
      <c r="T141">
        <f ca="1"/>
        <v>0.32107775672147737</v>
      </c>
      <c r="U141">
        <f ca="1"/>
        <v>0</v>
      </c>
      <c r="V141">
        <f ca="1"/>
        <v>31.568828592747899</v>
      </c>
      <c r="W141">
        <f ca="1"/>
        <v>25.309491889013401</v>
      </c>
      <c r="X141">
        <f ca="1"/>
        <v>0</v>
      </c>
      <c r="Y141">
        <f ca="1"/>
        <v>1</v>
      </c>
      <c r="Z141">
        <f ca="1"/>
        <v>3.1491752207258514</v>
      </c>
      <c r="AA141">
        <f ca="1"/>
        <v>0</v>
      </c>
      <c r="AB141">
        <f ca="1"/>
        <v>0.47089584260421302</v>
      </c>
      <c r="AD141" s="2">
        <f t="shared" ca="1" si="22"/>
        <v>44386</v>
      </c>
      <c r="AE141" s="46">
        <f t="shared" ca="1" si="23"/>
        <v>0</v>
      </c>
      <c r="AG141" s="72">
        <f t="shared" ca="1" si="27"/>
        <v>31.777256107446004</v>
      </c>
      <c r="AH141" s="72">
        <f t="shared" ca="1" si="28"/>
        <v>31.777256107446007</v>
      </c>
      <c r="AI141" s="3">
        <f t="shared" ca="1" si="29"/>
        <v>0</v>
      </c>
    </row>
    <row r="142" spans="7:35" x14ac:dyDescent="0.25">
      <c r="G142" s="3">
        <f t="shared" si="24"/>
        <v>45</v>
      </c>
      <c r="H142" s="104">
        <f t="shared" si="26"/>
        <v>44240</v>
      </c>
      <c r="I142" s="131">
        <f>HLOOKUP($H$4,'Met Data'!$A$2:$F$368,G142,FALSE)</f>
        <v>19.5672413793103</v>
      </c>
      <c r="J142" s="131">
        <f ca="1">HLOOKUP($H$4,'Met Data'!$H$2:$M$368,G142,FALSE)*L142</f>
        <v>0.38350000000000001</v>
      </c>
      <c r="K142" s="105">
        <f>HLOOKUP($H$4,'Met Data'!$O$2:$T$368,G142,FALSE)</f>
        <v>4.0784584132757997</v>
      </c>
      <c r="L142">
        <f t="shared" ca="1" si="20"/>
        <v>0.65</v>
      </c>
      <c r="N142" t="b">
        <f t="shared" ca="1" si="25"/>
        <v>1</v>
      </c>
      <c r="O142" t="b">
        <f t="shared" ca="1" si="21"/>
        <v>1</v>
      </c>
      <c r="P142" s="2">
        <f ca="1"/>
        <v>44387</v>
      </c>
      <c r="Q142">
        <f ca="1"/>
        <v>31.042943923883101</v>
      </c>
      <c r="R142">
        <f ca="1"/>
        <v>0.50471142598204499</v>
      </c>
      <c r="S142">
        <f ca="1"/>
        <v>2.9742166459040496E-9</v>
      </c>
      <c r="T142">
        <f ca="1"/>
        <v>0.30137258331299649</v>
      </c>
      <c r="U142">
        <f ca="1"/>
        <v>0</v>
      </c>
      <c r="V142">
        <f ca="1"/>
        <v>32.073540018729901</v>
      </c>
      <c r="W142">
        <f ca="1"/>
        <v>25.714131221912801</v>
      </c>
      <c r="X142">
        <f ca="1"/>
        <v>0</v>
      </c>
      <c r="Y142">
        <f ca="1"/>
        <v>1</v>
      </c>
      <c r="Z142">
        <f ca="1"/>
        <v>0.84825171510779285</v>
      </c>
      <c r="AA142">
        <f ca="1"/>
        <v>0</v>
      </c>
      <c r="AB142">
        <f ca="1"/>
        <v>0.48015317493210202</v>
      </c>
      <c r="AD142" s="2">
        <f t="shared" ca="1" si="22"/>
        <v>44387</v>
      </c>
      <c r="AE142" s="46">
        <f t="shared" ca="1" si="23"/>
        <v>0</v>
      </c>
      <c r="AG142" s="72">
        <f t="shared" ca="1" si="27"/>
        <v>31.547655349865153</v>
      </c>
      <c r="AH142" s="72">
        <f t="shared" ca="1" si="28"/>
        <v>31.547655349865146</v>
      </c>
      <c r="AI142" s="3">
        <f t="shared" ca="1" si="29"/>
        <v>0</v>
      </c>
    </row>
    <row r="143" spans="7:35" x14ac:dyDescent="0.25">
      <c r="G143" s="3">
        <f t="shared" si="24"/>
        <v>46</v>
      </c>
      <c r="H143" s="104">
        <f t="shared" si="26"/>
        <v>44241</v>
      </c>
      <c r="I143" s="131">
        <f>HLOOKUP($H$4,'Met Data'!$A$2:$F$368,G143,FALSE)</f>
        <v>19.5910714285714</v>
      </c>
      <c r="J143" s="131">
        <f ca="1">HLOOKUP($H$4,'Met Data'!$H$2:$M$368,G143,FALSE)*L143</f>
        <v>1.217068965517236</v>
      </c>
      <c r="K143" s="105">
        <f>HLOOKUP($H$4,'Met Data'!$O$2:$T$368,G143,FALSE)</f>
        <v>4.0775156504528702</v>
      </c>
      <c r="L143">
        <f t="shared" ca="1" si="20"/>
        <v>0.65</v>
      </c>
      <c r="N143" t="b">
        <f t="shared" ca="1" si="25"/>
        <v>1</v>
      </c>
      <c r="O143" t="b">
        <f t="shared" ca="1" si="21"/>
        <v>1</v>
      </c>
      <c r="P143" s="2">
        <f ca="1"/>
        <v>44388</v>
      </c>
      <c r="Q143">
        <f ca="1"/>
        <v>30.841527780420094</v>
      </c>
      <c r="R143">
        <f ca="1"/>
        <v>0.49202124830927801</v>
      </c>
      <c r="S143">
        <f ca="1"/>
        <v>2.5275301888095412E-9</v>
      </c>
      <c r="T143">
        <f ca="1"/>
        <v>0.29060510231873282</v>
      </c>
      <c r="U143">
        <f ca="1"/>
        <v>0</v>
      </c>
      <c r="V143">
        <f ca="1"/>
        <v>32.5655612670392</v>
      </c>
      <c r="W143">
        <f ca="1"/>
        <v>26.108596533057302</v>
      </c>
      <c r="X143">
        <f ca="1"/>
        <v>0</v>
      </c>
      <c r="Y143">
        <f ca="1"/>
        <v>1</v>
      </c>
      <c r="Z143">
        <f ca="1"/>
        <v>2.7076512592171298</v>
      </c>
      <c r="AA143">
        <f ca="1"/>
        <v>0</v>
      </c>
      <c r="AB143">
        <f ca="1"/>
        <v>0.48904098947246899</v>
      </c>
      <c r="AD143" s="2">
        <f t="shared" ca="1" si="22"/>
        <v>44388</v>
      </c>
      <c r="AE143" s="46">
        <f t="shared" ca="1" si="23"/>
        <v>0</v>
      </c>
      <c r="AG143" s="72">
        <f t="shared" ca="1" si="27"/>
        <v>31.333549028729365</v>
      </c>
      <c r="AH143" s="72">
        <f t="shared" ca="1" si="28"/>
        <v>31.333549028729372</v>
      </c>
      <c r="AI143" s="3">
        <f t="shared" ca="1" si="29"/>
        <v>0</v>
      </c>
    </row>
    <row r="144" spans="7:35" x14ac:dyDescent="0.25">
      <c r="G144" s="3">
        <f t="shared" si="24"/>
        <v>47</v>
      </c>
      <c r="H144" s="104">
        <f t="shared" si="26"/>
        <v>44242</v>
      </c>
      <c r="I144" s="131">
        <f>HLOOKUP($H$4,'Met Data'!$A$2:$F$368,G144,FALSE)</f>
        <v>19.355357142857098</v>
      </c>
      <c r="J144" s="131">
        <f ca="1">HLOOKUP($H$4,'Met Data'!$H$2:$M$368,G144,FALSE)*L144</f>
        <v>1.8334482758620665</v>
      </c>
      <c r="K144" s="105">
        <f>HLOOKUP($H$4,'Met Data'!$O$2:$T$368,G144,FALSE)</f>
        <v>4.1796467400508099</v>
      </c>
      <c r="L144">
        <f t="shared" ca="1" si="20"/>
        <v>0.65</v>
      </c>
      <c r="N144" t="b">
        <f t="shared" ca="1" si="25"/>
        <v>1</v>
      </c>
      <c r="O144" t="b">
        <f t="shared" ca="1" si="21"/>
        <v>1</v>
      </c>
      <c r="P144" s="2">
        <f ca="1"/>
        <v>44389</v>
      </c>
      <c r="Q144">
        <f ca="1"/>
        <v>30.62695737797273</v>
      </c>
      <c r="R144">
        <f ca="1"/>
        <v>0.51395544359026202</v>
      </c>
      <c r="S144">
        <f ca="1"/>
        <v>2.313274668066896E-9</v>
      </c>
      <c r="T144">
        <f ca="1"/>
        <v>0.29938503882962442</v>
      </c>
      <c r="U144">
        <f ca="1"/>
        <v>0</v>
      </c>
      <c r="V144">
        <f ca="1"/>
        <v>33.079516710629399</v>
      </c>
      <c r="W144">
        <f ca="1"/>
        <v>26.520647018004599</v>
      </c>
      <c r="X144">
        <f ca="1"/>
        <v>0</v>
      </c>
      <c r="Y144">
        <f ca="1"/>
        <v>1</v>
      </c>
      <c r="Z144">
        <f ca="1"/>
        <v>5.8032694220133152</v>
      </c>
      <c r="AA144">
        <f ca="1"/>
        <v>0</v>
      </c>
      <c r="AB144">
        <f ca="1"/>
        <v>0.49817820350390901</v>
      </c>
      <c r="AD144" s="2">
        <f t="shared" ca="1" si="22"/>
        <v>44389</v>
      </c>
      <c r="AE144" s="46">
        <f t="shared" ca="1" si="23"/>
        <v>0</v>
      </c>
      <c r="AG144" s="72">
        <f t="shared" ca="1" si="27"/>
        <v>31.140912821562992</v>
      </c>
      <c r="AH144" s="72">
        <f t="shared" ca="1" si="28"/>
        <v>31.140912821562992</v>
      </c>
      <c r="AI144" s="3">
        <f t="shared" ca="1" si="29"/>
        <v>0</v>
      </c>
    </row>
    <row r="145" spans="7:35" x14ac:dyDescent="0.25">
      <c r="G145" s="3">
        <f t="shared" si="24"/>
        <v>48</v>
      </c>
      <c r="H145" s="104">
        <f t="shared" si="26"/>
        <v>44243</v>
      </c>
      <c r="I145" s="131">
        <f>HLOOKUP($H$4,'Met Data'!$A$2:$F$368,G145,FALSE)</f>
        <v>19.258928571428498</v>
      </c>
      <c r="J145" s="131">
        <f ca="1">HLOOKUP($H$4,'Met Data'!$H$2:$M$368,G145,FALSE)*L145</f>
        <v>1.172241379310339</v>
      </c>
      <c r="K145" s="105">
        <f>HLOOKUP($H$4,'Met Data'!$O$2:$T$368,G145,FALSE)</f>
        <v>3.8490703816040499</v>
      </c>
      <c r="L145">
        <f t="shared" ca="1" si="20"/>
        <v>0.65</v>
      </c>
      <c r="N145" t="b">
        <f t="shared" ca="1" si="25"/>
        <v>1</v>
      </c>
      <c r="O145" t="b">
        <f t="shared" ca="1" si="21"/>
        <v>1</v>
      </c>
      <c r="P145" s="2">
        <f ca="1"/>
        <v>44390</v>
      </c>
      <c r="Q145">
        <f ca="1"/>
        <v>30.401785959534124</v>
      </c>
      <c r="R145">
        <f ca="1"/>
        <v>0.52968029152072704</v>
      </c>
      <c r="S145">
        <f ca="1"/>
        <v>2.0799870982971882E-9</v>
      </c>
      <c r="T145">
        <f ca="1"/>
        <v>0.3045088710021403</v>
      </c>
      <c r="U145">
        <f ca="1"/>
        <v>0</v>
      </c>
      <c r="V145">
        <f ca="1"/>
        <v>33.609197002150196</v>
      </c>
      <c r="W145">
        <f ca="1"/>
        <v>26.945304493103201</v>
      </c>
      <c r="X145">
        <f ca="1"/>
        <v>0</v>
      </c>
      <c r="Y145">
        <f ca="1"/>
        <v>1</v>
      </c>
      <c r="Z145">
        <f ca="1"/>
        <v>1.2124719706635574</v>
      </c>
      <c r="AA145">
        <f ca="1"/>
        <v>0</v>
      </c>
      <c r="AB145">
        <f ca="1"/>
        <v>0.507435592170148</v>
      </c>
      <c r="AD145" s="2">
        <f t="shared" ca="1" si="22"/>
        <v>44390</v>
      </c>
      <c r="AE145" s="46">
        <f t="shared" ca="1" si="23"/>
        <v>0</v>
      </c>
      <c r="AG145" s="72">
        <f t="shared" ca="1" si="27"/>
        <v>30.931466251054857</v>
      </c>
      <c r="AH145" s="72">
        <f t="shared" ca="1" si="28"/>
        <v>30.93146625105485</v>
      </c>
      <c r="AI145" s="3">
        <f t="shared" ca="1" si="29"/>
        <v>0</v>
      </c>
    </row>
    <row r="146" spans="7:35" x14ac:dyDescent="0.25">
      <c r="G146" s="3">
        <f t="shared" si="24"/>
        <v>49</v>
      </c>
      <c r="H146" s="104">
        <f t="shared" si="26"/>
        <v>44244</v>
      </c>
      <c r="I146" s="131">
        <f>HLOOKUP($H$4,'Met Data'!$A$2:$F$368,G146,FALSE)</f>
        <v>19.284482758620602</v>
      </c>
      <c r="J146" s="131">
        <f ca="1">HLOOKUP($H$4,'Met Data'!$H$2:$M$368,G146,FALSE)*L146</f>
        <v>2.9250000000000003</v>
      </c>
      <c r="K146" s="105">
        <f>HLOOKUP($H$4,'Met Data'!$O$2:$T$368,G146,FALSE)</f>
        <v>3.7481412243719401</v>
      </c>
      <c r="L146">
        <f t="shared" ca="1" si="20"/>
        <v>0.65</v>
      </c>
      <c r="N146" t="b">
        <f t="shared" ca="1" si="25"/>
        <v>1</v>
      </c>
      <c r="O146" t="b">
        <f t="shared" ca="1" si="21"/>
        <v>1</v>
      </c>
      <c r="P146" s="2">
        <f ca="1"/>
        <v>44391</v>
      </c>
      <c r="Q146">
        <f ca="1"/>
        <v>30.179899205499339</v>
      </c>
      <c r="R146">
        <f ca="1"/>
        <v>0.51446478699748599</v>
      </c>
      <c r="S146">
        <f ca="1"/>
        <v>1.7589083665506854E-9</v>
      </c>
      <c r="T146">
        <f ca="1"/>
        <v>0.2925780312037885</v>
      </c>
      <c r="U146">
        <f ca="1"/>
        <v>0</v>
      </c>
      <c r="V146">
        <f ca="1"/>
        <v>34.123661789147697</v>
      </c>
      <c r="W146">
        <f ca="1"/>
        <v>27.357763330954601</v>
      </c>
      <c r="X146">
        <f ca="1"/>
        <v>0</v>
      </c>
      <c r="Y146">
        <f ca="1"/>
        <v>1</v>
      </c>
      <c r="Z146">
        <f ca="1"/>
        <v>3.2773413906915891</v>
      </c>
      <c r="AA146">
        <f ca="1"/>
        <v>0</v>
      </c>
      <c r="AB146">
        <f ca="1"/>
        <v>0.51627022340289797</v>
      </c>
      <c r="AD146" s="2">
        <f t="shared" ca="1" si="22"/>
        <v>44391</v>
      </c>
      <c r="AE146" s="46">
        <f t="shared" ca="1" si="23"/>
        <v>0</v>
      </c>
      <c r="AG146" s="72">
        <f t="shared" ca="1" si="27"/>
        <v>30.694363992496822</v>
      </c>
      <c r="AH146" s="72">
        <f t="shared" ca="1" si="28"/>
        <v>30.694363992496825</v>
      </c>
      <c r="AI146" s="3">
        <f t="shared" ca="1" si="29"/>
        <v>0</v>
      </c>
    </row>
    <row r="147" spans="7:35" x14ac:dyDescent="0.25">
      <c r="G147" s="3">
        <f t="shared" si="24"/>
        <v>50</v>
      </c>
      <c r="H147" s="104">
        <f t="shared" si="26"/>
        <v>44245</v>
      </c>
      <c r="I147" s="131">
        <f>HLOOKUP($H$4,'Met Data'!$A$2:$F$368,G147,FALSE)</f>
        <v>19.415517241379298</v>
      </c>
      <c r="J147" s="131">
        <f ca="1">HLOOKUP($H$4,'Met Data'!$H$2:$M$368,G147,FALSE)*L147</f>
        <v>0.90999999999999992</v>
      </c>
      <c r="K147" s="105">
        <f>HLOOKUP($H$4,'Met Data'!$O$2:$T$368,G147,FALSE)</f>
        <v>3.8682529987421499</v>
      </c>
      <c r="L147">
        <f t="shared" ca="1" si="20"/>
        <v>0.65</v>
      </c>
      <c r="N147" t="b">
        <f t="shared" ca="1" si="25"/>
        <v>1</v>
      </c>
      <c r="O147" t="b">
        <f t="shared" ca="1" si="21"/>
        <v>1</v>
      </c>
      <c r="P147" s="2">
        <f ca="1"/>
        <v>44392</v>
      </c>
      <c r="Q147">
        <f ca="1"/>
        <v>29.929137669735596</v>
      </c>
      <c r="R147">
        <f ca="1"/>
        <v>0.57048952113260798</v>
      </c>
      <c r="S147">
        <f ca="1"/>
        <v>1.7070665495488405E-9</v>
      </c>
      <c r="T147">
        <f ca="1"/>
        <v>0.3197279836618086</v>
      </c>
      <c r="U147">
        <f ca="1"/>
        <v>0</v>
      </c>
      <c r="V147">
        <f ca="1"/>
        <v>34.694151310280297</v>
      </c>
      <c r="W147">
        <f ca="1"/>
        <v>27.815138550483301</v>
      </c>
      <c r="X147">
        <f ca="1"/>
        <v>0</v>
      </c>
      <c r="Y147">
        <f ca="1"/>
        <v>1</v>
      </c>
      <c r="Z147">
        <f ca="1"/>
        <v>5.0815731312560644</v>
      </c>
      <c r="AA147">
        <f ca="1"/>
        <v>0</v>
      </c>
      <c r="AB147">
        <f ca="1"/>
        <v>0.52588440480048204</v>
      </c>
      <c r="AD147" s="2">
        <f t="shared" ca="1" si="22"/>
        <v>44392</v>
      </c>
      <c r="AE147" s="46">
        <f t="shared" ca="1" si="23"/>
        <v>0</v>
      </c>
      <c r="AG147" s="72">
        <f t="shared" ca="1" si="27"/>
        <v>30.499627190868217</v>
      </c>
      <c r="AH147" s="72">
        <f t="shared" ca="1" si="28"/>
        <v>30.499627190868203</v>
      </c>
      <c r="AI147" s="3">
        <f t="shared" ca="1" si="29"/>
        <v>0</v>
      </c>
    </row>
    <row r="148" spans="7:35" x14ac:dyDescent="0.25">
      <c r="G148" s="3">
        <f t="shared" si="24"/>
        <v>51</v>
      </c>
      <c r="H148" s="104">
        <f t="shared" si="26"/>
        <v>44246</v>
      </c>
      <c r="I148" s="131">
        <f>HLOOKUP($H$4,'Met Data'!$A$2:$F$368,G148,FALSE)</f>
        <v>19.4189655172413</v>
      </c>
      <c r="J148" s="131">
        <f ca="1">HLOOKUP($H$4,'Met Data'!$H$2:$M$368,G148,FALSE)*L148</f>
        <v>0.9525862068965516</v>
      </c>
      <c r="K148" s="105">
        <f>HLOOKUP($H$4,'Met Data'!$O$2:$T$368,G148,FALSE)</f>
        <v>3.6105345286952</v>
      </c>
      <c r="L148">
        <f t="shared" ca="1" si="20"/>
        <v>0.65</v>
      </c>
      <c r="N148" t="b">
        <f t="shared" ca="1" si="25"/>
        <v>1</v>
      </c>
      <c r="O148" t="b">
        <f t="shared" ca="1" si="21"/>
        <v>1</v>
      </c>
      <c r="P148" s="2">
        <f ca="1"/>
        <v>44393</v>
      </c>
      <c r="Q148">
        <f ca="1"/>
        <v>29.656895584845614</v>
      </c>
      <c r="R148">
        <f ca="1"/>
        <v>0.60995216054710999</v>
      </c>
      <c r="S148">
        <f ca="1"/>
        <v>1.5766475215722797E-9</v>
      </c>
      <c r="T148">
        <f ca="1"/>
        <v>0.33771007408048165</v>
      </c>
      <c r="U148">
        <f ca="1"/>
        <v>0</v>
      </c>
      <c r="V148">
        <f ca="1"/>
        <v>35.3041034708274</v>
      </c>
      <c r="W148">
        <f ca="1"/>
        <v>28.304151920577102</v>
      </c>
      <c r="X148">
        <f ca="1"/>
        <v>0</v>
      </c>
      <c r="Y148">
        <f ca="1"/>
        <v>1</v>
      </c>
      <c r="Z148">
        <f ca="1"/>
        <v>3.9107611882139537</v>
      </c>
      <c r="AA148">
        <f ca="1"/>
        <v>0</v>
      </c>
      <c r="AB148">
        <f ca="1"/>
        <v>0.53594966587454396</v>
      </c>
      <c r="AD148" s="2">
        <f t="shared" ca="1" si="22"/>
        <v>44393</v>
      </c>
      <c r="AE148" s="46">
        <f t="shared" ca="1" si="23"/>
        <v>0</v>
      </c>
      <c r="AG148" s="72">
        <f t="shared" ca="1" si="27"/>
        <v>30.266847745392724</v>
      </c>
      <c r="AH148" s="72">
        <f t="shared" ca="1" si="28"/>
        <v>30.266847745392724</v>
      </c>
      <c r="AI148" s="3">
        <f t="shared" ca="1" si="29"/>
        <v>0</v>
      </c>
    </row>
    <row r="149" spans="7:35" x14ac:dyDescent="0.25">
      <c r="G149" s="3">
        <f t="shared" si="24"/>
        <v>52</v>
      </c>
      <c r="H149" s="104">
        <f t="shared" si="26"/>
        <v>44247</v>
      </c>
      <c r="I149" s="131">
        <f>HLOOKUP($H$4,'Met Data'!$A$2:$F$368,G149,FALSE)</f>
        <v>19.5068965517241</v>
      </c>
      <c r="J149" s="131">
        <f ca="1">HLOOKUP($H$4,'Met Data'!$H$2:$M$368,G149,FALSE)*L149</f>
        <v>2.5036206896551696</v>
      </c>
      <c r="K149" s="105">
        <f>HLOOKUP($H$4,'Met Data'!$O$2:$T$368,G149,FALSE)</f>
        <v>3.6240453059598501</v>
      </c>
      <c r="L149">
        <f t="shared" ca="1" si="20"/>
        <v>0.65</v>
      </c>
      <c r="N149" t="b">
        <f t="shared" ca="1" si="25"/>
        <v>1</v>
      </c>
      <c r="O149" t="b">
        <f t="shared" ca="1" si="21"/>
        <v>1</v>
      </c>
      <c r="P149" s="2">
        <f ca="1"/>
        <v>44394</v>
      </c>
      <c r="Q149">
        <f ca="1"/>
        <v>29.38259917557923</v>
      </c>
      <c r="R149">
        <f ca="1"/>
        <v>0.603936723404352</v>
      </c>
      <c r="S149">
        <f ca="1"/>
        <v>1.3379203462882731E-9</v>
      </c>
      <c r="T149">
        <f ca="1"/>
        <v>0.32964031280003725</v>
      </c>
      <c r="U149">
        <f ca="1"/>
        <v>0</v>
      </c>
      <c r="V149">
        <f ca="1"/>
        <v>35.908040194231702</v>
      </c>
      <c r="W149">
        <f ca="1"/>
        <v>28.7883425695134</v>
      </c>
      <c r="X149">
        <f ca="1"/>
        <v>0</v>
      </c>
      <c r="Y149">
        <f ca="1"/>
        <v>1</v>
      </c>
      <c r="Z149">
        <f ca="1"/>
        <v>6.4249547530061903</v>
      </c>
      <c r="AA149">
        <f ca="1"/>
        <v>0</v>
      </c>
      <c r="AB149">
        <f ca="1"/>
        <v>0.54569667688511903</v>
      </c>
      <c r="AD149" s="2">
        <f t="shared" ca="1" si="22"/>
        <v>44394</v>
      </c>
      <c r="AE149" s="46">
        <f t="shared" ca="1" si="23"/>
        <v>0</v>
      </c>
      <c r="AG149" s="72">
        <f t="shared" ca="1" si="27"/>
        <v>29.986535898983572</v>
      </c>
      <c r="AH149" s="72">
        <f t="shared" ca="1" si="28"/>
        <v>29.986535898983583</v>
      </c>
      <c r="AI149" s="3">
        <f t="shared" ca="1" si="29"/>
        <v>0</v>
      </c>
    </row>
    <row r="150" spans="7:35" x14ac:dyDescent="0.25">
      <c r="G150" s="3">
        <f t="shared" si="24"/>
        <v>53</v>
      </c>
      <c r="H150" s="104">
        <f t="shared" si="26"/>
        <v>44248</v>
      </c>
      <c r="I150" s="131">
        <f>HLOOKUP($H$4,'Met Data'!$A$2:$F$368,G150,FALSE)</f>
        <v>19.441666666666599</v>
      </c>
      <c r="J150" s="131">
        <f ca="1">HLOOKUP($H$4,'Met Data'!$H$2:$M$368,G150,FALSE)*L150</f>
        <v>1.9500000000000002</v>
      </c>
      <c r="K150" s="105">
        <f>HLOOKUP($H$4,'Met Data'!$O$2:$T$368,G150,FALSE)</f>
        <v>3.73403385362748</v>
      </c>
      <c r="L150">
        <f t="shared" ca="1" si="20"/>
        <v>0.65</v>
      </c>
      <c r="N150" t="b">
        <f t="shared" ca="1" si="25"/>
        <v>1</v>
      </c>
      <c r="O150" t="b">
        <f t="shared" ca="1" si="21"/>
        <v>1</v>
      </c>
      <c r="P150" s="2">
        <f ca="1"/>
        <v>44395</v>
      </c>
      <c r="Q150">
        <f ca="1"/>
        <v>29.109940268960784</v>
      </c>
      <c r="R150">
        <f ca="1"/>
        <v>0.59081343371666895</v>
      </c>
      <c r="S150">
        <f ca="1"/>
        <v>1.1262294993459516E-9</v>
      </c>
      <c r="T150">
        <f ca="1"/>
        <v>0.31815452597200644</v>
      </c>
      <c r="U150">
        <f ca="1"/>
        <v>0</v>
      </c>
      <c r="V150">
        <f ca="1"/>
        <v>36.498853627948399</v>
      </c>
      <c r="W150">
        <f ca="1"/>
        <v>29.262011960337901</v>
      </c>
      <c r="X150">
        <f ca="1"/>
        <v>0</v>
      </c>
      <c r="Y150">
        <f ca="1"/>
        <v>1</v>
      </c>
      <c r="Z150">
        <f ca="1"/>
        <v>6.5175688660560098</v>
      </c>
      <c r="AA150">
        <f ca="1"/>
        <v>0</v>
      </c>
      <c r="AB150">
        <f ca="1"/>
        <v>0.55502052017153303</v>
      </c>
      <c r="AD150" s="2">
        <f t="shared" ca="1" si="22"/>
        <v>44395</v>
      </c>
      <c r="AE150" s="46">
        <f t="shared" ca="1" si="23"/>
        <v>0</v>
      </c>
      <c r="AG150" s="72">
        <f t="shared" ca="1" si="27"/>
        <v>29.700753702677464</v>
      </c>
      <c r="AH150" s="72">
        <f t="shared" ca="1" si="28"/>
        <v>29.700753702677453</v>
      </c>
      <c r="AI150" s="3">
        <f t="shared" ca="1" si="29"/>
        <v>0</v>
      </c>
    </row>
    <row r="151" spans="7:35" x14ac:dyDescent="0.25">
      <c r="G151" s="3">
        <f t="shared" si="24"/>
        <v>54</v>
      </c>
      <c r="H151" s="104">
        <f t="shared" si="26"/>
        <v>44249</v>
      </c>
      <c r="I151" s="131">
        <f>HLOOKUP($H$4,'Met Data'!$A$2:$F$368,G151,FALSE)</f>
        <v>19.231666666666602</v>
      </c>
      <c r="J151" s="131">
        <f ca="1">HLOOKUP($H$4,'Met Data'!$H$2:$M$368,G151,FALSE)*L151</f>
        <v>0.99666666666666459</v>
      </c>
      <c r="K151" s="105">
        <f>HLOOKUP($H$4,'Met Data'!$O$2:$T$368,G151,FALSE)</f>
        <v>3.6261565374234999</v>
      </c>
      <c r="L151">
        <f t="shared" ca="1" si="20"/>
        <v>0.65</v>
      </c>
      <c r="N151" t="b">
        <f t="shared" ca="1" si="25"/>
        <v>1</v>
      </c>
      <c r="O151" t="b">
        <f t="shared" ca="1" si="21"/>
        <v>1</v>
      </c>
      <c r="P151" s="2">
        <f ca="1"/>
        <v>44396</v>
      </c>
      <c r="Q151">
        <f ca="1"/>
        <v>28.83341819620702</v>
      </c>
      <c r="R151">
        <f ca="1"/>
        <v>0.590587870113922</v>
      </c>
      <c r="S151">
        <f ca="1"/>
        <v>9.7403415441662901E-10</v>
      </c>
      <c r="T151">
        <f ca="1"/>
        <v>0.31406579638611615</v>
      </c>
      <c r="U151">
        <f ca="1"/>
        <v>0</v>
      </c>
      <c r="V151">
        <f ca="1"/>
        <v>37.0894414980623</v>
      </c>
      <c r="W151">
        <f ca="1"/>
        <v>29.735500511377602</v>
      </c>
      <c r="X151">
        <f ca="1"/>
        <v>0</v>
      </c>
      <c r="Y151">
        <f ca="1"/>
        <v>1</v>
      </c>
      <c r="Z151">
        <f ca="1"/>
        <v>2.9629385852994403</v>
      </c>
      <c r="AA151">
        <f ca="1"/>
        <v>0</v>
      </c>
      <c r="AB151">
        <f ca="1"/>
        <v>0.56413189160381605</v>
      </c>
      <c r="AD151" s="2">
        <f t="shared" ca="1" si="22"/>
        <v>44396</v>
      </c>
      <c r="AE151" s="46">
        <f t="shared" ca="1" si="23"/>
        <v>0</v>
      </c>
      <c r="AG151" s="72">
        <f t="shared" ca="1" si="27"/>
        <v>29.424006066320935</v>
      </c>
      <c r="AH151" s="72">
        <f t="shared" ca="1" si="28"/>
        <v>29.424006066320942</v>
      </c>
      <c r="AI151" s="3">
        <f t="shared" ca="1" si="29"/>
        <v>0</v>
      </c>
    </row>
    <row r="152" spans="7:35" x14ac:dyDescent="0.25">
      <c r="G152" s="3">
        <f t="shared" si="24"/>
        <v>55</v>
      </c>
      <c r="H152" s="104">
        <f t="shared" si="26"/>
        <v>44250</v>
      </c>
      <c r="I152" s="131">
        <f>HLOOKUP($H$4,'Met Data'!$A$2:$F$368,G152,FALSE)</f>
        <v>19.22</v>
      </c>
      <c r="J152" s="131">
        <f ca="1">HLOOKUP($H$4,'Met Data'!$H$2:$M$368,G152,FALSE)*L152</f>
        <v>1.9890000000000001</v>
      </c>
      <c r="K152" s="105">
        <f>HLOOKUP($H$4,'Met Data'!$O$2:$T$368,G152,FALSE)</f>
        <v>3.6095974227769201</v>
      </c>
      <c r="L152">
        <f t="shared" ca="1" si="20"/>
        <v>0.65</v>
      </c>
      <c r="N152" t="b">
        <f t="shared" ca="1" si="25"/>
        <v>1</v>
      </c>
      <c r="O152" t="b">
        <f t="shared" ca="1" si="21"/>
        <v>1</v>
      </c>
      <c r="P152" s="2">
        <f ca="1"/>
        <v>44397</v>
      </c>
      <c r="Q152">
        <f ca="1"/>
        <v>28.536178788377555</v>
      </c>
      <c r="R152">
        <f ca="1"/>
        <v>0.626205799590416</v>
      </c>
      <c r="S152">
        <f ca="1"/>
        <v>8.9509538302933603E-10</v>
      </c>
      <c r="T152">
        <f ca="1"/>
        <v>0.32896639086585366</v>
      </c>
      <c r="U152">
        <f ca="1"/>
        <v>0</v>
      </c>
      <c r="V152">
        <f ca="1"/>
        <v>37.715647297652701</v>
      </c>
      <c r="W152">
        <f ca="1"/>
        <v>30.2375448162216</v>
      </c>
      <c r="X152">
        <f ca="1"/>
        <v>0</v>
      </c>
      <c r="Y152">
        <f ca="1"/>
        <v>1</v>
      </c>
      <c r="Z152">
        <f ca="1"/>
        <v>1.4520368602671283</v>
      </c>
      <c r="AA152">
        <f ca="1"/>
        <v>0</v>
      </c>
      <c r="AB152">
        <f ca="1"/>
        <v>0.573565167695963</v>
      </c>
      <c r="AD152" s="2">
        <f t="shared" ca="1" si="22"/>
        <v>44397</v>
      </c>
      <c r="AE152" s="46">
        <f t="shared" ca="1" si="23"/>
        <v>0</v>
      </c>
      <c r="AG152" s="72">
        <f t="shared" ca="1" si="27"/>
        <v>29.162384587967971</v>
      </c>
      <c r="AH152" s="72">
        <f t="shared" ca="1" si="28"/>
        <v>29.162384587967971</v>
      </c>
      <c r="AI152" s="3">
        <f t="shared" ca="1" si="29"/>
        <v>0</v>
      </c>
    </row>
    <row r="153" spans="7:35" x14ac:dyDescent="0.25">
      <c r="G153" s="3">
        <f t="shared" si="24"/>
        <v>56</v>
      </c>
      <c r="H153" s="104">
        <f t="shared" si="26"/>
        <v>44251</v>
      </c>
      <c r="I153" s="131">
        <f>HLOOKUP($H$4,'Met Data'!$A$2:$F$368,G153,FALSE)</f>
        <v>18.793333333333301</v>
      </c>
      <c r="J153" s="131">
        <f ca="1">HLOOKUP($H$4,'Met Data'!$H$2:$M$368,G153,FALSE)*L153</f>
        <v>1.1245000000000001</v>
      </c>
      <c r="K153" s="105">
        <f>HLOOKUP($H$4,'Met Data'!$O$2:$T$368,G153,FALSE)</f>
        <v>3.9865323105658801</v>
      </c>
      <c r="L153">
        <f t="shared" ca="1" si="20"/>
        <v>0.65</v>
      </c>
      <c r="N153" t="b">
        <f t="shared" ca="1" si="25"/>
        <v>1</v>
      </c>
      <c r="O153" t="b">
        <f t="shared" ca="1" si="21"/>
        <v>1</v>
      </c>
      <c r="P153" s="2">
        <f ca="1"/>
        <v>44398</v>
      </c>
      <c r="Q153">
        <f ca="1"/>
        <v>28.244827380598821</v>
      </c>
      <c r="R153">
        <f ca="1"/>
        <v>0.60517224428488703</v>
      </c>
      <c r="S153">
        <f ca="1"/>
        <v>7.4490028233428331E-10</v>
      </c>
      <c r="T153">
        <f ca="1"/>
        <v>0.31382083576124625</v>
      </c>
      <c r="U153">
        <f ca="1"/>
        <v>0</v>
      </c>
      <c r="V153">
        <f ca="1"/>
        <v>38.320819541937603</v>
      </c>
      <c r="W153">
        <f ca="1"/>
        <v>30.722726012070702</v>
      </c>
      <c r="X153">
        <f ca="1"/>
        <v>0</v>
      </c>
      <c r="Y153">
        <f ca="1"/>
        <v>1</v>
      </c>
      <c r="Z153">
        <f ca="1"/>
        <v>3.4108161088605016</v>
      </c>
      <c r="AA153">
        <f ca="1"/>
        <v>0</v>
      </c>
      <c r="AB153">
        <f ca="1"/>
        <v>0.58246002776958195</v>
      </c>
      <c r="AD153" s="2">
        <f t="shared" ca="1" si="22"/>
        <v>44398</v>
      </c>
      <c r="AE153" s="46">
        <f t="shared" ca="1" si="23"/>
        <v>0</v>
      </c>
      <c r="AG153" s="72">
        <f t="shared" ca="1" si="27"/>
        <v>28.849999624883701</v>
      </c>
      <c r="AH153" s="72">
        <f t="shared" ca="1" si="28"/>
        <v>28.849999624883708</v>
      </c>
      <c r="AI153" s="3">
        <f t="shared" ca="1" si="29"/>
        <v>0</v>
      </c>
    </row>
    <row r="154" spans="7:35" x14ac:dyDescent="0.25">
      <c r="G154" s="3">
        <f t="shared" si="24"/>
        <v>57</v>
      </c>
      <c r="H154" s="104">
        <f t="shared" si="26"/>
        <v>44252</v>
      </c>
      <c r="I154" s="131">
        <f>HLOOKUP($H$4,'Met Data'!$A$2:$F$368,G154,FALSE)</f>
        <v>18.3</v>
      </c>
      <c r="J154" s="131">
        <f ca="1">HLOOKUP($H$4,'Met Data'!$H$2:$M$368,G154,FALSE)*L154</f>
        <v>0.76483333333332904</v>
      </c>
      <c r="K154" s="105">
        <f>HLOOKUP($H$4,'Met Data'!$O$2:$T$368,G154,FALSE)</f>
        <v>3.88204927928038</v>
      </c>
      <c r="L154">
        <f t="shared" ca="1" si="20"/>
        <v>0.65</v>
      </c>
      <c r="N154" t="b">
        <f t="shared" ca="1" si="25"/>
        <v>1</v>
      </c>
      <c r="O154" t="b">
        <f t="shared" ca="1" si="21"/>
        <v>1</v>
      </c>
      <c r="P154" s="2">
        <f ca="1"/>
        <v>44399</v>
      </c>
      <c r="Q154">
        <f ca="1"/>
        <v>27.929087237357933</v>
      </c>
      <c r="R154">
        <f ca="1"/>
        <v>0.64766298358350105</v>
      </c>
      <c r="S154">
        <f ca="1"/>
        <v>6.9113720383374762E-10</v>
      </c>
      <c r="T154">
        <f ca="1"/>
        <v>0.33192283965147928</v>
      </c>
      <c r="U154">
        <f ca="1"/>
        <v>0</v>
      </c>
      <c r="V154">
        <f ca="1"/>
        <v>38.968482525521097</v>
      </c>
      <c r="W154">
        <f ca="1"/>
        <v>31.241973059254001</v>
      </c>
      <c r="X154">
        <f ca="1"/>
        <v>0</v>
      </c>
      <c r="Y154">
        <f ca="1"/>
        <v>1</v>
      </c>
      <c r="Z154">
        <f ca="1"/>
        <v>4.1760795592317805</v>
      </c>
      <c r="AA154">
        <f ca="1"/>
        <v>0</v>
      </c>
      <c r="AB154">
        <f ca="1"/>
        <v>0.59173981856390401</v>
      </c>
      <c r="AD154" s="2">
        <f t="shared" ca="1" si="22"/>
        <v>44399</v>
      </c>
      <c r="AE154" s="46">
        <f t="shared" ca="1" si="23"/>
        <v>0</v>
      </c>
      <c r="AG154" s="72">
        <f t="shared" ca="1" si="27"/>
        <v>28.576750220941438</v>
      </c>
      <c r="AH154" s="72">
        <f t="shared" ca="1" si="28"/>
        <v>28.576750220941435</v>
      </c>
      <c r="AI154" s="3">
        <f t="shared" ca="1" si="29"/>
        <v>0</v>
      </c>
    </row>
    <row r="155" spans="7:35" x14ac:dyDescent="0.25">
      <c r="G155" s="3">
        <f t="shared" si="24"/>
        <v>58</v>
      </c>
      <c r="H155" s="104">
        <f t="shared" si="26"/>
        <v>44253</v>
      </c>
      <c r="I155" s="131">
        <f>HLOOKUP($H$4,'Met Data'!$A$2:$F$368,G155,FALSE)</f>
        <v>18.41</v>
      </c>
      <c r="J155" s="131">
        <f ca="1">HLOOKUP($H$4,'Met Data'!$H$2:$M$368,G155,FALSE)*L155</f>
        <v>1.3151666666666644</v>
      </c>
      <c r="K155" s="105">
        <f>HLOOKUP($H$4,'Met Data'!$O$2:$T$368,G155,FALSE)</f>
        <v>4.05937925457948</v>
      </c>
      <c r="L155">
        <f t="shared" ca="1" si="20"/>
        <v>0.65</v>
      </c>
      <c r="N155" t="b">
        <f t="shared" ca="1" si="25"/>
        <v>1</v>
      </c>
      <c r="O155" t="b">
        <f t="shared" ca="1" si="21"/>
        <v>1</v>
      </c>
      <c r="P155" s="2">
        <f ca="1"/>
        <v>44400</v>
      </c>
      <c r="Q155">
        <f ca="1"/>
        <v>27.609198651474671</v>
      </c>
      <c r="R155">
        <f ca="1"/>
        <v>0.64743551942996902</v>
      </c>
      <c r="S155">
        <f ca="1"/>
        <v>5.94146971153419E-10</v>
      </c>
      <c r="T155">
        <f ca="1"/>
        <v>0.32754693295256765</v>
      </c>
      <c r="U155">
        <f ca="1"/>
        <v>0</v>
      </c>
      <c r="V155">
        <f ca="1"/>
        <v>39.615918044951101</v>
      </c>
      <c r="W155">
        <f ca="1"/>
        <v>31.761037742934899</v>
      </c>
      <c r="X155">
        <f ca="1"/>
        <v>0</v>
      </c>
      <c r="Y155">
        <f ca="1"/>
        <v>1</v>
      </c>
      <c r="Z155">
        <f ca="1"/>
        <v>6.7281127951907536</v>
      </c>
      <c r="AA155">
        <f ca="1"/>
        <v>0</v>
      </c>
      <c r="AB155">
        <f ca="1"/>
        <v>0.60077095855335405</v>
      </c>
      <c r="AD155" s="2">
        <f t="shared" ca="1" si="22"/>
        <v>44400</v>
      </c>
      <c r="AE155" s="46">
        <f t="shared" ca="1" si="23"/>
        <v>0</v>
      </c>
      <c r="AG155" s="72">
        <f t="shared" ca="1" si="27"/>
        <v>28.25663417090465</v>
      </c>
      <c r="AH155" s="72">
        <f t="shared" ca="1" si="28"/>
        <v>28.25663417090464</v>
      </c>
      <c r="AI155" s="3">
        <f t="shared" ca="1" si="29"/>
        <v>0</v>
      </c>
    </row>
    <row r="156" spans="7:35" x14ac:dyDescent="0.25">
      <c r="G156" s="3">
        <f t="shared" si="24"/>
        <v>59</v>
      </c>
      <c r="H156" s="104">
        <f t="shared" si="26"/>
        <v>44254</v>
      </c>
      <c r="I156" s="131">
        <f>HLOOKUP($H$4,'Met Data'!$A$2:$F$368,G156,FALSE)</f>
        <v>18.516666666666602</v>
      </c>
      <c r="J156" s="131">
        <f ca="1">HLOOKUP($H$4,'Met Data'!$H$2:$M$368,G156,FALSE)*L156</f>
        <v>1.0074999999999936</v>
      </c>
      <c r="K156" s="105">
        <f>HLOOKUP($H$4,'Met Data'!$O$2:$T$368,G156,FALSE)</f>
        <v>3.8269283002116601</v>
      </c>
      <c r="L156">
        <f t="shared" ca="1" si="20"/>
        <v>0.65</v>
      </c>
      <c r="N156" t="b">
        <f t="shared" ca="1" si="25"/>
        <v>1</v>
      </c>
      <c r="O156" t="b">
        <f t="shared" ca="1" si="21"/>
        <v>1</v>
      </c>
      <c r="P156" s="2">
        <f ca="1"/>
        <v>44401</v>
      </c>
      <c r="Q156">
        <f ca="1"/>
        <v>27.280283114657095</v>
      </c>
      <c r="R156">
        <f ca="1"/>
        <v>0.65746094318672699</v>
      </c>
      <c r="S156">
        <f ca="1"/>
        <v>5.1995040820930598E-10</v>
      </c>
      <c r="T156">
        <f ca="1"/>
        <v>0.32854540584919673</v>
      </c>
      <c r="U156">
        <f ca="1"/>
        <v>0</v>
      </c>
      <c r="V156">
        <f ca="1"/>
        <v>40.2733789881378</v>
      </c>
      <c r="W156">
        <f ca="1"/>
        <v>32.288140050834599</v>
      </c>
      <c r="X156">
        <f ca="1"/>
        <v>0</v>
      </c>
      <c r="Y156">
        <f ca="1"/>
        <v>1</v>
      </c>
      <c r="Z156">
        <f ca="1"/>
        <v>2.8707394853059611</v>
      </c>
      <c r="AA156">
        <f ca="1"/>
        <v>0</v>
      </c>
      <c r="AB156">
        <f ca="1"/>
        <v>0.60969364090623002</v>
      </c>
      <c r="AD156" s="2">
        <f t="shared" ca="1" si="22"/>
        <v>44401</v>
      </c>
      <c r="AE156" s="46">
        <f t="shared" ca="1" si="23"/>
        <v>0</v>
      </c>
      <c r="AG156" s="72">
        <f t="shared" ca="1" si="27"/>
        <v>27.937744057843819</v>
      </c>
      <c r="AH156" s="72">
        <f t="shared" ca="1" si="28"/>
        <v>27.937744057843823</v>
      </c>
      <c r="AI156" s="3">
        <f t="shared" ca="1" si="29"/>
        <v>0</v>
      </c>
    </row>
    <row r="157" spans="7:35" x14ac:dyDescent="0.25">
      <c r="G157" s="3">
        <f t="shared" si="24"/>
        <v>60</v>
      </c>
      <c r="H157" s="104">
        <f t="shared" si="26"/>
        <v>44255</v>
      </c>
      <c r="I157" s="131">
        <f>HLOOKUP($H$4,'Met Data'!$A$2:$F$368,G157,FALSE)</f>
        <v>18.253571428571401</v>
      </c>
      <c r="J157" s="131">
        <f ca="1">HLOOKUP($H$4,'Met Data'!$H$2:$M$368,G157,FALSE)*L157</f>
        <v>2.2615517241379273</v>
      </c>
      <c r="K157" s="105">
        <f>HLOOKUP($H$4,'Met Data'!$O$2:$T$368,G157,FALSE)</f>
        <v>3.4828962462929298</v>
      </c>
      <c r="L157">
        <f t="shared" ca="1" si="20"/>
        <v>0.65</v>
      </c>
      <c r="N157" t="b">
        <f t="shared" ca="1" si="25"/>
        <v>1</v>
      </c>
      <c r="O157" t="b">
        <f t="shared" ca="1" si="21"/>
        <v>1</v>
      </c>
      <c r="P157" s="2">
        <f ca="1"/>
        <v>44402</v>
      </c>
      <c r="Q157">
        <f ca="1"/>
        <v>26.961381438042693</v>
      </c>
      <c r="R157">
        <f ca="1"/>
        <v>0.62976793854971902</v>
      </c>
      <c r="S157">
        <f ca="1"/>
        <v>4.2921073691440383E-10</v>
      </c>
      <c r="T157">
        <f ca="1"/>
        <v>0.31086626150610147</v>
      </c>
      <c r="U157">
        <f ca="1"/>
        <v>0</v>
      </c>
      <c r="V157">
        <f ca="1"/>
        <v>40.903146926687498</v>
      </c>
      <c r="W157">
        <f ca="1"/>
        <v>32.793040208465001</v>
      </c>
      <c r="X157">
        <f ca="1"/>
        <v>0</v>
      </c>
      <c r="Y157">
        <f ca="1"/>
        <v>1</v>
      </c>
      <c r="Z157">
        <f ca="1"/>
        <v>3.5243759965217976</v>
      </c>
      <c r="AA157">
        <f ca="1"/>
        <v>0</v>
      </c>
      <c r="AB157">
        <f ca="1"/>
        <v>0.61800884313889504</v>
      </c>
      <c r="AD157" s="2">
        <f t="shared" ca="1" si="22"/>
        <v>44402</v>
      </c>
      <c r="AE157" s="46">
        <f t="shared" ca="1" si="23"/>
        <v>0</v>
      </c>
      <c r="AG157" s="72">
        <f t="shared" ca="1" si="27"/>
        <v>27.591149376592409</v>
      </c>
      <c r="AH157" s="72">
        <f t="shared" ca="1" si="28"/>
        <v>27.591149376592412</v>
      </c>
      <c r="AI157" s="3">
        <f t="shared" ca="1" si="29"/>
        <v>0</v>
      </c>
    </row>
    <row r="158" spans="7:35" x14ac:dyDescent="0.25">
      <c r="G158" s="3">
        <f t="shared" si="24"/>
        <v>61</v>
      </c>
      <c r="H158" s="104">
        <f t="shared" si="26"/>
        <v>44256</v>
      </c>
      <c r="I158" s="131">
        <f>HLOOKUP($H$4,'Met Data'!$A$2:$F$368,G158,FALSE)</f>
        <v>18.313793103448202</v>
      </c>
      <c r="J158" s="131">
        <f ca="1">HLOOKUP($H$4,'Met Data'!$H$2:$M$368,G158,FALSE)*L158</f>
        <v>2.7143103448275818</v>
      </c>
      <c r="K158" s="105">
        <f>HLOOKUP($H$4,'Met Data'!$O$2:$T$368,G158,FALSE)</f>
        <v>3.6905226687271502</v>
      </c>
      <c r="L158">
        <f t="shared" ca="1" si="20"/>
        <v>0.65</v>
      </c>
      <c r="N158" t="b">
        <f t="shared" ca="1" si="25"/>
        <v>1</v>
      </c>
      <c r="O158" t="b">
        <f t="shared" ca="1" si="21"/>
        <v>1</v>
      </c>
      <c r="P158" s="2">
        <f ca="1"/>
        <v>44403</v>
      </c>
      <c r="Q158">
        <f ca="1"/>
        <v>26.638348532853428</v>
      </c>
      <c r="R158">
        <f ca="1"/>
        <v>0.631012839138272</v>
      </c>
      <c r="S158">
        <f ca="1"/>
        <v>3.7371381842289507E-10</v>
      </c>
      <c r="T158">
        <f ca="1"/>
        <v>0.3079799335752903</v>
      </c>
      <c r="U158">
        <f ca="1"/>
        <v>0</v>
      </c>
      <c r="V158">
        <f ca="1"/>
        <v>41.534159765825798</v>
      </c>
      <c r="W158">
        <f ca="1"/>
        <v>33.298938432946599</v>
      </c>
      <c r="X158">
        <f ca="1"/>
        <v>0</v>
      </c>
      <c r="Y158">
        <f ca="1"/>
        <v>1</v>
      </c>
      <c r="Z158">
        <f ca="1"/>
        <v>2.1473612043870673</v>
      </c>
      <c r="AA158">
        <f ca="1"/>
        <v>0</v>
      </c>
      <c r="AB158">
        <f ca="1"/>
        <v>0.62611636721128205</v>
      </c>
      <c r="AD158" s="2">
        <f t="shared" ca="1" si="22"/>
        <v>44403</v>
      </c>
      <c r="AE158" s="46">
        <f t="shared" ca="1" si="23"/>
        <v>0</v>
      </c>
      <c r="AG158" s="72">
        <f t="shared" ca="1" si="27"/>
        <v>27.269361371991696</v>
      </c>
      <c r="AH158" s="72">
        <f t="shared" ca="1" si="28"/>
        <v>27.2693613719917</v>
      </c>
      <c r="AI158" s="3">
        <f t="shared" ca="1" si="29"/>
        <v>0</v>
      </c>
    </row>
    <row r="159" spans="7:35" x14ac:dyDescent="0.25">
      <c r="G159" s="3">
        <f t="shared" si="24"/>
        <v>62</v>
      </c>
      <c r="H159" s="104">
        <f t="shared" si="26"/>
        <v>44257</v>
      </c>
      <c r="I159" s="131">
        <f>HLOOKUP($H$4,'Met Data'!$A$2:$F$368,G159,FALSE)</f>
        <v>18.701724137930999</v>
      </c>
      <c r="J159" s="131">
        <f ca="1">HLOOKUP($H$4,'Met Data'!$H$2:$M$368,G159,FALSE)*L159</f>
        <v>1.5846551724137874</v>
      </c>
      <c r="K159" s="105">
        <f>HLOOKUP($H$4,'Met Data'!$O$2:$T$368,G159,FALSE)</f>
        <v>3.7650592582328399</v>
      </c>
      <c r="L159">
        <f t="shared" ca="1" si="20"/>
        <v>0.65</v>
      </c>
      <c r="N159" t="b">
        <f t="shared" ca="1" si="25"/>
        <v>1</v>
      </c>
      <c r="O159" t="b">
        <f t="shared" ca="1" si="21"/>
        <v>1</v>
      </c>
      <c r="P159" s="2">
        <f ca="1"/>
        <v>44404</v>
      </c>
      <c r="Q159">
        <f ca="1"/>
        <v>26.294017447576735</v>
      </c>
      <c r="R159">
        <f ca="1"/>
        <v>0.66525334232742495</v>
      </c>
      <c r="S159">
        <f ca="1"/>
        <v>3.4279605399935196E-10</v>
      </c>
      <c r="T159">
        <f ca="1"/>
        <v>0.32092225670793606</v>
      </c>
      <c r="U159">
        <f ca="1"/>
        <v>0</v>
      </c>
      <c r="V159">
        <f ca="1"/>
        <v>42.199413108153202</v>
      </c>
      <c r="W159">
        <f ca="1"/>
        <v>33.832288095329801</v>
      </c>
      <c r="X159">
        <f ca="1"/>
        <v>0</v>
      </c>
      <c r="Y159">
        <f ca="1"/>
        <v>1</v>
      </c>
      <c r="Z159">
        <f ca="1"/>
        <v>3.8491147108661465</v>
      </c>
      <c r="AA159">
        <f ca="1"/>
        <v>0</v>
      </c>
      <c r="AB159">
        <f ca="1"/>
        <v>0.63442471329678696</v>
      </c>
      <c r="AD159" s="2">
        <f t="shared" ca="1" si="22"/>
        <v>44404</v>
      </c>
      <c r="AE159" s="46">
        <f t="shared" ca="1" si="23"/>
        <v>0</v>
      </c>
      <c r="AG159" s="72">
        <f t="shared" ca="1" si="27"/>
        <v>26.95927078990416</v>
      </c>
      <c r="AH159" s="72">
        <f t="shared" ca="1" si="28"/>
        <v>26.95927078990416</v>
      </c>
      <c r="AI159" s="3">
        <f t="shared" ca="1" si="29"/>
        <v>0</v>
      </c>
    </row>
    <row r="160" spans="7:35" x14ac:dyDescent="0.25">
      <c r="G160" s="3">
        <f t="shared" si="24"/>
        <v>63</v>
      </c>
      <c r="H160" s="104">
        <f t="shared" si="26"/>
        <v>44258</v>
      </c>
      <c r="I160" s="131">
        <f>HLOOKUP($H$4,'Met Data'!$A$2:$F$368,G160,FALSE)</f>
        <v>18.759999999999899</v>
      </c>
      <c r="J160" s="131">
        <f ca="1">HLOOKUP($H$4,'Met Data'!$H$2:$M$368,G160,FALSE)*L160</f>
        <v>2.2988333333333291</v>
      </c>
      <c r="K160" s="105">
        <f>HLOOKUP($H$4,'Met Data'!$O$2:$T$368,G160,FALSE)</f>
        <v>3.6493457095997699</v>
      </c>
      <c r="L160">
        <f t="shared" ca="1" si="20"/>
        <v>0.65</v>
      </c>
      <c r="N160" t="b">
        <f t="shared" ca="1" si="25"/>
        <v>1</v>
      </c>
      <c r="O160" t="b">
        <f t="shared" ca="1" si="21"/>
        <v>1</v>
      </c>
      <c r="P160" s="2">
        <f ca="1"/>
        <v>44405</v>
      </c>
      <c r="Q160">
        <f ca="1"/>
        <v>25.939101467742262</v>
      </c>
      <c r="R160">
        <f ca="1"/>
        <v>0.67843614350005099</v>
      </c>
      <c r="S160">
        <f ca="1"/>
        <v>3.0236800435966301E-10</v>
      </c>
      <c r="T160">
        <f ca="1"/>
        <v>0.32352016336321787</v>
      </c>
      <c r="U160">
        <f ca="1"/>
        <v>0</v>
      </c>
      <c r="V160">
        <f ca="1"/>
        <v>42.877849251653302</v>
      </c>
      <c r="W160">
        <f ca="1"/>
        <v>34.376206727618602</v>
      </c>
      <c r="X160">
        <f ca="1"/>
        <v>0</v>
      </c>
      <c r="Y160">
        <f ca="1"/>
        <v>1</v>
      </c>
      <c r="Z160">
        <f ca="1"/>
        <v>2.0197279512015314</v>
      </c>
      <c r="AA160">
        <f ca="1"/>
        <v>0</v>
      </c>
      <c r="AB160">
        <f ca="1"/>
        <v>0.64264934452709599</v>
      </c>
      <c r="AD160" s="2">
        <f t="shared" ca="1" si="22"/>
        <v>44405</v>
      </c>
      <c r="AE160" s="46">
        <f t="shared" ca="1" si="23"/>
        <v>0</v>
      </c>
      <c r="AG160" s="72">
        <f t="shared" ca="1" si="27"/>
        <v>26.617537611242319</v>
      </c>
      <c r="AH160" s="72">
        <f t="shared" ca="1" si="28"/>
        <v>26.617537611242312</v>
      </c>
      <c r="AI160" s="3">
        <f t="shared" ca="1" si="29"/>
        <v>0</v>
      </c>
    </row>
    <row r="161" spans="7:35" x14ac:dyDescent="0.25">
      <c r="G161" s="3">
        <f t="shared" si="24"/>
        <v>64</v>
      </c>
      <c r="H161" s="104">
        <f t="shared" si="26"/>
        <v>44259</v>
      </c>
      <c r="I161" s="131">
        <f>HLOOKUP($H$4,'Met Data'!$A$2:$F$368,G161,FALSE)</f>
        <v>18.0322580645161</v>
      </c>
      <c r="J161" s="131">
        <f ca="1">HLOOKUP($H$4,'Met Data'!$H$2:$M$368,G161,FALSE)*L161</f>
        <v>3.4848387096774158</v>
      </c>
      <c r="K161" s="105">
        <f>HLOOKUP($H$4,'Met Data'!$O$2:$T$368,G161,FALSE)</f>
        <v>3.6858306163975501</v>
      </c>
      <c r="L161">
        <f t="shared" ca="1" si="20"/>
        <v>0.65</v>
      </c>
      <c r="N161" t="b">
        <f t="shared" ca="1" si="25"/>
        <v>1</v>
      </c>
      <c r="O161" t="b">
        <f t="shared" ca="1" si="21"/>
        <v>1</v>
      </c>
      <c r="P161" s="2">
        <f ca="1"/>
        <v>44406</v>
      </c>
      <c r="Q161">
        <f ca="1"/>
        <v>25.569772872383055</v>
      </c>
      <c r="R161">
        <f ca="1"/>
        <v>0.69882169739509004</v>
      </c>
      <c r="S161">
        <f ca="1"/>
        <v>2.6907240655179961E-10</v>
      </c>
      <c r="T161">
        <f ca="1"/>
        <v>0.32949310176681285</v>
      </c>
      <c r="U161">
        <f ca="1"/>
        <v>0</v>
      </c>
      <c r="V161">
        <f ca="1"/>
        <v>43.576670949048399</v>
      </c>
      <c r="W161">
        <f ca="1"/>
        <v>34.936468950530198</v>
      </c>
      <c r="X161">
        <f ca="1"/>
        <v>0</v>
      </c>
      <c r="Y161">
        <f ca="1"/>
        <v>1</v>
      </c>
      <c r="Z161">
        <f ca="1"/>
        <v>4.2280451481699259</v>
      </c>
      <c r="AA161">
        <f ca="1"/>
        <v>0</v>
      </c>
      <c r="AB161">
        <f ca="1"/>
        <v>0.65086399920962201</v>
      </c>
      <c r="AD161" s="2">
        <f t="shared" ca="1" si="22"/>
        <v>44406</v>
      </c>
      <c r="AE161" s="46">
        <f t="shared" ca="1" si="23"/>
        <v>0</v>
      </c>
      <c r="AG161" s="72">
        <f t="shared" ca="1" si="27"/>
        <v>26.268594569778145</v>
      </c>
      <c r="AH161" s="72">
        <f t="shared" ca="1" si="28"/>
        <v>26.268594569778145</v>
      </c>
      <c r="AI161" s="3">
        <f t="shared" ca="1" si="29"/>
        <v>0</v>
      </c>
    </row>
    <row r="162" spans="7:35" x14ac:dyDescent="0.25">
      <c r="G162" s="3">
        <f t="shared" si="24"/>
        <v>65</v>
      </c>
      <c r="H162" s="104">
        <f t="shared" si="26"/>
        <v>44260</v>
      </c>
      <c r="I162" s="131">
        <f>HLOOKUP($H$4,'Met Data'!$A$2:$F$368,G162,FALSE)</f>
        <v>17.95</v>
      </c>
      <c r="J162" s="131">
        <f ca="1">HLOOKUP($H$4,'Met Data'!$H$2:$M$368,G162,FALSE)*L162</f>
        <v>1.6627419354838695</v>
      </c>
      <c r="K162" s="105">
        <f>HLOOKUP($H$4,'Met Data'!$O$2:$T$368,G162,FALSE)</f>
        <v>3.6617176102227802</v>
      </c>
      <c r="L162">
        <f t="shared" ca="1" si="20"/>
        <v>0.65</v>
      </c>
      <c r="N162" t="b">
        <f t="shared" ca="1" si="25"/>
        <v>1</v>
      </c>
      <c r="O162" t="b">
        <f t="shared" ca="1" si="21"/>
        <v>1</v>
      </c>
      <c r="P162" s="2">
        <f ca="1"/>
        <v>44407</v>
      </c>
      <c r="Q162">
        <f ca="1"/>
        <v>25.192506632135675</v>
      </c>
      <c r="R162">
        <f ca="1"/>
        <v>0.70654859392998004</v>
      </c>
      <c r="S162">
        <f ca="1"/>
        <v>2.3442558666884099E-10</v>
      </c>
      <c r="T162">
        <f ca="1"/>
        <v>0.32928235344818158</v>
      </c>
      <c r="U162">
        <f ca="1"/>
        <v>0</v>
      </c>
      <c r="V162">
        <f ca="1"/>
        <v>44.283219542978401</v>
      </c>
      <c r="W162">
        <f ca="1"/>
        <v>35.5029260129051</v>
      </c>
      <c r="X162">
        <f ca="1"/>
        <v>0</v>
      </c>
      <c r="Y162">
        <f ca="1"/>
        <v>1</v>
      </c>
      <c r="Z162">
        <f ca="1"/>
        <v>1.3722486043926381</v>
      </c>
      <c r="AA162">
        <f ca="1"/>
        <v>0</v>
      </c>
      <c r="AB162">
        <f ca="1"/>
        <v>0.65890983713531504</v>
      </c>
      <c r="AD162" s="2">
        <f t="shared" ca="1" si="22"/>
        <v>44407</v>
      </c>
      <c r="AE162" s="46">
        <f t="shared" ca="1" si="23"/>
        <v>0</v>
      </c>
      <c r="AG162" s="72">
        <f t="shared" ca="1" si="27"/>
        <v>25.899055226065663</v>
      </c>
      <c r="AH162" s="72">
        <f t="shared" ca="1" si="28"/>
        <v>25.899055226065656</v>
      </c>
      <c r="AI162" s="3">
        <f t="shared" ca="1" si="29"/>
        <v>0</v>
      </c>
    </row>
    <row r="163" spans="7:35" x14ac:dyDescent="0.25">
      <c r="G163" s="3">
        <f t="shared" si="24"/>
        <v>66</v>
      </c>
      <c r="H163" s="104">
        <f t="shared" si="26"/>
        <v>44261</v>
      </c>
      <c r="I163" s="131">
        <f>HLOOKUP($H$4,'Met Data'!$A$2:$F$368,G163,FALSE)</f>
        <v>18.361290322580601</v>
      </c>
      <c r="J163" s="131">
        <f ca="1">HLOOKUP($H$4,'Met Data'!$H$2:$M$368,G163,FALSE)*L163</f>
        <v>1.5033870967741925</v>
      </c>
      <c r="K163" s="105">
        <f>HLOOKUP($H$4,'Met Data'!$O$2:$T$368,G163,FALSE)</f>
        <v>3.8548213926682098</v>
      </c>
      <c r="L163">
        <f t="shared" ca="1" si="20"/>
        <v>0.65</v>
      </c>
      <c r="N163" t="b">
        <f t="shared" ca="1" si="25"/>
        <v>1</v>
      </c>
      <c r="O163" t="b">
        <f t="shared" ca="1" si="21"/>
        <v>1</v>
      </c>
      <c r="P163" s="2">
        <f ca="1"/>
        <v>44408</v>
      </c>
      <c r="Q163">
        <f ca="1"/>
        <v>24.803921864211375</v>
      </c>
      <c r="R163">
        <f ca="1"/>
        <v>0.720684723125537</v>
      </c>
      <c r="S163">
        <f ca="1"/>
        <v>2.0608801690449806E-10</v>
      </c>
      <c r="T163">
        <f ca="1"/>
        <v>0.33209995499515482</v>
      </c>
      <c r="U163">
        <f ca="1"/>
        <v>0</v>
      </c>
      <c r="V163">
        <f ca="1"/>
        <v>45.003904266103902</v>
      </c>
      <c r="W163">
        <f ca="1"/>
        <v>36.080716351272997</v>
      </c>
      <c r="X163">
        <f ca="1"/>
        <v>0</v>
      </c>
      <c r="Y163">
        <f ca="1"/>
        <v>1</v>
      </c>
      <c r="Z163">
        <f ca="1"/>
        <v>2.9521248176452843</v>
      </c>
      <c r="AA163">
        <f ca="1"/>
        <v>0</v>
      </c>
      <c r="AB163">
        <f ca="1"/>
        <v>0.66685383224356698</v>
      </c>
      <c r="AD163" s="2">
        <f t="shared" ca="1" si="22"/>
        <v>44408</v>
      </c>
      <c r="AE163" s="46">
        <f t="shared" ca="1" si="23"/>
        <v>0</v>
      </c>
      <c r="AG163" s="72">
        <f t="shared" ca="1" si="27"/>
        <v>25.524606587336919</v>
      </c>
      <c r="AH163" s="72">
        <f t="shared" ca="1" si="28"/>
        <v>25.524606587336912</v>
      </c>
      <c r="AI163" s="3">
        <f t="shared" ca="1" si="29"/>
        <v>0</v>
      </c>
    </row>
    <row r="164" spans="7:35" x14ac:dyDescent="0.25">
      <c r="G164" s="3">
        <f t="shared" si="24"/>
        <v>67</v>
      </c>
      <c r="H164" s="104">
        <f t="shared" si="26"/>
        <v>44262</v>
      </c>
      <c r="I164" s="131">
        <f>HLOOKUP($H$4,'Met Data'!$A$2:$F$368,G164,FALSE)</f>
        <v>17.7903225806451</v>
      </c>
      <c r="J164" s="131">
        <f ca="1">HLOOKUP($H$4,'Met Data'!$H$2:$M$368,G164,FALSE)*L164</f>
        <v>1.876612903225801</v>
      </c>
      <c r="K164" s="105">
        <f>HLOOKUP($H$4,'Met Data'!$O$2:$T$368,G164,FALSE)</f>
        <v>3.4909393601542198</v>
      </c>
      <c r="L164">
        <f t="shared" ca="1" si="20"/>
        <v>0.65</v>
      </c>
      <c r="N164" t="b">
        <f t="shared" ca="1" si="25"/>
        <v>1</v>
      </c>
      <c r="O164" t="b">
        <f t="shared" ca="1" si="21"/>
        <v>1</v>
      </c>
      <c r="P164" s="2">
        <f ca="1"/>
        <v>44409</v>
      </c>
      <c r="Q164">
        <f ca="1"/>
        <v>24.405330593039906</v>
      </c>
      <c r="R164">
        <f ca="1"/>
        <v>0.73221102280452799</v>
      </c>
      <c r="S164">
        <f ca="1"/>
        <v>1.8025602745225924E-10</v>
      </c>
      <c r="T164">
        <f ca="1"/>
        <v>0.33361975145281275</v>
      </c>
      <c r="U164">
        <f ca="1"/>
        <v>0</v>
      </c>
      <c r="V164">
        <f ca="1"/>
        <v>45.736115288908401</v>
      </c>
      <c r="W164">
        <f ca="1"/>
        <v>36.667747602314499</v>
      </c>
      <c r="X164">
        <f ca="1"/>
        <v>0</v>
      </c>
      <c r="Y164">
        <f ca="1"/>
        <v>1</v>
      </c>
      <c r="Z164">
        <f ca="1"/>
        <v>2.4371898521011275</v>
      </c>
      <c r="AA164">
        <f ca="1"/>
        <v>0</v>
      </c>
      <c r="AB164">
        <f ca="1"/>
        <v>0.67465968692001399</v>
      </c>
      <c r="AD164" s="2">
        <f t="shared" ca="1" si="22"/>
        <v>44409</v>
      </c>
      <c r="AE164" s="46">
        <f t="shared" ca="1" si="23"/>
        <v>0</v>
      </c>
      <c r="AG164" s="72">
        <f t="shared" ca="1" si="27"/>
        <v>25.137541615844444</v>
      </c>
      <c r="AH164" s="72">
        <f t="shared" ca="1" si="28"/>
        <v>25.137541615844434</v>
      </c>
      <c r="AI164" s="3">
        <f t="shared" ca="1" si="29"/>
        <v>0</v>
      </c>
    </row>
    <row r="165" spans="7:35" x14ac:dyDescent="0.25">
      <c r="G165" s="3">
        <f t="shared" si="24"/>
        <v>68</v>
      </c>
      <c r="H165" s="104">
        <f t="shared" si="26"/>
        <v>44263</v>
      </c>
      <c r="I165" s="131">
        <f>HLOOKUP($H$4,'Met Data'!$A$2:$F$368,G165,FALSE)</f>
        <v>18.141379310344799</v>
      </c>
      <c r="J165" s="131">
        <f ca="1">HLOOKUP($H$4,'Met Data'!$H$2:$M$368,G165,FALSE)*L165</f>
        <v>0.67465517241378747</v>
      </c>
      <c r="K165" s="105">
        <f>HLOOKUP($H$4,'Met Data'!$O$2:$T$368,G165,FALSE)</f>
        <v>3.8084649299222599</v>
      </c>
      <c r="L165">
        <f t="shared" ca="1" si="20"/>
        <v>0.65</v>
      </c>
      <c r="N165" t="b">
        <f t="shared" ca="1" si="25"/>
        <v>1</v>
      </c>
      <c r="O165" t="b">
        <f t="shared" ca="1" si="21"/>
        <v>1</v>
      </c>
      <c r="P165" s="2">
        <f ca="1"/>
        <v>44410</v>
      </c>
      <c r="Q165">
        <f ca="1"/>
        <v>23.985878531835723</v>
      </c>
      <c r="R165">
        <f ca="1"/>
        <v>0.76407258139273904</v>
      </c>
      <c r="S165">
        <f ca="1"/>
        <v>1.6181798536021271E-10</v>
      </c>
      <c r="T165">
        <f ca="1"/>
        <v>0.34462052002674004</v>
      </c>
      <c r="U165">
        <f ca="1"/>
        <v>0</v>
      </c>
      <c r="V165">
        <f ca="1"/>
        <v>46.500187870301197</v>
      </c>
      <c r="W165">
        <f ca="1"/>
        <v>37.280323033948299</v>
      </c>
      <c r="X165">
        <f ca="1"/>
        <v>0</v>
      </c>
      <c r="Y165">
        <f ca="1"/>
        <v>1</v>
      </c>
      <c r="Z165">
        <f ca="1"/>
        <v>4.3450302612382785</v>
      </c>
      <c r="AA165">
        <f ca="1"/>
        <v>0</v>
      </c>
      <c r="AB165">
        <f ca="1"/>
        <v>0.68252767128041503</v>
      </c>
      <c r="AD165" s="2">
        <f t="shared" ca="1" si="22"/>
        <v>44410</v>
      </c>
      <c r="AE165" s="46">
        <f t="shared" ca="1" si="23"/>
        <v>0</v>
      </c>
      <c r="AG165" s="72">
        <f t="shared" ca="1" si="27"/>
        <v>24.749951113228466</v>
      </c>
      <c r="AH165" s="72">
        <f t="shared" ca="1" si="28"/>
        <v>24.749951113228462</v>
      </c>
      <c r="AI165" s="3">
        <f t="shared" ca="1" si="29"/>
        <v>0</v>
      </c>
    </row>
    <row r="166" spans="7:35" x14ac:dyDescent="0.25">
      <c r="G166" s="3">
        <f t="shared" si="24"/>
        <v>69</v>
      </c>
      <c r="H166" s="104">
        <f t="shared" si="26"/>
        <v>44264</v>
      </c>
      <c r="I166" s="131">
        <f>HLOOKUP($H$4,'Met Data'!$A$2:$F$368,G166,FALSE)</f>
        <v>18.3816666666666</v>
      </c>
      <c r="J166" s="131">
        <f ca="1">HLOOKUP($H$4,'Met Data'!$H$2:$M$368,G166,FALSE)*L166</f>
        <v>2.129833333333329</v>
      </c>
      <c r="K166" s="105">
        <f>HLOOKUP($H$4,'Met Data'!$O$2:$T$368,G166,FALSE)</f>
        <v>3.6161533155938699</v>
      </c>
      <c r="L166">
        <f t="shared" ca="1" si="20"/>
        <v>0.65</v>
      </c>
      <c r="N166" t="b">
        <f t="shared" ca="1" si="25"/>
        <v>1</v>
      </c>
      <c r="O166" t="b">
        <f t="shared" ca="1" si="21"/>
        <v>1</v>
      </c>
      <c r="P166" s="2">
        <f ca="1"/>
        <v>44411</v>
      </c>
      <c r="Q166">
        <f ca="1"/>
        <v>23.56014208031489</v>
      </c>
      <c r="R166">
        <f ca="1"/>
        <v>0.76812577562161299</v>
      </c>
      <c r="S166">
        <f ca="1"/>
        <v>1.3929031338477388E-10</v>
      </c>
      <c r="T166">
        <f ca="1"/>
        <v>0.34238932396148225</v>
      </c>
      <c r="U166">
        <f ca="1"/>
        <v>0</v>
      </c>
      <c r="V166">
        <f ca="1"/>
        <v>47.268313645922802</v>
      </c>
      <c r="W166">
        <f ca="1"/>
        <v>37.896148009231197</v>
      </c>
      <c r="X166">
        <f ca="1"/>
        <v>0</v>
      </c>
      <c r="Y166">
        <f ca="1"/>
        <v>1</v>
      </c>
      <c r="Z166">
        <f ca="1"/>
        <v>1.8039301077185996</v>
      </c>
      <c r="AA166">
        <f ca="1"/>
        <v>0</v>
      </c>
      <c r="AB166">
        <f ca="1"/>
        <v>0.69015963886326603</v>
      </c>
      <c r="AD166" s="2">
        <f t="shared" ca="1" si="22"/>
        <v>44411</v>
      </c>
      <c r="AE166" s="46">
        <f t="shared" ca="1" si="23"/>
        <v>0</v>
      </c>
      <c r="AG166" s="72">
        <f t="shared" ca="1" si="27"/>
        <v>24.328267855936495</v>
      </c>
      <c r="AH166" s="72">
        <f t="shared" ca="1" si="28"/>
        <v>24.328267855936502</v>
      </c>
      <c r="AI166" s="3">
        <f t="shared" ca="1" si="29"/>
        <v>0</v>
      </c>
    </row>
    <row r="167" spans="7:35" x14ac:dyDescent="0.25">
      <c r="G167" s="3">
        <f t="shared" si="24"/>
        <v>70</v>
      </c>
      <c r="H167" s="104">
        <f t="shared" si="26"/>
        <v>44265</v>
      </c>
      <c r="I167" s="131">
        <f>HLOOKUP($H$4,'Met Data'!$A$2:$F$368,G167,FALSE)</f>
        <v>18.100000000000001</v>
      </c>
      <c r="J167" s="131">
        <f ca="1">HLOOKUP($H$4,'Met Data'!$H$2:$M$368,G167,FALSE)*L167</f>
        <v>1.1375</v>
      </c>
      <c r="K167" s="105">
        <f>HLOOKUP($H$4,'Met Data'!$O$2:$T$368,G167,FALSE)</f>
        <v>3.9222011256035199</v>
      </c>
      <c r="L167">
        <f t="shared" ca="1" si="20"/>
        <v>0.65</v>
      </c>
      <c r="N167" t="b">
        <f t="shared" ca="1" si="25"/>
        <v>1</v>
      </c>
      <c r="O167" t="b">
        <f t="shared" ca="1" si="21"/>
        <v>1</v>
      </c>
      <c r="P167" s="2">
        <f ca="1"/>
        <v>44412</v>
      </c>
      <c r="Q167">
        <f ca="1"/>
        <v>37.529185289273599</v>
      </c>
      <c r="R167">
        <f ca="1"/>
        <v>0.77039401336220004</v>
      </c>
      <c r="S167">
        <f ca="1"/>
        <v>1.1976181817004955E-10</v>
      </c>
      <c r="T167">
        <f ca="1"/>
        <v>0.33943722220115213</v>
      </c>
      <c r="U167">
        <f ca="1"/>
        <v>18</v>
      </c>
      <c r="V167">
        <f ca="1"/>
        <v>48.038707659285002</v>
      </c>
      <c r="W167">
        <f ca="1"/>
        <v>38.513791485461198</v>
      </c>
      <c r="X167">
        <f ca="1"/>
        <v>3.5999999999999992</v>
      </c>
      <c r="Y167">
        <f ca="1"/>
        <v>1</v>
      </c>
      <c r="Z167">
        <f ca="1"/>
        <v>3.6208865032255915</v>
      </c>
      <c r="AA167">
        <f ca="1"/>
        <v>0</v>
      </c>
      <c r="AB167">
        <f ca="1"/>
        <v>0.697542622649028</v>
      </c>
      <c r="AD167" s="2">
        <f t="shared" ca="1" si="22"/>
        <v>44412</v>
      </c>
      <c r="AE167" s="46">
        <f t="shared" ca="1" si="23"/>
        <v>18</v>
      </c>
      <c r="AG167" s="72">
        <f t="shared" ca="1" si="27"/>
        <v>41.8995793026358</v>
      </c>
      <c r="AH167" s="72">
        <f t="shared" ca="1" si="28"/>
        <v>41.8995793026358</v>
      </c>
      <c r="AI167" s="3">
        <f t="shared" ca="1" si="29"/>
        <v>0</v>
      </c>
    </row>
    <row r="168" spans="7:35" x14ac:dyDescent="0.25">
      <c r="G168" s="3">
        <f t="shared" si="24"/>
        <v>71</v>
      </c>
      <c r="H168" s="104">
        <f t="shared" si="26"/>
        <v>44266</v>
      </c>
      <c r="I168" s="131">
        <f>HLOOKUP($H$4,'Met Data'!$A$2:$F$368,G168,FALSE)</f>
        <v>17.931666666666601</v>
      </c>
      <c r="J168" s="131">
        <f ca="1">HLOOKUP($H$4,'Met Data'!$H$2:$M$368,G168,FALSE)*L168</f>
        <v>4.5174999999999939</v>
      </c>
      <c r="K168" s="105">
        <f>HLOOKUP($H$4,'Met Data'!$O$2:$T$368,G168,FALSE)</f>
        <v>3.4661109817168501</v>
      </c>
      <c r="L168">
        <f t="shared" ca="1" si="20"/>
        <v>0.65</v>
      </c>
      <c r="N168" t="b">
        <f t="shared" ca="1" si="25"/>
        <v>1</v>
      </c>
      <c r="O168" t="b">
        <f t="shared" ca="1" si="21"/>
        <v>1</v>
      </c>
      <c r="P168" s="2">
        <f ca="1"/>
        <v>44413</v>
      </c>
      <c r="Q168">
        <f ca="1"/>
        <v>37.101091921672136</v>
      </c>
      <c r="R168">
        <f ca="1"/>
        <v>0.75826342112895195</v>
      </c>
      <c r="S168">
        <f ca="1"/>
        <v>1.0121516564538862E-10</v>
      </c>
      <c r="T168">
        <f ca="1"/>
        <v>0.33017005342627986</v>
      </c>
      <c r="U168">
        <f ca="1"/>
        <v>0</v>
      </c>
      <c r="V168">
        <f ca="1"/>
        <v>48.796971080413897</v>
      </c>
      <c r="W168">
        <f ca="1"/>
        <v>39.121709573090499</v>
      </c>
      <c r="X168">
        <f ca="1"/>
        <v>0</v>
      </c>
      <c r="Y168">
        <f ca="1"/>
        <v>1</v>
      </c>
      <c r="Z168">
        <f ca="1"/>
        <v>3.5549193519131705</v>
      </c>
      <c r="AA168">
        <f ca="1"/>
        <v>0</v>
      </c>
      <c r="AB168">
        <f ca="1"/>
        <v>0.70455184180080699</v>
      </c>
      <c r="AD168" s="2">
        <f t="shared" ca="1" si="22"/>
        <v>44413</v>
      </c>
      <c r="AE168" s="46">
        <f t="shared" ca="1" si="23"/>
        <v>0</v>
      </c>
      <c r="AG168" s="72">
        <f t="shared" ca="1" si="27"/>
        <v>37.859355342801095</v>
      </c>
      <c r="AH168" s="72">
        <f t="shared" ca="1" si="28"/>
        <v>37.859355342801088</v>
      </c>
      <c r="AI168" s="3">
        <f t="shared" ca="1" si="29"/>
        <v>0</v>
      </c>
    </row>
    <row r="169" spans="7:35" x14ac:dyDescent="0.25">
      <c r="G169" s="3">
        <f t="shared" si="24"/>
        <v>72</v>
      </c>
      <c r="H169" s="104">
        <f t="shared" si="26"/>
        <v>44267</v>
      </c>
      <c r="I169" s="131">
        <f>HLOOKUP($H$4,'Met Data'!$A$2:$F$368,G169,FALSE)</f>
        <v>18.11</v>
      </c>
      <c r="J169" s="131">
        <f ca="1">HLOOKUP($H$4,'Met Data'!$H$2:$M$368,G169,FALSE)*L169</f>
        <v>1.9846666666666646</v>
      </c>
      <c r="K169" s="105">
        <f>HLOOKUP($H$4,'Met Data'!$O$2:$T$368,G169,FALSE)</f>
        <v>3.54178935257598</v>
      </c>
      <c r="L169">
        <f t="shared" ca="1" si="20"/>
        <v>0.65</v>
      </c>
      <c r="N169" t="b">
        <f t="shared" ca="1" si="25"/>
        <v>1</v>
      </c>
      <c r="O169" t="b">
        <f t="shared" ca="1" si="21"/>
        <v>1</v>
      </c>
      <c r="P169" s="2">
        <f ca="1"/>
        <v>44414</v>
      </c>
      <c r="Q169">
        <f ca="1"/>
        <v>36.667916510732582</v>
      </c>
      <c r="R169">
        <f ca="1"/>
        <v>0.76101932911332404</v>
      </c>
      <c r="S169">
        <f ca="1"/>
        <v>8.760466213859383E-11</v>
      </c>
      <c r="T169">
        <f ca="1"/>
        <v>0.32784391808615304</v>
      </c>
      <c r="U169">
        <f ca="1"/>
        <v>0</v>
      </c>
      <c r="V169">
        <f ca="1"/>
        <v>49.5579904095272</v>
      </c>
      <c r="W169">
        <f ca="1"/>
        <v>39.731837138672702</v>
      </c>
      <c r="X169">
        <f ca="1"/>
        <v>0</v>
      </c>
      <c r="Y169">
        <f ca="1"/>
        <v>1</v>
      </c>
      <c r="Z169">
        <f ca="1"/>
        <v>2.6968992518305157</v>
      </c>
      <c r="AA169">
        <f ca="1"/>
        <v>0</v>
      </c>
      <c r="AB169">
        <f ca="1"/>
        <v>0.71133762753368401</v>
      </c>
      <c r="AD169" s="2">
        <f t="shared" ca="1" si="22"/>
        <v>44414</v>
      </c>
      <c r="AE169" s="46">
        <f t="shared" ca="1" si="23"/>
        <v>0</v>
      </c>
      <c r="AG169" s="72">
        <f t="shared" ca="1" si="27"/>
        <v>37.428935839845892</v>
      </c>
      <c r="AH169" s="72">
        <f t="shared" ca="1" si="28"/>
        <v>37.428935839845906</v>
      </c>
      <c r="AI169" s="3">
        <f t="shared" ca="1" si="29"/>
        <v>0</v>
      </c>
    </row>
    <row r="170" spans="7:35" x14ac:dyDescent="0.25">
      <c r="G170" s="3">
        <f t="shared" si="24"/>
        <v>73</v>
      </c>
      <c r="H170" s="104">
        <f t="shared" si="26"/>
        <v>44268</v>
      </c>
      <c r="I170" s="131">
        <f>HLOOKUP($H$4,'Met Data'!$A$2:$F$368,G170,FALSE)</f>
        <v>17.7392857142857</v>
      </c>
      <c r="J170" s="131">
        <f ca="1">HLOOKUP($H$4,'Met Data'!$H$2:$M$368,G170,FALSE)*L170</f>
        <v>1.0980357142857116</v>
      </c>
      <c r="K170" s="105">
        <f>HLOOKUP($H$4,'Met Data'!$O$2:$T$368,G170,FALSE)</f>
        <v>3.3591305391228099</v>
      </c>
      <c r="L170">
        <f t="shared" ca="1" si="20"/>
        <v>0.65</v>
      </c>
      <c r="N170" t="b">
        <f t="shared" ca="1" si="25"/>
        <v>1</v>
      </c>
      <c r="O170" t="b">
        <f t="shared" ca="1" si="21"/>
        <v>1</v>
      </c>
      <c r="P170" s="2">
        <f ca="1"/>
        <v>44415</v>
      </c>
      <c r="Q170">
        <f ca="1"/>
        <v>36.222585216099304</v>
      </c>
      <c r="R170">
        <f ca="1"/>
        <v>0.77644600568349598</v>
      </c>
      <c r="S170">
        <f ca="1"/>
        <v>7.717048441885076E-11</v>
      </c>
      <c r="T170">
        <f ca="1"/>
        <v>0.33111471097304745</v>
      </c>
      <c r="U170">
        <f ca="1"/>
        <v>0</v>
      </c>
      <c r="V170">
        <f ca="1"/>
        <v>50.334436415210703</v>
      </c>
      <c r="W170">
        <f ca="1"/>
        <v>40.354332643229299</v>
      </c>
      <c r="X170">
        <f ca="1"/>
        <v>0</v>
      </c>
      <c r="Y170">
        <f ca="1"/>
        <v>1</v>
      </c>
      <c r="Z170">
        <f ca="1"/>
        <v>1.7808930120236823</v>
      </c>
      <c r="AA170">
        <f ca="1"/>
        <v>0</v>
      </c>
      <c r="AB170">
        <f ca="1"/>
        <v>0.71801215606060997</v>
      </c>
      <c r="AD170" s="2">
        <f t="shared" ca="1" si="22"/>
        <v>44415</v>
      </c>
      <c r="AE170" s="46">
        <f t="shared" ca="1" si="23"/>
        <v>0</v>
      </c>
      <c r="AG170" s="72">
        <f t="shared" ca="1" si="27"/>
        <v>36.999031221782801</v>
      </c>
      <c r="AH170" s="72">
        <f t="shared" ca="1" si="28"/>
        <v>36.999031221782801</v>
      </c>
      <c r="AI170" s="3">
        <f t="shared" ca="1" si="29"/>
        <v>0</v>
      </c>
    </row>
    <row r="171" spans="7:35" x14ac:dyDescent="0.25">
      <c r="G171" s="3">
        <f t="shared" si="24"/>
        <v>74</v>
      </c>
      <c r="H171" s="104">
        <f t="shared" si="26"/>
        <v>44269</v>
      </c>
      <c r="I171" s="131">
        <f>HLOOKUP($H$4,'Met Data'!$A$2:$F$368,G171,FALSE)</f>
        <v>17.7431034482758</v>
      </c>
      <c r="J171" s="131">
        <f ca="1">HLOOKUP($H$4,'Met Data'!$H$2:$M$368,G171,FALSE)*L171</f>
        <v>1.1960000000000002</v>
      </c>
      <c r="K171" s="105">
        <f>HLOOKUP($H$4,'Met Data'!$O$2:$T$368,G171,FALSE)</f>
        <v>3.37236322021164</v>
      </c>
      <c r="L171">
        <f t="shared" ca="1" si="20"/>
        <v>0.65</v>
      </c>
      <c r="N171" t="b">
        <f t="shared" ca="1" si="25"/>
        <v>1</v>
      </c>
      <c r="O171" t="b">
        <f t="shared" ca="1" si="21"/>
        <v>1</v>
      </c>
      <c r="P171" s="2">
        <f ca="1"/>
        <v>44416</v>
      </c>
      <c r="Q171">
        <f ca="1"/>
        <v>35.769354295697127</v>
      </c>
      <c r="R171">
        <f ca="1"/>
        <v>0.78425449871915698</v>
      </c>
      <c r="S171">
        <f ca="1"/>
        <v>6.7210271220173379E-11</v>
      </c>
      <c r="T171">
        <f ca="1"/>
        <v>0.33102357824975326</v>
      </c>
      <c r="U171">
        <f ca="1"/>
        <v>0</v>
      </c>
      <c r="V171">
        <f ca="1"/>
        <v>51.118690913929903</v>
      </c>
      <c r="W171">
        <f ca="1"/>
        <v>40.9830884051335</v>
      </c>
      <c r="X171">
        <f ca="1"/>
        <v>0</v>
      </c>
      <c r="Y171">
        <f ca="1"/>
        <v>1</v>
      </c>
      <c r="Z171">
        <f ca="1"/>
        <v>0.61851195120166835</v>
      </c>
      <c r="AA171">
        <f ca="1"/>
        <v>0</v>
      </c>
      <c r="AB171">
        <f ca="1"/>
        <v>0.72450709222874399</v>
      </c>
      <c r="AD171" s="2">
        <f t="shared" ca="1" si="22"/>
        <v>44416</v>
      </c>
      <c r="AE171" s="46">
        <f t="shared" ca="1" si="23"/>
        <v>0</v>
      </c>
      <c r="AG171" s="72">
        <f t="shared" ca="1" si="27"/>
        <v>36.55360879441627</v>
      </c>
      <c r="AH171" s="72">
        <f t="shared" ca="1" si="28"/>
        <v>36.553608794416284</v>
      </c>
      <c r="AI171" s="3">
        <f t="shared" ca="1" si="29"/>
        <v>0</v>
      </c>
    </row>
    <row r="172" spans="7:35" x14ac:dyDescent="0.25">
      <c r="G172" s="3">
        <f t="shared" si="24"/>
        <v>75</v>
      </c>
      <c r="H172" s="104">
        <f t="shared" si="26"/>
        <v>44270</v>
      </c>
      <c r="I172" s="131">
        <f>HLOOKUP($H$4,'Met Data'!$A$2:$F$368,G172,FALSE)</f>
        <v>17.582758620689599</v>
      </c>
      <c r="J172" s="131">
        <f ca="1">HLOOKUP($H$4,'Met Data'!$H$2:$M$368,G172,FALSE)*L172</f>
        <v>2.071034482758618</v>
      </c>
      <c r="K172" s="105">
        <f>HLOOKUP($H$4,'Met Data'!$O$2:$T$368,G172,FALSE)</f>
        <v>3.1968269295082399</v>
      </c>
      <c r="L172">
        <f t="shared" ca="1" si="20"/>
        <v>0.65</v>
      </c>
      <c r="N172" t="b">
        <f t="shared" ca="1" si="25"/>
        <v>1</v>
      </c>
      <c r="O172" t="b">
        <f t="shared" ca="1" si="21"/>
        <v>1</v>
      </c>
      <c r="P172" s="2">
        <f ca="1"/>
        <v>44417</v>
      </c>
      <c r="Q172">
        <f ca="1"/>
        <v>35.302790058817607</v>
      </c>
      <c r="R172">
        <f ca="1"/>
        <v>0.80162001157840002</v>
      </c>
      <c r="S172">
        <f ca="1"/>
        <v>5.9244593366178771E-11</v>
      </c>
      <c r="T172">
        <f ca="1"/>
        <v>0.33505577463963127</v>
      </c>
      <c r="U172">
        <f ca="1"/>
        <v>0</v>
      </c>
      <c r="V172">
        <f ca="1"/>
        <v>51.920310925508304</v>
      </c>
      <c r="W172">
        <f ca="1"/>
        <v>41.625766517864399</v>
      </c>
      <c r="X172">
        <f ca="1"/>
        <v>0</v>
      </c>
      <c r="Y172">
        <f ca="1"/>
        <v>1</v>
      </c>
      <c r="Z172">
        <f ca="1"/>
        <v>2.9378511059236558</v>
      </c>
      <c r="AA172">
        <f ca="1"/>
        <v>0</v>
      </c>
      <c r="AB172">
        <f ca="1"/>
        <v>0.73089834956517097</v>
      </c>
      <c r="AD172" s="2">
        <f t="shared" ca="1" si="22"/>
        <v>44417</v>
      </c>
      <c r="AE172" s="46">
        <f t="shared" ca="1" si="23"/>
        <v>0</v>
      </c>
      <c r="AG172" s="72">
        <f t="shared" ca="1" si="27"/>
        <v>36.104410070396007</v>
      </c>
      <c r="AH172" s="72">
        <f t="shared" ca="1" si="28"/>
        <v>36.104410070396007</v>
      </c>
      <c r="AI172" s="3">
        <f t="shared" ca="1" si="29"/>
        <v>0</v>
      </c>
    </row>
    <row r="173" spans="7:35" x14ac:dyDescent="0.25">
      <c r="G173" s="3">
        <f t="shared" si="24"/>
        <v>76</v>
      </c>
      <c r="H173" s="104">
        <f t="shared" si="26"/>
        <v>44271</v>
      </c>
      <c r="I173" s="131">
        <f>HLOOKUP($H$4,'Met Data'!$A$2:$F$368,G173,FALSE)</f>
        <v>17.724137931034399</v>
      </c>
      <c r="J173" s="131">
        <f ca="1">HLOOKUP($H$4,'Met Data'!$H$2:$M$368,G173,FALSE)*L173</f>
        <v>1.9261666666666644</v>
      </c>
      <c r="K173" s="105">
        <f>HLOOKUP($H$4,'Met Data'!$O$2:$T$368,G173,FALSE)</f>
        <v>3.15313078143424</v>
      </c>
      <c r="L173">
        <f t="shared" ca="1" si="20"/>
        <v>0.65</v>
      </c>
      <c r="N173" t="b">
        <f t="shared" ca="1" si="25"/>
        <v>1</v>
      </c>
      <c r="O173" t="b">
        <f t="shared" ca="1" si="21"/>
        <v>1</v>
      </c>
      <c r="P173" s="2">
        <f ca="1"/>
        <v>44418</v>
      </c>
      <c r="Q173">
        <f ca="1"/>
        <v>34.837547763616485</v>
      </c>
      <c r="R173">
        <f ca="1"/>
        <v>0.79336705707947897</v>
      </c>
      <c r="S173">
        <f ca="1"/>
        <v>5.0487984248969769E-11</v>
      </c>
      <c r="T173">
        <f ca="1"/>
        <v>0.32812476182786765</v>
      </c>
      <c r="U173">
        <f ca="1"/>
        <v>0</v>
      </c>
      <c r="V173">
        <f ca="1"/>
        <v>52.713677982587797</v>
      </c>
      <c r="W173">
        <f ca="1"/>
        <v>42.261828037764303</v>
      </c>
      <c r="X173">
        <f ca="1"/>
        <v>0</v>
      </c>
      <c r="Y173">
        <f ca="1"/>
        <v>1</v>
      </c>
      <c r="Z173">
        <f ca="1"/>
        <v>2.7486862514029582</v>
      </c>
      <c r="AA173">
        <f ca="1"/>
        <v>0</v>
      </c>
      <c r="AB173">
        <f ca="1"/>
        <v>0.73698608114563102</v>
      </c>
      <c r="AD173" s="2">
        <f t="shared" ca="1" si="22"/>
        <v>44418</v>
      </c>
      <c r="AE173" s="46">
        <f t="shared" ca="1" si="23"/>
        <v>0</v>
      </c>
      <c r="AG173" s="72">
        <f t="shared" ca="1" si="27"/>
        <v>35.630914820695963</v>
      </c>
      <c r="AH173" s="72">
        <f t="shared" ca="1" si="28"/>
        <v>35.630914820695963</v>
      </c>
      <c r="AI173" s="3">
        <f t="shared" ca="1" si="29"/>
        <v>0</v>
      </c>
    </row>
    <row r="174" spans="7:35" x14ac:dyDescent="0.25">
      <c r="G174" s="3">
        <f t="shared" si="24"/>
        <v>77</v>
      </c>
      <c r="H174" s="104">
        <f t="shared" si="26"/>
        <v>44272</v>
      </c>
      <c r="I174" s="131">
        <f>HLOOKUP($H$4,'Met Data'!$A$2:$F$368,G174,FALSE)</f>
        <v>17.698333333333299</v>
      </c>
      <c r="J174" s="131">
        <f ca="1">HLOOKUP($H$4,'Met Data'!$H$2:$M$368,G174,FALSE)*L174</f>
        <v>1.700833333333329</v>
      </c>
      <c r="K174" s="105">
        <f>HLOOKUP($H$4,'Met Data'!$O$2:$T$368,G174,FALSE)</f>
        <v>3.4068572568745799</v>
      </c>
      <c r="L174">
        <f t="shared" ca="1" si="20"/>
        <v>0.65</v>
      </c>
      <c r="N174" t="b">
        <f t="shared" ca="1" si="25"/>
        <v>1</v>
      </c>
      <c r="O174" t="b">
        <f t="shared" ca="1" si="21"/>
        <v>1</v>
      </c>
      <c r="P174" s="2">
        <f ca="1"/>
        <v>44419</v>
      </c>
      <c r="Q174">
        <f ca="1"/>
        <v>34.353317087743704</v>
      </c>
      <c r="R174">
        <f ca="1"/>
        <v>0.82051280253826797</v>
      </c>
      <c r="S174">
        <f ca="1"/>
        <v>4.5102886823837417E-11</v>
      </c>
      <c r="T174">
        <f ca="1"/>
        <v>0.33628212662036977</v>
      </c>
      <c r="U174">
        <f ca="1"/>
        <v>0</v>
      </c>
      <c r="V174">
        <f ca="1"/>
        <v>53.5341907851261</v>
      </c>
      <c r="W174">
        <f ca="1"/>
        <v>42.919652957040697</v>
      </c>
      <c r="X174">
        <f ca="1"/>
        <v>0</v>
      </c>
      <c r="Y174">
        <f ca="1"/>
        <v>1</v>
      </c>
      <c r="Z174">
        <f ca="1"/>
        <v>3.9422205277142979</v>
      </c>
      <c r="AA174">
        <f ca="1"/>
        <v>0</v>
      </c>
      <c r="AB174">
        <f ca="1"/>
        <v>0.74304232505520795</v>
      </c>
      <c r="AD174" s="2">
        <f t="shared" ca="1" si="22"/>
        <v>44419</v>
      </c>
      <c r="AE174" s="46">
        <f t="shared" ca="1" si="23"/>
        <v>0</v>
      </c>
      <c r="AG174" s="72">
        <f t="shared" ca="1" si="27"/>
        <v>35.173829890281958</v>
      </c>
      <c r="AH174" s="72">
        <f t="shared" ca="1" si="28"/>
        <v>35.173829890281972</v>
      </c>
      <c r="AI174" s="3">
        <f t="shared" ca="1" si="29"/>
        <v>0</v>
      </c>
    </row>
    <row r="175" spans="7:35" x14ac:dyDescent="0.25">
      <c r="G175" s="3">
        <f t="shared" si="24"/>
        <v>78</v>
      </c>
      <c r="H175" s="104">
        <f t="shared" si="26"/>
        <v>44273</v>
      </c>
      <c r="I175" s="131">
        <f>HLOOKUP($H$4,'Met Data'!$A$2:$F$368,G175,FALSE)</f>
        <v>17.62</v>
      </c>
      <c r="J175" s="131">
        <f ca="1">HLOOKUP($H$4,'Met Data'!$H$2:$M$368,G175,FALSE)*L175</f>
        <v>1.0985</v>
      </c>
      <c r="K175" s="105">
        <f>HLOOKUP($H$4,'Met Data'!$O$2:$T$368,G175,FALSE)</f>
        <v>3.17632774581707</v>
      </c>
      <c r="L175">
        <f t="shared" ca="1" si="20"/>
        <v>0.65</v>
      </c>
      <c r="N175" t="b">
        <f t="shared" ca="1" si="25"/>
        <v>1</v>
      </c>
      <c r="O175" t="b">
        <f t="shared" ca="1" si="21"/>
        <v>1</v>
      </c>
      <c r="P175" s="2">
        <f ca="1"/>
        <v>44420</v>
      </c>
      <c r="Q175">
        <f ca="1"/>
        <v>33.873462459529065</v>
      </c>
      <c r="R175">
        <f ca="1"/>
        <v>0.80729657064636495</v>
      </c>
      <c r="S175">
        <f ca="1"/>
        <v>3.8203088996501395E-11</v>
      </c>
      <c r="T175">
        <f ca="1"/>
        <v>0.32744194239353841</v>
      </c>
      <c r="U175">
        <f ca="1"/>
        <v>0</v>
      </c>
      <c r="V175">
        <f ca="1"/>
        <v>54.341487355772401</v>
      </c>
      <c r="W175">
        <f ca="1"/>
        <v>43.5668821041968</v>
      </c>
      <c r="X175">
        <f ca="1"/>
        <v>0</v>
      </c>
      <c r="Y175">
        <f ca="1"/>
        <v>1</v>
      </c>
      <c r="Z175">
        <f ca="1"/>
        <v>2.1563103758187481</v>
      </c>
      <c r="AA175">
        <f ca="1"/>
        <v>0</v>
      </c>
      <c r="AB175">
        <f ca="1"/>
        <v>0.74877180224750495</v>
      </c>
      <c r="AD175" s="2">
        <f t="shared" ca="1" si="22"/>
        <v>44420</v>
      </c>
      <c r="AE175" s="46">
        <f t="shared" ca="1" si="23"/>
        <v>0</v>
      </c>
      <c r="AG175" s="72">
        <f t="shared" ca="1" si="27"/>
        <v>34.680759030175452</v>
      </c>
      <c r="AH175" s="72">
        <f t="shared" ca="1" si="28"/>
        <v>34.68075903017543</v>
      </c>
      <c r="AI175" s="3">
        <f t="shared" ca="1" si="29"/>
        <v>0</v>
      </c>
    </row>
    <row r="176" spans="7:35" x14ac:dyDescent="0.25">
      <c r="G176" s="3">
        <f t="shared" si="24"/>
        <v>79</v>
      </c>
      <c r="H176" s="104">
        <f t="shared" si="26"/>
        <v>44274</v>
      </c>
      <c r="I176" s="131">
        <f>HLOOKUP($H$4,'Met Data'!$A$2:$F$368,G176,FALSE)</f>
        <v>17.170000000000002</v>
      </c>
      <c r="J176" s="131">
        <f ca="1">HLOOKUP($H$4,'Met Data'!$H$2:$M$368,G176,FALSE)*L176</f>
        <v>0.98583333333332901</v>
      </c>
      <c r="K176" s="105">
        <f>HLOOKUP($H$4,'Met Data'!$O$2:$T$368,G176,FALSE)</f>
        <v>3.38121466442426</v>
      </c>
      <c r="L176">
        <f t="shared" ca="1" si="20"/>
        <v>0.65</v>
      </c>
      <c r="N176" t="b">
        <f t="shared" ca="1" si="25"/>
        <v>1</v>
      </c>
      <c r="O176" t="b">
        <f t="shared" ca="1" si="21"/>
        <v>1</v>
      </c>
      <c r="P176" s="2">
        <f ca="1"/>
        <v>44421</v>
      </c>
      <c r="Q176">
        <f ca="1"/>
        <v>33.375519694163273</v>
      </c>
      <c r="R176">
        <f ca="1"/>
        <v>0.83273231595109098</v>
      </c>
      <c r="S176">
        <f ca="1"/>
        <v>3.4061652077338118E-11</v>
      </c>
      <c r="T176">
        <f ca="1"/>
        <v>0.33478955055123294</v>
      </c>
      <c r="U176">
        <f ca="1"/>
        <v>0</v>
      </c>
      <c r="V176">
        <f ca="1"/>
        <v>55.174219671723499</v>
      </c>
      <c r="W176">
        <f ca="1"/>
        <v>44.234503702330102</v>
      </c>
      <c r="X176">
        <f ca="1"/>
        <v>0</v>
      </c>
      <c r="Y176">
        <f ca="1"/>
        <v>1</v>
      </c>
      <c r="Z176">
        <f ca="1"/>
        <v>2.6737728765631346</v>
      </c>
      <c r="AA176">
        <f ca="1"/>
        <v>0</v>
      </c>
      <c r="AB176">
        <f ca="1"/>
        <v>0.75445259166636403</v>
      </c>
      <c r="AD176" s="2">
        <f t="shared" ca="1" si="22"/>
        <v>44421</v>
      </c>
      <c r="AE176" s="46">
        <f t="shared" ca="1" si="23"/>
        <v>0</v>
      </c>
      <c r="AG176" s="72">
        <f t="shared" ca="1" si="27"/>
        <v>34.208252010114364</v>
      </c>
      <c r="AH176" s="72">
        <f t="shared" ca="1" si="28"/>
        <v>34.208252010114364</v>
      </c>
      <c r="AI176" s="3">
        <f t="shared" ca="1" si="29"/>
        <v>0</v>
      </c>
    </row>
    <row r="177" spans="7:35" x14ac:dyDescent="0.25">
      <c r="G177" s="3">
        <f t="shared" si="24"/>
        <v>80</v>
      </c>
      <c r="H177" s="104">
        <f t="shared" si="26"/>
        <v>44275</v>
      </c>
      <c r="I177" s="131">
        <f>HLOOKUP($H$4,'Met Data'!$A$2:$F$368,G177,FALSE)</f>
        <v>17.223333333333301</v>
      </c>
      <c r="J177" s="131">
        <f ca="1">HLOOKUP($H$4,'Met Data'!$H$2:$M$368,G177,FALSE)*L177</f>
        <v>2.3169354838709624</v>
      </c>
      <c r="K177" s="105">
        <f>HLOOKUP($H$4,'Met Data'!$O$2:$T$368,G177,FALSE)</f>
        <v>3.2035769560803802</v>
      </c>
      <c r="L177">
        <f t="shared" ca="1" si="20"/>
        <v>0.65</v>
      </c>
      <c r="N177" t="b">
        <f t="shared" ca="1" si="25"/>
        <v>1</v>
      </c>
      <c r="O177" t="b">
        <f t="shared" ca="1" si="21"/>
        <v>1</v>
      </c>
      <c r="P177" s="2">
        <f ca="1"/>
        <v>44422</v>
      </c>
      <c r="Q177">
        <f ca="1"/>
        <v>32.876001720668512</v>
      </c>
      <c r="R177">
        <f ca="1"/>
        <v>0.82997688279665705</v>
      </c>
      <c r="S177">
        <f ca="1"/>
        <v>2.9254442090237774E-11</v>
      </c>
      <c r="T177">
        <f ca="1"/>
        <v>0.33045890927264504</v>
      </c>
      <c r="U177">
        <f ca="1"/>
        <v>0</v>
      </c>
      <c r="V177">
        <f ca="1"/>
        <v>56.004196554520199</v>
      </c>
      <c r="W177">
        <f ca="1"/>
        <v>44.899916203192902</v>
      </c>
      <c r="X177">
        <f ca="1"/>
        <v>0</v>
      </c>
      <c r="Y177">
        <f ca="1"/>
        <v>1</v>
      </c>
      <c r="Z177">
        <f ca="1"/>
        <v>3.2890738403963269</v>
      </c>
      <c r="AA177">
        <f ca="1"/>
        <v>0</v>
      </c>
      <c r="AB177">
        <f ca="1"/>
        <v>0.75989186497771499</v>
      </c>
      <c r="AD177" s="2">
        <f t="shared" ca="1" si="22"/>
        <v>44422</v>
      </c>
      <c r="AE177" s="46">
        <f t="shared" ca="1" si="23"/>
        <v>0</v>
      </c>
      <c r="AG177" s="72">
        <f t="shared" ca="1" si="27"/>
        <v>33.705978603465169</v>
      </c>
      <c r="AH177" s="72">
        <f t="shared" ca="1" si="28"/>
        <v>33.705978603465169</v>
      </c>
      <c r="AI177" s="3">
        <f t="shared" ca="1" si="29"/>
        <v>0</v>
      </c>
    </row>
    <row r="178" spans="7:35" x14ac:dyDescent="0.25">
      <c r="G178" s="3">
        <f t="shared" si="24"/>
        <v>81</v>
      </c>
      <c r="H178" s="104">
        <f t="shared" si="26"/>
        <v>44276</v>
      </c>
      <c r="I178" s="131">
        <f>HLOOKUP($H$4,'Met Data'!$A$2:$F$368,G178,FALSE)</f>
        <v>17.498333333333299</v>
      </c>
      <c r="J178" s="131">
        <f ca="1">HLOOKUP($H$4,'Met Data'!$H$2:$M$368,G178,FALSE)*L178</f>
        <v>0.52419354838709631</v>
      </c>
      <c r="K178" s="105">
        <f>HLOOKUP($H$4,'Met Data'!$O$2:$T$368,G178,FALSE)</f>
        <v>3.31927458571925</v>
      </c>
      <c r="L178">
        <f t="shared" ca="1" si="20"/>
        <v>0.65</v>
      </c>
      <c r="N178" t="b">
        <f t="shared" ca="1" si="25"/>
        <v>1</v>
      </c>
      <c r="O178" t="b">
        <f t="shared" ca="1" si="21"/>
        <v>1</v>
      </c>
      <c r="P178" s="2">
        <f ca="1"/>
        <v>44423</v>
      </c>
      <c r="Q178">
        <f ca="1"/>
        <v>32.394658493588551</v>
      </c>
      <c r="R178">
        <f ca="1"/>
        <v>0.79485759274088996</v>
      </c>
      <c r="S178">
        <f ca="1"/>
        <v>2.4198878004820572E-11</v>
      </c>
      <c r="T178">
        <f ca="1"/>
        <v>0.31351436563671736</v>
      </c>
      <c r="U178">
        <f ca="1"/>
        <v>0</v>
      </c>
      <c r="V178">
        <f ca="1"/>
        <v>56.799054147261103</v>
      </c>
      <c r="W178">
        <f ca="1"/>
        <v>45.537172721510998</v>
      </c>
      <c r="X178">
        <f ca="1"/>
        <v>0</v>
      </c>
      <c r="Y178">
        <f ca="1"/>
        <v>1</v>
      </c>
      <c r="Z178">
        <f ca="1"/>
        <v>3.3429010478105425</v>
      </c>
      <c r="AA178">
        <f ca="1"/>
        <v>0</v>
      </c>
      <c r="AB178">
        <f ca="1"/>
        <v>0.76490059013335399</v>
      </c>
      <c r="AD178" s="2">
        <f t="shared" ca="1" si="22"/>
        <v>44423</v>
      </c>
      <c r="AE178" s="46">
        <f t="shared" ca="1" si="23"/>
        <v>0</v>
      </c>
      <c r="AG178" s="72">
        <f t="shared" ca="1" si="27"/>
        <v>33.189516086329434</v>
      </c>
      <c r="AH178" s="72">
        <f t="shared" ca="1" si="28"/>
        <v>33.189516086329441</v>
      </c>
      <c r="AI178" s="3">
        <f t="shared" ca="1" si="29"/>
        <v>0</v>
      </c>
    </row>
    <row r="179" spans="7:35" x14ac:dyDescent="0.25">
      <c r="G179" s="3">
        <f t="shared" si="24"/>
        <v>82</v>
      </c>
      <c r="H179" s="104">
        <f t="shared" si="26"/>
        <v>44277</v>
      </c>
      <c r="I179" s="131">
        <f>HLOOKUP($H$4,'Met Data'!$A$2:$F$368,G179,FALSE)</f>
        <v>17.390322580645101</v>
      </c>
      <c r="J179" s="131">
        <f ca="1">HLOOKUP($H$4,'Met Data'!$H$2:$M$368,G179,FALSE)*L179</f>
        <v>1.8535483870967702</v>
      </c>
      <c r="K179" s="105">
        <f>HLOOKUP($H$4,'Met Data'!$O$2:$T$368,G179,FALSE)</f>
        <v>3.3284502448926401</v>
      </c>
      <c r="L179">
        <f t="shared" ca="1" si="20"/>
        <v>0.65</v>
      </c>
      <c r="N179" t="b">
        <f t="shared" ca="1" si="25"/>
        <v>1</v>
      </c>
      <c r="O179" t="b">
        <f t="shared" ca="1" si="21"/>
        <v>1</v>
      </c>
      <c r="P179" s="2">
        <f ca="1"/>
        <v>44424</v>
      </c>
      <c r="Q179">
        <f ca="1"/>
        <v>31.90502527377464</v>
      </c>
      <c r="R179">
        <f ca="1"/>
        <v>0.80411872735976397</v>
      </c>
      <c r="S179">
        <f ca="1"/>
        <v>2.1311303885612151E-11</v>
      </c>
      <c r="T179">
        <f ca="1"/>
        <v>0.31448550752455418</v>
      </c>
      <c r="U179">
        <f ca="1"/>
        <v>0</v>
      </c>
      <c r="V179">
        <f ca="1"/>
        <v>57.603172874620803</v>
      </c>
      <c r="W179">
        <f ca="1"/>
        <v>46.181854114997698</v>
      </c>
      <c r="X179">
        <f ca="1"/>
        <v>0</v>
      </c>
      <c r="Y179">
        <f ca="1"/>
        <v>1</v>
      </c>
      <c r="Z179">
        <f ca="1"/>
        <v>2.6163924839702162</v>
      </c>
      <c r="AA179">
        <f ca="1"/>
        <v>0</v>
      </c>
      <c r="AB179">
        <f ca="1"/>
        <v>0.76977584920406406</v>
      </c>
      <c r="AD179" s="2">
        <f t="shared" ca="1" si="22"/>
        <v>44424</v>
      </c>
      <c r="AE179" s="46">
        <f t="shared" ca="1" si="23"/>
        <v>0</v>
      </c>
      <c r="AG179" s="72">
        <f t="shared" ca="1" si="27"/>
        <v>32.709144001134412</v>
      </c>
      <c r="AH179" s="72">
        <f t="shared" ca="1" si="28"/>
        <v>32.709144001134405</v>
      </c>
      <c r="AI179" s="3">
        <f t="shared" ca="1" si="29"/>
        <v>0</v>
      </c>
    </row>
    <row r="180" spans="7:35" x14ac:dyDescent="0.25">
      <c r="G180" s="3">
        <f t="shared" si="24"/>
        <v>83</v>
      </c>
      <c r="H180" s="104">
        <f t="shared" si="26"/>
        <v>44278</v>
      </c>
      <c r="I180" s="131">
        <f>HLOOKUP($H$4,'Met Data'!$A$2:$F$368,G180,FALSE)</f>
        <v>17.053333333333299</v>
      </c>
      <c r="J180" s="131">
        <f ca="1">HLOOKUP($H$4,'Met Data'!$H$2:$M$368,G180,FALSE)*L180</f>
        <v>1.9456666666666647</v>
      </c>
      <c r="K180" s="105">
        <f>HLOOKUP($H$4,'Met Data'!$O$2:$T$368,G180,FALSE)</f>
        <v>3.1676733133647299</v>
      </c>
      <c r="L180">
        <f t="shared" ca="1" si="20"/>
        <v>0.65</v>
      </c>
      <c r="N180" t="b">
        <f t="shared" ca="1" si="25"/>
        <v>1</v>
      </c>
      <c r="O180" t="b">
        <f t="shared" ca="1" si="21"/>
        <v>1</v>
      </c>
      <c r="P180" s="2">
        <f ca="1"/>
        <v>44425</v>
      </c>
      <c r="Q180">
        <f ca="1"/>
        <v>31.414570707854111</v>
      </c>
      <c r="R180">
        <f ca="1"/>
        <v>0.80127004235155397</v>
      </c>
      <c r="S180">
        <f ca="1"/>
        <v>1.8481996801541932E-11</v>
      </c>
      <c r="T180">
        <f ca="1"/>
        <v>0.31081547641253943</v>
      </c>
      <c r="U180">
        <f ca="1"/>
        <v>0</v>
      </c>
      <c r="V180">
        <f ca="1"/>
        <v>58.4044429169724</v>
      </c>
      <c r="W180">
        <f ca="1"/>
        <v>46.824251648952</v>
      </c>
      <c r="X180">
        <f ca="1"/>
        <v>0</v>
      </c>
      <c r="Y180">
        <f ca="1"/>
        <v>1</v>
      </c>
      <c r="Z180">
        <f ca="1"/>
        <v>3.3422156657796194</v>
      </c>
      <c r="AA180">
        <f ca="1"/>
        <v>0</v>
      </c>
      <c r="AB180">
        <f ca="1"/>
        <v>0.77444928017050296</v>
      </c>
      <c r="AD180" s="2">
        <f t="shared" ca="1" si="22"/>
        <v>44425</v>
      </c>
      <c r="AE180" s="46">
        <f t="shared" ca="1" si="23"/>
        <v>0</v>
      </c>
      <c r="AG180" s="72">
        <f t="shared" ca="1" si="27"/>
        <v>32.215840750205658</v>
      </c>
      <c r="AH180" s="72">
        <f t="shared" ca="1" si="28"/>
        <v>32.215840750205665</v>
      </c>
      <c r="AI180" s="3">
        <f t="shared" ca="1" si="29"/>
        <v>0</v>
      </c>
    </row>
    <row r="181" spans="7:35" x14ac:dyDescent="0.25">
      <c r="G181" s="3">
        <f t="shared" si="24"/>
        <v>84</v>
      </c>
      <c r="H181" s="104">
        <f t="shared" si="26"/>
        <v>44279</v>
      </c>
      <c r="I181" s="131">
        <f>HLOOKUP($H$4,'Met Data'!$A$2:$F$368,G181,FALSE)</f>
        <v>16.973333333333301</v>
      </c>
      <c r="J181" s="131">
        <f ca="1">HLOOKUP($H$4,'Met Data'!$H$2:$M$368,G181,FALSE)*L181</f>
        <v>1.1938333333333291</v>
      </c>
      <c r="K181" s="105">
        <f>HLOOKUP($H$4,'Met Data'!$O$2:$T$368,G181,FALSE)</f>
        <v>3.1307694102164598</v>
      </c>
      <c r="L181">
        <f t="shared" ca="1" si="20"/>
        <v>0.65</v>
      </c>
      <c r="N181" t="b">
        <f t="shared" ca="1" si="25"/>
        <v>1</v>
      </c>
      <c r="O181" t="b">
        <f t="shared" ca="1" si="21"/>
        <v>1</v>
      </c>
      <c r="P181" s="2">
        <f ca="1"/>
        <v>44426</v>
      </c>
      <c r="Q181">
        <f ca="1"/>
        <v>30.917619087161285</v>
      </c>
      <c r="R181">
        <f ca="1"/>
        <v>0.80776709712161199</v>
      </c>
      <c r="S181">
        <f ca="1"/>
        <v>1.6245675188555371E-11</v>
      </c>
      <c r="T181">
        <f ca="1"/>
        <v>0.31081547641253943</v>
      </c>
      <c r="U181">
        <f ca="1"/>
        <v>0</v>
      </c>
      <c r="V181">
        <f ca="1"/>
        <v>59.212210014093998</v>
      </c>
      <c r="W181">
        <f ca="1"/>
        <v>47.4718580285409</v>
      </c>
      <c r="X181">
        <f ca="1"/>
        <v>0</v>
      </c>
      <c r="Y181">
        <f ca="1"/>
        <v>1</v>
      </c>
      <c r="Z181">
        <f ca="1"/>
        <v>2.054373201111332</v>
      </c>
      <c r="AA181">
        <f ca="1"/>
        <v>0</v>
      </c>
      <c r="AB181">
        <f ca="1"/>
        <v>0.77898136041029398</v>
      </c>
      <c r="AD181" s="2">
        <f t="shared" ca="1" si="22"/>
        <v>44426</v>
      </c>
      <c r="AE181" s="46">
        <f t="shared" ca="1" si="23"/>
        <v>0</v>
      </c>
      <c r="AG181" s="72">
        <f t="shared" ca="1" si="27"/>
        <v>31.725386184282897</v>
      </c>
      <c r="AH181" s="72">
        <f t="shared" ca="1" si="28"/>
        <v>31.725386184282897</v>
      </c>
      <c r="AI181" s="3">
        <f t="shared" ca="1" si="29"/>
        <v>0</v>
      </c>
    </row>
    <row r="182" spans="7:35" x14ac:dyDescent="0.25">
      <c r="G182" s="3">
        <f t="shared" si="24"/>
        <v>85</v>
      </c>
      <c r="H182" s="104">
        <f t="shared" si="26"/>
        <v>44280</v>
      </c>
      <c r="I182" s="131">
        <f>HLOOKUP($H$4,'Met Data'!$A$2:$F$368,G182,FALSE)</f>
        <v>16.984999999999999</v>
      </c>
      <c r="J182" s="131">
        <f ca="1">HLOOKUP($H$4,'Met Data'!$H$2:$M$368,G182,FALSE)*L182</f>
        <v>1.148333333333329</v>
      </c>
      <c r="K182" s="105">
        <f>HLOOKUP($H$4,'Met Data'!$O$2:$T$368,G182,FALSE)</f>
        <v>2.9971927749729499</v>
      </c>
      <c r="L182">
        <f t="shared" ca="1" si="20"/>
        <v>0.65</v>
      </c>
      <c r="N182" t="b">
        <f t="shared" ca="1" si="25"/>
        <v>1</v>
      </c>
      <c r="O182" t="b">
        <f t="shared" ca="1" si="21"/>
        <v>1</v>
      </c>
      <c r="P182" s="2">
        <f ca="1"/>
        <v>44427</v>
      </c>
      <c r="Q182">
        <f ca="1"/>
        <v>30.411466296944525</v>
      </c>
      <c r="R182">
        <f ca="1"/>
        <v>0.81864696337342502</v>
      </c>
      <c r="S182">
        <f ca="1"/>
        <v>1.4357839118871485E-11</v>
      </c>
      <c r="T182">
        <f ca="1"/>
        <v>0.31249417314230316</v>
      </c>
      <c r="U182">
        <f ca="1"/>
        <v>0</v>
      </c>
      <c r="V182">
        <f ca="1"/>
        <v>60.030856977467401</v>
      </c>
      <c r="W182">
        <f ca="1"/>
        <v>48.128187059521302</v>
      </c>
      <c r="X182">
        <f ca="1"/>
        <v>0</v>
      </c>
      <c r="Y182">
        <f ca="1"/>
        <v>1</v>
      </c>
      <c r="Z182">
        <f ca="1"/>
        <v>1.739739960857392</v>
      </c>
      <c r="AA182">
        <f ca="1"/>
        <v>0</v>
      </c>
      <c r="AB182">
        <f ca="1"/>
        <v>0.78339806571221904</v>
      </c>
      <c r="AD182" s="2">
        <f t="shared" ca="1" si="22"/>
        <v>44427</v>
      </c>
      <c r="AE182" s="46">
        <f t="shared" ca="1" si="23"/>
        <v>0</v>
      </c>
      <c r="AG182" s="72">
        <f t="shared" ca="1" si="27"/>
        <v>31.230113260317943</v>
      </c>
      <c r="AH182" s="72">
        <f t="shared" ca="1" si="28"/>
        <v>31.23011326031795</v>
      </c>
      <c r="AI182" s="3">
        <f t="shared" ca="1" si="29"/>
        <v>0</v>
      </c>
    </row>
    <row r="183" spans="7:35" x14ac:dyDescent="0.25">
      <c r="G183" s="3">
        <f t="shared" si="24"/>
        <v>86</v>
      </c>
      <c r="H183" s="104">
        <f t="shared" si="26"/>
        <v>44281</v>
      </c>
      <c r="I183" s="131">
        <f>HLOOKUP($H$4,'Met Data'!$A$2:$F$368,G183,FALSE)</f>
        <v>17.064516129032199</v>
      </c>
      <c r="J183" s="131">
        <f ca="1">HLOOKUP($H$4,'Met Data'!$H$2:$M$368,G183,FALSE)*L183</f>
        <v>2.2330645161290312</v>
      </c>
      <c r="K183" s="105">
        <f>HLOOKUP($H$4,'Met Data'!$O$2:$T$368,G183,FALSE)</f>
        <v>3.1405308327099699</v>
      </c>
      <c r="L183">
        <f t="shared" ca="1" si="20"/>
        <v>0.65</v>
      </c>
      <c r="N183" t="b">
        <f t="shared" ca="1" si="25"/>
        <v>1</v>
      </c>
      <c r="O183" t="b">
        <f t="shared" ca="1" si="21"/>
        <v>1</v>
      </c>
      <c r="P183" s="2">
        <f ca="1"/>
        <v>44428</v>
      </c>
      <c r="Q183">
        <f ca="1"/>
        <v>93.884492732557291</v>
      </c>
      <c r="R183">
        <f ca="1"/>
        <v>0.84820686891075103</v>
      </c>
      <c r="S183">
        <f ca="1"/>
        <v>1.296350250964486E-11</v>
      </c>
      <c r="T183">
        <f ca="1"/>
        <v>0.32123330451056437</v>
      </c>
      <c r="U183">
        <f ca="1"/>
        <v>80</v>
      </c>
      <c r="V183">
        <f ca="1"/>
        <v>60.879063846378202</v>
      </c>
      <c r="W183">
        <f ca="1"/>
        <v>48.808214980285904</v>
      </c>
      <c r="X183">
        <f ca="1"/>
        <v>15.999999999999996</v>
      </c>
      <c r="Y183">
        <f ca="1"/>
        <v>1</v>
      </c>
      <c r="Z183">
        <f ca="1"/>
        <v>3.024509651489538</v>
      </c>
      <c r="AA183">
        <f ca="1"/>
        <v>0</v>
      </c>
      <c r="AB183">
        <f ca="1"/>
        <v>0.787794442342025</v>
      </c>
      <c r="AD183" s="2">
        <f t="shared" ca="1" si="22"/>
        <v>44428</v>
      </c>
      <c r="AE183" s="46">
        <f t="shared" ca="1" si="23"/>
        <v>80</v>
      </c>
      <c r="AG183" s="72">
        <f t="shared" ca="1" si="27"/>
        <v>110.73269960146806</v>
      </c>
      <c r="AH183" s="72">
        <f t="shared" ca="1" si="28"/>
        <v>110.73269960146804</v>
      </c>
      <c r="AI183" s="3">
        <f t="shared" ca="1" si="29"/>
        <v>0</v>
      </c>
    </row>
    <row r="184" spans="7:35" x14ac:dyDescent="0.25">
      <c r="G184" s="3">
        <f t="shared" si="24"/>
        <v>87</v>
      </c>
      <c r="H184" s="104">
        <f t="shared" si="26"/>
        <v>44282</v>
      </c>
      <c r="I184" s="131">
        <f>HLOOKUP($H$4,'Met Data'!$A$2:$F$368,G184,FALSE)</f>
        <v>17.208064516128999</v>
      </c>
      <c r="J184" s="131">
        <f ca="1">HLOOKUP($H$4,'Met Data'!$H$2:$M$368,G184,FALSE)*L184</f>
        <v>0.63322580645161242</v>
      </c>
      <c r="K184" s="105">
        <f>HLOOKUP($H$4,'Met Data'!$O$2:$T$368,G184,FALSE)</f>
        <v>3.1295018555019598</v>
      </c>
      <c r="L184">
        <f t="shared" ca="1" si="20"/>
        <v>0.65</v>
      </c>
      <c r="N184" t="b">
        <f t="shared" ca="1" si="25"/>
        <v>1</v>
      </c>
      <c r="O184" t="b">
        <f t="shared" ca="1" si="21"/>
        <v>1</v>
      </c>
      <c r="P184" s="2">
        <f ca="1"/>
        <v>44429</v>
      </c>
      <c r="Q184">
        <f ca="1"/>
        <v>93.33647945326004</v>
      </c>
      <c r="R184">
        <f ca="1"/>
        <v>0.87808637874275097</v>
      </c>
      <c r="S184">
        <f ca="1"/>
        <v>1.164883517999923E-11</v>
      </c>
      <c r="T184">
        <f ca="1"/>
        <v>0.33007309943384677</v>
      </c>
      <c r="U184">
        <f ca="1"/>
        <v>0</v>
      </c>
      <c r="V184">
        <f ca="1"/>
        <v>61.757150225120903</v>
      </c>
      <c r="W184">
        <f ca="1"/>
        <v>49.5121980253125</v>
      </c>
      <c r="X184">
        <f ca="1"/>
        <v>0</v>
      </c>
      <c r="Y184">
        <f ca="1"/>
        <v>1</v>
      </c>
      <c r="Z184">
        <f ca="1"/>
        <v>2.195413462981108</v>
      </c>
      <c r="AA184">
        <f ca="1"/>
        <v>0</v>
      </c>
      <c r="AB184">
        <f ca="1"/>
        <v>0.79216090133842698</v>
      </c>
      <c r="AD184" s="2">
        <f t="shared" ca="1" si="22"/>
        <v>44429</v>
      </c>
      <c r="AE184" s="46">
        <f t="shared" ca="1" si="23"/>
        <v>0</v>
      </c>
      <c r="AG184" s="72">
        <f t="shared" ca="1" si="27"/>
        <v>94.214565832002791</v>
      </c>
      <c r="AH184" s="72">
        <f t="shared" ca="1" si="28"/>
        <v>94.214565832002791</v>
      </c>
      <c r="AI184" s="3">
        <f t="shared" ca="1" si="29"/>
        <v>0</v>
      </c>
    </row>
    <row r="185" spans="7:35" x14ac:dyDescent="0.25">
      <c r="G185" s="3">
        <f t="shared" si="24"/>
        <v>88</v>
      </c>
      <c r="H185" s="104">
        <f t="shared" si="26"/>
        <v>44283</v>
      </c>
      <c r="I185" s="131">
        <f>HLOOKUP($H$4,'Met Data'!$A$2:$F$368,G185,FALSE)</f>
        <v>17.141666666666602</v>
      </c>
      <c r="J185" s="131">
        <f ca="1">HLOOKUP($H$4,'Met Data'!$H$2:$M$368,G185,FALSE)*L185</f>
        <v>1.5809677419354782</v>
      </c>
      <c r="K185" s="105">
        <f>HLOOKUP($H$4,'Met Data'!$O$2:$T$368,G185,FALSE)</f>
        <v>2.6600638405747499</v>
      </c>
      <c r="L185">
        <f t="shared" ca="1" si="20"/>
        <v>0.65</v>
      </c>
      <c r="N185" t="b">
        <f t="shared" ca="1" si="25"/>
        <v>1</v>
      </c>
      <c r="O185" t="b">
        <f t="shared" ca="1" si="21"/>
        <v>1</v>
      </c>
      <c r="P185" s="2">
        <f ca="1"/>
        <v>44430</v>
      </c>
      <c r="Q185">
        <f ca="1"/>
        <v>92.775201938304605</v>
      </c>
      <c r="R185">
        <f ca="1"/>
        <v>0.89526919475781597</v>
      </c>
      <c r="S185">
        <f ca="1"/>
        <v>1.0269646760582799E-11</v>
      </c>
      <c r="T185">
        <f ca="1"/>
        <v>0.33399167979212269</v>
      </c>
      <c r="U185">
        <f ca="1"/>
        <v>0</v>
      </c>
      <c r="V185">
        <f ca="1"/>
        <v>62.652419419878697</v>
      </c>
      <c r="W185">
        <f ca="1"/>
        <v>50.2299569486959</v>
      </c>
      <c r="X185">
        <f ca="1"/>
        <v>0</v>
      </c>
      <c r="Y185">
        <f ca="1"/>
        <v>1</v>
      </c>
      <c r="Z185">
        <f ca="1"/>
        <v>2.0415890056987678</v>
      </c>
      <c r="AA185">
        <f ca="1"/>
        <v>0</v>
      </c>
      <c r="AB185">
        <f ca="1"/>
        <v>0.79642755673857002</v>
      </c>
      <c r="AD185" s="2">
        <f t="shared" ca="1" si="22"/>
        <v>44430</v>
      </c>
      <c r="AE185" s="46">
        <f t="shared" ca="1" si="23"/>
        <v>0</v>
      </c>
      <c r="AG185" s="72">
        <f t="shared" ca="1" si="27"/>
        <v>93.670471133062435</v>
      </c>
      <c r="AH185" s="72">
        <f t="shared" ca="1" si="28"/>
        <v>93.670471133062421</v>
      </c>
      <c r="AI185" s="3">
        <f t="shared" ca="1" si="29"/>
        <v>0</v>
      </c>
    </row>
    <row r="186" spans="7:35" x14ac:dyDescent="0.25">
      <c r="G186" s="3">
        <f t="shared" si="24"/>
        <v>89</v>
      </c>
      <c r="H186" s="104">
        <f t="shared" si="26"/>
        <v>44284</v>
      </c>
      <c r="I186" s="131">
        <f>HLOOKUP($H$4,'Met Data'!$A$2:$F$368,G186,FALSE)</f>
        <v>17.338333333333299</v>
      </c>
      <c r="J186" s="131">
        <f ca="1">HLOOKUP($H$4,'Met Data'!$H$2:$M$368,G186,FALSE)*L186</f>
        <v>1.8325806451612854</v>
      </c>
      <c r="K186" s="105">
        <f>HLOOKUP($H$4,'Met Data'!$O$2:$T$368,G186,FALSE)</f>
        <v>2.7816184084358899</v>
      </c>
      <c r="L186">
        <f t="shared" ca="1" si="20"/>
        <v>0.65</v>
      </c>
      <c r="N186" t="b">
        <f t="shared" ca="1" si="25"/>
        <v>1</v>
      </c>
      <c r="O186" t="b">
        <f t="shared" ca="1" si="21"/>
        <v>1</v>
      </c>
      <c r="P186" s="2">
        <f ca="1"/>
        <v>44431</v>
      </c>
      <c r="Q186">
        <f ca="1"/>
        <v>92.194048177122767</v>
      </c>
      <c r="R186">
        <f ca="1"/>
        <v>0.92317830766003806</v>
      </c>
      <c r="S186">
        <f ca="1"/>
        <v>9.1417430924283683E-12</v>
      </c>
      <c r="T186">
        <f ca="1"/>
        <v>0.34202454646905817</v>
      </c>
      <c r="U186">
        <f ca="1"/>
        <v>0</v>
      </c>
      <c r="V186">
        <f ca="1"/>
        <v>63.575597727538799</v>
      </c>
      <c r="W186">
        <f ca="1"/>
        <v>50.970091281561302</v>
      </c>
      <c r="X186">
        <f ca="1"/>
        <v>0</v>
      </c>
      <c r="Y186">
        <f ca="1"/>
        <v>1</v>
      </c>
      <c r="Z186">
        <f ca="1"/>
        <v>1.2407283062524215</v>
      </c>
      <c r="AA186">
        <f ca="1"/>
        <v>0</v>
      </c>
      <c r="AB186">
        <f ca="1"/>
        <v>0.80063999238342798</v>
      </c>
      <c r="AD186" s="2">
        <f t="shared" ca="1" si="22"/>
        <v>44431</v>
      </c>
      <c r="AE186" s="46">
        <f t="shared" ca="1" si="23"/>
        <v>0</v>
      </c>
      <c r="AG186" s="72">
        <f t="shared" ca="1" si="27"/>
        <v>93.117226484782805</v>
      </c>
      <c r="AH186" s="72">
        <f t="shared" ca="1" si="28"/>
        <v>93.117226484782805</v>
      </c>
      <c r="AI186" s="3">
        <f t="shared" ca="1" si="29"/>
        <v>0</v>
      </c>
    </row>
    <row r="187" spans="7:35" x14ac:dyDescent="0.25">
      <c r="G187" s="3">
        <f t="shared" si="24"/>
        <v>90</v>
      </c>
      <c r="H187" s="104">
        <f t="shared" si="26"/>
        <v>44285</v>
      </c>
      <c r="I187" s="131">
        <f>HLOOKUP($H$4,'Met Data'!$A$2:$F$368,G187,FALSE)</f>
        <v>17.136206896551698</v>
      </c>
      <c r="J187" s="131">
        <f ca="1">HLOOKUP($H$4,'Met Data'!$H$2:$M$368,G187,FALSE)*L187</f>
        <v>0.74966666666666448</v>
      </c>
      <c r="K187" s="105">
        <f>HLOOKUP($H$4,'Met Data'!$O$2:$T$368,G187,FALSE)</f>
        <v>3.16549451986696</v>
      </c>
      <c r="L187">
        <f t="shared" ca="1" si="20"/>
        <v>0.65</v>
      </c>
      <c r="N187" t="b">
        <f t="shared" ca="1" si="25"/>
        <v>1</v>
      </c>
      <c r="O187" t="b">
        <f t="shared" ca="1" si="21"/>
        <v>1</v>
      </c>
      <c r="P187" s="2">
        <f ca="1"/>
        <v>44432</v>
      </c>
      <c r="Q187">
        <f ca="1"/>
        <v>91.605094357765893</v>
      </c>
      <c r="R187">
        <f ca="1"/>
        <v>0.93135617562379003</v>
      </c>
      <c r="S187">
        <f ca="1"/>
        <v>7.9349714357023052E-12</v>
      </c>
      <c r="T187">
        <f ca="1"/>
        <v>0.3424023562589702</v>
      </c>
      <c r="U187">
        <f ca="1"/>
        <v>0</v>
      </c>
      <c r="V187">
        <f ca="1"/>
        <v>64.506953903162596</v>
      </c>
      <c r="W187">
        <f ca="1"/>
        <v>51.71678200857</v>
      </c>
      <c r="X187">
        <f ca="1"/>
        <v>0</v>
      </c>
      <c r="Y187">
        <f ca="1"/>
        <v>1</v>
      </c>
      <c r="Z187">
        <f ca="1"/>
        <v>1.2706593307136131</v>
      </c>
      <c r="AA187">
        <f ca="1"/>
        <v>0</v>
      </c>
      <c r="AB187">
        <f ca="1"/>
        <v>0.80470580251883805</v>
      </c>
      <c r="AD187" s="2">
        <f t="shared" ca="1" si="22"/>
        <v>44432</v>
      </c>
      <c r="AE187" s="46">
        <f t="shared" ca="1" si="23"/>
        <v>0</v>
      </c>
      <c r="AG187" s="72">
        <f t="shared" ca="1" si="27"/>
        <v>92.536450533389669</v>
      </c>
      <c r="AH187" s="72">
        <f t="shared" ca="1" si="28"/>
        <v>92.536450533389683</v>
      </c>
      <c r="AI187" s="3">
        <f t="shared" ca="1" si="29"/>
        <v>0</v>
      </c>
    </row>
    <row r="188" spans="7:35" x14ac:dyDescent="0.25">
      <c r="G188" s="3">
        <f t="shared" si="24"/>
        <v>91</v>
      </c>
      <c r="H188" s="104">
        <f t="shared" si="26"/>
        <v>44286</v>
      </c>
      <c r="I188" s="131">
        <f>HLOOKUP($H$4,'Met Data'!$A$2:$F$368,G188,FALSE)</f>
        <v>16.922413793103399</v>
      </c>
      <c r="J188" s="131">
        <f ca="1">HLOOKUP($H$4,'Met Data'!$H$2:$M$368,G188,FALSE)*L188</f>
        <v>1.9326666666666645</v>
      </c>
      <c r="K188" s="105">
        <f>HLOOKUP($H$4,'Met Data'!$O$2:$T$368,G188,FALSE)</f>
        <v>2.84233525233393</v>
      </c>
      <c r="L188">
        <f t="shared" ca="1" si="20"/>
        <v>0.65</v>
      </c>
      <c r="N188" t="b">
        <f t="shared" ca="1" si="25"/>
        <v>1</v>
      </c>
      <c r="O188" t="b">
        <f t="shared" ca="1" si="21"/>
        <v>1</v>
      </c>
      <c r="P188" s="2">
        <f ca="1"/>
        <v>44433</v>
      </c>
      <c r="Q188">
        <f ca="1"/>
        <v>90.998850418609692</v>
      </c>
      <c r="R188">
        <f ca="1"/>
        <v>0.95500004753227996</v>
      </c>
      <c r="S188">
        <f ca="1"/>
        <v>7.000121118876708E-12</v>
      </c>
      <c r="T188">
        <f ca="1"/>
        <v>0.34875610836908755</v>
      </c>
      <c r="U188">
        <f ca="1"/>
        <v>0</v>
      </c>
      <c r="V188">
        <f ca="1"/>
        <v>65.461953950694806</v>
      </c>
      <c r="W188">
        <f ca="1"/>
        <v>52.482428598401903</v>
      </c>
      <c r="X188">
        <f ca="1"/>
        <v>0</v>
      </c>
      <c r="Y188">
        <f ca="1"/>
        <v>1</v>
      </c>
      <c r="Z188">
        <f ca="1"/>
        <v>5.2970530785325991</v>
      </c>
      <c r="AA188">
        <f ca="1"/>
        <v>0</v>
      </c>
      <c r="AB188">
        <f ca="1"/>
        <v>0.80869184133698502</v>
      </c>
      <c r="AD188" s="2">
        <f t="shared" ca="1" si="22"/>
        <v>44433</v>
      </c>
      <c r="AE188" s="46">
        <f t="shared" ca="1" si="23"/>
        <v>0</v>
      </c>
      <c r="AG188" s="72">
        <f t="shared" ca="1" si="27"/>
        <v>91.953850466141986</v>
      </c>
      <c r="AH188" s="72">
        <f t="shared" ca="1" si="28"/>
        <v>91.953850466141972</v>
      </c>
      <c r="AI188" s="3">
        <f t="shared" ca="1" si="29"/>
        <v>0</v>
      </c>
    </row>
    <row r="189" spans="7:35" x14ac:dyDescent="0.25">
      <c r="G189" s="3">
        <f t="shared" si="24"/>
        <v>92</v>
      </c>
      <c r="H189" s="104">
        <f t="shared" si="26"/>
        <v>44287</v>
      </c>
      <c r="I189" s="131">
        <f>HLOOKUP($H$4,'Met Data'!$A$2:$F$368,G189,FALSE)</f>
        <v>16.63</v>
      </c>
      <c r="J189" s="131">
        <f ca="1">HLOOKUP($H$4,'Met Data'!$H$2:$M$368,G189,FALSE)*L189</f>
        <v>1.1469354838709624</v>
      </c>
      <c r="K189" s="105">
        <f>HLOOKUP($H$4,'Met Data'!$O$2:$T$368,G189,FALSE)</f>
        <v>2.8748972399291501</v>
      </c>
      <c r="L189">
        <f t="shared" ca="1" si="20"/>
        <v>0.65</v>
      </c>
      <c r="N189" t="b">
        <f t="shared" ca="1" si="25"/>
        <v>1</v>
      </c>
      <c r="O189" t="b">
        <f t="shared" ca="1" si="21"/>
        <v>1</v>
      </c>
      <c r="P189" s="2">
        <f ca="1"/>
        <v>44434</v>
      </c>
      <c r="Q189">
        <f ca="1"/>
        <v>90.393099585874893</v>
      </c>
      <c r="R189">
        <f ca="1"/>
        <v>0.94977535039414795</v>
      </c>
      <c r="S189">
        <f ca="1"/>
        <v>5.9745276867979198E-12</v>
      </c>
      <c r="T189">
        <f ca="1"/>
        <v>0.34402451765337078</v>
      </c>
      <c r="U189">
        <f ca="1"/>
        <v>0</v>
      </c>
      <c r="V189">
        <f ca="1"/>
        <v>66.411729301088997</v>
      </c>
      <c r="W189">
        <f ca="1"/>
        <v>53.243886422424801</v>
      </c>
      <c r="X189">
        <f ca="1"/>
        <v>0</v>
      </c>
      <c r="Y189">
        <f ca="1"/>
        <v>1</v>
      </c>
      <c r="Z189">
        <f ca="1"/>
        <v>2.5354682417520422</v>
      </c>
      <c r="AA189">
        <f ca="1"/>
        <v>0</v>
      </c>
      <c r="AB189">
        <f ca="1"/>
        <v>0.81248088411101005</v>
      </c>
      <c r="AD189" s="2">
        <f t="shared" ca="1" si="22"/>
        <v>44434</v>
      </c>
      <c r="AE189" s="46">
        <f t="shared" ca="1" si="23"/>
        <v>0</v>
      </c>
      <c r="AG189" s="72">
        <f t="shared" ca="1" si="27"/>
        <v>91.342874936269027</v>
      </c>
      <c r="AH189" s="72">
        <f t="shared" ca="1" si="28"/>
        <v>91.342874936269041</v>
      </c>
      <c r="AI189" s="3">
        <f t="shared" ca="1" si="29"/>
        <v>0</v>
      </c>
    </row>
    <row r="190" spans="7:35" x14ac:dyDescent="0.25">
      <c r="G190" s="3">
        <f t="shared" si="24"/>
        <v>93</v>
      </c>
      <c r="H190" s="104">
        <f t="shared" si="26"/>
        <v>44288</v>
      </c>
      <c r="I190" s="131">
        <f>HLOOKUP($H$4,'Met Data'!$A$2:$F$368,G190,FALSE)</f>
        <v>16.5379310344827</v>
      </c>
      <c r="J190" s="131">
        <f ca="1">HLOOKUP($H$4,'Met Data'!$H$2:$M$368,G190,FALSE)*L190</f>
        <v>2.1596774193548387</v>
      </c>
      <c r="K190" s="105">
        <f>HLOOKUP($H$4,'Met Data'!$O$2:$T$368,G190,FALSE)</f>
        <v>2.5469261916112398</v>
      </c>
      <c r="L190">
        <f t="shared" ca="1" si="20"/>
        <v>0.65</v>
      </c>
      <c r="N190" t="b">
        <f t="shared" ca="1" si="25"/>
        <v>1</v>
      </c>
      <c r="O190" t="b">
        <f t="shared" ca="1" si="21"/>
        <v>1</v>
      </c>
      <c r="P190" s="2">
        <f ca="1"/>
        <v>44435</v>
      </c>
      <c r="Q190">
        <f ca="1"/>
        <v>89.781834049404921</v>
      </c>
      <c r="R190">
        <f ca="1"/>
        <v>0.95447836996535795</v>
      </c>
      <c r="S190">
        <f ca="1"/>
        <v>5.1643548412826051E-12</v>
      </c>
      <c r="T190">
        <f ca="1"/>
        <v>0.34321283349022158</v>
      </c>
      <c r="U190">
        <f ca="1"/>
        <v>0</v>
      </c>
      <c r="V190">
        <f ca="1"/>
        <v>67.366207671054298</v>
      </c>
      <c r="W190">
        <f ca="1"/>
        <v>54.009114770759098</v>
      </c>
      <c r="X190">
        <f ca="1"/>
        <v>0</v>
      </c>
      <c r="Y190">
        <f ca="1"/>
        <v>1</v>
      </c>
      <c r="Z190">
        <f ca="1"/>
        <v>0.88614494526177623</v>
      </c>
      <c r="AA190">
        <f ca="1"/>
        <v>0</v>
      </c>
      <c r="AB190">
        <f ca="1"/>
        <v>0.81612096566181502</v>
      </c>
      <c r="AD190" s="2">
        <f t="shared" ca="1" si="22"/>
        <v>44435</v>
      </c>
      <c r="AE190" s="46">
        <f t="shared" ca="1" si="23"/>
        <v>0</v>
      </c>
      <c r="AG190" s="72">
        <f t="shared" ca="1" si="27"/>
        <v>90.736312419370279</v>
      </c>
      <c r="AH190" s="72">
        <f t="shared" ca="1" si="28"/>
        <v>90.736312419370279</v>
      </c>
      <c r="AI190" s="3">
        <f t="shared" ca="1" si="29"/>
        <v>0</v>
      </c>
    </row>
    <row r="191" spans="7:35" x14ac:dyDescent="0.25">
      <c r="G191" s="3">
        <f t="shared" si="24"/>
        <v>94</v>
      </c>
      <c r="H191" s="104">
        <f t="shared" si="26"/>
        <v>44289</v>
      </c>
      <c r="I191" s="131">
        <f>HLOOKUP($H$4,'Met Data'!$A$2:$F$368,G191,FALSE)</f>
        <v>16.693103448275799</v>
      </c>
      <c r="J191" s="131">
        <f ca="1">HLOOKUP($H$4,'Met Data'!$H$2:$M$368,G191,FALSE)*L191</f>
        <v>1.8241935483870932</v>
      </c>
      <c r="K191" s="105">
        <f>HLOOKUP($H$4,'Met Data'!$O$2:$T$368,G191,FALSE)</f>
        <v>2.8493466745517901</v>
      </c>
      <c r="L191">
        <f t="shared" ca="1" si="20"/>
        <v>0.65</v>
      </c>
      <c r="N191" t="b">
        <f t="shared" ca="1" si="25"/>
        <v>1</v>
      </c>
      <c r="O191" t="b">
        <f t="shared" ca="1" si="21"/>
        <v>1</v>
      </c>
      <c r="P191" s="2">
        <f ca="1"/>
        <v>44436</v>
      </c>
      <c r="Q191">
        <f ca="1"/>
        <v>89.182524056269529</v>
      </c>
      <c r="R191">
        <f ca="1"/>
        <v>0.93157433536151801</v>
      </c>
      <c r="S191">
        <f ca="1"/>
        <v>4.3383390653529824E-12</v>
      </c>
      <c r="T191">
        <f ca="1"/>
        <v>0.33226434222179013</v>
      </c>
      <c r="U191">
        <f ca="1"/>
        <v>0</v>
      </c>
      <c r="V191">
        <f ca="1"/>
        <v>68.2977820064159</v>
      </c>
      <c r="W191">
        <f ca="1"/>
        <v>54.755980401695503</v>
      </c>
      <c r="X191">
        <f ca="1"/>
        <v>0</v>
      </c>
      <c r="Y191">
        <f ca="1"/>
        <v>1</v>
      </c>
      <c r="Z191">
        <f ca="1"/>
        <v>0.28812543617500808</v>
      </c>
      <c r="AA191">
        <f ca="1"/>
        <v>0</v>
      </c>
      <c r="AB191">
        <f ca="1"/>
        <v>0.81951913656215702</v>
      </c>
      <c r="AD191" s="2">
        <f t="shared" ca="1" si="22"/>
        <v>44436</v>
      </c>
      <c r="AE191" s="46">
        <f t="shared" ca="1" si="23"/>
        <v>0</v>
      </c>
      <c r="AG191" s="72">
        <f t="shared" ca="1" si="27"/>
        <v>90.114098391631046</v>
      </c>
      <c r="AH191" s="72">
        <f t="shared" ca="1" si="28"/>
        <v>90.114098391631046</v>
      </c>
      <c r="AI191" s="3">
        <f t="shared" ca="1" si="29"/>
        <v>0</v>
      </c>
    </row>
    <row r="192" spans="7:35" x14ac:dyDescent="0.25">
      <c r="G192" s="3">
        <f t="shared" si="24"/>
        <v>95</v>
      </c>
      <c r="H192" s="104">
        <f t="shared" si="26"/>
        <v>44290</v>
      </c>
      <c r="I192" s="131">
        <f>HLOOKUP($H$4,'Met Data'!$A$2:$F$368,G192,FALSE)</f>
        <v>16.29</v>
      </c>
      <c r="J192" s="131">
        <f ca="1">HLOOKUP($H$4,'Met Data'!$H$2:$M$368,G192,FALSE)*L192</f>
        <v>0.94145161290322354</v>
      </c>
      <c r="K192" s="105">
        <f>HLOOKUP($H$4,'Met Data'!$O$2:$T$368,G192,FALSE)</f>
        <v>3.04847392107171</v>
      </c>
      <c r="L192">
        <f t="shared" ca="1" si="20"/>
        <v>0.65</v>
      </c>
      <c r="N192" t="b">
        <f t="shared" ca="1" si="25"/>
        <v>1</v>
      </c>
      <c r="O192" t="b">
        <f t="shared" ca="1" si="21"/>
        <v>1</v>
      </c>
      <c r="P192" s="2">
        <f ca="1"/>
        <v>44437</v>
      </c>
      <c r="Q192">
        <f ca="1"/>
        <v>88.578131975823482</v>
      </c>
      <c r="R192">
        <f ca="1"/>
        <v>0.93605392080336003</v>
      </c>
      <c r="S192">
        <f ca="1"/>
        <v>3.7708758875541721E-12</v>
      </c>
      <c r="T192">
        <f ca="1"/>
        <v>0.33166184035352242</v>
      </c>
      <c r="U192">
        <f ca="1"/>
        <v>0</v>
      </c>
      <c r="V192">
        <f ca="1"/>
        <v>69.233835927219204</v>
      </c>
      <c r="W192">
        <f ca="1"/>
        <v>55.506437424408503</v>
      </c>
      <c r="X192">
        <f ca="1"/>
        <v>0</v>
      </c>
      <c r="Y192">
        <f ca="1"/>
        <v>1</v>
      </c>
      <c r="Z192">
        <f ca="1"/>
        <v>0.22456969583788577</v>
      </c>
      <c r="AA192">
        <f ca="1"/>
        <v>0</v>
      </c>
      <c r="AB192">
        <f ca="1"/>
        <v>0.82278700630614798</v>
      </c>
      <c r="AD192" s="2">
        <f t="shared" ca="1" si="22"/>
        <v>44437</v>
      </c>
      <c r="AE192" s="46">
        <f t="shared" ca="1" si="23"/>
        <v>0</v>
      </c>
      <c r="AG192" s="72">
        <f t="shared" ca="1" si="27"/>
        <v>89.514185896626813</v>
      </c>
      <c r="AH192" s="72">
        <f t="shared" ca="1" si="28"/>
        <v>89.514185896626842</v>
      </c>
      <c r="AI192" s="3">
        <f t="shared" ca="1" si="29"/>
        <v>0</v>
      </c>
    </row>
    <row r="193" spans="7:35" x14ac:dyDescent="0.25">
      <c r="G193" s="3">
        <f t="shared" si="24"/>
        <v>96</v>
      </c>
      <c r="H193" s="104">
        <f t="shared" si="26"/>
        <v>44291</v>
      </c>
      <c r="I193" s="131">
        <f>HLOOKUP($H$4,'Met Data'!$A$2:$F$368,G193,FALSE)</f>
        <v>16.28</v>
      </c>
      <c r="J193" s="131">
        <f ca="1">HLOOKUP($H$4,'Met Data'!$H$2:$M$368,G193,FALSE)*L193</f>
        <v>1.0945161290322545</v>
      </c>
      <c r="K193" s="105">
        <f>HLOOKUP($H$4,'Met Data'!$O$2:$T$368,G193,FALSE)</f>
        <v>2.9631357104845102</v>
      </c>
      <c r="L193">
        <f t="shared" ca="1" si="20"/>
        <v>0.65</v>
      </c>
      <c r="N193" t="b">
        <f t="shared" ca="1" si="25"/>
        <v>1</v>
      </c>
      <c r="O193" t="b">
        <f t="shared" ca="1" si="21"/>
        <v>1</v>
      </c>
      <c r="P193" s="2">
        <f ca="1"/>
        <v>44438</v>
      </c>
      <c r="Q193">
        <f ca="1"/>
        <v>87.960045440384562</v>
      </c>
      <c r="R193">
        <f ca="1"/>
        <v>0.95414598042049203</v>
      </c>
      <c r="S193">
        <f ca="1"/>
        <v>3.3264032284900037E-12</v>
      </c>
      <c r="T193">
        <f ca="1"/>
        <v>0.33605944497824469</v>
      </c>
      <c r="U193">
        <f ca="1"/>
        <v>0</v>
      </c>
      <c r="V193">
        <f ca="1"/>
        <v>70.187981907639696</v>
      </c>
      <c r="W193">
        <f ca="1"/>
        <v>56.271399288021499</v>
      </c>
      <c r="X193">
        <f ca="1"/>
        <v>0</v>
      </c>
      <c r="Y193">
        <f ca="1"/>
        <v>1</v>
      </c>
      <c r="Z193">
        <f ca="1"/>
        <v>1.1623162618317338</v>
      </c>
      <c r="AA193">
        <f ca="1"/>
        <v>0</v>
      </c>
      <c r="AB193">
        <f ca="1"/>
        <v>0.82597377759058299</v>
      </c>
      <c r="AD193" s="2">
        <f t="shared" ca="1" si="22"/>
        <v>44438</v>
      </c>
      <c r="AE193" s="46">
        <f t="shared" ca="1" si="23"/>
        <v>0</v>
      </c>
      <c r="AG193" s="72">
        <f t="shared" ca="1" si="27"/>
        <v>88.914191420805054</v>
      </c>
      <c r="AH193" s="72">
        <f t="shared" ca="1" si="28"/>
        <v>88.914191420805054</v>
      </c>
      <c r="AI193" s="3">
        <f t="shared" ca="1" si="29"/>
        <v>0</v>
      </c>
    </row>
    <row r="194" spans="7:35" x14ac:dyDescent="0.25">
      <c r="G194" s="3">
        <f t="shared" si="24"/>
        <v>97</v>
      </c>
      <c r="H194" s="104">
        <f t="shared" si="26"/>
        <v>44292</v>
      </c>
      <c r="I194" s="131">
        <f>HLOOKUP($H$4,'Met Data'!$A$2:$F$368,G194,FALSE)</f>
        <v>16.288333333333298</v>
      </c>
      <c r="J194" s="131">
        <f ca="1">HLOOKUP($H$4,'Met Data'!$H$2:$M$368,G194,FALSE)*L194</f>
        <v>2.019333333333329</v>
      </c>
      <c r="K194" s="105">
        <f>HLOOKUP($H$4,'Met Data'!$O$2:$T$368,G194,FALSE)</f>
        <v>2.8364094228266699</v>
      </c>
      <c r="L194">
        <f t="shared" ca="1" si="20"/>
        <v>0.65</v>
      </c>
      <c r="N194" t="b">
        <f t="shared" ca="1" si="25"/>
        <v>1</v>
      </c>
      <c r="O194" t="b">
        <f t="shared" ca="1" si="21"/>
        <v>1</v>
      </c>
      <c r="P194" s="2">
        <f ca="1"/>
        <v>44439</v>
      </c>
      <c r="Q194">
        <f ca="1"/>
        <v>87.332489884884851</v>
      </c>
      <c r="R194">
        <f ca="1"/>
        <v>0.965605865747307</v>
      </c>
      <c r="S194">
        <f ca="1"/>
        <v>2.9081330649981511E-12</v>
      </c>
      <c r="T194">
        <f ca="1"/>
        <v>0.33805031024469728</v>
      </c>
      <c r="U194">
        <f ca="1"/>
        <v>0</v>
      </c>
      <c r="V194">
        <f ca="1"/>
        <v>71.153587773387002</v>
      </c>
      <c r="W194">
        <f ca="1"/>
        <v>57.045548818318899</v>
      </c>
      <c r="X194">
        <f ca="1"/>
        <v>0</v>
      </c>
      <c r="Y194">
        <f ca="1"/>
        <v>1</v>
      </c>
      <c r="Z194">
        <f ca="1"/>
        <v>2.7363959659291481</v>
      </c>
      <c r="AA194">
        <f ca="1"/>
        <v>0</v>
      </c>
      <c r="AB194">
        <f ca="1"/>
        <v>0.82905750485591301</v>
      </c>
      <c r="AD194" s="2">
        <f t="shared" ca="1" si="22"/>
        <v>44439</v>
      </c>
      <c r="AE194" s="46">
        <f t="shared" ca="1" si="23"/>
        <v>0</v>
      </c>
      <c r="AG194" s="72">
        <f t="shared" ca="1" si="27"/>
        <v>88.298095750632172</v>
      </c>
      <c r="AH194" s="72">
        <f t="shared" ca="1" si="28"/>
        <v>88.298095750632157</v>
      </c>
      <c r="AI194" s="3">
        <f t="shared" ca="1" si="29"/>
        <v>0</v>
      </c>
    </row>
    <row r="195" spans="7:35" x14ac:dyDescent="0.25">
      <c r="G195" s="3">
        <f t="shared" si="24"/>
        <v>98</v>
      </c>
      <c r="H195" s="104">
        <f t="shared" si="26"/>
        <v>44293</v>
      </c>
      <c r="I195" s="131">
        <f>HLOOKUP($H$4,'Met Data'!$A$2:$F$368,G195,FALSE)</f>
        <v>16.247502601456802</v>
      </c>
      <c r="J195" s="131">
        <f ca="1">HLOOKUP($H$4,'Met Data'!$H$2:$M$368,G195,FALSE)*L195</f>
        <v>2.3033333333333301</v>
      </c>
      <c r="K195" s="105">
        <f>HLOOKUP($H$4,'Met Data'!$O$2:$T$368,G195,FALSE)</f>
        <v>2.7733248568186499</v>
      </c>
      <c r="L195">
        <f t="shared" ca="1" si="20"/>
        <v>1</v>
      </c>
      <c r="N195" t="b">
        <f t="shared" ca="1" si="25"/>
        <v>1</v>
      </c>
      <c r="O195" t="b">
        <f t="shared" ca="1" si="21"/>
        <v>1</v>
      </c>
      <c r="P195" s="2">
        <f ca="1"/>
        <v>44440</v>
      </c>
      <c r="Q195">
        <f ca="1"/>
        <v>86.707606286031279</v>
      </c>
      <c r="R195">
        <f ca="1"/>
        <v>0.95813168367398305</v>
      </c>
      <c r="S195">
        <f ca="1"/>
        <v>2.4912672793420106E-12</v>
      </c>
      <c r="T195">
        <f ca="1"/>
        <v>0.33324808481791346</v>
      </c>
      <c r="U195">
        <f ca="1"/>
        <v>0</v>
      </c>
      <c r="V195">
        <f ca="1"/>
        <v>72.111719457061</v>
      </c>
      <c r="W195">
        <f ca="1"/>
        <v>57.813706116436798</v>
      </c>
      <c r="X195">
        <f ca="1"/>
        <v>0</v>
      </c>
      <c r="Y195">
        <f ca="1"/>
        <v>1</v>
      </c>
      <c r="Z195">
        <f ca="1"/>
        <v>0.93529736038641431</v>
      </c>
      <c r="AA195">
        <f ca="1"/>
        <v>0</v>
      </c>
      <c r="AB195">
        <f ca="1"/>
        <v>0.83198347880750001</v>
      </c>
      <c r="AD195" s="2">
        <f t="shared" ca="1" si="22"/>
        <v>44440</v>
      </c>
      <c r="AE195" s="46">
        <f t="shared" ca="1" si="23"/>
        <v>0</v>
      </c>
      <c r="AG195" s="72">
        <f t="shared" ca="1" si="27"/>
        <v>87.665737969705248</v>
      </c>
      <c r="AH195" s="72">
        <f t="shared" ca="1" si="28"/>
        <v>87.665737969705262</v>
      </c>
      <c r="AI195" s="3">
        <f t="shared" ca="1" si="29"/>
        <v>0</v>
      </c>
    </row>
    <row r="196" spans="7:35" x14ac:dyDescent="0.25">
      <c r="G196" s="3">
        <f t="shared" si="24"/>
        <v>99</v>
      </c>
      <c r="H196" s="104">
        <f t="shared" si="26"/>
        <v>44294</v>
      </c>
      <c r="I196" s="131">
        <f>HLOOKUP($H$4,'Met Data'!$A$2:$F$368,G196,FALSE)</f>
        <v>15.9919354838709</v>
      </c>
      <c r="J196" s="131">
        <f ca="1">HLOOKUP($H$4,'Met Data'!$H$2:$M$368,G196,FALSE)*L196</f>
        <v>3.04</v>
      </c>
      <c r="K196" s="105">
        <f>HLOOKUP($H$4,'Met Data'!$O$2:$T$368,G196,FALSE)</f>
        <v>2.4928303491288801</v>
      </c>
      <c r="L196">
        <f t="shared" ca="1" si="20"/>
        <v>1</v>
      </c>
      <c r="N196" t="b">
        <f t="shared" ca="1" si="25"/>
        <v>1</v>
      </c>
      <c r="O196" t="b">
        <f t="shared" ca="1" si="21"/>
        <v>1</v>
      </c>
      <c r="P196" s="2">
        <f ca="1"/>
        <v>44441</v>
      </c>
      <c r="Q196">
        <f ca="1"/>
        <v>86.073782126976766</v>
      </c>
      <c r="R196">
        <f ca="1"/>
        <v>0.96894605141498902</v>
      </c>
      <c r="S196">
        <f ca="1"/>
        <v>2.180088013320139E-12</v>
      </c>
      <c r="T196">
        <f ca="1"/>
        <v>0.33512189235831036</v>
      </c>
      <c r="U196">
        <f ca="1"/>
        <v>0</v>
      </c>
      <c r="V196">
        <f ca="1"/>
        <v>73.080665508476002</v>
      </c>
      <c r="W196">
        <f ca="1"/>
        <v>58.590533554209202</v>
      </c>
      <c r="X196">
        <f ca="1"/>
        <v>0</v>
      </c>
      <c r="Y196">
        <f ca="1"/>
        <v>1</v>
      </c>
      <c r="Z196">
        <f ca="1"/>
        <v>0.75520791496195727</v>
      </c>
      <c r="AA196">
        <f ca="1"/>
        <v>0</v>
      </c>
      <c r="AB196">
        <f ca="1"/>
        <v>0.83481326979768</v>
      </c>
      <c r="AD196" s="2">
        <f t="shared" ca="1" si="22"/>
        <v>44441</v>
      </c>
      <c r="AE196" s="46">
        <f t="shared" ca="1" si="23"/>
        <v>0</v>
      </c>
      <c r="AG196" s="72">
        <f t="shared" ca="1" si="27"/>
        <v>87.042728178391769</v>
      </c>
      <c r="AH196" s="72">
        <f t="shared" ca="1" si="28"/>
        <v>87.042728178391755</v>
      </c>
      <c r="AI196" s="3">
        <f t="shared" ca="1" si="29"/>
        <v>0</v>
      </c>
    </row>
    <row r="197" spans="7:35" x14ac:dyDescent="0.25">
      <c r="G197" s="3">
        <f t="shared" si="24"/>
        <v>100</v>
      </c>
      <c r="H197" s="104">
        <f t="shared" si="26"/>
        <v>44295</v>
      </c>
      <c r="I197" s="131">
        <f>HLOOKUP($H$4,'Met Data'!$A$2:$F$368,G197,FALSE)</f>
        <v>15.7</v>
      </c>
      <c r="J197" s="131">
        <f ca="1">HLOOKUP($H$4,'Met Data'!$H$2:$M$368,G197,FALSE)*L197</f>
        <v>4.67</v>
      </c>
      <c r="K197" s="105">
        <f>HLOOKUP($H$4,'Met Data'!$O$2:$T$368,G197,FALSE)</f>
        <v>2.4645244256425198</v>
      </c>
      <c r="L197">
        <f t="shared" ca="1" si="20"/>
        <v>1</v>
      </c>
      <c r="N197" t="b">
        <f t="shared" ca="1" si="25"/>
        <v>1</v>
      </c>
      <c r="O197" t="b">
        <f t="shared" ca="1" si="21"/>
        <v>1</v>
      </c>
      <c r="P197" s="2">
        <f ca="1"/>
        <v>44442</v>
      </c>
      <c r="Q197">
        <f ca="1"/>
        <v>85.401419067403253</v>
      </c>
      <c r="R197">
        <f ca="1"/>
        <v>1.02620877753712</v>
      </c>
      <c r="S197">
        <f ca="1"/>
        <v>1.9964389264522457E-12</v>
      </c>
      <c r="T197">
        <f ca="1"/>
        <v>0.35384571796159409</v>
      </c>
      <c r="U197">
        <f ca="1"/>
        <v>0</v>
      </c>
      <c r="V197">
        <f ca="1"/>
        <v>74.106874286013095</v>
      </c>
      <c r="W197">
        <f ca="1"/>
        <v>59.413269901717399</v>
      </c>
      <c r="X197">
        <f ca="1"/>
        <v>0</v>
      </c>
      <c r="Y197">
        <f ca="1"/>
        <v>1</v>
      </c>
      <c r="Z197">
        <f ca="1"/>
        <v>0.10303787737495895</v>
      </c>
      <c r="AA197">
        <f ca="1"/>
        <v>0</v>
      </c>
      <c r="AB197">
        <f ca="1"/>
        <v>0.83767544588314002</v>
      </c>
      <c r="AD197" s="2">
        <f t="shared" ca="1" si="22"/>
        <v>44442</v>
      </c>
      <c r="AE197" s="46">
        <f t="shared" ca="1" si="23"/>
        <v>0</v>
      </c>
      <c r="AG197" s="72">
        <f t="shared" ca="1" si="27"/>
        <v>86.427627844940346</v>
      </c>
      <c r="AH197" s="72">
        <f t="shared" ca="1" si="28"/>
        <v>86.427627844940375</v>
      </c>
      <c r="AI197" s="3">
        <f t="shared" ca="1" si="29"/>
        <v>0</v>
      </c>
    </row>
    <row r="198" spans="7:35" x14ac:dyDescent="0.25">
      <c r="G198" s="3">
        <f t="shared" si="24"/>
        <v>101</v>
      </c>
      <c r="H198" s="104">
        <f t="shared" si="26"/>
        <v>44296</v>
      </c>
      <c r="I198" s="131">
        <f>HLOOKUP($H$4,'Met Data'!$A$2:$F$368,G198,FALSE)</f>
        <v>15.6066666666666</v>
      </c>
      <c r="J198" s="131">
        <f ca="1">HLOOKUP($H$4,'Met Data'!$H$2:$M$368,G198,FALSE)*L198</f>
        <v>2.9099999999999899</v>
      </c>
      <c r="K198" s="105">
        <f>HLOOKUP($H$4,'Met Data'!$O$2:$T$368,G198,FALSE)</f>
        <v>2.6085032852196299</v>
      </c>
      <c r="L198">
        <f t="shared" ref="L198:L261" ca="1" si="30">IF(H198&lt;$B$31,$J$3,$J$4)</f>
        <v>1</v>
      </c>
      <c r="N198" t="b">
        <f t="shared" ca="1" si="25"/>
        <v>1</v>
      </c>
      <c r="O198" t="b">
        <f t="shared" ref="O198:O261" ca="1" si="31">AND(IF(P198&gt;($P$2-1),TRUE,FALSE),IF(P198&lt;($P$3+1),TRUE,FALSE))</f>
        <v>1</v>
      </c>
      <c r="P198" s="2">
        <f ca="1"/>
        <v>44443</v>
      </c>
      <c r="Q198">
        <f ca="1"/>
        <v>84.717079927776368</v>
      </c>
      <c r="R198">
        <f ca="1"/>
        <v>1.04173117280398</v>
      </c>
      <c r="S198">
        <f ca="1"/>
        <v>1.7385147158686964E-12</v>
      </c>
      <c r="T198">
        <f ca="1"/>
        <v>0.35739203317535884</v>
      </c>
      <c r="U198">
        <f ca="1"/>
        <v>0</v>
      </c>
      <c r="V198">
        <f ca="1"/>
        <v>75.148605458817102</v>
      </c>
      <c r="W198">
        <f ca="1"/>
        <v>60.248450928189598</v>
      </c>
      <c r="X198">
        <f ca="1"/>
        <v>0</v>
      </c>
      <c r="Y198">
        <f ca="1"/>
        <v>1</v>
      </c>
      <c r="Z198">
        <f ca="1"/>
        <v>1.6867315868519768</v>
      </c>
      <c r="AA198">
        <f ca="1"/>
        <v>0</v>
      </c>
      <c r="AB198">
        <f ca="1"/>
        <v>0.84044604113575205</v>
      </c>
      <c r="AD198" s="2">
        <f t="shared" ref="AD198:AD261" ca="1" si="32">IFERROR(P198,$AD$4)</f>
        <v>44443</v>
      </c>
      <c r="AE198" s="46">
        <f t="shared" ref="AE198:AE261" ca="1" si="33">IFERROR(U198,0)</f>
        <v>0</v>
      </c>
      <c r="AG198" s="72">
        <f t="shared" ca="1" si="27"/>
        <v>85.758811100580346</v>
      </c>
      <c r="AH198" s="72">
        <f t="shared" ca="1" si="28"/>
        <v>85.758811100580346</v>
      </c>
      <c r="AI198" s="3">
        <f t="shared" ca="1" si="29"/>
        <v>0</v>
      </c>
    </row>
    <row r="199" spans="7:35" x14ac:dyDescent="0.25">
      <c r="G199" s="3">
        <f t="shared" ref="G199:G262" si="34">H199-DATE(YEAR(H199),1,0)+1</f>
        <v>102</v>
      </c>
      <c r="H199" s="104">
        <f t="shared" si="26"/>
        <v>44297</v>
      </c>
      <c r="I199" s="131">
        <f>HLOOKUP($H$4,'Met Data'!$A$2:$F$368,G199,FALSE)</f>
        <v>15.335000000000001</v>
      </c>
      <c r="J199" s="131">
        <f ca="1">HLOOKUP($H$4,'Met Data'!$H$2:$M$368,G199,FALSE)*L199</f>
        <v>2.68333333333333</v>
      </c>
      <c r="K199" s="105">
        <f>HLOOKUP($H$4,'Met Data'!$O$2:$T$368,G199,FALSE)</f>
        <v>2.45140037536581</v>
      </c>
      <c r="L199">
        <f t="shared" ca="1" si="30"/>
        <v>1</v>
      </c>
      <c r="N199" t="b">
        <f t="shared" ref="N199:N262" ca="1" si="35">IF(P199&lt;$P$3,TRUE,FALSE)</f>
        <v>1</v>
      </c>
      <c r="O199" t="b">
        <f t="shared" ca="1" si="31"/>
        <v>1</v>
      </c>
      <c r="P199" s="2">
        <f ca="1"/>
        <v>44444</v>
      </c>
      <c r="Q199">
        <f ca="1"/>
        <v>84.016082416674664</v>
      </c>
      <c r="R199">
        <f ca="1"/>
        <v>1.06473604165144</v>
      </c>
      <c r="S199">
        <f ca="1"/>
        <v>1.522267693922826E-12</v>
      </c>
      <c r="T199">
        <f ca="1"/>
        <v>0.36373853054821931</v>
      </c>
      <c r="U199">
        <f ca="1"/>
        <v>0</v>
      </c>
      <c r="V199">
        <f ca="1"/>
        <v>76.213341500468502</v>
      </c>
      <c r="W199">
        <f ca="1"/>
        <v>61.102075513306701</v>
      </c>
      <c r="X199">
        <f ca="1"/>
        <v>0</v>
      </c>
      <c r="Y199">
        <f ca="1"/>
        <v>1</v>
      </c>
      <c r="Z199">
        <f ca="1"/>
        <v>3.66308763532912</v>
      </c>
      <c r="AA199">
        <f ca="1"/>
        <v>0</v>
      </c>
      <c r="AB199">
        <f ca="1"/>
        <v>0.84314453023601899</v>
      </c>
      <c r="AD199" s="2">
        <f t="shared" ca="1" si="32"/>
        <v>44444</v>
      </c>
      <c r="AE199" s="46">
        <f t="shared" ca="1" si="33"/>
        <v>0</v>
      </c>
      <c r="AG199" s="72">
        <f t="shared" ca="1" si="27"/>
        <v>85.080818458326107</v>
      </c>
      <c r="AH199" s="72">
        <f t="shared" ca="1" si="28"/>
        <v>85.080818458326107</v>
      </c>
      <c r="AI199" s="3">
        <f t="shared" ca="1" si="29"/>
        <v>0</v>
      </c>
    </row>
    <row r="200" spans="7:35" x14ac:dyDescent="0.25">
      <c r="G200" s="3">
        <f t="shared" si="34"/>
        <v>103</v>
      </c>
      <c r="H200" s="104">
        <f t="shared" ref="H200:H263" si="36">H199+1</f>
        <v>44298</v>
      </c>
      <c r="I200" s="131">
        <f>HLOOKUP($H$4,'Met Data'!$A$2:$F$368,G200,FALSE)</f>
        <v>15.3916666666666</v>
      </c>
      <c r="J200" s="131">
        <f ca="1">HLOOKUP($H$4,'Met Data'!$H$2:$M$368,G200,FALSE)*L200</f>
        <v>4.07</v>
      </c>
      <c r="K200" s="105">
        <f>HLOOKUP($H$4,'Met Data'!$O$2:$T$368,G200,FALSE)</f>
        <v>2.54129590695179</v>
      </c>
      <c r="L200">
        <f t="shared" ca="1" si="30"/>
        <v>1</v>
      </c>
      <c r="N200" t="b">
        <f t="shared" ca="1" si="35"/>
        <v>1</v>
      </c>
      <c r="O200" t="b">
        <f t="shared" ca="1" si="31"/>
        <v>1</v>
      </c>
      <c r="P200" s="2">
        <f ca="1"/>
        <v>44445</v>
      </c>
      <c r="Q200">
        <f ca="1"/>
        <v>83.312362480267495</v>
      </c>
      <c r="R200">
        <f ca="1"/>
        <v>1.06572066451467</v>
      </c>
      <c r="S200">
        <f ca="1"/>
        <v>1.3021462953063106E-12</v>
      </c>
      <c r="T200">
        <f ca="1"/>
        <v>0.36200072810620254</v>
      </c>
      <c r="U200">
        <f ca="1"/>
        <v>0</v>
      </c>
      <c r="V200">
        <f ca="1"/>
        <v>77.279062164983202</v>
      </c>
      <c r="W200">
        <f ca="1"/>
        <v>61.956489494339998</v>
      </c>
      <c r="X200">
        <f ca="1"/>
        <v>0</v>
      </c>
      <c r="Y200">
        <f ca="1"/>
        <v>1</v>
      </c>
      <c r="Z200">
        <f ca="1"/>
        <v>1.7074967065039317</v>
      </c>
      <c r="AA200">
        <f ca="1"/>
        <v>0</v>
      </c>
      <c r="AB200">
        <f ca="1"/>
        <v>0.84571749646368199</v>
      </c>
      <c r="AD200" s="2">
        <f t="shared" ca="1" si="32"/>
        <v>44445</v>
      </c>
      <c r="AE200" s="46">
        <f t="shared" ca="1" si="33"/>
        <v>0</v>
      </c>
      <c r="AG200" s="72">
        <f ca="1">Q199+S200+T200+U200</f>
        <v>84.378083144782167</v>
      </c>
      <c r="AH200" s="72">
        <f ca="1">Q200+R200+X200</f>
        <v>84.378083144782167</v>
      </c>
      <c r="AI200" s="3">
        <f ca="1">AH200-AG200</f>
        <v>0</v>
      </c>
    </row>
    <row r="201" spans="7:35" x14ac:dyDescent="0.25">
      <c r="G201" s="3">
        <f t="shared" si="34"/>
        <v>104</v>
      </c>
      <c r="H201" s="104">
        <f t="shared" si="36"/>
        <v>44299</v>
      </c>
      <c r="I201" s="131">
        <f>HLOOKUP($H$4,'Met Data'!$A$2:$F$368,G201,FALSE)</f>
        <v>15.6451612903225</v>
      </c>
      <c r="J201" s="131">
        <f ca="1">HLOOKUP($H$4,'Met Data'!$H$2:$M$368,G201,FALSE)*L201</f>
        <v>2.43333333333333</v>
      </c>
      <c r="K201" s="105">
        <f>HLOOKUP($H$4,'Met Data'!$O$2:$T$368,G201,FALSE)</f>
        <v>2.5074868670786801</v>
      </c>
      <c r="L201">
        <f t="shared" ca="1" si="30"/>
        <v>1</v>
      </c>
      <c r="N201" t="b">
        <f t="shared" ca="1" si="35"/>
        <v>1</v>
      </c>
      <c r="O201" t="b">
        <f t="shared" ca="1" si="31"/>
        <v>1</v>
      </c>
      <c r="P201" s="2">
        <f ca="1"/>
        <v>44446</v>
      </c>
      <c r="Q201">
        <f ca="1"/>
        <v>82.620394562136624</v>
      </c>
      <c r="R201">
        <f ca="1"/>
        <v>1.04421934191093</v>
      </c>
      <c r="S201">
        <f ca="1"/>
        <v>1.0915053682624217E-12</v>
      </c>
      <c r="T201">
        <f ca="1"/>
        <v>0.35225142377897367</v>
      </c>
      <c r="U201">
        <f ca="1"/>
        <v>0</v>
      </c>
      <c r="V201">
        <f ca="1"/>
        <v>78.323281506894105</v>
      </c>
      <c r="W201">
        <f ca="1"/>
        <v>62.793665346044399</v>
      </c>
      <c r="X201">
        <f ca="1"/>
        <v>0</v>
      </c>
      <c r="Y201">
        <f ca="1"/>
        <v>1</v>
      </c>
      <c r="Z201">
        <f ca="1"/>
        <v>0.53891352167809714</v>
      </c>
      <c r="AA201">
        <f ca="1"/>
        <v>0</v>
      </c>
      <c r="AB201">
        <f ca="1"/>
        <v>0.84812067435638805</v>
      </c>
      <c r="AD201" s="2">
        <f t="shared" ca="1" si="32"/>
        <v>44446</v>
      </c>
      <c r="AE201" s="46">
        <f t="shared" ca="1" si="33"/>
        <v>0</v>
      </c>
      <c r="AG201" s="72">
        <f ca="1">Q200+S201+T201+U201</f>
        <v>83.66461390404757</v>
      </c>
      <c r="AH201" s="72">
        <f ca="1">Q201+R201+X201</f>
        <v>83.664613904047556</v>
      </c>
      <c r="AI201" s="3">
        <f ca="1">AH201-AG201</f>
        <v>0</v>
      </c>
    </row>
    <row r="202" spans="7:35" x14ac:dyDescent="0.25">
      <c r="G202" s="3">
        <f t="shared" si="34"/>
        <v>105</v>
      </c>
      <c r="H202" s="104">
        <f t="shared" si="36"/>
        <v>44300</v>
      </c>
      <c r="I202" s="131">
        <f>HLOOKUP($H$4,'Met Data'!$A$2:$F$368,G202,FALSE)</f>
        <v>15.3435483870967</v>
      </c>
      <c r="J202" s="131">
        <f ca="1">HLOOKUP($H$4,'Met Data'!$H$2:$M$368,G202,FALSE)*L202</f>
        <v>3.5533333333333301</v>
      </c>
      <c r="K202" s="105">
        <f>HLOOKUP($H$4,'Met Data'!$O$2:$T$368,G202,FALSE)</f>
        <v>2.53164431510397</v>
      </c>
      <c r="L202">
        <f t="shared" ca="1" si="30"/>
        <v>1</v>
      </c>
      <c r="N202" t="b">
        <f t="shared" ca="1" si="35"/>
        <v>1</v>
      </c>
      <c r="O202" t="b">
        <f t="shared" ca="1" si="31"/>
        <v>1</v>
      </c>
      <c r="P202" s="2">
        <f ca="1"/>
        <v>44447</v>
      </c>
      <c r="Q202">
        <f ca="1"/>
        <v>81.897263129682244</v>
      </c>
      <c r="R202">
        <f ca="1"/>
        <v>1.09024449092219</v>
      </c>
      <c r="S202">
        <f ca="1"/>
        <v>9.7912573404266802E-13</v>
      </c>
      <c r="T202">
        <f ca="1"/>
        <v>0.36711305846681525</v>
      </c>
      <c r="U202">
        <f ca="1"/>
        <v>0</v>
      </c>
      <c r="V202">
        <f ca="1"/>
        <v>79.413525997816294</v>
      </c>
      <c r="W202">
        <f ca="1"/>
        <v>63.6677406706631</v>
      </c>
      <c r="X202">
        <f ca="1"/>
        <v>0</v>
      </c>
      <c r="Y202">
        <f ca="1"/>
        <v>1</v>
      </c>
      <c r="Z202">
        <f ca="1"/>
        <v>2.0131030731859454</v>
      </c>
      <c r="AA202">
        <f ca="1"/>
        <v>0</v>
      </c>
      <c r="AB202">
        <f ca="1"/>
        <v>0.85051165989522304</v>
      </c>
      <c r="AD202" s="2">
        <f t="shared" ca="1" si="32"/>
        <v>44447</v>
      </c>
      <c r="AE202" s="46">
        <f t="shared" ca="1" si="33"/>
        <v>0</v>
      </c>
      <c r="AG202" s="72">
        <f ca="1">Q201+S202+T202+U202</f>
        <v>82.987507620604418</v>
      </c>
      <c r="AH202" s="72">
        <f ca="1">Q202+R202+X202</f>
        <v>82.987507620604433</v>
      </c>
      <c r="AI202" s="3">
        <f ca="1">AH202-AG202</f>
        <v>0</v>
      </c>
    </row>
    <row r="203" spans="7:35" x14ac:dyDescent="0.25">
      <c r="G203" s="3">
        <f t="shared" si="34"/>
        <v>106</v>
      </c>
      <c r="H203" s="104">
        <f t="shared" si="36"/>
        <v>44301</v>
      </c>
      <c r="I203" s="131">
        <f>HLOOKUP($H$4,'Met Data'!$A$2:$F$368,G203,FALSE)</f>
        <v>15.1612903225806</v>
      </c>
      <c r="J203" s="131">
        <f ca="1">HLOOKUP($H$4,'Met Data'!$H$2:$M$368,G203,FALSE)*L203</f>
        <v>2.7451612903225802</v>
      </c>
      <c r="K203" s="105">
        <f>HLOOKUP($H$4,'Met Data'!$O$2:$T$368,G203,FALSE)</f>
        <v>2.2462315590791202</v>
      </c>
      <c r="L203">
        <f t="shared" ca="1" si="30"/>
        <v>1</v>
      </c>
      <c r="N203" t="b">
        <f t="shared" ca="1" si="35"/>
        <v>1</v>
      </c>
      <c r="O203" t="b">
        <f t="shared" ca="1" si="31"/>
        <v>1</v>
      </c>
      <c r="P203" s="2">
        <f ca="1"/>
        <v>44448</v>
      </c>
      <c r="Q203">
        <f ca="1"/>
        <v>81.190933476857069</v>
      </c>
      <c r="R203">
        <f ca="1"/>
        <v>1.0610712922439101</v>
      </c>
      <c r="S203">
        <f ca="1"/>
        <v>8.1384846566885656E-13</v>
      </c>
      <c r="T203">
        <f ca="1"/>
        <v>0.35474163941792419</v>
      </c>
      <c r="U203">
        <f ca="1"/>
        <v>0</v>
      </c>
      <c r="V203">
        <f ca="1"/>
        <v>80.474597290060203</v>
      </c>
      <c r="W203">
        <f ca="1"/>
        <v>64.518427137720707</v>
      </c>
      <c r="X203">
        <f ca="1"/>
        <v>0</v>
      </c>
      <c r="Y203">
        <f ca="1"/>
        <v>1</v>
      </c>
      <c r="Z203">
        <f ca="1"/>
        <v>1.4464676985466127</v>
      </c>
      <c r="AA203">
        <f ca="1"/>
        <v>0</v>
      </c>
      <c r="AB203">
        <f ca="1"/>
        <v>0.85272871810148498</v>
      </c>
      <c r="AD203" s="2">
        <f t="shared" ca="1" si="32"/>
        <v>44448</v>
      </c>
      <c r="AE203" s="46">
        <f t="shared" ca="1" si="33"/>
        <v>0</v>
      </c>
      <c r="AG203" s="72">
        <f t="shared" ref="AG203:AG266" ca="1" si="37">Q202+S203+T203+U203</f>
        <v>82.252004769100978</v>
      </c>
      <c r="AH203" s="72">
        <f t="shared" ref="AH203:AH266" ca="1" si="38">Q203+R203+X203</f>
        <v>82.252004769100978</v>
      </c>
      <c r="AI203" s="3">
        <f t="shared" ref="AI203:AI266" ca="1" si="39">AH203-AG203</f>
        <v>0</v>
      </c>
    </row>
    <row r="204" spans="7:35" x14ac:dyDescent="0.25">
      <c r="G204" s="3">
        <f t="shared" si="34"/>
        <v>107</v>
      </c>
      <c r="H204" s="104">
        <f t="shared" si="36"/>
        <v>44302</v>
      </c>
      <c r="I204" s="131">
        <f>HLOOKUP($H$4,'Met Data'!$A$2:$F$368,G204,FALSE)</f>
        <v>15.658064516129</v>
      </c>
      <c r="J204" s="131">
        <f ca="1">HLOOKUP($H$4,'Met Data'!$H$2:$M$368,G204,FALSE)*L204</f>
        <v>3.7677419354838699</v>
      </c>
      <c r="K204" s="105">
        <f>HLOOKUP($H$4,'Met Data'!$O$2:$T$368,G204,FALSE)</f>
        <v>2.3441419540899799</v>
      </c>
      <c r="L204">
        <f t="shared" ca="1" si="30"/>
        <v>1</v>
      </c>
      <c r="N204" t="b">
        <f t="shared" ca="1" si="35"/>
        <v>1</v>
      </c>
      <c r="O204" t="b">
        <f t="shared" ca="1" si="31"/>
        <v>1</v>
      </c>
      <c r="P204" s="2">
        <f ca="1"/>
        <v>44449</v>
      </c>
      <c r="Q204">
        <f ca="1"/>
        <v>80.470768222770232</v>
      </c>
      <c r="R204">
        <f ca="1"/>
        <v>1.0800644394149801</v>
      </c>
      <c r="S204">
        <f ca="1"/>
        <v>7.0633714947396015E-13</v>
      </c>
      <c r="T204">
        <f ca="1"/>
        <v>0.35989918532744353</v>
      </c>
      <c r="U204">
        <f ca="1"/>
        <v>0</v>
      </c>
      <c r="V204">
        <f ca="1"/>
        <v>81.5546617294752</v>
      </c>
      <c r="W204">
        <f ca="1"/>
        <v>65.384340869320695</v>
      </c>
      <c r="X204">
        <f ca="1"/>
        <v>0</v>
      </c>
      <c r="Y204">
        <f ca="1"/>
        <v>0.99292766417082212</v>
      </c>
      <c r="Z204">
        <f ca="1"/>
        <v>0</v>
      </c>
      <c r="AA204">
        <f ca="1"/>
        <v>0</v>
      </c>
      <c r="AB204">
        <f ca="1"/>
        <v>0.85487979917747703</v>
      </c>
      <c r="AD204" s="2">
        <f t="shared" ca="1" si="32"/>
        <v>44449</v>
      </c>
      <c r="AE204" s="46">
        <f t="shared" ca="1" si="33"/>
        <v>0</v>
      </c>
      <c r="AG204" s="72">
        <f t="shared" ca="1" si="37"/>
        <v>81.550832662185229</v>
      </c>
      <c r="AH204" s="72">
        <f t="shared" ca="1" si="38"/>
        <v>81.550832662185215</v>
      </c>
      <c r="AI204" s="3">
        <f t="shared" ca="1" si="39"/>
        <v>0</v>
      </c>
    </row>
    <row r="205" spans="7:35" x14ac:dyDescent="0.25">
      <c r="G205" s="3">
        <f t="shared" si="34"/>
        <v>108</v>
      </c>
      <c r="H205" s="104">
        <f t="shared" si="36"/>
        <v>44303</v>
      </c>
      <c r="I205" s="131">
        <f>HLOOKUP($H$4,'Met Data'!$A$2:$F$368,G205,FALSE)</f>
        <v>15.408064516129</v>
      </c>
      <c r="J205" s="131">
        <f ca="1">HLOOKUP($H$4,'Met Data'!$H$2:$M$368,G205,FALSE)*L205</f>
        <v>2.6870967741935399</v>
      </c>
      <c r="K205" s="105">
        <f>HLOOKUP($H$4,'Met Data'!$O$2:$T$368,G205,FALSE)</f>
        <v>2.0871356285448601</v>
      </c>
      <c r="L205">
        <f t="shared" ca="1" si="30"/>
        <v>1</v>
      </c>
      <c r="N205" t="b">
        <f t="shared" ca="1" si="35"/>
        <v>1</v>
      </c>
      <c r="O205" t="b">
        <f t="shared" ca="1" si="31"/>
        <v>1</v>
      </c>
      <c r="P205" s="2">
        <f ca="1"/>
        <v>44450</v>
      </c>
      <c r="Q205">
        <f ca="1"/>
        <v>79.737572547388339</v>
      </c>
      <c r="R205">
        <f ca="1"/>
        <v>1.09790577679719</v>
      </c>
      <c r="S205">
        <f ca="1"/>
        <v>6.2043639747482446E-13</v>
      </c>
      <c r="T205">
        <f ca="1"/>
        <v>0.36471010141467397</v>
      </c>
      <c r="U205">
        <f ca="1"/>
        <v>0</v>
      </c>
      <c r="V205">
        <f ca="1"/>
        <v>82.652567506272405</v>
      </c>
      <c r="W205">
        <f ca="1"/>
        <v>66.264558431752903</v>
      </c>
      <c r="X205">
        <f ca="1"/>
        <v>0</v>
      </c>
      <c r="Y205">
        <f ca="1"/>
        <v>1</v>
      </c>
      <c r="Z205">
        <f ca="1"/>
        <v>0.12189050266300683</v>
      </c>
      <c r="AA205">
        <f ca="1"/>
        <v>0</v>
      </c>
      <c r="AB205">
        <f ca="1"/>
        <v>0.85696276038677699</v>
      </c>
      <c r="AD205" s="2">
        <f t="shared" ca="1" si="32"/>
        <v>44450</v>
      </c>
      <c r="AE205" s="46">
        <f t="shared" ca="1" si="33"/>
        <v>0</v>
      </c>
      <c r="AG205" s="72">
        <f t="shared" ca="1" si="37"/>
        <v>80.83547832418553</v>
      </c>
      <c r="AH205" s="72">
        <f t="shared" ca="1" si="38"/>
        <v>80.83547832418553</v>
      </c>
      <c r="AI205" s="3">
        <f t="shared" ca="1" si="39"/>
        <v>0</v>
      </c>
    </row>
    <row r="206" spans="7:35" x14ac:dyDescent="0.25">
      <c r="G206" s="3">
        <f t="shared" si="34"/>
        <v>109</v>
      </c>
      <c r="H206" s="104">
        <f t="shared" si="36"/>
        <v>44304</v>
      </c>
      <c r="I206" s="131">
        <f>HLOOKUP($H$4,'Met Data'!$A$2:$F$368,G206,FALSE)</f>
        <v>15.420967741935399</v>
      </c>
      <c r="J206" s="131">
        <f ca="1">HLOOKUP($H$4,'Met Data'!$H$2:$M$368,G206,FALSE)*L206</f>
        <v>2.8516129032258002</v>
      </c>
      <c r="K206" s="105">
        <f>HLOOKUP($H$4,'Met Data'!$O$2:$T$368,G206,FALSE)</f>
        <v>2.1715863377271001</v>
      </c>
      <c r="L206">
        <f t="shared" ca="1" si="30"/>
        <v>1</v>
      </c>
      <c r="N206" t="b">
        <f t="shared" ca="1" si="35"/>
        <v>1</v>
      </c>
      <c r="O206" t="b">
        <f t="shared" ca="1" si="31"/>
        <v>1</v>
      </c>
      <c r="P206" s="2">
        <f ca="1"/>
        <v>44451</v>
      </c>
      <c r="Q206">
        <f ca="1"/>
        <v>78.976469455426638</v>
      </c>
      <c r="R206">
        <f ca="1"/>
        <v>1.1392785293899299</v>
      </c>
      <c r="S206">
        <f ca="1"/>
        <v>5.5074830971310531E-13</v>
      </c>
      <c r="T206">
        <f ca="1"/>
        <v>0.37817543742767573</v>
      </c>
      <c r="U206">
        <f ca="1"/>
        <v>0</v>
      </c>
      <c r="V206">
        <f ca="1"/>
        <v>83.791846035662303</v>
      </c>
      <c r="W206">
        <f ca="1"/>
        <v>67.177945528591394</v>
      </c>
      <c r="X206">
        <f ca="1"/>
        <v>0</v>
      </c>
      <c r="Y206">
        <f ca="1"/>
        <v>1</v>
      </c>
      <c r="Z206">
        <f ca="1"/>
        <v>1.5105609271102907</v>
      </c>
      <c r="AA206">
        <f ca="1"/>
        <v>0</v>
      </c>
      <c r="AB206">
        <f ca="1"/>
        <v>0.85901950306115404</v>
      </c>
      <c r="AD206" s="2">
        <f t="shared" ca="1" si="32"/>
        <v>44451</v>
      </c>
      <c r="AE206" s="46">
        <f t="shared" ca="1" si="33"/>
        <v>0</v>
      </c>
      <c r="AG206" s="72">
        <f t="shared" ca="1" si="37"/>
        <v>80.115747984816565</v>
      </c>
      <c r="AH206" s="72">
        <f t="shared" ca="1" si="38"/>
        <v>80.115747984816565</v>
      </c>
      <c r="AI206" s="3">
        <f t="shared" ca="1" si="39"/>
        <v>0</v>
      </c>
    </row>
    <row r="207" spans="7:35" x14ac:dyDescent="0.25">
      <c r="G207" s="3">
        <f t="shared" si="34"/>
        <v>110</v>
      </c>
      <c r="H207" s="104">
        <f t="shared" si="36"/>
        <v>44305</v>
      </c>
      <c r="I207" s="131">
        <f>HLOOKUP($H$4,'Met Data'!$A$2:$F$368,G207,FALSE)</f>
        <v>15.193548387096699</v>
      </c>
      <c r="J207" s="131">
        <f ca="1">HLOOKUP($H$4,'Met Data'!$H$2:$M$368,G207,FALSE)*L207</f>
        <v>2.4258064516129001</v>
      </c>
      <c r="K207" s="105">
        <f>HLOOKUP($H$4,'Met Data'!$O$2:$T$368,G207,FALSE)</f>
        <v>2.2979139363353802</v>
      </c>
      <c r="L207">
        <f t="shared" ca="1" si="30"/>
        <v>1</v>
      </c>
      <c r="N207" t="b">
        <f t="shared" ca="1" si="35"/>
        <v>1</v>
      </c>
      <c r="O207" t="b">
        <f t="shared" ca="1" si="31"/>
        <v>1</v>
      </c>
      <c r="P207" s="2">
        <f ca="1"/>
        <v>44452</v>
      </c>
      <c r="Q207">
        <f ca="1"/>
        <v>78.226068482067191</v>
      </c>
      <c r="R207">
        <f ca="1"/>
        <v>1.12001865606756</v>
      </c>
      <c r="S207">
        <f ca="1"/>
        <v>4.607218736564783E-13</v>
      </c>
      <c r="T207">
        <f ca="1"/>
        <v>0.36961768270764511</v>
      </c>
      <c r="U207">
        <f ca="1"/>
        <v>0</v>
      </c>
      <c r="V207">
        <f ca="1"/>
        <v>84.911864691729903</v>
      </c>
      <c r="W207">
        <f ca="1"/>
        <v>68.075891520093805</v>
      </c>
      <c r="X207">
        <f ca="1"/>
        <v>0</v>
      </c>
      <c r="Y207">
        <f ca="1"/>
        <v>1</v>
      </c>
      <c r="Z207">
        <f ca="1"/>
        <v>2.8563751610975316</v>
      </c>
      <c r="AA207">
        <f ca="1"/>
        <v>0</v>
      </c>
      <c r="AB207">
        <f ca="1"/>
        <v>0.860942986649469</v>
      </c>
      <c r="AD207" s="2">
        <f t="shared" ca="1" si="32"/>
        <v>44452</v>
      </c>
      <c r="AE207" s="46">
        <f t="shared" ca="1" si="33"/>
        <v>0</v>
      </c>
      <c r="AG207" s="72">
        <f t="shared" ca="1" si="37"/>
        <v>79.346087138134735</v>
      </c>
      <c r="AH207" s="72">
        <f t="shared" ca="1" si="38"/>
        <v>79.346087138134749</v>
      </c>
      <c r="AI207" s="3">
        <f t="shared" ca="1" si="39"/>
        <v>0</v>
      </c>
    </row>
    <row r="208" spans="7:35" x14ac:dyDescent="0.25">
      <c r="G208" s="3">
        <f t="shared" si="34"/>
        <v>111</v>
      </c>
      <c r="H208" s="104">
        <f t="shared" si="36"/>
        <v>44306</v>
      </c>
      <c r="I208" s="131">
        <f>HLOOKUP($H$4,'Met Data'!$A$2:$F$368,G208,FALSE)</f>
        <v>15.4096774193548</v>
      </c>
      <c r="J208" s="131">
        <f ca="1">HLOOKUP($H$4,'Met Data'!$H$2:$M$368,G208,FALSE)*L208</f>
        <v>1.7322580645161201</v>
      </c>
      <c r="K208" s="105">
        <f>HLOOKUP($H$4,'Met Data'!$O$2:$T$368,G208,FALSE)</f>
        <v>2.3194627801487999</v>
      </c>
      <c r="L208">
        <f t="shared" ca="1" si="30"/>
        <v>1</v>
      </c>
      <c r="N208" t="b">
        <f t="shared" ca="1" si="35"/>
        <v>1</v>
      </c>
      <c r="O208" t="b">
        <f t="shared" ca="1" si="31"/>
        <v>1</v>
      </c>
      <c r="P208" s="2">
        <f ca="1"/>
        <v>44453</v>
      </c>
      <c r="Q208">
        <f ca="1"/>
        <v>77.461757856616387</v>
      </c>
      <c r="R208">
        <f ca="1"/>
        <v>1.13961990107903</v>
      </c>
      <c r="S208">
        <f ca="1"/>
        <v>4.0041144594331269E-13</v>
      </c>
      <c r="T208">
        <f ca="1"/>
        <v>0.37530927562783001</v>
      </c>
      <c r="U208">
        <f ca="1"/>
        <v>0</v>
      </c>
      <c r="V208">
        <f ca="1"/>
        <v>86.051484592808904</v>
      </c>
      <c r="W208">
        <f ca="1"/>
        <v>68.989552302855401</v>
      </c>
      <c r="X208">
        <f ca="1"/>
        <v>0</v>
      </c>
      <c r="Y208">
        <f ca="1"/>
        <v>1</v>
      </c>
      <c r="Z208">
        <f ca="1"/>
        <v>1.1269432265568042</v>
      </c>
      <c r="AA208">
        <f ca="1"/>
        <v>0</v>
      </c>
      <c r="AB208">
        <f ca="1"/>
        <v>0.86280521618733097</v>
      </c>
      <c r="AD208" s="2">
        <f t="shared" ca="1" si="32"/>
        <v>44453</v>
      </c>
      <c r="AE208" s="46">
        <f t="shared" ca="1" si="33"/>
        <v>0</v>
      </c>
      <c r="AG208" s="72">
        <f t="shared" ca="1" si="37"/>
        <v>78.601377757695417</v>
      </c>
      <c r="AH208" s="72">
        <f t="shared" ca="1" si="38"/>
        <v>78.601377757695417</v>
      </c>
      <c r="AI208" s="3">
        <f t="shared" ca="1" si="39"/>
        <v>0</v>
      </c>
    </row>
    <row r="209" spans="7:35" x14ac:dyDescent="0.25">
      <c r="G209" s="3">
        <f t="shared" si="34"/>
        <v>112</v>
      </c>
      <c r="H209" s="104">
        <f t="shared" si="36"/>
        <v>44307</v>
      </c>
      <c r="I209" s="131">
        <f>HLOOKUP($H$4,'Met Data'!$A$2:$F$368,G209,FALSE)</f>
        <v>15.261666666666599</v>
      </c>
      <c r="J209" s="131">
        <f ca="1">HLOOKUP($H$4,'Met Data'!$H$2:$M$368,G209,FALSE)*L209</f>
        <v>4.0161290322580596</v>
      </c>
      <c r="K209" s="105">
        <f>HLOOKUP($H$4,'Met Data'!$O$2:$T$368,G209,FALSE)</f>
        <v>2.3321304827068001</v>
      </c>
      <c r="L209">
        <f t="shared" ca="1" si="30"/>
        <v>1</v>
      </c>
      <c r="N209" t="b">
        <f t="shared" ca="1" si="35"/>
        <v>1</v>
      </c>
      <c r="O209" t="b">
        <f t="shared" ca="1" si="31"/>
        <v>1</v>
      </c>
      <c r="P209" s="2">
        <f ca="1"/>
        <v>44454</v>
      </c>
      <c r="Q209">
        <f ca="1"/>
        <v>76.674917950057619</v>
      </c>
      <c r="R209">
        <f ca="1"/>
        <v>1.1729965343733399</v>
      </c>
      <c r="S209">
        <f ca="1"/>
        <v>3.5127652909018544E-13</v>
      </c>
      <c r="T209">
        <f ca="1"/>
        <v>0.38615662781423077</v>
      </c>
      <c r="U209">
        <f ca="1"/>
        <v>0</v>
      </c>
      <c r="V209">
        <f ca="1"/>
        <v>87.224481127182301</v>
      </c>
      <c r="W209">
        <f ca="1"/>
        <v>69.929971938172002</v>
      </c>
      <c r="X209">
        <f ca="1"/>
        <v>0</v>
      </c>
      <c r="Y209">
        <f ca="1"/>
        <v>1</v>
      </c>
      <c r="Z209">
        <f ca="1"/>
        <v>0.94420689421562543</v>
      </c>
      <c r="AA209">
        <f ca="1"/>
        <v>0</v>
      </c>
      <c r="AB209">
        <f ca="1"/>
        <v>0.86462732024975597</v>
      </c>
      <c r="AD209" s="2">
        <f t="shared" ca="1" si="32"/>
        <v>44454</v>
      </c>
      <c r="AE209" s="46">
        <f t="shared" ca="1" si="33"/>
        <v>0</v>
      </c>
      <c r="AG209" s="72">
        <f t="shared" ca="1" si="37"/>
        <v>77.847914484430973</v>
      </c>
      <c r="AH209" s="72">
        <f t="shared" ca="1" si="38"/>
        <v>77.847914484430959</v>
      </c>
      <c r="AI209" s="3">
        <f t="shared" ca="1" si="39"/>
        <v>0</v>
      </c>
    </row>
    <row r="210" spans="7:35" x14ac:dyDescent="0.25">
      <c r="G210" s="3">
        <f t="shared" si="34"/>
        <v>113</v>
      </c>
      <c r="H210" s="104">
        <f t="shared" si="36"/>
        <v>44308</v>
      </c>
      <c r="I210" s="131">
        <f>HLOOKUP($H$4,'Met Data'!$A$2:$F$368,G210,FALSE)</f>
        <v>14.5283333333333</v>
      </c>
      <c r="J210" s="131">
        <f ca="1">HLOOKUP($H$4,'Met Data'!$H$2:$M$368,G210,FALSE)*L210</f>
        <v>3.5258064516129002</v>
      </c>
      <c r="K210" s="105">
        <f>HLOOKUP($H$4,'Met Data'!$O$2:$T$368,G210,FALSE)</f>
        <v>2.2184505421646001</v>
      </c>
      <c r="L210">
        <f t="shared" ca="1" si="30"/>
        <v>1</v>
      </c>
      <c r="N210" t="b">
        <f t="shared" ca="1" si="35"/>
        <v>1</v>
      </c>
      <c r="O210" t="b">
        <f t="shared" ca="1" si="31"/>
        <v>1</v>
      </c>
      <c r="P210" s="2">
        <f ca="1"/>
        <v>44455</v>
      </c>
      <c r="Q210">
        <f ca="1"/>
        <v>75.873240928901993</v>
      </c>
      <c r="R210">
        <f ca="1"/>
        <v>1.19444628784663</v>
      </c>
      <c r="S210">
        <f ca="1"/>
        <v>3.0360214812861061E-13</v>
      </c>
      <c r="T210">
        <f ca="1"/>
        <v>0.39276926669069384</v>
      </c>
      <c r="U210">
        <f ca="1"/>
        <v>0</v>
      </c>
      <c r="V210">
        <f ca="1"/>
        <v>88.418927415028904</v>
      </c>
      <c r="W210">
        <f ca="1"/>
        <v>70.887588358600794</v>
      </c>
      <c r="X210">
        <f ca="1"/>
        <v>0</v>
      </c>
      <c r="Y210">
        <f ca="1"/>
        <v>1</v>
      </c>
      <c r="Z210">
        <f ca="1"/>
        <v>1.3105115712741053</v>
      </c>
      <c r="AA210">
        <f ca="1"/>
        <v>0</v>
      </c>
      <c r="AB210">
        <f ca="1"/>
        <v>0.86638939643830004</v>
      </c>
      <c r="AD210" s="2">
        <f t="shared" ca="1" si="32"/>
        <v>44455</v>
      </c>
      <c r="AE210" s="46">
        <f t="shared" ca="1" si="33"/>
        <v>0</v>
      </c>
      <c r="AG210" s="72">
        <f t="shared" ca="1" si="37"/>
        <v>77.06768721674861</v>
      </c>
      <c r="AH210" s="72">
        <f t="shared" ca="1" si="38"/>
        <v>77.067687216748624</v>
      </c>
      <c r="AI210" s="3">
        <f t="shared" ca="1" si="39"/>
        <v>0</v>
      </c>
    </row>
    <row r="211" spans="7:35" x14ac:dyDescent="0.25">
      <c r="G211" s="3">
        <f t="shared" si="34"/>
        <v>114</v>
      </c>
      <c r="H211" s="104">
        <f t="shared" si="36"/>
        <v>44309</v>
      </c>
      <c r="I211" s="131">
        <f>HLOOKUP($H$4,'Met Data'!$A$2:$F$368,G211,FALSE)</f>
        <v>14.68</v>
      </c>
      <c r="J211" s="131">
        <f ca="1">HLOOKUP($H$4,'Met Data'!$H$2:$M$368,G211,FALSE)*L211</f>
        <v>2.28709677419354</v>
      </c>
      <c r="K211" s="105">
        <f>HLOOKUP($H$4,'Met Data'!$O$2:$T$368,G211,FALSE)</f>
        <v>2.2540363688604601</v>
      </c>
      <c r="L211">
        <f t="shared" ca="1" si="30"/>
        <v>1</v>
      </c>
      <c r="N211" t="b">
        <f t="shared" ca="1" si="35"/>
        <v>1</v>
      </c>
      <c r="O211" t="b">
        <f t="shared" ca="1" si="31"/>
        <v>1</v>
      </c>
      <c r="P211" s="2">
        <f ca="1"/>
        <v>44456</v>
      </c>
      <c r="Q211">
        <f ca="1"/>
        <v>75.073933857980691</v>
      </c>
      <c r="R211">
        <f ca="1"/>
        <v>1.18875281079863</v>
      </c>
      <c r="S211">
        <f ca="1"/>
        <v>2.5584742950973513E-13</v>
      </c>
      <c r="T211">
        <f ca="1"/>
        <v>0.38944573987708292</v>
      </c>
      <c r="U211">
        <f ca="1"/>
        <v>0</v>
      </c>
      <c r="V211">
        <f ca="1"/>
        <v>89.607680225827494</v>
      </c>
      <c r="W211">
        <f ca="1"/>
        <v>71.840640181051398</v>
      </c>
      <c r="X211">
        <f ca="1"/>
        <v>0</v>
      </c>
      <c r="Y211">
        <f ca="1"/>
        <v>1</v>
      </c>
      <c r="Z211">
        <f ca="1"/>
        <v>0.31549259606683222</v>
      </c>
      <c r="AA211">
        <f ca="1"/>
        <v>0</v>
      </c>
      <c r="AB211">
        <f ca="1"/>
        <v>0.86805465020570605</v>
      </c>
      <c r="AD211" s="2">
        <f t="shared" ca="1" si="32"/>
        <v>44456</v>
      </c>
      <c r="AE211" s="46">
        <f t="shared" ca="1" si="33"/>
        <v>0</v>
      </c>
      <c r="AG211" s="72">
        <f t="shared" ca="1" si="37"/>
        <v>76.262686668779338</v>
      </c>
      <c r="AH211" s="72">
        <f t="shared" ca="1" si="38"/>
        <v>76.262686668779324</v>
      </c>
      <c r="AI211" s="3">
        <f t="shared" ca="1" si="39"/>
        <v>0</v>
      </c>
    </row>
    <row r="212" spans="7:35" x14ac:dyDescent="0.25">
      <c r="G212" s="3">
        <f t="shared" si="34"/>
        <v>115</v>
      </c>
      <c r="H212" s="104">
        <f t="shared" si="36"/>
        <v>44310</v>
      </c>
      <c r="I212" s="131">
        <f>HLOOKUP($H$4,'Met Data'!$A$2:$F$368,G212,FALSE)</f>
        <v>14.4933333333333</v>
      </c>
      <c r="J212" s="131">
        <f ca="1">HLOOKUP($H$4,'Met Data'!$H$2:$M$368,G212,FALSE)*L212</f>
        <v>4.3387096774193497</v>
      </c>
      <c r="K212" s="105">
        <f>HLOOKUP($H$4,'Met Data'!$O$2:$T$368,G212,FALSE)</f>
        <v>2.2396347152399998</v>
      </c>
      <c r="L212">
        <f t="shared" ca="1" si="30"/>
        <v>1</v>
      </c>
      <c r="N212" t="b">
        <f t="shared" ca="1" si="35"/>
        <v>1</v>
      </c>
      <c r="O212" t="b">
        <f t="shared" ca="1" si="31"/>
        <v>1</v>
      </c>
      <c r="P212" s="2">
        <f ca="1"/>
        <v>44457</v>
      </c>
      <c r="Q212">
        <f ca="1"/>
        <v>74.285109294886936</v>
      </c>
      <c r="R212">
        <f ca="1"/>
        <v>1.17055987299324</v>
      </c>
      <c r="S212">
        <f ca="1"/>
        <v>2.1367404339730872E-13</v>
      </c>
      <c r="T212">
        <f ca="1"/>
        <v>0.3817353098992648</v>
      </c>
      <c r="U212">
        <f ca="1"/>
        <v>0</v>
      </c>
      <c r="V212">
        <f ca="1"/>
        <v>90.778240098820802</v>
      </c>
      <c r="W212">
        <f ca="1"/>
        <v>72.779106286123607</v>
      </c>
      <c r="X212">
        <f ca="1"/>
        <v>0</v>
      </c>
      <c r="Y212">
        <f ca="1"/>
        <v>1</v>
      </c>
      <c r="Z212">
        <f ca="1"/>
        <v>0.11485506202221529</v>
      </c>
      <c r="AA212">
        <f ca="1"/>
        <v>0</v>
      </c>
      <c r="AB212">
        <f ca="1"/>
        <v>0.86961289122480101</v>
      </c>
      <c r="AD212" s="2">
        <f t="shared" ca="1" si="32"/>
        <v>44457</v>
      </c>
      <c r="AE212" s="46">
        <f t="shared" ca="1" si="33"/>
        <v>0</v>
      </c>
      <c r="AG212" s="72">
        <f t="shared" ca="1" si="37"/>
        <v>75.455669167880174</v>
      </c>
      <c r="AH212" s="72">
        <f t="shared" ca="1" si="38"/>
        <v>75.455669167880174</v>
      </c>
      <c r="AI212" s="3">
        <f t="shared" ca="1" si="39"/>
        <v>0</v>
      </c>
    </row>
    <row r="213" spans="7:35" x14ac:dyDescent="0.25">
      <c r="G213" s="3">
        <f t="shared" si="34"/>
        <v>116</v>
      </c>
      <c r="H213" s="104">
        <f t="shared" si="36"/>
        <v>44311</v>
      </c>
      <c r="I213" s="131">
        <f>HLOOKUP($H$4,'Met Data'!$A$2:$F$368,G213,FALSE)</f>
        <v>14.7733333333333</v>
      </c>
      <c r="J213" s="131">
        <f ca="1">HLOOKUP($H$4,'Met Data'!$H$2:$M$368,G213,FALSE)*L213</f>
        <v>6.4580645161290304</v>
      </c>
      <c r="K213" s="105">
        <f>HLOOKUP($H$4,'Met Data'!$O$2:$T$368,G213,FALSE)</f>
        <v>2.0110185254269899</v>
      </c>
      <c r="L213">
        <f t="shared" ca="1" si="30"/>
        <v>1</v>
      </c>
      <c r="N213" t="b">
        <f t="shared" ca="1" si="35"/>
        <v>1</v>
      </c>
      <c r="O213" t="b">
        <f t="shared" ca="1" si="31"/>
        <v>1</v>
      </c>
      <c r="P213" s="2">
        <f ca="1"/>
        <v>44458</v>
      </c>
      <c r="Q213">
        <f ca="1"/>
        <v>73.499503389069432</v>
      </c>
      <c r="R213">
        <f ca="1"/>
        <v>1.16410579602699</v>
      </c>
      <c r="S213">
        <f ca="1"/>
        <v>1.8084463465655422E-13</v>
      </c>
      <c r="T213">
        <f ca="1"/>
        <v>0.37849989020930302</v>
      </c>
      <c r="U213">
        <f ca="1"/>
        <v>0</v>
      </c>
      <c r="V213">
        <f ca="1"/>
        <v>91.942345894847705</v>
      </c>
      <c r="W213">
        <f ca="1"/>
        <v>73.712398001903793</v>
      </c>
      <c r="X213">
        <f ca="1"/>
        <v>0</v>
      </c>
      <c r="Y213">
        <f ca="1"/>
        <v>1</v>
      </c>
      <c r="Z213">
        <f ca="1"/>
        <v>1.2891134635840302</v>
      </c>
      <c r="AA213">
        <f ca="1"/>
        <v>0</v>
      </c>
      <c r="AB213">
        <f ca="1"/>
        <v>0.87108659645692998</v>
      </c>
      <c r="AD213" s="2">
        <f t="shared" ca="1" si="32"/>
        <v>44458</v>
      </c>
      <c r="AE213" s="46">
        <f t="shared" ca="1" si="33"/>
        <v>0</v>
      </c>
      <c r="AG213" s="72">
        <f t="shared" ca="1" si="37"/>
        <v>74.663609185096419</v>
      </c>
      <c r="AH213" s="72">
        <f t="shared" ca="1" si="38"/>
        <v>74.663609185096419</v>
      </c>
      <c r="AI213" s="3">
        <f t="shared" ca="1" si="39"/>
        <v>0</v>
      </c>
    </row>
    <row r="214" spans="7:35" x14ac:dyDescent="0.25">
      <c r="G214" s="3">
        <f t="shared" si="34"/>
        <v>117</v>
      </c>
      <c r="H214" s="104">
        <f t="shared" si="36"/>
        <v>44312</v>
      </c>
      <c r="I214" s="131">
        <f>HLOOKUP($H$4,'Met Data'!$A$2:$F$368,G214,FALSE)</f>
        <v>14.998333333333299</v>
      </c>
      <c r="J214" s="131">
        <f ca="1">HLOOKUP($H$4,'Met Data'!$H$2:$M$368,G214,FALSE)*L214</f>
        <v>3.1903225806451601</v>
      </c>
      <c r="K214" s="105">
        <f>HLOOKUP($H$4,'Met Data'!$O$2:$T$368,G214,FALSE)</f>
        <v>2.1294944258891699</v>
      </c>
      <c r="L214">
        <f t="shared" ca="1" si="30"/>
        <v>1</v>
      </c>
      <c r="N214" t="b">
        <f t="shared" ca="1" si="35"/>
        <v>1</v>
      </c>
      <c r="O214" t="b">
        <f t="shared" ca="1" si="31"/>
        <v>1</v>
      </c>
      <c r="P214" s="2">
        <f ca="1"/>
        <v>44459</v>
      </c>
      <c r="Q214">
        <f ca="1"/>
        <v>72.715514478707618</v>
      </c>
      <c r="R214">
        <f ca="1"/>
        <v>1.1603783345332099</v>
      </c>
      <c r="S214">
        <f ca="1"/>
        <v>1.5366105750114847E-13</v>
      </c>
      <c r="T214">
        <f ca="1"/>
        <v>0.37638942417125371</v>
      </c>
      <c r="U214">
        <f ca="1"/>
        <v>0</v>
      </c>
      <c r="V214">
        <f ca="1"/>
        <v>93.102724229380996</v>
      </c>
      <c r="W214">
        <f ca="1"/>
        <v>74.642701321831296</v>
      </c>
      <c r="X214">
        <f ca="1"/>
        <v>0</v>
      </c>
      <c r="Y214">
        <f ca="1"/>
        <v>1</v>
      </c>
      <c r="Z214">
        <f ca="1"/>
        <v>1.1747895216288384E-2</v>
      </c>
      <c r="AA214">
        <f ca="1"/>
        <v>0</v>
      </c>
      <c r="AB214">
        <f ca="1"/>
        <v>0.87248418497112701</v>
      </c>
      <c r="AD214" s="2">
        <f t="shared" ca="1" si="32"/>
        <v>44459</v>
      </c>
      <c r="AE214" s="46">
        <f t="shared" ca="1" si="33"/>
        <v>0</v>
      </c>
      <c r="AG214" s="72">
        <f t="shared" ca="1" si="37"/>
        <v>73.875892813240839</v>
      </c>
      <c r="AH214" s="72">
        <f t="shared" ca="1" si="38"/>
        <v>73.875892813240824</v>
      </c>
      <c r="AI214" s="3">
        <f t="shared" ca="1" si="39"/>
        <v>0</v>
      </c>
    </row>
    <row r="215" spans="7:35" x14ac:dyDescent="0.25">
      <c r="G215" s="3">
        <f t="shared" si="34"/>
        <v>118</v>
      </c>
      <c r="H215" s="104">
        <f t="shared" si="36"/>
        <v>44313</v>
      </c>
      <c r="I215" s="131">
        <f>HLOOKUP($H$4,'Met Data'!$A$2:$F$368,G215,FALSE)</f>
        <v>15.395</v>
      </c>
      <c r="J215" s="131">
        <f ca="1">HLOOKUP($H$4,'Met Data'!$H$2:$M$368,G215,FALSE)*L215</f>
        <v>2.8516129032258002</v>
      </c>
      <c r="K215" s="105">
        <f>HLOOKUP($H$4,'Met Data'!$O$2:$T$368,G215,FALSE)</f>
        <v>2.1336270025185899</v>
      </c>
      <c r="L215">
        <f t="shared" ca="1" si="30"/>
        <v>1</v>
      </c>
      <c r="N215" t="b">
        <f t="shared" ca="1" si="35"/>
        <v>1</v>
      </c>
      <c r="O215" t="b">
        <f t="shared" ca="1" si="31"/>
        <v>1</v>
      </c>
      <c r="P215" s="2">
        <f ca="1"/>
        <v>44460</v>
      </c>
      <c r="Q215">
        <f ca="1"/>
        <v>71.935486896562651</v>
      </c>
      <c r="R215">
        <f ca="1"/>
        <v>1.15320993659385</v>
      </c>
      <c r="S215">
        <f ca="1"/>
        <v>1.3032271025293339E-13</v>
      </c>
      <c r="T215">
        <f ca="1"/>
        <v>0.37318235444874648</v>
      </c>
      <c r="U215">
        <f ca="1"/>
        <v>0</v>
      </c>
      <c r="V215">
        <f ca="1"/>
        <v>94.255934165974807</v>
      </c>
      <c r="W215">
        <f ca="1"/>
        <v>75.567257564100501</v>
      </c>
      <c r="X215">
        <f ca="1"/>
        <v>0</v>
      </c>
      <c r="Y215">
        <f ca="1"/>
        <v>1</v>
      </c>
      <c r="Z215">
        <f ca="1"/>
        <v>0.15527110242304332</v>
      </c>
      <c r="AA215">
        <f ca="1"/>
        <v>0</v>
      </c>
      <c r="AB215">
        <f ca="1"/>
        <v>0.87380619955356198</v>
      </c>
      <c r="AD215" s="2">
        <f t="shared" ca="1" si="32"/>
        <v>44460</v>
      </c>
      <c r="AE215" s="46">
        <f t="shared" ca="1" si="33"/>
        <v>0</v>
      </c>
      <c r="AG215" s="72">
        <f t="shared" ca="1" si="37"/>
        <v>73.08869683315649</v>
      </c>
      <c r="AH215" s="72">
        <f t="shared" ca="1" si="38"/>
        <v>73.088696833156504</v>
      </c>
      <c r="AI215" s="3">
        <f t="shared" ca="1" si="39"/>
        <v>0</v>
      </c>
    </row>
    <row r="216" spans="7:35" x14ac:dyDescent="0.25">
      <c r="G216" s="3">
        <f t="shared" si="34"/>
        <v>119</v>
      </c>
      <c r="H216" s="104">
        <f t="shared" si="36"/>
        <v>44314</v>
      </c>
      <c r="I216" s="131">
        <f>HLOOKUP($H$4,'Met Data'!$A$2:$F$368,G216,FALSE)</f>
        <v>15.641379310344799</v>
      </c>
      <c r="J216" s="131">
        <f ca="1">HLOOKUP($H$4,'Met Data'!$H$2:$M$368,G216,FALSE)*L216</f>
        <v>3.74193548387096</v>
      </c>
      <c r="K216" s="105">
        <f>HLOOKUP($H$4,'Met Data'!$O$2:$T$368,G216,FALSE)</f>
        <v>2.0365768668725401</v>
      </c>
      <c r="L216">
        <f t="shared" ca="1" si="30"/>
        <v>1</v>
      </c>
      <c r="N216" t="b">
        <f t="shared" ca="1" si="35"/>
        <v>1</v>
      </c>
      <c r="O216" t="b">
        <f t="shared" ca="1" si="31"/>
        <v>1</v>
      </c>
      <c r="P216" s="2">
        <f ca="1"/>
        <v>44461</v>
      </c>
      <c r="Q216">
        <f ca="1"/>
        <v>71.144799838815501</v>
      </c>
      <c r="R216">
        <f ca="1"/>
        <v>1.16896444737426</v>
      </c>
      <c r="S216">
        <f ca="1"/>
        <v>1.1291378890449148E-13</v>
      </c>
      <c r="T216">
        <f ca="1"/>
        <v>0.3782773896270018</v>
      </c>
      <c r="U216">
        <f ca="1"/>
        <v>0</v>
      </c>
      <c r="V216">
        <f ca="1"/>
        <v>95.4248986133491</v>
      </c>
      <c r="W216">
        <f ca="1"/>
        <v>76.504444577943701</v>
      </c>
      <c r="X216">
        <f ca="1"/>
        <v>0</v>
      </c>
      <c r="Y216">
        <f ca="1"/>
        <v>1</v>
      </c>
      <c r="Z216">
        <f ca="1"/>
        <v>1.7529980768732827</v>
      </c>
      <c r="AA216">
        <f ca="1"/>
        <v>0</v>
      </c>
      <c r="AB216">
        <f ca="1"/>
        <v>0.87508170573349797</v>
      </c>
      <c r="AD216" s="2">
        <f t="shared" ca="1" si="32"/>
        <v>44461</v>
      </c>
      <c r="AE216" s="46">
        <f t="shared" ca="1" si="33"/>
        <v>0</v>
      </c>
      <c r="AG216" s="72">
        <f t="shared" ca="1" si="37"/>
        <v>72.313764286189766</v>
      </c>
      <c r="AH216" s="72">
        <f t="shared" ca="1" si="38"/>
        <v>72.313764286189766</v>
      </c>
      <c r="AI216" s="3">
        <f t="shared" ca="1" si="39"/>
        <v>0</v>
      </c>
    </row>
    <row r="217" spans="7:35" x14ac:dyDescent="0.25">
      <c r="G217" s="3">
        <f t="shared" si="34"/>
        <v>120</v>
      </c>
      <c r="H217" s="104">
        <f t="shared" si="36"/>
        <v>44315</v>
      </c>
      <c r="I217" s="131">
        <f>HLOOKUP($H$4,'Met Data'!$A$2:$F$368,G217,FALSE)</f>
        <v>14.7327586206896</v>
      </c>
      <c r="J217" s="131">
        <f ca="1">HLOOKUP($H$4,'Met Data'!$H$2:$M$368,G217,FALSE)*L217</f>
        <v>3.3129032258064499</v>
      </c>
      <c r="K217" s="105">
        <f>HLOOKUP($H$4,'Met Data'!$O$2:$T$368,G217,FALSE)</f>
        <v>2.1199579861729001</v>
      </c>
      <c r="L217">
        <f t="shared" ca="1" si="30"/>
        <v>1</v>
      </c>
      <c r="N217" t="b">
        <f t="shared" ca="1" si="35"/>
        <v>1</v>
      </c>
      <c r="O217" t="b">
        <f t="shared" ca="1" si="31"/>
        <v>1</v>
      </c>
      <c r="P217" s="2">
        <f ca="1"/>
        <v>44462</v>
      </c>
      <c r="Q217">
        <f ca="1"/>
        <v>70.345254956059591</v>
      </c>
      <c r="R217">
        <f ca="1"/>
        <v>1.18211973014438</v>
      </c>
      <c r="S217">
        <f ca="1"/>
        <v>9.7420480890493836E-14</v>
      </c>
      <c r="T217">
        <f ca="1"/>
        <v>0.38257484738837005</v>
      </c>
      <c r="U217">
        <f ca="1"/>
        <v>0</v>
      </c>
      <c r="V217">
        <f ca="1"/>
        <v>96.607018343493493</v>
      </c>
      <c r="W217">
        <f ca="1"/>
        <v>77.452178499524905</v>
      </c>
      <c r="X217">
        <f ca="1"/>
        <v>0</v>
      </c>
      <c r="Y217">
        <f ca="1"/>
        <v>1</v>
      </c>
      <c r="Z217">
        <f ca="1"/>
        <v>0.94017900945276267</v>
      </c>
      <c r="AA217">
        <f ca="1"/>
        <v>0</v>
      </c>
      <c r="AB217">
        <f ca="1"/>
        <v>0.87630889240921295</v>
      </c>
      <c r="AD217" s="2">
        <f t="shared" ca="1" si="32"/>
        <v>44462</v>
      </c>
      <c r="AE217" s="46">
        <f t="shared" ca="1" si="33"/>
        <v>0</v>
      </c>
      <c r="AG217" s="72">
        <f t="shared" ca="1" si="37"/>
        <v>71.52737468620397</v>
      </c>
      <c r="AH217" s="72">
        <f t="shared" ca="1" si="38"/>
        <v>71.52737468620397</v>
      </c>
      <c r="AI217" s="3">
        <f t="shared" ca="1" si="39"/>
        <v>0</v>
      </c>
    </row>
    <row r="218" spans="7:35" x14ac:dyDescent="0.25">
      <c r="G218" s="3">
        <f t="shared" si="34"/>
        <v>121</v>
      </c>
      <c r="H218" s="104">
        <f t="shared" si="36"/>
        <v>44316</v>
      </c>
      <c r="I218" s="131">
        <f>HLOOKUP($H$4,'Met Data'!$A$2:$F$368,G218,FALSE)</f>
        <v>14.332758620689599</v>
      </c>
      <c r="J218" s="131">
        <f ca="1">HLOOKUP($H$4,'Met Data'!$H$2:$M$368,G218,FALSE)*L218</f>
        <v>4.4322580645161196</v>
      </c>
      <c r="K218" s="105">
        <f>HLOOKUP($H$4,'Met Data'!$O$2:$T$368,G218,FALSE)</f>
        <v>1.7270113091402699</v>
      </c>
      <c r="L218">
        <f t="shared" ca="1" si="30"/>
        <v>1</v>
      </c>
      <c r="N218" t="b">
        <f t="shared" ca="1" si="35"/>
        <v>1</v>
      </c>
      <c r="O218" t="b">
        <f t="shared" ca="1" si="31"/>
        <v>1</v>
      </c>
      <c r="P218" s="2">
        <f ca="1"/>
        <v>44463</v>
      </c>
      <c r="Q218">
        <f ca="1"/>
        <v>69.517786308435134</v>
      </c>
      <c r="R218">
        <f ca="1"/>
        <v>1.2255813186575</v>
      </c>
      <c r="S218">
        <f ca="1"/>
        <v>8.6045970980447568E-14</v>
      </c>
      <c r="T218">
        <f ca="1"/>
        <v>0.39811267103294895</v>
      </c>
      <c r="U218">
        <f ca="1"/>
        <v>0</v>
      </c>
      <c r="V218">
        <f ca="1"/>
        <v>97.832599662150997</v>
      </c>
      <c r="W218">
        <f ca="1"/>
        <v>78.43475662569</v>
      </c>
      <c r="X218">
        <f ca="1"/>
        <v>0</v>
      </c>
      <c r="Y218">
        <f ca="1"/>
        <v>1</v>
      </c>
      <c r="Z218">
        <f ca="1"/>
        <v>2.0311600400418115</v>
      </c>
      <c r="AA218">
        <f ca="1"/>
        <v>0</v>
      </c>
      <c r="AB218">
        <f ca="1"/>
        <v>0.87751816108775405</v>
      </c>
      <c r="AD218" s="2">
        <f t="shared" ca="1" si="32"/>
        <v>44463</v>
      </c>
      <c r="AE218" s="46">
        <f t="shared" ca="1" si="33"/>
        <v>0</v>
      </c>
      <c r="AG218" s="72">
        <f t="shared" ca="1" si="37"/>
        <v>70.743367627092624</v>
      </c>
      <c r="AH218" s="72">
        <f t="shared" ca="1" si="38"/>
        <v>70.743367627092638</v>
      </c>
      <c r="AI218" s="3">
        <f t="shared" ca="1" si="39"/>
        <v>0</v>
      </c>
    </row>
    <row r="219" spans="7:35" x14ac:dyDescent="0.25">
      <c r="G219" s="3">
        <f t="shared" si="34"/>
        <v>122</v>
      </c>
      <c r="H219" s="104">
        <f t="shared" si="36"/>
        <v>44317</v>
      </c>
      <c r="I219" s="131">
        <f>HLOOKUP($H$4,'Met Data'!$A$2:$F$368,G219,FALSE)</f>
        <v>14.3982758620689</v>
      </c>
      <c r="J219" s="131">
        <f ca="1">HLOOKUP($H$4,'Met Data'!$H$2:$M$368,G219,FALSE)*L219</f>
        <v>3.1838709677419299</v>
      </c>
      <c r="K219" s="105">
        <f>HLOOKUP($H$4,'Met Data'!$O$2:$T$368,G219,FALSE)</f>
        <v>1.93510583623638</v>
      </c>
      <c r="L219">
        <f t="shared" ca="1" si="30"/>
        <v>1</v>
      </c>
      <c r="N219" t="b">
        <f t="shared" ca="1" si="35"/>
        <v>1</v>
      </c>
      <c r="O219" t="b">
        <f t="shared" ca="1" si="31"/>
        <v>1</v>
      </c>
      <c r="P219" s="2">
        <f ca="1"/>
        <v>44464</v>
      </c>
      <c r="Q219">
        <f ca="1"/>
        <v>68.707649179852737</v>
      </c>
      <c r="R219">
        <f ca="1"/>
        <v>1.19788625650101</v>
      </c>
      <c r="S219">
        <f ca="1"/>
        <v>7.1222771153243171E-14</v>
      </c>
      <c r="T219">
        <f ca="1"/>
        <v>0.38774912791854954</v>
      </c>
      <c r="U219">
        <f ca="1"/>
        <v>0</v>
      </c>
      <c r="V219">
        <f ca="1"/>
        <v>99.030485918652005</v>
      </c>
      <c r="W219">
        <f ca="1"/>
        <v>79.395130952022697</v>
      </c>
      <c r="X219">
        <f ca="1"/>
        <v>0</v>
      </c>
      <c r="Y219">
        <f ca="1"/>
        <v>1</v>
      </c>
      <c r="Z219">
        <f ca="1"/>
        <v>0.80249273235686758</v>
      </c>
      <c r="AA219">
        <f ca="1"/>
        <v>0</v>
      </c>
      <c r="AB219">
        <f ca="1"/>
        <v>0.87864136270885695</v>
      </c>
      <c r="AD219" s="2">
        <f t="shared" ca="1" si="32"/>
        <v>44464</v>
      </c>
      <c r="AE219" s="46">
        <f t="shared" ca="1" si="33"/>
        <v>0</v>
      </c>
      <c r="AG219" s="72">
        <f t="shared" ca="1" si="37"/>
        <v>69.905535436353759</v>
      </c>
      <c r="AH219" s="72">
        <f t="shared" ca="1" si="38"/>
        <v>69.905535436353745</v>
      </c>
      <c r="AI219" s="3">
        <f t="shared" ca="1" si="39"/>
        <v>0</v>
      </c>
    </row>
    <row r="220" spans="7:35" x14ac:dyDescent="0.25">
      <c r="G220" s="3">
        <f t="shared" si="34"/>
        <v>123</v>
      </c>
      <c r="H220" s="104">
        <f t="shared" si="36"/>
        <v>44318</v>
      </c>
      <c r="I220" s="131">
        <f>HLOOKUP($H$4,'Met Data'!$A$2:$F$368,G220,FALSE)</f>
        <v>14.296666666666599</v>
      </c>
      <c r="J220" s="131">
        <f ca="1">HLOOKUP($H$4,'Met Data'!$H$2:$M$368,G220,FALSE)*L220</f>
        <v>6.4709677419354801</v>
      </c>
      <c r="K220" s="105">
        <f>HLOOKUP($H$4,'Met Data'!$O$2:$T$368,G220,FALSE)</f>
        <v>1.84994231207221</v>
      </c>
      <c r="L220">
        <f t="shared" ca="1" si="30"/>
        <v>1</v>
      </c>
      <c r="N220" t="b">
        <f t="shared" ca="1" si="35"/>
        <v>1</v>
      </c>
      <c r="O220" t="b">
        <f t="shared" ca="1" si="31"/>
        <v>1</v>
      </c>
      <c r="P220" s="2">
        <f ca="1"/>
        <v>44465</v>
      </c>
      <c r="Q220">
        <f ca="1"/>
        <v>67.902958869211744</v>
      </c>
      <c r="R220">
        <f ca="1"/>
        <v>1.1892191781591901</v>
      </c>
      <c r="S220">
        <f ca="1"/>
        <v>6.0146520953568937E-14</v>
      </c>
      <c r="T220">
        <f ca="1"/>
        <v>0.38452886751814297</v>
      </c>
      <c r="U220">
        <f ca="1"/>
        <v>0</v>
      </c>
      <c r="V220">
        <f ca="1"/>
        <v>100.219705096811</v>
      </c>
      <c r="W220">
        <f ca="1"/>
        <v>80.348556672443394</v>
      </c>
      <c r="X220">
        <f ca="1"/>
        <v>0</v>
      </c>
      <c r="Y220">
        <f ca="1"/>
        <v>1</v>
      </c>
      <c r="Z220">
        <f ca="1"/>
        <v>1.8068370304963111</v>
      </c>
      <c r="AA220">
        <f ca="1"/>
        <v>0</v>
      </c>
      <c r="AB220">
        <f ca="1"/>
        <v>0.87970201902497902</v>
      </c>
      <c r="AD220" s="2">
        <f t="shared" ca="1" si="32"/>
        <v>44465</v>
      </c>
      <c r="AE220" s="46">
        <f t="shared" ca="1" si="33"/>
        <v>0</v>
      </c>
      <c r="AG220" s="72">
        <f t="shared" ca="1" si="37"/>
        <v>69.092178047370936</v>
      </c>
      <c r="AH220" s="72">
        <f t="shared" ca="1" si="38"/>
        <v>69.092178047370936</v>
      </c>
      <c r="AI220" s="3">
        <f t="shared" ca="1" si="39"/>
        <v>0</v>
      </c>
    </row>
    <row r="221" spans="7:35" x14ac:dyDescent="0.25">
      <c r="G221" s="3">
        <f t="shared" si="34"/>
        <v>124</v>
      </c>
      <c r="H221" s="104">
        <f t="shared" si="36"/>
        <v>44319</v>
      </c>
      <c r="I221" s="131">
        <f>HLOOKUP($H$4,'Met Data'!$A$2:$F$368,G221,FALSE)</f>
        <v>14.1866666666666</v>
      </c>
      <c r="J221" s="131">
        <f ca="1">HLOOKUP($H$4,'Met Data'!$H$2:$M$368,G221,FALSE)*L221</f>
        <v>2.59032258064516</v>
      </c>
      <c r="K221" s="105">
        <f>HLOOKUP($H$4,'Met Data'!$O$2:$T$368,G221,FALSE)</f>
        <v>1.8652259443704999</v>
      </c>
      <c r="L221">
        <f t="shared" ca="1" si="30"/>
        <v>1</v>
      </c>
      <c r="N221" t="b">
        <f t="shared" ca="1" si="35"/>
        <v>1</v>
      </c>
      <c r="O221" t="b">
        <f t="shared" ca="1" si="31"/>
        <v>1</v>
      </c>
      <c r="P221" s="2">
        <f ca="1"/>
        <v>44466</v>
      </c>
      <c r="Q221">
        <f ca="1"/>
        <v>67.075366965817096</v>
      </c>
      <c r="R221">
        <f ca="1"/>
        <v>1.2253812544340701</v>
      </c>
      <c r="S221">
        <f ca="1"/>
        <v>5.280262587168629E-14</v>
      </c>
      <c r="T221">
        <f ca="1"/>
        <v>0.39778935103936325</v>
      </c>
      <c r="U221">
        <f ca="1"/>
        <v>0</v>
      </c>
      <c r="V221">
        <f ca="1"/>
        <v>101.445086351245</v>
      </c>
      <c r="W221">
        <f ca="1"/>
        <v>81.330974402291403</v>
      </c>
      <c r="X221">
        <f ca="1"/>
        <v>0</v>
      </c>
      <c r="Y221">
        <f ca="1"/>
        <v>1</v>
      </c>
      <c r="Z221">
        <f ca="1"/>
        <v>0.19282927011568063</v>
      </c>
      <c r="AA221">
        <f ca="1"/>
        <v>0</v>
      </c>
      <c r="AB221">
        <f ca="1"/>
        <v>0.88074117461272405</v>
      </c>
      <c r="AD221" s="2">
        <f t="shared" ca="1" si="32"/>
        <v>44466</v>
      </c>
      <c r="AE221" s="46">
        <f t="shared" ca="1" si="33"/>
        <v>0</v>
      </c>
      <c r="AG221" s="72">
        <f t="shared" ca="1" si="37"/>
        <v>68.300748220251165</v>
      </c>
      <c r="AH221" s="72">
        <f t="shared" ca="1" si="38"/>
        <v>68.300748220251165</v>
      </c>
      <c r="AI221" s="3">
        <f t="shared" ca="1" si="39"/>
        <v>0</v>
      </c>
    </row>
    <row r="222" spans="7:35" x14ac:dyDescent="0.25">
      <c r="G222" s="3">
        <f t="shared" si="34"/>
        <v>125</v>
      </c>
      <c r="H222" s="104">
        <f t="shared" si="36"/>
        <v>44320</v>
      </c>
      <c r="I222" s="131">
        <f>HLOOKUP($H$4,'Met Data'!$A$2:$F$368,G222,FALSE)</f>
        <v>13.9112903225806</v>
      </c>
      <c r="J222" s="131">
        <f ca="1">HLOOKUP($H$4,'Met Data'!$H$2:$M$368,G222,FALSE)*L222</f>
        <v>2.2741935483870899</v>
      </c>
      <c r="K222" s="105">
        <f>HLOOKUP($H$4,'Met Data'!$O$2:$T$368,G222,FALSE)</f>
        <v>1.88347487361168</v>
      </c>
      <c r="L222">
        <f t="shared" ca="1" si="30"/>
        <v>1</v>
      </c>
      <c r="N222" t="b">
        <f t="shared" ca="1" si="35"/>
        <v>1</v>
      </c>
      <c r="O222" t="b">
        <f t="shared" ca="1" si="31"/>
        <v>1</v>
      </c>
      <c r="P222" s="2">
        <f ca="1"/>
        <v>44467</v>
      </c>
      <c r="Q222">
        <f ca="1"/>
        <v>66.228851734056676</v>
      </c>
      <c r="R222">
        <f ca="1"/>
        <v>1.2558500457737301</v>
      </c>
      <c r="S222">
        <f ca="1"/>
        <v>4.587553248665115E-14</v>
      </c>
      <c r="T222">
        <f ca="1"/>
        <v>0.40933481401326877</v>
      </c>
      <c r="U222">
        <f ca="1"/>
        <v>0</v>
      </c>
      <c r="V222">
        <f ca="1"/>
        <v>102.70093639701901</v>
      </c>
      <c r="W222">
        <f ca="1"/>
        <v>82.337819697610001</v>
      </c>
      <c r="X222">
        <f ca="1"/>
        <v>0</v>
      </c>
      <c r="Y222">
        <f ca="1"/>
        <v>1</v>
      </c>
      <c r="Z222">
        <f ca="1"/>
        <v>1.8166179447524229</v>
      </c>
      <c r="AA222">
        <f ca="1"/>
        <v>0</v>
      </c>
      <c r="AB222">
        <f ca="1"/>
        <v>0.88175254659776503</v>
      </c>
      <c r="AD222" s="2">
        <f t="shared" ca="1" si="32"/>
        <v>44467</v>
      </c>
      <c r="AE222" s="46">
        <f t="shared" ca="1" si="33"/>
        <v>0</v>
      </c>
      <c r="AG222" s="72">
        <f t="shared" ca="1" si="37"/>
        <v>67.484701779830402</v>
      </c>
      <c r="AH222" s="72">
        <f t="shared" ca="1" si="38"/>
        <v>67.484701779830402</v>
      </c>
      <c r="AI222" s="3">
        <f t="shared" ca="1" si="39"/>
        <v>0</v>
      </c>
    </row>
    <row r="223" spans="7:35" x14ac:dyDescent="0.25">
      <c r="G223" s="3">
        <f t="shared" si="34"/>
        <v>126</v>
      </c>
      <c r="H223" s="104">
        <f t="shared" si="36"/>
        <v>44321</v>
      </c>
      <c r="I223" s="131">
        <f>HLOOKUP($H$4,'Met Data'!$A$2:$F$368,G223,FALSE)</f>
        <v>13.9966666666666</v>
      </c>
      <c r="J223" s="131">
        <f ca="1">HLOOKUP($H$4,'Met Data'!$H$2:$M$368,G223,FALSE)*L223</f>
        <v>3.2548387096774101</v>
      </c>
      <c r="K223" s="105">
        <f>HLOOKUP($H$4,'Met Data'!$O$2:$T$368,G223,FALSE)</f>
        <v>1.9813737718090501</v>
      </c>
      <c r="L223">
        <f t="shared" ca="1" si="30"/>
        <v>1</v>
      </c>
      <c r="N223" t="b">
        <f t="shared" ca="1" si="35"/>
        <v>1</v>
      </c>
      <c r="O223" t="b">
        <f t="shared" ca="1" si="31"/>
        <v>1</v>
      </c>
      <c r="P223" s="2">
        <f ca="1"/>
        <v>44468</v>
      </c>
      <c r="Q223">
        <f ca="1"/>
        <v>65.362920385465031</v>
      </c>
      <c r="R223">
        <f ca="1"/>
        <v>1.2877302012746801</v>
      </c>
      <c r="S223">
        <f ca="1"/>
        <v>3.97089680604941E-14</v>
      </c>
      <c r="T223">
        <f ca="1"/>
        <v>0.42179885268299766</v>
      </c>
      <c r="U223">
        <f ca="1"/>
        <v>0</v>
      </c>
      <c r="V223">
        <f ca="1"/>
        <v>103.988666598294</v>
      </c>
      <c r="W223">
        <f ca="1"/>
        <v>83.370224083114707</v>
      </c>
      <c r="X223">
        <f ca="1"/>
        <v>0</v>
      </c>
      <c r="Y223">
        <f ca="1"/>
        <v>1</v>
      </c>
      <c r="Z223">
        <f ca="1"/>
        <v>1.0454741178045737</v>
      </c>
      <c r="AA223">
        <f ca="1"/>
        <v>0</v>
      </c>
      <c r="AB223">
        <f ca="1"/>
        <v>0.88273626268511196</v>
      </c>
      <c r="AD223" s="2">
        <f t="shared" ca="1" si="32"/>
        <v>44468</v>
      </c>
      <c r="AE223" s="46">
        <f t="shared" ca="1" si="33"/>
        <v>0</v>
      </c>
      <c r="AG223" s="72">
        <f t="shared" ca="1" si="37"/>
        <v>66.650650586739715</v>
      </c>
      <c r="AH223" s="72">
        <f t="shared" ca="1" si="38"/>
        <v>66.650650586739715</v>
      </c>
      <c r="AI223" s="3">
        <f t="shared" ca="1" si="39"/>
        <v>0</v>
      </c>
    </row>
    <row r="224" spans="7:35" x14ac:dyDescent="0.25">
      <c r="G224" s="3">
        <f t="shared" si="34"/>
        <v>127</v>
      </c>
      <c r="H224" s="104">
        <f t="shared" si="36"/>
        <v>44322</v>
      </c>
      <c r="I224" s="131">
        <f>HLOOKUP($H$4,'Met Data'!$A$2:$F$368,G224,FALSE)</f>
        <v>14.1596774193548</v>
      </c>
      <c r="J224" s="131">
        <f ca="1">HLOOKUP($H$4,'Met Data'!$H$2:$M$368,G224,FALSE)*L224</f>
        <v>3.4483870967741899</v>
      </c>
      <c r="K224" s="105">
        <f>HLOOKUP($H$4,'Met Data'!$O$2:$T$368,G224,FALSE)</f>
        <v>1.78778032014411</v>
      </c>
      <c r="L224">
        <f t="shared" ca="1" si="30"/>
        <v>1</v>
      </c>
      <c r="N224" t="b">
        <f t="shared" ca="1" si="35"/>
        <v>1</v>
      </c>
      <c r="O224" t="b">
        <f t="shared" ca="1" si="31"/>
        <v>1</v>
      </c>
      <c r="P224" s="2">
        <f ca="1"/>
        <v>44469</v>
      </c>
      <c r="Q224">
        <f ca="1"/>
        <v>64.504727935511795</v>
      </c>
      <c r="R224">
        <f ca="1"/>
        <v>1.2760596874930199</v>
      </c>
      <c r="S224">
        <f ca="1"/>
        <v>3.3066518736264829E-14</v>
      </c>
      <c r="T224">
        <f ca="1"/>
        <v>0.41786723753975757</v>
      </c>
      <c r="U224">
        <f ca="1"/>
        <v>0</v>
      </c>
      <c r="V224">
        <f ca="1"/>
        <v>105.26472628578701</v>
      </c>
      <c r="W224">
        <f ca="1"/>
        <v>84.393271936018607</v>
      </c>
      <c r="X224">
        <f ca="1"/>
        <v>0</v>
      </c>
      <c r="Y224">
        <f ca="1"/>
        <v>1</v>
      </c>
      <c r="Z224">
        <f ca="1"/>
        <v>2.829689020887713</v>
      </c>
      <c r="AA224">
        <f ca="1"/>
        <v>0</v>
      </c>
      <c r="AB224">
        <f ca="1"/>
        <v>0.88366068555000599</v>
      </c>
      <c r="AD224" s="2">
        <f t="shared" ca="1" si="32"/>
        <v>44469</v>
      </c>
      <c r="AE224" s="46">
        <f t="shared" ca="1" si="33"/>
        <v>0</v>
      </c>
      <c r="AG224" s="72">
        <f t="shared" ca="1" si="37"/>
        <v>65.780787623004812</v>
      </c>
      <c r="AH224" s="72">
        <f t="shared" ca="1" si="38"/>
        <v>65.780787623004812</v>
      </c>
      <c r="AI224" s="3">
        <f t="shared" ca="1" si="39"/>
        <v>0</v>
      </c>
    </row>
    <row r="225" spans="7:35" x14ac:dyDescent="0.25">
      <c r="G225" s="3">
        <f t="shared" si="34"/>
        <v>128</v>
      </c>
      <c r="H225" s="104">
        <f t="shared" si="36"/>
        <v>44323</v>
      </c>
      <c r="I225" s="131">
        <f>HLOOKUP($H$4,'Met Data'!$A$2:$F$368,G225,FALSE)</f>
        <v>13.8403225806451</v>
      </c>
      <c r="J225" s="131">
        <f ca="1">HLOOKUP($H$4,'Met Data'!$H$2:$M$368,G225,FALSE)*L225</f>
        <v>1.8387096774193501</v>
      </c>
      <c r="K225" s="105">
        <f>HLOOKUP($H$4,'Met Data'!$O$2:$T$368,G225,FALSE)</f>
        <v>1.87782016455675</v>
      </c>
      <c r="L225">
        <f t="shared" ca="1" si="30"/>
        <v>1</v>
      </c>
      <c r="N225" t="b">
        <f t="shared" ca="1" si="35"/>
        <v>1</v>
      </c>
      <c r="O225" t="b">
        <f t="shared" ca="1" si="31"/>
        <v>1</v>
      </c>
      <c r="P225" s="2">
        <f ca="1"/>
        <v>44470</v>
      </c>
      <c r="Q225">
        <f ca="1"/>
        <v>63.663252070131229</v>
      </c>
      <c r="R225">
        <f ca="1"/>
        <v>1.2502074499308</v>
      </c>
      <c r="S225">
        <f ca="1"/>
        <v>2.7274116821252122E-14</v>
      </c>
      <c r="T225">
        <f ca="1"/>
        <v>0.40873158455021169</v>
      </c>
      <c r="U225">
        <f ca="1"/>
        <v>0</v>
      </c>
      <c r="V225">
        <f ca="1"/>
        <v>106.51493373571699</v>
      </c>
      <c r="W225">
        <f ca="1"/>
        <v>85.395593426049302</v>
      </c>
      <c r="X225">
        <f ca="1"/>
        <v>0</v>
      </c>
      <c r="Y225">
        <f ca="1"/>
        <v>1</v>
      </c>
      <c r="Z225">
        <f ca="1"/>
        <v>4.491246049128037</v>
      </c>
      <c r="AA225">
        <f ca="1"/>
        <v>0</v>
      </c>
      <c r="AB225">
        <f ca="1"/>
        <v>0.88452036349047303</v>
      </c>
      <c r="AD225" s="2">
        <f t="shared" ca="1" si="32"/>
        <v>44470</v>
      </c>
      <c r="AE225" s="46">
        <f t="shared" ca="1" si="33"/>
        <v>0</v>
      </c>
      <c r="AG225" s="72">
        <f t="shared" ca="1" si="37"/>
        <v>64.913459520062034</v>
      </c>
      <c r="AH225" s="72">
        <f t="shared" ca="1" si="38"/>
        <v>64.913459520062034</v>
      </c>
      <c r="AI225" s="3">
        <f t="shared" ca="1" si="39"/>
        <v>0</v>
      </c>
    </row>
    <row r="226" spans="7:35" x14ac:dyDescent="0.25">
      <c r="G226" s="3">
        <f t="shared" si="34"/>
        <v>129</v>
      </c>
      <c r="H226" s="104">
        <f t="shared" si="36"/>
        <v>44324</v>
      </c>
      <c r="I226" s="131">
        <f>HLOOKUP($H$4,'Met Data'!$A$2:$F$368,G226,FALSE)</f>
        <v>13.5774193548387</v>
      </c>
      <c r="J226" s="131">
        <f ca="1">HLOOKUP($H$4,'Met Data'!$H$2:$M$368,G226,FALSE)*L226</f>
        <v>3.4064516129032198</v>
      </c>
      <c r="K226" s="105">
        <f>HLOOKUP($H$4,'Met Data'!$O$2:$T$368,G226,FALSE)</f>
        <v>1.84976774954056</v>
      </c>
      <c r="L226">
        <f t="shared" ca="1" si="30"/>
        <v>1</v>
      </c>
      <c r="N226" t="b">
        <f t="shared" ca="1" si="35"/>
        <v>1</v>
      </c>
      <c r="O226" t="b">
        <f t="shared" ca="1" si="31"/>
        <v>1</v>
      </c>
      <c r="P226" s="2">
        <f ca="1"/>
        <v>44471</v>
      </c>
      <c r="Q226">
        <f ca="1"/>
        <v>62.828965477748092</v>
      </c>
      <c r="R226">
        <f ca="1"/>
        <v>1.23995024541776</v>
      </c>
      <c r="S226">
        <f ca="1"/>
        <v>2.2861526187136629E-14</v>
      </c>
      <c r="T226">
        <f ca="1"/>
        <v>0.4056636530346025</v>
      </c>
      <c r="U226">
        <f ca="1"/>
        <v>0</v>
      </c>
      <c r="V226">
        <f ca="1"/>
        <v>107.75488398113499</v>
      </c>
      <c r="W226">
        <f ca="1"/>
        <v>86.389691467634293</v>
      </c>
      <c r="X226">
        <f ca="1"/>
        <v>0</v>
      </c>
      <c r="Y226">
        <f ca="1"/>
        <v>1</v>
      </c>
      <c r="Z226">
        <f ca="1"/>
        <v>1.8349237318771543</v>
      </c>
      <c r="AA226">
        <f ca="1"/>
        <v>0</v>
      </c>
      <c r="AB226">
        <f ca="1"/>
        <v>0.88533037965899397</v>
      </c>
      <c r="AD226" s="2">
        <f t="shared" ca="1" si="32"/>
        <v>44471</v>
      </c>
      <c r="AE226" s="46">
        <f t="shared" ca="1" si="33"/>
        <v>0</v>
      </c>
      <c r="AG226" s="72">
        <f t="shared" ca="1" si="37"/>
        <v>64.068915723165858</v>
      </c>
      <c r="AH226" s="72">
        <f t="shared" ca="1" si="38"/>
        <v>64.068915723165858</v>
      </c>
      <c r="AI226" s="3">
        <f t="shared" ca="1" si="39"/>
        <v>0</v>
      </c>
    </row>
    <row r="227" spans="7:35" x14ac:dyDescent="0.25">
      <c r="G227" s="3">
        <f t="shared" si="34"/>
        <v>130</v>
      </c>
      <c r="H227" s="104">
        <f t="shared" si="36"/>
        <v>44325</v>
      </c>
      <c r="I227" s="131">
        <f>HLOOKUP($H$4,'Met Data'!$A$2:$F$368,G227,FALSE)</f>
        <v>13.1612903225806</v>
      </c>
      <c r="J227" s="131">
        <f ca="1">HLOOKUP($H$4,'Met Data'!$H$2:$M$368,G227,FALSE)*L227</f>
        <v>2.3258064516129</v>
      </c>
      <c r="K227" s="105">
        <f>HLOOKUP($H$4,'Met Data'!$O$2:$T$368,G227,FALSE)</f>
        <v>1.7318330822852801</v>
      </c>
      <c r="L227">
        <f t="shared" ca="1" si="30"/>
        <v>1</v>
      </c>
      <c r="N227" t="b">
        <f t="shared" ca="1" si="35"/>
        <v>1</v>
      </c>
      <c r="O227" t="b">
        <f t="shared" ca="1" si="31"/>
        <v>1</v>
      </c>
      <c r="P227" s="2">
        <f ca="1"/>
        <v>44472</v>
      </c>
      <c r="Q227">
        <f ca="1"/>
        <v>61.979087237560051</v>
      </c>
      <c r="R227">
        <f ca="1"/>
        <v>1.26661670003718</v>
      </c>
      <c r="S227">
        <f ca="1"/>
        <v>1.976729545104767E-14</v>
      </c>
      <c r="T227">
        <f ca="1"/>
        <v>0.41673845984911317</v>
      </c>
      <c r="U227">
        <f ca="1"/>
        <v>0</v>
      </c>
      <c r="V227">
        <f ca="1"/>
        <v>109.021500681172</v>
      </c>
      <c r="W227">
        <f ca="1"/>
        <v>87.405168649560594</v>
      </c>
      <c r="X227">
        <f ca="1"/>
        <v>0</v>
      </c>
      <c r="Y227">
        <f ca="1"/>
        <v>1</v>
      </c>
      <c r="Z227">
        <f ca="1"/>
        <v>2.2485286487944762</v>
      </c>
      <c r="AA227">
        <f ca="1"/>
        <v>0</v>
      </c>
      <c r="AB227">
        <f ca="1"/>
        <v>0.88611630068356195</v>
      </c>
      <c r="AD227" s="2">
        <f t="shared" ca="1" si="32"/>
        <v>44472</v>
      </c>
      <c r="AE227" s="46">
        <f t="shared" ca="1" si="33"/>
        <v>0</v>
      </c>
      <c r="AG227" s="72">
        <f t="shared" ca="1" si="37"/>
        <v>63.245703937597227</v>
      </c>
      <c r="AH227" s="72">
        <f t="shared" ca="1" si="38"/>
        <v>63.245703937597234</v>
      </c>
      <c r="AI227" s="3">
        <f t="shared" ca="1" si="39"/>
        <v>0</v>
      </c>
    </row>
    <row r="228" spans="7:35" x14ac:dyDescent="0.25">
      <c r="G228" s="3">
        <f t="shared" si="34"/>
        <v>131</v>
      </c>
      <c r="H228" s="104">
        <f t="shared" si="36"/>
        <v>44326</v>
      </c>
      <c r="I228" s="131">
        <f>HLOOKUP($H$4,'Met Data'!$A$2:$F$368,G228,FALSE)</f>
        <v>13.291935483870899</v>
      </c>
      <c r="J228" s="131">
        <f ca="1">HLOOKUP($H$4,'Met Data'!$H$2:$M$368,G228,FALSE)*L228</f>
        <v>3.1733333333333298</v>
      </c>
      <c r="K228" s="105">
        <f>HLOOKUP($H$4,'Met Data'!$O$2:$T$368,G228,FALSE)</f>
        <v>1.6655372035048599</v>
      </c>
      <c r="L228">
        <f t="shared" ca="1" si="30"/>
        <v>1</v>
      </c>
      <c r="N228" t="b">
        <f t="shared" ca="1" si="35"/>
        <v>1</v>
      </c>
      <c r="O228" t="b">
        <f t="shared" ca="1" si="31"/>
        <v>1</v>
      </c>
      <c r="P228" s="2">
        <f ca="1"/>
        <v>44473</v>
      </c>
      <c r="Q228">
        <f ca="1"/>
        <v>61.155439356264999</v>
      </c>
      <c r="R228">
        <f ca="1"/>
        <v>1.22613841058829</v>
      </c>
      <c r="S228">
        <f ca="1"/>
        <v>1.6094778498377523E-14</v>
      </c>
      <c r="T228">
        <f ca="1"/>
        <v>0.40249052929321938</v>
      </c>
      <c r="U228">
        <f ca="1"/>
        <v>0</v>
      </c>
      <c r="V228">
        <f ca="1"/>
        <v>110.247639091761</v>
      </c>
      <c r="W228">
        <f ca="1"/>
        <v>88.388193409773706</v>
      </c>
      <c r="X228">
        <f ca="1"/>
        <v>0</v>
      </c>
      <c r="Y228">
        <f ca="1"/>
        <v>0.99768772129166439</v>
      </c>
      <c r="Z228">
        <f ca="1"/>
        <v>0</v>
      </c>
      <c r="AA228">
        <f ca="1"/>
        <v>0</v>
      </c>
      <c r="AB228">
        <f ca="1"/>
        <v>0.88683920820109496</v>
      </c>
      <c r="AD228" s="2">
        <f t="shared" ca="1" si="32"/>
        <v>44473</v>
      </c>
      <c r="AE228" s="46">
        <f t="shared" ca="1" si="33"/>
        <v>0</v>
      </c>
      <c r="AG228" s="72">
        <f t="shared" ca="1" si="37"/>
        <v>62.381577766853283</v>
      </c>
      <c r="AH228" s="72">
        <f t="shared" ca="1" si="38"/>
        <v>62.38157776685329</v>
      </c>
      <c r="AI228" s="3">
        <f t="shared" ca="1" si="39"/>
        <v>0</v>
      </c>
    </row>
    <row r="229" spans="7:35" x14ac:dyDescent="0.25">
      <c r="G229" s="3">
        <f t="shared" si="34"/>
        <v>132</v>
      </c>
      <c r="H229" s="104">
        <f t="shared" si="36"/>
        <v>44327</v>
      </c>
      <c r="I229" s="131">
        <f>HLOOKUP($H$4,'Met Data'!$A$2:$F$368,G229,FALSE)</f>
        <v>13.5774193548387</v>
      </c>
      <c r="J229" s="131">
        <f ca="1">HLOOKUP($H$4,'Met Data'!$H$2:$M$368,G229,FALSE)*L229</f>
        <v>2.4225806451612901</v>
      </c>
      <c r="K229" s="105">
        <f>HLOOKUP($H$4,'Met Data'!$O$2:$T$368,G229,FALSE)</f>
        <v>1.82340706114468</v>
      </c>
      <c r="L229">
        <f t="shared" ca="1" si="30"/>
        <v>1</v>
      </c>
      <c r="N229" t="b">
        <f t="shared" ca="1" si="35"/>
        <v>1</v>
      </c>
      <c r="O229" t="b">
        <f t="shared" ca="1" si="31"/>
        <v>1</v>
      </c>
      <c r="P229" s="2">
        <f ca="1"/>
        <v>44474</v>
      </c>
      <c r="Q229">
        <f ca="1"/>
        <v>60.33345067040009</v>
      </c>
      <c r="R229">
        <f ca="1"/>
        <v>1.22540464601596</v>
      </c>
      <c r="S229">
        <f ca="1"/>
        <v>1.3677679132065332E-14</v>
      </c>
      <c r="T229">
        <f ca="1"/>
        <v>0.4034159601510387</v>
      </c>
      <c r="U229">
        <f ca="1"/>
        <v>0</v>
      </c>
      <c r="V229">
        <f ca="1"/>
        <v>111.473043737777</v>
      </c>
      <c r="W229">
        <f ca="1"/>
        <v>89.370629893217497</v>
      </c>
      <c r="X229">
        <f ca="1"/>
        <v>0</v>
      </c>
      <c r="Y229">
        <f ca="1"/>
        <v>1</v>
      </c>
      <c r="Z229">
        <f ca="1"/>
        <v>0.78151582305837053</v>
      </c>
      <c r="AA229">
        <f ca="1"/>
        <v>0</v>
      </c>
      <c r="AB229">
        <f ca="1"/>
        <v>0.88752634590614099</v>
      </c>
      <c r="AD229" s="2">
        <f t="shared" ca="1" si="32"/>
        <v>44474</v>
      </c>
      <c r="AE229" s="46">
        <f t="shared" ca="1" si="33"/>
        <v>0</v>
      </c>
      <c r="AG229" s="72">
        <f t="shared" ca="1" si="37"/>
        <v>61.55885531641605</v>
      </c>
      <c r="AH229" s="72">
        <f t="shared" ca="1" si="38"/>
        <v>61.55885531641605</v>
      </c>
      <c r="AI229" s="3">
        <f t="shared" ca="1" si="39"/>
        <v>0</v>
      </c>
    </row>
    <row r="230" spans="7:35" x14ac:dyDescent="0.25">
      <c r="G230" s="3">
        <f t="shared" si="34"/>
        <v>133</v>
      </c>
      <c r="H230" s="104">
        <f t="shared" si="36"/>
        <v>44328</v>
      </c>
      <c r="I230" s="131">
        <f>HLOOKUP($H$4,'Met Data'!$A$2:$F$368,G230,FALSE)</f>
        <v>13.898387096774099</v>
      </c>
      <c r="J230" s="131">
        <f ca="1">HLOOKUP($H$4,'Met Data'!$H$2:$M$368,G230,FALSE)*L230</f>
        <v>3.56129032258064</v>
      </c>
      <c r="K230" s="105">
        <f>HLOOKUP($H$4,'Met Data'!$O$2:$T$368,G230,FALSE)</f>
        <v>1.58246048642455</v>
      </c>
      <c r="L230">
        <f t="shared" ca="1" si="30"/>
        <v>1</v>
      </c>
      <c r="N230" t="b">
        <f t="shared" ca="1" si="35"/>
        <v>1</v>
      </c>
      <c r="O230" t="b">
        <f t="shared" ca="1" si="31"/>
        <v>1</v>
      </c>
      <c r="P230" s="2">
        <f ca="1"/>
        <v>44475</v>
      </c>
      <c r="Q230">
        <f ca="1"/>
        <v>59.507926669630855</v>
      </c>
      <c r="R230">
        <f ca="1"/>
        <v>1.2332915602005801</v>
      </c>
      <c r="S230">
        <f ca="1"/>
        <v>1.1653534278775894E-14</v>
      </c>
      <c r="T230">
        <f ca="1"/>
        <v>0.40776755943133097</v>
      </c>
      <c r="U230">
        <f ca="1"/>
        <v>0</v>
      </c>
      <c r="V230">
        <f ca="1"/>
        <v>112.70633529797701</v>
      </c>
      <c r="W230">
        <f ca="1"/>
        <v>90.359389506136907</v>
      </c>
      <c r="X230">
        <f ca="1"/>
        <v>0</v>
      </c>
      <c r="Y230">
        <f ca="1"/>
        <v>0.99834136270552176</v>
      </c>
      <c r="Z230">
        <f ca="1"/>
        <v>0</v>
      </c>
      <c r="AA230">
        <f ca="1"/>
        <v>0</v>
      </c>
      <c r="AB230">
        <f ca="1"/>
        <v>0.888184041363692</v>
      </c>
      <c r="AD230" s="2">
        <f t="shared" ca="1" si="32"/>
        <v>44475</v>
      </c>
      <c r="AE230" s="46">
        <f t="shared" ca="1" si="33"/>
        <v>0</v>
      </c>
      <c r="AG230" s="72">
        <f t="shared" ca="1" si="37"/>
        <v>60.741218229831432</v>
      </c>
      <c r="AH230" s="72">
        <f t="shared" ca="1" si="38"/>
        <v>60.741218229831432</v>
      </c>
      <c r="AI230" s="3">
        <f t="shared" ca="1" si="39"/>
        <v>0</v>
      </c>
    </row>
    <row r="231" spans="7:35" x14ac:dyDescent="0.25">
      <c r="G231" s="3">
        <f t="shared" si="34"/>
        <v>134</v>
      </c>
      <c r="H231" s="104">
        <f t="shared" si="36"/>
        <v>44329</v>
      </c>
      <c r="I231" s="131">
        <f>HLOOKUP($H$4,'Met Data'!$A$2:$F$368,G231,FALSE)</f>
        <v>13.8193548387096</v>
      </c>
      <c r="J231" s="131">
        <f ca="1">HLOOKUP($H$4,'Met Data'!$H$2:$M$368,G231,FALSE)*L231</f>
        <v>3.2677419354838699</v>
      </c>
      <c r="K231" s="105">
        <f>HLOOKUP($H$4,'Met Data'!$O$2:$T$368,G231,FALSE)</f>
        <v>1.6419912913333301</v>
      </c>
      <c r="L231">
        <f t="shared" ca="1" si="30"/>
        <v>1</v>
      </c>
      <c r="N231" t="b">
        <f t="shared" ca="1" si="35"/>
        <v>1</v>
      </c>
      <c r="O231" t="b">
        <f t="shared" ca="1" si="31"/>
        <v>1</v>
      </c>
      <c r="P231" s="2">
        <f ca="1"/>
        <v>44476</v>
      </c>
      <c r="Q231">
        <f ca="1"/>
        <v>58.700061725689253</v>
      </c>
      <c r="R231">
        <f ca="1"/>
        <v>1.2072571822893701</v>
      </c>
      <c r="S231">
        <f ca="1"/>
        <v>9.6453618816309311E-15</v>
      </c>
      <c r="T231">
        <f ca="1"/>
        <v>0.39939223834775817</v>
      </c>
      <c r="U231">
        <f ca="1"/>
        <v>0</v>
      </c>
      <c r="V231">
        <f ca="1"/>
        <v>113.913592480267</v>
      </c>
      <c r="W231">
        <f ca="1"/>
        <v>91.327276729868899</v>
      </c>
      <c r="X231">
        <f ca="1"/>
        <v>0</v>
      </c>
      <c r="Y231">
        <f ca="1"/>
        <v>0.99657890813670802</v>
      </c>
      <c r="Z231">
        <f ca="1"/>
        <v>0</v>
      </c>
      <c r="AA231">
        <f ca="1"/>
        <v>0</v>
      </c>
      <c r="AB231">
        <f ca="1"/>
        <v>0.88879659451079596</v>
      </c>
      <c r="AD231" s="2">
        <f t="shared" ca="1" si="32"/>
        <v>44476</v>
      </c>
      <c r="AE231" s="46">
        <f t="shared" ca="1" si="33"/>
        <v>0</v>
      </c>
      <c r="AG231" s="72">
        <f t="shared" ca="1" si="37"/>
        <v>59.90731890797862</v>
      </c>
      <c r="AH231" s="72">
        <f t="shared" ca="1" si="38"/>
        <v>59.90731890797862</v>
      </c>
      <c r="AI231" s="3">
        <f t="shared" ca="1" si="39"/>
        <v>0</v>
      </c>
    </row>
    <row r="232" spans="7:35" x14ac:dyDescent="0.25">
      <c r="G232" s="3">
        <f t="shared" si="34"/>
        <v>135</v>
      </c>
      <c r="H232" s="104">
        <f t="shared" si="36"/>
        <v>44330</v>
      </c>
      <c r="I232" s="131">
        <f>HLOOKUP($H$4,'Met Data'!$A$2:$F$368,G232,FALSE)</f>
        <v>13.49</v>
      </c>
      <c r="J232" s="131">
        <f ca="1">HLOOKUP($H$4,'Met Data'!$H$2:$M$368,G232,FALSE)*L232</f>
        <v>2.96129032258064</v>
      </c>
      <c r="K232" s="105">
        <f>HLOOKUP($H$4,'Met Data'!$O$2:$T$368,G232,FALSE)</f>
        <v>1.7493116405284199</v>
      </c>
      <c r="L232">
        <f t="shared" ca="1" si="30"/>
        <v>1</v>
      </c>
      <c r="N232" t="b">
        <f t="shared" ca="1" si="35"/>
        <v>1</v>
      </c>
      <c r="O232" t="b">
        <f t="shared" ca="1" si="31"/>
        <v>1</v>
      </c>
      <c r="P232" s="2">
        <f ca="1"/>
        <v>44477</v>
      </c>
      <c r="Q232">
        <f ca="1"/>
        <v>57.854954496164545</v>
      </c>
      <c r="R232">
        <f ca="1"/>
        <v>1.2706280093279401</v>
      </c>
      <c r="S232">
        <f ca="1"/>
        <v>8.6627604391022647E-15</v>
      </c>
      <c r="T232">
        <f ca="1"/>
        <v>0.42552077980322878</v>
      </c>
      <c r="U232">
        <f ca="1"/>
        <v>0</v>
      </c>
      <c r="V232">
        <f ca="1"/>
        <v>115.18422048959501</v>
      </c>
      <c r="W232">
        <f ca="1"/>
        <v>92.345969875278399</v>
      </c>
      <c r="X232">
        <f ca="1"/>
        <v>0</v>
      </c>
      <c r="Y232">
        <f ca="1"/>
        <v>1</v>
      </c>
      <c r="Z232">
        <f ca="1"/>
        <v>0.97166010116752943</v>
      </c>
      <c r="AA232">
        <f ca="1"/>
        <v>0</v>
      </c>
      <c r="AB232">
        <f ca="1"/>
        <v>0.88940958092424205</v>
      </c>
      <c r="AD232" s="2">
        <f t="shared" ca="1" si="32"/>
        <v>44477</v>
      </c>
      <c r="AE232" s="46">
        <f t="shared" ca="1" si="33"/>
        <v>0</v>
      </c>
      <c r="AG232" s="72">
        <f t="shared" ca="1" si="37"/>
        <v>59.125582505492488</v>
      </c>
      <c r="AH232" s="72">
        <f t="shared" ca="1" si="38"/>
        <v>59.125582505492488</v>
      </c>
      <c r="AI232" s="3">
        <f t="shared" ca="1" si="39"/>
        <v>0</v>
      </c>
    </row>
    <row r="233" spans="7:35" x14ac:dyDescent="0.25">
      <c r="G233" s="3">
        <f t="shared" si="34"/>
        <v>136</v>
      </c>
      <c r="H233" s="104">
        <f t="shared" si="36"/>
        <v>44331</v>
      </c>
      <c r="I233" s="131">
        <f>HLOOKUP($H$4,'Met Data'!$A$2:$F$368,G233,FALSE)</f>
        <v>13.408064516129</v>
      </c>
      <c r="J233" s="131">
        <f ca="1">HLOOKUP($H$4,'Met Data'!$H$2:$M$368,G233,FALSE)*L233</f>
        <v>3.9032258064516099</v>
      </c>
      <c r="K233" s="105">
        <f>HLOOKUP($H$4,'Met Data'!$O$2:$T$368,G233,FALSE)</f>
        <v>1.5662445189592999</v>
      </c>
      <c r="L233">
        <f t="shared" ca="1" si="30"/>
        <v>1</v>
      </c>
      <c r="N233" t="b">
        <f t="shared" ca="1" si="35"/>
        <v>1</v>
      </c>
      <c r="O233" t="b">
        <f t="shared" ca="1" si="31"/>
        <v>1</v>
      </c>
      <c r="P233" s="2">
        <f ca="1"/>
        <v>44478</v>
      </c>
      <c r="Q233">
        <f ca="1"/>
        <v>57.003010160608589</v>
      </c>
      <c r="R233">
        <f ca="1"/>
        <v>1.2853593517772499</v>
      </c>
      <c r="S233">
        <f ca="1"/>
        <v>7.3753038741564725E-15</v>
      </c>
      <c r="T233">
        <f ca="1"/>
        <v>0.43341501622127832</v>
      </c>
      <c r="U233">
        <f ca="1"/>
        <v>0</v>
      </c>
      <c r="V233">
        <f ca="1"/>
        <v>116.469579841372</v>
      </c>
      <c r="W233">
        <f ca="1"/>
        <v>93.3764734935136</v>
      </c>
      <c r="X233">
        <f ca="1"/>
        <v>0</v>
      </c>
      <c r="Y233">
        <f ca="1"/>
        <v>1</v>
      </c>
      <c r="Z233">
        <f ca="1"/>
        <v>1.5230409351437828</v>
      </c>
      <c r="AA233">
        <f ca="1"/>
        <v>0</v>
      </c>
      <c r="AB233">
        <f ca="1"/>
        <v>0.88999825452461001</v>
      </c>
      <c r="AD233" s="2">
        <f t="shared" ca="1" si="32"/>
        <v>44478</v>
      </c>
      <c r="AE233" s="46">
        <f t="shared" ca="1" si="33"/>
        <v>0</v>
      </c>
      <c r="AG233" s="72">
        <f t="shared" ca="1" si="37"/>
        <v>58.288369512385827</v>
      </c>
      <c r="AH233" s="72">
        <f t="shared" ca="1" si="38"/>
        <v>58.288369512385842</v>
      </c>
      <c r="AI233" s="3">
        <f t="shared" ca="1" si="39"/>
        <v>0</v>
      </c>
    </row>
    <row r="234" spans="7:35" x14ac:dyDescent="0.25">
      <c r="G234" s="3">
        <f t="shared" si="34"/>
        <v>137</v>
      </c>
      <c r="H234" s="104">
        <f t="shared" si="36"/>
        <v>44332</v>
      </c>
      <c r="I234" s="131">
        <f>HLOOKUP($H$4,'Met Data'!$A$2:$F$368,G234,FALSE)</f>
        <v>13.4193548387096</v>
      </c>
      <c r="J234" s="131">
        <f ca="1">HLOOKUP($H$4,'Met Data'!$H$2:$M$368,G234,FALSE)*L234</f>
        <v>4.1322580645161198</v>
      </c>
      <c r="K234" s="105">
        <f>HLOOKUP($H$4,'Met Data'!$O$2:$T$368,G234,FALSE)</f>
        <v>1.7909891224832299</v>
      </c>
      <c r="L234">
        <f t="shared" ca="1" si="30"/>
        <v>1</v>
      </c>
      <c r="N234" t="b">
        <f t="shared" ca="1" si="35"/>
        <v>1</v>
      </c>
      <c r="O234" t="b">
        <f t="shared" ca="1" si="31"/>
        <v>1</v>
      </c>
      <c r="P234" s="2">
        <f ca="1"/>
        <v>44479</v>
      </c>
      <c r="Q234">
        <f ca="1"/>
        <v>56.198325723137323</v>
      </c>
      <c r="R234">
        <f ca="1"/>
        <v>1.21101688029435</v>
      </c>
      <c r="S234">
        <f ca="1"/>
        <v>5.8319224227058764E-15</v>
      </c>
      <c r="T234">
        <f ca="1"/>
        <v>0.40633244282308184</v>
      </c>
      <c r="U234">
        <f ca="1"/>
        <v>0</v>
      </c>
      <c r="V234">
        <f ca="1"/>
        <v>117.68059672166601</v>
      </c>
      <c r="W234">
        <f ca="1"/>
        <v>94.347374957887496</v>
      </c>
      <c r="X234">
        <f ca="1"/>
        <v>0</v>
      </c>
      <c r="Y234">
        <f ca="1"/>
        <v>1</v>
      </c>
      <c r="Z234">
        <f ca="1"/>
        <v>1.6925680749415193</v>
      </c>
      <c r="AA234">
        <f ca="1"/>
        <v>0</v>
      </c>
      <c r="AB234">
        <f ca="1"/>
        <v>0.89052543032668496</v>
      </c>
      <c r="AD234" s="2">
        <f t="shared" ca="1" si="32"/>
        <v>44479</v>
      </c>
      <c r="AE234" s="46">
        <f t="shared" ca="1" si="33"/>
        <v>0</v>
      </c>
      <c r="AG234" s="72">
        <f t="shared" ca="1" si="37"/>
        <v>57.409342603431675</v>
      </c>
      <c r="AH234" s="72">
        <f t="shared" ca="1" si="38"/>
        <v>57.409342603431675</v>
      </c>
      <c r="AI234" s="3">
        <f t="shared" ca="1" si="39"/>
        <v>0</v>
      </c>
    </row>
    <row r="235" spans="7:35" x14ac:dyDescent="0.25">
      <c r="G235" s="3">
        <f t="shared" si="34"/>
        <v>138</v>
      </c>
      <c r="H235" s="104">
        <f t="shared" si="36"/>
        <v>44333</v>
      </c>
      <c r="I235" s="131">
        <f>HLOOKUP($H$4,'Met Data'!$A$2:$F$368,G235,FALSE)</f>
        <v>13.0177419354838</v>
      </c>
      <c r="J235" s="131">
        <f ca="1">HLOOKUP($H$4,'Met Data'!$H$2:$M$368,G235,FALSE)*L235</f>
        <v>3.8645161290322498</v>
      </c>
      <c r="K235" s="105">
        <f>HLOOKUP($H$4,'Met Data'!$O$2:$T$368,G235,FALSE)</f>
        <v>1.67932593217038</v>
      </c>
      <c r="L235">
        <f t="shared" ca="1" si="30"/>
        <v>1</v>
      </c>
      <c r="N235" t="b">
        <f t="shared" ca="1" si="35"/>
        <v>1</v>
      </c>
      <c r="O235" t="b">
        <f t="shared" ca="1" si="31"/>
        <v>1</v>
      </c>
      <c r="P235" s="2">
        <f ca="1"/>
        <v>44480</v>
      </c>
      <c r="Q235">
        <f ca="1"/>
        <v>55.383670045066047</v>
      </c>
      <c r="R235">
        <f ca="1"/>
        <v>1.23088091404483</v>
      </c>
      <c r="S235">
        <f ca="1"/>
        <v>5.0069623648489994E-15</v>
      </c>
      <c r="T235">
        <f ca="1"/>
        <v>0.41622523597354832</v>
      </c>
      <c r="U235">
        <f ca="1"/>
        <v>0</v>
      </c>
      <c r="V235">
        <f ca="1"/>
        <v>118.91147763571099</v>
      </c>
      <c r="W235">
        <f ca="1"/>
        <v>95.334201897595904</v>
      </c>
      <c r="X235">
        <f ca="1"/>
        <v>0</v>
      </c>
      <c r="Y235">
        <f ca="1"/>
        <v>0.99567557842730359</v>
      </c>
      <c r="Z235">
        <f ca="1"/>
        <v>0</v>
      </c>
      <c r="AA235">
        <f ca="1"/>
        <v>0</v>
      </c>
      <c r="AB235">
        <f ca="1"/>
        <v>0.89103532016814602</v>
      </c>
      <c r="AD235" s="2">
        <f t="shared" ca="1" si="32"/>
        <v>44480</v>
      </c>
      <c r="AE235" s="46">
        <f t="shared" ca="1" si="33"/>
        <v>0</v>
      </c>
      <c r="AG235" s="72">
        <f t="shared" ca="1" si="37"/>
        <v>56.614550959110879</v>
      </c>
      <c r="AH235" s="72">
        <f t="shared" ca="1" si="38"/>
        <v>56.614550959110879</v>
      </c>
      <c r="AI235" s="3">
        <f t="shared" ca="1" si="39"/>
        <v>0</v>
      </c>
    </row>
    <row r="236" spans="7:35" x14ac:dyDescent="0.25">
      <c r="G236" s="3">
        <f t="shared" si="34"/>
        <v>139</v>
      </c>
      <c r="H236" s="104">
        <f t="shared" si="36"/>
        <v>44334</v>
      </c>
      <c r="I236" s="131">
        <f>HLOOKUP($H$4,'Met Data'!$A$2:$F$368,G236,FALSE)</f>
        <v>12.8774193548387</v>
      </c>
      <c r="J236" s="131">
        <f ca="1">HLOOKUP($H$4,'Met Data'!$H$2:$M$368,G236,FALSE)*L236</f>
        <v>3.7967741935483801</v>
      </c>
      <c r="K236" s="105">
        <f>HLOOKUP($H$4,'Met Data'!$O$2:$T$368,G236,FALSE)</f>
        <v>1.7647102566828801</v>
      </c>
      <c r="L236">
        <f t="shared" ca="1" si="30"/>
        <v>1</v>
      </c>
      <c r="N236" t="b">
        <f t="shared" ca="1" si="35"/>
        <v>1</v>
      </c>
      <c r="O236" t="b">
        <f t="shared" ca="1" si="31"/>
        <v>1</v>
      </c>
      <c r="P236" s="2">
        <f ca="1"/>
        <v>44481</v>
      </c>
      <c r="Q236">
        <f ca="1"/>
        <v>54.546641766726957</v>
      </c>
      <c r="R236">
        <f ca="1"/>
        <v>1.272312437678</v>
      </c>
      <c r="S236">
        <f ca="1"/>
        <v>4.3982765809406164E-15</v>
      </c>
      <c r="T236">
        <f ca="1"/>
        <v>0.43528415933890674</v>
      </c>
      <c r="U236">
        <f ca="1"/>
        <v>0</v>
      </c>
      <c r="V236">
        <f ca="1"/>
        <v>120.18379007338901</v>
      </c>
      <c r="W236">
        <f ca="1"/>
        <v>96.354245489872199</v>
      </c>
      <c r="X236">
        <f ca="1"/>
        <v>0</v>
      </c>
      <c r="Y236">
        <f ca="1"/>
        <v>1</v>
      </c>
      <c r="Z236">
        <f ca="1"/>
        <v>1.9568288163221865</v>
      </c>
      <c r="AA236">
        <f ca="1"/>
        <v>0</v>
      </c>
      <c r="AB236">
        <f ca="1"/>
        <v>0.89153624950366706</v>
      </c>
      <c r="AD236" s="2">
        <f t="shared" ca="1" si="32"/>
        <v>44481</v>
      </c>
      <c r="AE236" s="46">
        <f t="shared" ca="1" si="33"/>
        <v>0</v>
      </c>
      <c r="AG236" s="72">
        <f t="shared" ca="1" si="37"/>
        <v>55.81895420440496</v>
      </c>
      <c r="AH236" s="72">
        <f t="shared" ca="1" si="38"/>
        <v>55.81895420440496</v>
      </c>
      <c r="AI236" s="3">
        <f t="shared" ca="1" si="39"/>
        <v>0</v>
      </c>
    </row>
    <row r="237" spans="7:35" x14ac:dyDescent="0.25">
      <c r="G237" s="3">
        <f t="shared" si="34"/>
        <v>140</v>
      </c>
      <c r="H237" s="104">
        <f t="shared" si="36"/>
        <v>44335</v>
      </c>
      <c r="I237" s="131">
        <f>HLOOKUP($H$4,'Met Data'!$A$2:$F$368,G237,FALSE)</f>
        <v>13.3629032258064</v>
      </c>
      <c r="J237" s="131">
        <f ca="1">HLOOKUP($H$4,'Met Data'!$H$2:$M$368,G237,FALSE)*L237</f>
        <v>1.4774193548387</v>
      </c>
      <c r="K237" s="105">
        <f>HLOOKUP($H$4,'Met Data'!$O$2:$T$368,G237,FALSE)</f>
        <v>1.8502469543140301</v>
      </c>
      <c r="L237">
        <f t="shared" ca="1" si="30"/>
        <v>1</v>
      </c>
      <c r="N237" t="b">
        <f t="shared" ca="1" si="35"/>
        <v>1</v>
      </c>
      <c r="O237" t="b">
        <f t="shared" ca="1" si="31"/>
        <v>1</v>
      </c>
      <c r="P237" s="2">
        <f ca="1"/>
        <v>44482</v>
      </c>
      <c r="Q237">
        <f ca="1"/>
        <v>53.721272839922065</v>
      </c>
      <c r="R237">
        <f ca="1"/>
        <v>1.25735412730437</v>
      </c>
      <c r="S237">
        <f ca="1"/>
        <v>3.6494248560881168E-15</v>
      </c>
      <c r="T237">
        <f ca="1"/>
        <v>0.43198520049947736</v>
      </c>
      <c r="U237">
        <f ca="1"/>
        <v>0</v>
      </c>
      <c r="V237">
        <f ca="1"/>
        <v>121.441144200693</v>
      </c>
      <c r="W237">
        <f ca="1"/>
        <v>97.362296643659306</v>
      </c>
      <c r="X237">
        <f ca="1"/>
        <v>0</v>
      </c>
      <c r="Y237">
        <f ca="1"/>
        <v>1</v>
      </c>
      <c r="Z237">
        <f ca="1"/>
        <v>1.9641891021881293</v>
      </c>
      <c r="AA237">
        <f ca="1"/>
        <v>0</v>
      </c>
      <c r="AB237">
        <f ca="1"/>
        <v>0.89200649625974804</v>
      </c>
      <c r="AD237" s="2">
        <f t="shared" ca="1" si="32"/>
        <v>44482</v>
      </c>
      <c r="AE237" s="46">
        <f t="shared" ca="1" si="33"/>
        <v>0</v>
      </c>
      <c r="AG237" s="72">
        <f t="shared" ca="1" si="37"/>
        <v>54.97862696722644</v>
      </c>
      <c r="AH237" s="72">
        <f t="shared" ca="1" si="38"/>
        <v>54.978626967226432</v>
      </c>
      <c r="AI237" s="3">
        <f t="shared" ca="1" si="39"/>
        <v>0</v>
      </c>
    </row>
    <row r="238" spans="7:35" x14ac:dyDescent="0.25">
      <c r="G238" s="3">
        <f t="shared" si="34"/>
        <v>141</v>
      </c>
      <c r="H238" s="104">
        <f t="shared" si="36"/>
        <v>44336</v>
      </c>
      <c r="I238" s="131">
        <f>HLOOKUP($H$4,'Met Data'!$A$2:$F$368,G238,FALSE)</f>
        <v>13.314516129032199</v>
      </c>
      <c r="J238" s="131">
        <f ca="1">HLOOKUP($H$4,'Met Data'!$H$2:$M$368,G238,FALSE)*L238</f>
        <v>5.2193548387096698</v>
      </c>
      <c r="K238" s="105">
        <f>HLOOKUP($H$4,'Met Data'!$O$2:$T$368,G238,FALSE)</f>
        <v>1.4599096570605601</v>
      </c>
      <c r="L238">
        <f t="shared" ca="1" si="30"/>
        <v>1</v>
      </c>
      <c r="N238" t="b">
        <f t="shared" ca="1" si="35"/>
        <v>1</v>
      </c>
      <c r="O238" t="b">
        <f t="shared" ca="1" si="31"/>
        <v>1</v>
      </c>
      <c r="P238" s="2">
        <f ca="1"/>
        <v>44483</v>
      </c>
      <c r="Q238">
        <f ca="1"/>
        <v>52.920453497081333</v>
      </c>
      <c r="R238">
        <f ca="1"/>
        <v>1.22090325569792</v>
      </c>
      <c r="S238">
        <f ca="1"/>
        <v>2.9797603524173633E-15</v>
      </c>
      <c r="T238">
        <f ca="1"/>
        <v>0.42008391285718344</v>
      </c>
      <c r="U238">
        <f ca="1"/>
        <v>0</v>
      </c>
      <c r="V238">
        <f ca="1"/>
        <v>122.66204745639099</v>
      </c>
      <c r="W238">
        <f ca="1"/>
        <v>98.341124253830898</v>
      </c>
      <c r="X238">
        <f ca="1"/>
        <v>0</v>
      </c>
      <c r="Y238">
        <f ca="1"/>
        <v>1</v>
      </c>
      <c r="Z238">
        <f ca="1"/>
        <v>2.7538560855635126</v>
      </c>
      <c r="AA238">
        <f ca="1"/>
        <v>0</v>
      </c>
      <c r="AB238">
        <f ca="1"/>
        <v>0.89244068831966294</v>
      </c>
      <c r="AD238" s="2">
        <f t="shared" ca="1" si="32"/>
        <v>44483</v>
      </c>
      <c r="AE238" s="46">
        <f t="shared" ca="1" si="33"/>
        <v>0</v>
      </c>
      <c r="AG238" s="72">
        <f t="shared" ca="1" si="37"/>
        <v>54.141356752779245</v>
      </c>
      <c r="AH238" s="72">
        <f t="shared" ca="1" si="38"/>
        <v>54.141356752779252</v>
      </c>
      <c r="AI238" s="3">
        <f t="shared" ca="1" si="39"/>
        <v>0</v>
      </c>
    </row>
    <row r="239" spans="7:35" x14ac:dyDescent="0.25">
      <c r="G239" s="3">
        <f t="shared" si="34"/>
        <v>142</v>
      </c>
      <c r="H239" s="104">
        <f t="shared" si="36"/>
        <v>44337</v>
      </c>
      <c r="I239" s="131">
        <f>HLOOKUP($H$4,'Met Data'!$A$2:$F$368,G239,FALSE)</f>
        <v>13.598387096774101</v>
      </c>
      <c r="J239" s="131">
        <f ca="1">HLOOKUP($H$4,'Met Data'!$H$2:$M$368,G239,FALSE)*L239</f>
        <v>5.1451612903225801</v>
      </c>
      <c r="K239" s="105">
        <f>HLOOKUP($H$4,'Met Data'!$O$2:$T$368,G239,FALSE)</f>
        <v>1.48780958137737</v>
      </c>
      <c r="L239">
        <f t="shared" ca="1" si="30"/>
        <v>1</v>
      </c>
      <c r="N239" t="b">
        <f t="shared" ca="1" si="35"/>
        <v>1</v>
      </c>
      <c r="O239" t="b">
        <f t="shared" ca="1" si="31"/>
        <v>1</v>
      </c>
      <c r="P239" s="2">
        <f ca="1"/>
        <v>44484</v>
      </c>
      <c r="Q239">
        <f ca="1"/>
        <v>52.142908991194908</v>
      </c>
      <c r="R239">
        <f ca="1"/>
        <v>1.18680440638958</v>
      </c>
      <c r="S239">
        <f ca="1"/>
        <v>2.4472931652577652E-15</v>
      </c>
      <c r="T239">
        <f ca="1"/>
        <v>0.40925990050314898</v>
      </c>
      <c r="U239">
        <f ca="1"/>
        <v>0</v>
      </c>
      <c r="V239">
        <f ca="1"/>
        <v>123.848851862781</v>
      </c>
      <c r="W239">
        <f ca="1"/>
        <v>99.292613993436404</v>
      </c>
      <c r="X239">
        <f ca="1"/>
        <v>0</v>
      </c>
      <c r="Y239">
        <f ca="1"/>
        <v>1</v>
      </c>
      <c r="Z239">
        <f ca="1"/>
        <v>2.75323333009419</v>
      </c>
      <c r="AA239">
        <f ca="1"/>
        <v>0</v>
      </c>
      <c r="AB239">
        <f ca="1"/>
        <v>0.89284259435042301</v>
      </c>
      <c r="AD239" s="2">
        <f t="shared" ca="1" si="32"/>
        <v>44484</v>
      </c>
      <c r="AE239" s="46">
        <f t="shared" ca="1" si="33"/>
        <v>0</v>
      </c>
      <c r="AG239" s="72">
        <f t="shared" ca="1" si="37"/>
        <v>53.329713397584484</v>
      </c>
      <c r="AH239" s="72">
        <f t="shared" ca="1" si="38"/>
        <v>53.329713397584484</v>
      </c>
      <c r="AI239" s="3">
        <f t="shared" ca="1" si="39"/>
        <v>0</v>
      </c>
    </row>
    <row r="240" spans="7:35" x14ac:dyDescent="0.25">
      <c r="G240" s="3">
        <f t="shared" si="34"/>
        <v>143</v>
      </c>
      <c r="H240" s="104">
        <f t="shared" si="36"/>
        <v>44338</v>
      </c>
      <c r="I240" s="131">
        <f>HLOOKUP($H$4,'Met Data'!$A$2:$F$368,G240,FALSE)</f>
        <v>13.074193548387001</v>
      </c>
      <c r="J240" s="131">
        <f ca="1">HLOOKUP($H$4,'Met Data'!$H$2:$M$368,G240,FALSE)*L240</f>
        <v>4.73548387096774</v>
      </c>
      <c r="K240" s="105">
        <f>HLOOKUP($H$4,'Met Data'!$O$2:$T$368,G240,FALSE)</f>
        <v>1.4103441752322401</v>
      </c>
      <c r="L240">
        <f t="shared" ca="1" si="30"/>
        <v>1</v>
      </c>
      <c r="N240" t="b">
        <f t="shared" ca="1" si="35"/>
        <v>1</v>
      </c>
      <c r="O240" t="b">
        <f t="shared" ca="1" si="31"/>
        <v>1</v>
      </c>
      <c r="P240" s="2">
        <f ca="1"/>
        <v>44485</v>
      </c>
      <c r="Q240">
        <f ca="1"/>
        <v>51.369480816066215</v>
      </c>
      <c r="R240">
        <f ca="1"/>
        <v>1.18475128131176</v>
      </c>
      <c r="S240">
        <f ca="1"/>
        <v>2.0734103841854374E-15</v>
      </c>
      <c r="T240">
        <f ca="1"/>
        <v>0.41132310618306572</v>
      </c>
      <c r="U240">
        <f ca="1"/>
        <v>0</v>
      </c>
      <c r="V240">
        <f ca="1"/>
        <v>125.03360314409301</v>
      </c>
      <c r="W240">
        <f ca="1"/>
        <v>100.242457693109</v>
      </c>
      <c r="X240">
        <f ca="1"/>
        <v>0</v>
      </c>
      <c r="Y240">
        <f ca="1"/>
        <v>1</v>
      </c>
      <c r="Z240">
        <f ca="1"/>
        <v>0.10156062937778643</v>
      </c>
      <c r="AA240">
        <f ca="1"/>
        <v>0</v>
      </c>
      <c r="AB240">
        <f ca="1"/>
        <v>0.89322491100428503</v>
      </c>
      <c r="AD240" s="2">
        <f t="shared" ca="1" si="32"/>
        <v>44485</v>
      </c>
      <c r="AE240" s="46">
        <f t="shared" ca="1" si="33"/>
        <v>0</v>
      </c>
      <c r="AG240" s="72">
        <f t="shared" ca="1" si="37"/>
        <v>52.554232097377977</v>
      </c>
      <c r="AH240" s="72">
        <f t="shared" ca="1" si="38"/>
        <v>52.554232097377977</v>
      </c>
      <c r="AI240" s="3">
        <f t="shared" ca="1" si="39"/>
        <v>0</v>
      </c>
    </row>
    <row r="241" spans="7:35" x14ac:dyDescent="0.25">
      <c r="G241" s="3">
        <f t="shared" si="34"/>
        <v>144</v>
      </c>
      <c r="H241" s="104">
        <f t="shared" si="36"/>
        <v>44339</v>
      </c>
      <c r="I241" s="131">
        <f>HLOOKUP($H$4,'Met Data'!$A$2:$F$368,G241,FALSE)</f>
        <v>12.8338709677419</v>
      </c>
      <c r="J241" s="131">
        <f ca="1">HLOOKUP($H$4,'Met Data'!$H$2:$M$368,G241,FALSE)*L241</f>
        <v>7.7677419354838699</v>
      </c>
      <c r="K241" s="105">
        <f>HLOOKUP($H$4,'Met Data'!$O$2:$T$368,G241,FALSE)</f>
        <v>1.40773401519768</v>
      </c>
      <c r="L241">
        <f t="shared" ca="1" si="30"/>
        <v>1</v>
      </c>
      <c r="N241" t="b">
        <f t="shared" ca="1" si="35"/>
        <v>1</v>
      </c>
      <c r="O241" t="b">
        <f t="shared" ca="1" si="31"/>
        <v>1</v>
      </c>
      <c r="P241" s="2">
        <f ca="1"/>
        <v>44486</v>
      </c>
      <c r="Q241">
        <f ca="1"/>
        <v>50.572902981255972</v>
      </c>
      <c r="R241">
        <f ca="1"/>
        <v>1.22940248568369</v>
      </c>
      <c r="S241">
        <f ca="1"/>
        <v>1.8253722974451248E-15</v>
      </c>
      <c r="T241">
        <f ca="1"/>
        <v>0.43282465087343741</v>
      </c>
      <c r="U241">
        <f ca="1"/>
        <v>0</v>
      </c>
      <c r="V241">
        <f ca="1"/>
        <v>126.263005629776</v>
      </c>
      <c r="W241">
        <f ca="1"/>
        <v>101.228099341114</v>
      </c>
      <c r="X241">
        <f ca="1"/>
        <v>0</v>
      </c>
      <c r="Y241">
        <f ca="1"/>
        <v>1</v>
      </c>
      <c r="Z241">
        <f ca="1"/>
        <v>0.19407766188045628</v>
      </c>
      <c r="AA241">
        <f ca="1"/>
        <v>0</v>
      </c>
      <c r="AB241">
        <f ca="1"/>
        <v>0.89360261039125299</v>
      </c>
      <c r="AD241" s="2">
        <f t="shared" ca="1" si="32"/>
        <v>44486</v>
      </c>
      <c r="AE241" s="46">
        <f t="shared" ca="1" si="33"/>
        <v>0</v>
      </c>
      <c r="AG241" s="72">
        <f t="shared" ca="1" si="37"/>
        <v>51.80230546693965</v>
      </c>
      <c r="AH241" s="72">
        <f t="shared" ca="1" si="38"/>
        <v>51.802305466939664</v>
      </c>
      <c r="AI241" s="3">
        <f t="shared" ca="1" si="39"/>
        <v>0</v>
      </c>
    </row>
    <row r="242" spans="7:35" x14ac:dyDescent="0.25">
      <c r="G242" s="3">
        <f t="shared" si="34"/>
        <v>145</v>
      </c>
      <c r="H242" s="104">
        <f t="shared" si="36"/>
        <v>44340</v>
      </c>
      <c r="I242" s="131">
        <f>HLOOKUP($H$4,'Met Data'!$A$2:$F$368,G242,FALSE)</f>
        <v>12.761290322580599</v>
      </c>
      <c r="J242" s="131">
        <f ca="1">HLOOKUP($H$4,'Met Data'!$H$2:$M$368,G242,FALSE)*L242</f>
        <v>5.3612903225806399</v>
      </c>
      <c r="K242" s="105">
        <f>HLOOKUP($H$4,'Met Data'!$O$2:$T$368,G242,FALSE)</f>
        <v>1.5324788885576901</v>
      </c>
      <c r="L242">
        <f t="shared" ca="1" si="30"/>
        <v>1</v>
      </c>
      <c r="N242" t="b">
        <f t="shared" ca="1" si="35"/>
        <v>1</v>
      </c>
      <c r="O242" t="b">
        <f t="shared" ca="1" si="31"/>
        <v>1</v>
      </c>
      <c r="P242" s="2">
        <f ca="1"/>
        <v>44487</v>
      </c>
      <c r="Q242">
        <f ca="1"/>
        <v>49.81026308952103</v>
      </c>
      <c r="R242">
        <f ca="1"/>
        <v>1.1774159058425699</v>
      </c>
      <c r="S242">
        <f ca="1"/>
        <v>1.4713420159727734E-15</v>
      </c>
      <c r="T242">
        <f ca="1"/>
        <v>0.41477601410763465</v>
      </c>
      <c r="U242">
        <f ca="1"/>
        <v>0</v>
      </c>
      <c r="V242">
        <f ca="1"/>
        <v>127.440421535619</v>
      </c>
      <c r="W242">
        <f ca="1"/>
        <v>102.17206209321201</v>
      </c>
      <c r="X242">
        <f ca="1"/>
        <v>0</v>
      </c>
      <c r="Y242">
        <f ca="1"/>
        <v>1</v>
      </c>
      <c r="Z242">
        <f ca="1"/>
        <v>0.67188707015043292</v>
      </c>
      <c r="AA242">
        <f ca="1"/>
        <v>0</v>
      </c>
      <c r="AB242">
        <f ca="1"/>
        <v>0.89394701488051398</v>
      </c>
      <c r="AD242" s="2">
        <f t="shared" ca="1" si="32"/>
        <v>44487</v>
      </c>
      <c r="AE242" s="46">
        <f t="shared" ca="1" si="33"/>
        <v>0</v>
      </c>
      <c r="AG242" s="72">
        <f t="shared" ca="1" si="37"/>
        <v>50.987678995363609</v>
      </c>
      <c r="AH242" s="72">
        <f t="shared" ca="1" si="38"/>
        <v>50.987678995363602</v>
      </c>
      <c r="AI242" s="3">
        <f t="shared" ca="1" si="39"/>
        <v>0</v>
      </c>
    </row>
    <row r="243" spans="7:35" x14ac:dyDescent="0.25">
      <c r="G243" s="3">
        <f t="shared" si="34"/>
        <v>146</v>
      </c>
      <c r="H243" s="104">
        <f t="shared" si="36"/>
        <v>44341</v>
      </c>
      <c r="I243" s="131">
        <f>HLOOKUP($H$4,'Met Data'!$A$2:$F$368,G243,FALSE)</f>
        <v>13.04</v>
      </c>
      <c r="J243" s="131">
        <f ca="1">HLOOKUP($H$4,'Met Data'!$H$2:$M$368,G243,FALSE)*L243</f>
        <v>5.8233333333333297</v>
      </c>
      <c r="K243" s="105">
        <f>HLOOKUP($H$4,'Met Data'!$O$2:$T$368,G243,FALSE)</f>
        <v>1.3513771562845001</v>
      </c>
      <c r="L243">
        <f t="shared" ca="1" si="30"/>
        <v>1</v>
      </c>
      <c r="N243" t="b">
        <f t="shared" ca="1" si="35"/>
        <v>1</v>
      </c>
      <c r="O243" t="b">
        <f t="shared" ca="1" si="31"/>
        <v>1</v>
      </c>
      <c r="P243" s="2">
        <f ca="1"/>
        <v>44488</v>
      </c>
      <c r="Q243">
        <f ca="1"/>
        <v>49.068755113368404</v>
      </c>
      <c r="R243">
        <f ca="1"/>
        <v>1.1473345488528801</v>
      </c>
      <c r="S243">
        <f ca="1"/>
        <v>1.2051783542465721E-15</v>
      </c>
      <c r="T243">
        <f ca="1"/>
        <v>0.40582657270025252</v>
      </c>
      <c r="U243">
        <f ca="1"/>
        <v>0</v>
      </c>
      <c r="V243">
        <f ca="1"/>
        <v>128.58775608447201</v>
      </c>
      <c r="W243">
        <f ca="1"/>
        <v>103.09190789530901</v>
      </c>
      <c r="X243">
        <f ca="1"/>
        <v>0</v>
      </c>
      <c r="Y243">
        <f ca="1"/>
        <v>0.9916791637263096</v>
      </c>
      <c r="Z243">
        <f ca="1"/>
        <v>0</v>
      </c>
      <c r="AA243">
        <f ca="1"/>
        <v>0</v>
      </c>
      <c r="AB243">
        <f ca="1"/>
        <v>0.89426706066585504</v>
      </c>
      <c r="AD243" s="2">
        <f t="shared" ca="1" si="32"/>
        <v>44488</v>
      </c>
      <c r="AE243" s="46">
        <f t="shared" ca="1" si="33"/>
        <v>0</v>
      </c>
      <c r="AG243" s="72">
        <f t="shared" ca="1" si="37"/>
        <v>50.216089662221279</v>
      </c>
      <c r="AH243" s="72">
        <f t="shared" ca="1" si="38"/>
        <v>50.216089662221286</v>
      </c>
      <c r="AI243" s="3">
        <f t="shared" ca="1" si="39"/>
        <v>0</v>
      </c>
    </row>
    <row r="244" spans="7:35" x14ac:dyDescent="0.25">
      <c r="G244" s="3">
        <f t="shared" si="34"/>
        <v>147</v>
      </c>
      <c r="H244" s="104">
        <f t="shared" si="36"/>
        <v>44342</v>
      </c>
      <c r="I244" s="131">
        <f>HLOOKUP($H$4,'Met Data'!$A$2:$F$368,G244,FALSE)</f>
        <v>13.44</v>
      </c>
      <c r="J244" s="131">
        <f ca="1">HLOOKUP($H$4,'Met Data'!$H$2:$M$368,G244,FALSE)*L244</f>
        <v>6.9099999999999904</v>
      </c>
      <c r="K244" s="105">
        <f>HLOOKUP($H$4,'Met Data'!$O$2:$T$368,G244,FALSE)</f>
        <v>1.45255211799902</v>
      </c>
      <c r="L244">
        <f t="shared" ca="1" si="30"/>
        <v>1</v>
      </c>
      <c r="N244" t="b">
        <f t="shared" ca="1" si="35"/>
        <v>1</v>
      </c>
      <c r="O244" t="b">
        <f t="shared" ca="1" si="31"/>
        <v>1</v>
      </c>
      <c r="P244" s="2">
        <f ca="1"/>
        <v>44489</v>
      </c>
      <c r="Q244">
        <f ca="1"/>
        <v>48.341876657020869</v>
      </c>
      <c r="R244">
        <f ca="1"/>
        <v>1.1282820469502299</v>
      </c>
      <c r="S244">
        <f ca="1"/>
        <v>9.9555309267455225E-16</v>
      </c>
      <c r="T244">
        <f ca="1"/>
        <v>0.40140359060268754</v>
      </c>
      <c r="U244">
        <f ca="1"/>
        <v>0</v>
      </c>
      <c r="V244">
        <f ca="1"/>
        <v>129.71603813142201</v>
      </c>
      <c r="W244">
        <f ca="1"/>
        <v>103.996478846743</v>
      </c>
      <c r="X244">
        <f ca="1"/>
        <v>0</v>
      </c>
      <c r="Y244">
        <f ca="1"/>
        <v>0.97764103724809637</v>
      </c>
      <c r="Z244">
        <f ca="1"/>
        <v>0</v>
      </c>
      <c r="AA244">
        <f ca="1"/>
        <v>0</v>
      </c>
      <c r="AB244">
        <f ca="1"/>
        <v>0.89456747697335903</v>
      </c>
      <c r="AD244" s="2">
        <f t="shared" ca="1" si="32"/>
        <v>44489</v>
      </c>
      <c r="AE244" s="46">
        <f t="shared" ca="1" si="33"/>
        <v>0</v>
      </c>
      <c r="AG244" s="72">
        <f t="shared" ca="1" si="37"/>
        <v>49.470158703971094</v>
      </c>
      <c r="AH244" s="72">
        <f t="shared" ca="1" si="38"/>
        <v>49.470158703971101</v>
      </c>
      <c r="AI244" s="3">
        <f t="shared" ca="1" si="39"/>
        <v>0</v>
      </c>
    </row>
    <row r="245" spans="7:35" x14ac:dyDescent="0.25">
      <c r="G245" s="3">
        <f t="shared" si="34"/>
        <v>148</v>
      </c>
      <c r="H245" s="104">
        <f t="shared" si="36"/>
        <v>44343</v>
      </c>
      <c r="I245" s="131">
        <f>HLOOKUP($H$4,'Met Data'!$A$2:$F$368,G245,FALSE)</f>
        <v>12.8183333333333</v>
      </c>
      <c r="J245" s="131">
        <f ca="1">HLOOKUP($H$4,'Met Data'!$H$2:$M$368,G245,FALSE)*L245</f>
        <v>4.4066666666666601</v>
      </c>
      <c r="K245" s="105">
        <f>HLOOKUP($H$4,'Met Data'!$O$2:$T$368,G245,FALSE)</f>
        <v>1.5797115913466899</v>
      </c>
      <c r="L245">
        <f t="shared" ca="1" si="30"/>
        <v>1</v>
      </c>
      <c r="N245" t="b">
        <f t="shared" ca="1" si="35"/>
        <v>1</v>
      </c>
      <c r="O245" t="b">
        <f t="shared" ca="1" si="31"/>
        <v>1</v>
      </c>
      <c r="P245" s="2">
        <f ca="1"/>
        <v>44490</v>
      </c>
      <c r="Q245">
        <f ca="1"/>
        <v>47.600037932965535</v>
      </c>
      <c r="R245">
        <f ca="1"/>
        <v>1.1598685737173999</v>
      </c>
      <c r="S245">
        <f ca="1"/>
        <v>8.7603897964766732E-16</v>
      </c>
      <c r="T245">
        <f ca="1"/>
        <v>0.41802984966207052</v>
      </c>
      <c r="U245">
        <f ca="1"/>
        <v>0</v>
      </c>
      <c r="V245">
        <f ca="1"/>
        <v>130.87590670513899</v>
      </c>
      <c r="W245">
        <f ca="1"/>
        <v>104.92637347912</v>
      </c>
      <c r="X245">
        <f ca="1"/>
        <v>0</v>
      </c>
      <c r="Y245">
        <f ca="1"/>
        <v>0.97756694163161284</v>
      </c>
      <c r="Z245">
        <f ca="1"/>
        <v>0</v>
      </c>
      <c r="AA245">
        <f ca="1"/>
        <v>0</v>
      </c>
      <c r="AB245">
        <f ca="1"/>
        <v>0.894862155875222</v>
      </c>
      <c r="AD245" s="2">
        <f t="shared" ca="1" si="32"/>
        <v>44490</v>
      </c>
      <c r="AE245" s="46">
        <f t="shared" ca="1" si="33"/>
        <v>0</v>
      </c>
      <c r="AG245" s="72">
        <f t="shared" ca="1" si="37"/>
        <v>48.759906506682938</v>
      </c>
      <c r="AH245" s="72">
        <f t="shared" ca="1" si="38"/>
        <v>48.759906506682931</v>
      </c>
      <c r="AI245" s="3">
        <f t="shared" ca="1" si="39"/>
        <v>0</v>
      </c>
    </row>
    <row r="246" spans="7:35" x14ac:dyDescent="0.25">
      <c r="G246" s="3">
        <f t="shared" si="34"/>
        <v>149</v>
      </c>
      <c r="H246" s="104">
        <f t="shared" si="36"/>
        <v>44344</v>
      </c>
      <c r="I246" s="131">
        <f>HLOOKUP($H$4,'Met Data'!$A$2:$F$368,G246,FALSE)</f>
        <v>12.088333333333299</v>
      </c>
      <c r="J246" s="131">
        <f ca="1">HLOOKUP($H$4,'Met Data'!$H$2:$M$368,G246,FALSE)*L246</f>
        <v>3.84666666666666</v>
      </c>
      <c r="K246" s="105">
        <f>HLOOKUP($H$4,'Met Data'!$O$2:$T$368,G246,FALSE)</f>
        <v>1.52168431166894</v>
      </c>
      <c r="L246">
        <f t="shared" ca="1" si="30"/>
        <v>1</v>
      </c>
      <c r="N246" t="b">
        <f t="shared" ca="1" si="35"/>
        <v>1</v>
      </c>
      <c r="O246" t="b">
        <f t="shared" ca="1" si="31"/>
        <v>1</v>
      </c>
      <c r="P246" s="2">
        <f ca="1"/>
        <v>44491</v>
      </c>
      <c r="Q246">
        <f ca="1"/>
        <v>46.85342431294513</v>
      </c>
      <c r="R246">
        <f ca="1"/>
        <v>1.17513861907852</v>
      </c>
      <c r="S246">
        <f ca="1"/>
        <v>7.5826353151734829E-16</v>
      </c>
      <c r="T246">
        <f ca="1"/>
        <v>0.42852499905811592</v>
      </c>
      <c r="U246">
        <f ca="1"/>
        <v>0</v>
      </c>
      <c r="V246">
        <f ca="1"/>
        <v>132.05104532421799</v>
      </c>
      <c r="W246">
        <f ca="1"/>
        <v>105.868510475451</v>
      </c>
      <c r="X246">
        <f ca="1"/>
        <v>0</v>
      </c>
      <c r="Y246">
        <f ca="1"/>
        <v>0.98128056530166885</v>
      </c>
      <c r="Z246">
        <f ca="1"/>
        <v>0</v>
      </c>
      <c r="AA246">
        <f ca="1"/>
        <v>0</v>
      </c>
      <c r="AB246">
        <f ca="1"/>
        <v>0.89514673095074704</v>
      </c>
      <c r="AD246" s="2">
        <f t="shared" ca="1" si="32"/>
        <v>44491</v>
      </c>
      <c r="AE246" s="46">
        <f t="shared" ca="1" si="33"/>
        <v>0</v>
      </c>
      <c r="AG246" s="72">
        <f t="shared" ca="1" si="37"/>
        <v>48.028562932023654</v>
      </c>
      <c r="AH246" s="72">
        <f t="shared" ca="1" si="38"/>
        <v>48.028562932023647</v>
      </c>
      <c r="AI246" s="3">
        <f t="shared" ca="1" si="39"/>
        <v>0</v>
      </c>
    </row>
    <row r="247" spans="7:35" x14ac:dyDescent="0.25">
      <c r="G247" s="3">
        <f t="shared" si="34"/>
        <v>150</v>
      </c>
      <c r="H247" s="104">
        <f t="shared" si="36"/>
        <v>44345</v>
      </c>
      <c r="I247" s="131">
        <f>HLOOKUP($H$4,'Met Data'!$A$2:$F$368,G247,FALSE)</f>
        <v>11.7193548387096</v>
      </c>
      <c r="J247" s="131">
        <f ca="1">HLOOKUP($H$4,'Met Data'!$H$2:$M$368,G247,FALSE)*L247</f>
        <v>4.8161290322580603</v>
      </c>
      <c r="K247" s="105">
        <f>HLOOKUP($H$4,'Met Data'!$O$2:$T$368,G247,FALSE)</f>
        <v>1.3043403353641301</v>
      </c>
      <c r="L247">
        <f t="shared" ca="1" si="30"/>
        <v>1</v>
      </c>
      <c r="N247" t="b">
        <f t="shared" ca="1" si="35"/>
        <v>1</v>
      </c>
      <c r="O247" t="b">
        <f t="shared" ca="1" si="31"/>
        <v>1</v>
      </c>
      <c r="P247" s="2">
        <f ca="1"/>
        <v>44492</v>
      </c>
      <c r="Q247">
        <f ca="1"/>
        <v>46.099061084969463</v>
      </c>
      <c r="R247">
        <f ca="1"/>
        <v>1.19674971003613</v>
      </c>
      <c r="S247">
        <f ca="1"/>
        <v>6.6053176297870652E-16</v>
      </c>
      <c r="T247">
        <f ca="1"/>
        <v>0.44238648206046</v>
      </c>
      <c r="U247">
        <f ca="1"/>
        <v>0</v>
      </c>
      <c r="V247">
        <f ca="1"/>
        <v>133.24779503425401</v>
      </c>
      <c r="W247">
        <f ca="1"/>
        <v>106.827973605048</v>
      </c>
      <c r="X247">
        <f ca="1"/>
        <v>0</v>
      </c>
      <c r="Y247">
        <f ca="1"/>
        <v>0.99035413350265922</v>
      </c>
      <c r="Z247">
        <f ca="1"/>
        <v>0</v>
      </c>
      <c r="AA247">
        <f ca="1"/>
        <v>0</v>
      </c>
      <c r="AB247">
        <f ca="1"/>
        <v>0.89542272071540996</v>
      </c>
      <c r="AD247" s="2">
        <f t="shared" ca="1" si="32"/>
        <v>44492</v>
      </c>
      <c r="AE247" s="46">
        <f t="shared" ca="1" si="33"/>
        <v>0</v>
      </c>
      <c r="AG247" s="72">
        <f t="shared" ca="1" si="37"/>
        <v>47.295810795005593</v>
      </c>
      <c r="AH247" s="72">
        <f t="shared" ca="1" si="38"/>
        <v>47.295810795005593</v>
      </c>
      <c r="AI247" s="3">
        <f t="shared" ca="1" si="39"/>
        <v>0</v>
      </c>
    </row>
    <row r="248" spans="7:35" x14ac:dyDescent="0.25">
      <c r="G248" s="3">
        <f t="shared" si="34"/>
        <v>151</v>
      </c>
      <c r="H248" s="104">
        <f t="shared" si="36"/>
        <v>44346</v>
      </c>
      <c r="I248" s="131">
        <f>HLOOKUP($H$4,'Met Data'!$A$2:$F$368,G248,FALSE)</f>
        <v>12.024193548387</v>
      </c>
      <c r="J248" s="131">
        <f ca="1">HLOOKUP($H$4,'Met Data'!$H$2:$M$368,G248,FALSE)*L248</f>
        <v>5.4032258064516103</v>
      </c>
      <c r="K248" s="105">
        <f>HLOOKUP($H$4,'Met Data'!$O$2:$T$368,G248,FALSE)</f>
        <v>1.3290261075951599</v>
      </c>
      <c r="L248">
        <f t="shared" ca="1" si="30"/>
        <v>1</v>
      </c>
      <c r="N248" t="b">
        <f t="shared" ca="1" si="35"/>
        <v>1</v>
      </c>
      <c r="O248" t="b">
        <f t="shared" ca="1" si="31"/>
        <v>1</v>
      </c>
      <c r="P248" s="2">
        <f ca="1"/>
        <v>44493</v>
      </c>
      <c r="Q248">
        <f ca="1"/>
        <v>45.383624039798491</v>
      </c>
      <c r="R248">
        <f ca="1"/>
        <v>1.1355843976826301</v>
      </c>
      <c r="S248">
        <f ca="1"/>
        <v>5.2787240265656976E-16</v>
      </c>
      <c r="T248">
        <f ca="1"/>
        <v>0.42014735251165986</v>
      </c>
      <c r="U248">
        <f ca="1"/>
        <v>0</v>
      </c>
      <c r="V248">
        <f ca="1"/>
        <v>134.38337943193699</v>
      </c>
      <c r="W248">
        <f ca="1"/>
        <v>107.738399027329</v>
      </c>
      <c r="X248">
        <f ca="1"/>
        <v>0</v>
      </c>
      <c r="Y248">
        <f ca="1"/>
        <v>0.99079006096010125</v>
      </c>
      <c r="Z248">
        <f ca="1"/>
        <v>0</v>
      </c>
      <c r="AA248">
        <f ca="1"/>
        <v>0</v>
      </c>
      <c r="AB248">
        <f ca="1"/>
        <v>0.89567228156866097</v>
      </c>
      <c r="AD248" s="2">
        <f t="shared" ca="1" si="32"/>
        <v>44493</v>
      </c>
      <c r="AE248" s="46">
        <f t="shared" ca="1" si="33"/>
        <v>0</v>
      </c>
      <c r="AG248" s="72">
        <f t="shared" ca="1" si="37"/>
        <v>46.519208437481126</v>
      </c>
      <c r="AH248" s="72">
        <f t="shared" ca="1" si="38"/>
        <v>46.519208437481119</v>
      </c>
      <c r="AI248" s="3">
        <f t="shared" ca="1" si="39"/>
        <v>0</v>
      </c>
    </row>
    <row r="249" spans="7:35" x14ac:dyDescent="0.25">
      <c r="G249" s="3">
        <f t="shared" si="34"/>
        <v>152</v>
      </c>
      <c r="H249" s="104">
        <f t="shared" si="36"/>
        <v>44347</v>
      </c>
      <c r="I249" s="131">
        <f>HLOOKUP($H$4,'Met Data'!$A$2:$F$368,G249,FALSE)</f>
        <v>11.7258064516129</v>
      </c>
      <c r="J249" s="131">
        <f ca="1">HLOOKUP($H$4,'Met Data'!$H$2:$M$368,G249,FALSE)*L249</f>
        <v>5.6354838709677404</v>
      </c>
      <c r="K249" s="105">
        <f>HLOOKUP($H$4,'Met Data'!$O$2:$T$368,G249,FALSE)</f>
        <v>1.39784343044145</v>
      </c>
      <c r="L249">
        <f t="shared" ca="1" si="30"/>
        <v>1</v>
      </c>
      <c r="N249" t="b">
        <f t="shared" ca="1" si="35"/>
        <v>1</v>
      </c>
      <c r="O249" t="b">
        <f t="shared" ca="1" si="31"/>
        <v>1</v>
      </c>
      <c r="P249" s="2">
        <f ca="1"/>
        <v>44494</v>
      </c>
      <c r="Q249">
        <f ca="1"/>
        <v>44.657084635733078</v>
      </c>
      <c r="R249">
        <f ca="1"/>
        <v>1.1635763003097801</v>
      </c>
      <c r="S249">
        <f ca="1"/>
        <v>4.5313451334743058E-16</v>
      </c>
      <c r="T249">
        <f ca="1"/>
        <v>0.43703689624436609</v>
      </c>
      <c r="U249">
        <f ca="1"/>
        <v>0</v>
      </c>
      <c r="V249">
        <f ca="1"/>
        <v>135.546955732246</v>
      </c>
      <c r="W249">
        <f ca="1"/>
        <v>108.67126623361099</v>
      </c>
      <c r="X249">
        <f ca="1"/>
        <v>0</v>
      </c>
      <c r="Y249">
        <f ca="1"/>
        <v>0.97754303820211053</v>
      </c>
      <c r="Z249">
        <f ca="1"/>
        <v>0</v>
      </c>
      <c r="AA249">
        <f ca="1"/>
        <v>0</v>
      </c>
      <c r="AB249">
        <f ca="1"/>
        <v>0.89591609369882697</v>
      </c>
      <c r="AD249" s="2">
        <f t="shared" ca="1" si="32"/>
        <v>44494</v>
      </c>
      <c r="AE249" s="46">
        <f t="shared" ca="1" si="33"/>
        <v>0</v>
      </c>
      <c r="AG249" s="72">
        <f t="shared" ca="1" si="37"/>
        <v>45.820660936042856</v>
      </c>
      <c r="AH249" s="72">
        <f t="shared" ca="1" si="38"/>
        <v>45.820660936042856</v>
      </c>
      <c r="AI249" s="3">
        <f t="shared" ca="1" si="39"/>
        <v>0</v>
      </c>
    </row>
    <row r="250" spans="7:35" x14ac:dyDescent="0.25">
      <c r="G250" s="3">
        <f t="shared" si="34"/>
        <v>153</v>
      </c>
      <c r="H250" s="104">
        <f t="shared" si="36"/>
        <v>44348</v>
      </c>
      <c r="I250" s="131">
        <f>HLOOKUP($H$4,'Met Data'!$A$2:$F$368,G250,FALSE)</f>
        <v>11.7564516129032</v>
      </c>
      <c r="J250" s="131">
        <f ca="1">HLOOKUP($H$4,'Met Data'!$H$2:$M$368,G250,FALSE)*L250</f>
        <v>4.3451612903225802</v>
      </c>
      <c r="K250" s="105">
        <f>HLOOKUP($H$4,'Met Data'!$O$2:$T$368,G250,FALSE)</f>
        <v>1.4712646827298701</v>
      </c>
      <c r="L250">
        <f t="shared" ca="1" si="30"/>
        <v>1</v>
      </c>
      <c r="N250" t="b">
        <f t="shared" ca="1" si="35"/>
        <v>1</v>
      </c>
      <c r="O250" t="b">
        <f t="shared" ca="1" si="31"/>
        <v>1</v>
      </c>
      <c r="P250" s="2">
        <f ca="1"/>
        <v>44495</v>
      </c>
      <c r="Q250">
        <f ca="1"/>
        <v>43.926391189733685</v>
      </c>
      <c r="R250">
        <f ca="1"/>
        <v>1.17675562308034</v>
      </c>
      <c r="S250">
        <f ca="1"/>
        <v>3.7966448119832756E-16</v>
      </c>
      <c r="T250">
        <f ca="1"/>
        <v>0.44606217708094337</v>
      </c>
      <c r="U250">
        <f ca="1"/>
        <v>0</v>
      </c>
      <c r="V250">
        <f ca="1"/>
        <v>136.723711355327</v>
      </c>
      <c r="W250">
        <f ca="1"/>
        <v>109.614699621081</v>
      </c>
      <c r="X250">
        <f ca="1"/>
        <v>0</v>
      </c>
      <c r="Y250">
        <f ca="1"/>
        <v>0.95688349204757484</v>
      </c>
      <c r="Z250">
        <f ca="1"/>
        <v>0</v>
      </c>
      <c r="AA250">
        <f ca="1"/>
        <v>0</v>
      </c>
      <c r="AB250">
        <f ca="1"/>
        <v>0.89615095008721202</v>
      </c>
      <c r="AD250" s="2">
        <f t="shared" ca="1" si="32"/>
        <v>44495</v>
      </c>
      <c r="AE250" s="46">
        <f t="shared" ca="1" si="33"/>
        <v>0</v>
      </c>
      <c r="AG250" s="72">
        <f t="shared" ca="1" si="37"/>
        <v>45.103146812814025</v>
      </c>
      <c r="AH250" s="72">
        <f t="shared" ca="1" si="38"/>
        <v>45.103146812814025</v>
      </c>
      <c r="AI250" s="3">
        <f t="shared" ca="1" si="39"/>
        <v>0</v>
      </c>
    </row>
    <row r="251" spans="7:35" x14ac:dyDescent="0.25">
      <c r="G251" s="3">
        <f t="shared" si="34"/>
        <v>154</v>
      </c>
      <c r="H251" s="104">
        <f t="shared" si="36"/>
        <v>44349</v>
      </c>
      <c r="I251" s="131">
        <f>HLOOKUP($H$4,'Met Data'!$A$2:$F$368,G251,FALSE)</f>
        <v>11.6033333333333</v>
      </c>
      <c r="J251" s="131">
        <f ca="1">HLOOKUP($H$4,'Met Data'!$H$2:$M$368,G251,FALSE)*L251</f>
        <v>5.12</v>
      </c>
      <c r="K251" s="105">
        <f>HLOOKUP($H$4,'Met Data'!$O$2:$T$368,G251,FALSE)</f>
        <v>1.30717057222476</v>
      </c>
      <c r="L251">
        <f t="shared" ca="1" si="30"/>
        <v>1</v>
      </c>
      <c r="N251" t="b">
        <f t="shared" ca="1" si="35"/>
        <v>1</v>
      </c>
      <c r="O251" t="b">
        <f t="shared" ca="1" si="31"/>
        <v>1</v>
      </c>
      <c r="P251" s="2">
        <f ca="1"/>
        <v>44496</v>
      </c>
      <c r="Q251">
        <f ca="1"/>
        <v>43.17521500719495</v>
      </c>
      <c r="R251">
        <f ca="1"/>
        <v>1.2273925943712201</v>
      </c>
      <c r="S251">
        <f ca="1"/>
        <v>3.3582386933830248E-16</v>
      </c>
      <c r="T251">
        <f ca="1"/>
        <v>0.47621641183249097</v>
      </c>
      <c r="U251">
        <f ca="1"/>
        <v>0</v>
      </c>
      <c r="V251">
        <f ca="1"/>
        <v>137.95110394969799</v>
      </c>
      <c r="W251">
        <f ca="1"/>
        <v>110.598729890706</v>
      </c>
      <c r="X251">
        <f ca="1"/>
        <v>0</v>
      </c>
      <c r="Y251">
        <f ca="1"/>
        <v>0.95802129089808197</v>
      </c>
      <c r="Z251">
        <f ca="1"/>
        <v>0</v>
      </c>
      <c r="AA251">
        <f ca="1"/>
        <v>0</v>
      </c>
      <c r="AB251">
        <f ca="1"/>
        <v>0.89638391655096705</v>
      </c>
      <c r="AD251" s="2">
        <f t="shared" ca="1" si="32"/>
        <v>44496</v>
      </c>
      <c r="AE251" s="46">
        <f t="shared" ca="1" si="33"/>
        <v>0</v>
      </c>
      <c r="AG251" s="72">
        <f t="shared" ca="1" si="37"/>
        <v>44.402607601566174</v>
      </c>
      <c r="AH251" s="72">
        <f t="shared" ca="1" si="38"/>
        <v>44.402607601566167</v>
      </c>
      <c r="AI251" s="3">
        <f t="shared" ca="1" si="39"/>
        <v>0</v>
      </c>
    </row>
    <row r="252" spans="7:35" x14ac:dyDescent="0.25">
      <c r="G252" s="3">
        <f t="shared" si="34"/>
        <v>155</v>
      </c>
      <c r="H252" s="104">
        <f t="shared" si="36"/>
        <v>44350</v>
      </c>
      <c r="I252" s="131">
        <f>HLOOKUP($H$4,'Met Data'!$A$2:$F$368,G252,FALSE)</f>
        <v>11.056666666666599</v>
      </c>
      <c r="J252" s="131">
        <f ca="1">HLOOKUP($H$4,'Met Data'!$H$2:$M$368,G252,FALSE)*L252</f>
        <v>2.78666666666666</v>
      </c>
      <c r="K252" s="105">
        <f>HLOOKUP($H$4,'Met Data'!$O$2:$T$368,G252,FALSE)</f>
        <v>1.4941006859236099</v>
      </c>
      <c r="L252">
        <f t="shared" ca="1" si="30"/>
        <v>1</v>
      </c>
      <c r="N252" t="b">
        <f t="shared" ca="1" si="35"/>
        <v>1</v>
      </c>
      <c r="O252" t="b">
        <f t="shared" ca="1" si="31"/>
        <v>1</v>
      </c>
      <c r="P252" s="2">
        <f ca="1"/>
        <v>44497</v>
      </c>
      <c r="Q252">
        <f ca="1"/>
        <v>42.462753472261419</v>
      </c>
      <c r="R252">
        <f ca="1"/>
        <v>1.1679963338922299</v>
      </c>
      <c r="S252">
        <f ca="1"/>
        <v>2.707967372968329E-16</v>
      </c>
      <c r="T252">
        <f ca="1"/>
        <v>0.45553479895869547</v>
      </c>
      <c r="U252">
        <f ca="1"/>
        <v>0</v>
      </c>
      <c r="V252">
        <f ca="1"/>
        <v>139.11910028359</v>
      </c>
      <c r="W252">
        <f ca="1"/>
        <v>111.535140744603</v>
      </c>
      <c r="X252">
        <f ca="1"/>
        <v>0</v>
      </c>
      <c r="Y252">
        <f ca="1"/>
        <v>0.96831611838583831</v>
      </c>
      <c r="Z252">
        <f ca="1"/>
        <v>0</v>
      </c>
      <c r="AA252">
        <f ca="1"/>
        <v>0</v>
      </c>
      <c r="AB252">
        <f ca="1"/>
        <v>0.89659474053271304</v>
      </c>
      <c r="AD252" s="2">
        <f t="shared" ca="1" si="32"/>
        <v>44497</v>
      </c>
      <c r="AE252" s="46">
        <f t="shared" ca="1" si="33"/>
        <v>0</v>
      </c>
      <c r="AG252" s="72">
        <f t="shared" ca="1" si="37"/>
        <v>43.630749806153645</v>
      </c>
      <c r="AH252" s="72">
        <f t="shared" ca="1" si="38"/>
        <v>43.630749806153645</v>
      </c>
      <c r="AI252" s="3">
        <f t="shared" ca="1" si="39"/>
        <v>0</v>
      </c>
    </row>
    <row r="253" spans="7:35" x14ac:dyDescent="0.25">
      <c r="G253" s="3">
        <f t="shared" si="34"/>
        <v>156</v>
      </c>
      <c r="H253" s="104">
        <f t="shared" si="36"/>
        <v>44351</v>
      </c>
      <c r="I253" s="131">
        <f>HLOOKUP($H$4,'Met Data'!$A$2:$F$368,G253,FALSE)</f>
        <v>11.1733333333333</v>
      </c>
      <c r="J253" s="131">
        <f ca="1">HLOOKUP($H$4,'Met Data'!$H$2:$M$368,G253,FALSE)*L253</f>
        <v>4.3899999999999997</v>
      </c>
      <c r="K253" s="105">
        <f>HLOOKUP($H$4,'Met Data'!$O$2:$T$368,G253,FALSE)</f>
        <v>1.35454855749501</v>
      </c>
      <c r="L253">
        <f t="shared" ca="1" si="30"/>
        <v>1</v>
      </c>
      <c r="N253" t="b">
        <f t="shared" ca="1" si="35"/>
        <v>1</v>
      </c>
      <c r="O253" t="b">
        <f t="shared" ca="1" si="31"/>
        <v>1</v>
      </c>
      <c r="P253" s="2">
        <f ca="1"/>
        <v>44498</v>
      </c>
      <c r="Q253">
        <f ca="1"/>
        <v>41.762252044079865</v>
      </c>
      <c r="R253">
        <f ca="1"/>
        <v>1.15664977565092</v>
      </c>
      <c r="S253">
        <f ca="1"/>
        <v>2.2481792730061827E-16</v>
      </c>
      <c r="T253">
        <f ca="1"/>
        <v>0.45614834746936683</v>
      </c>
      <c r="U253">
        <f ca="1"/>
        <v>0</v>
      </c>
      <c r="V253">
        <f ca="1"/>
        <v>140.27575005924101</v>
      </c>
      <c r="W253">
        <f ca="1"/>
        <v>112.462454788874</v>
      </c>
      <c r="X253">
        <f ca="1"/>
        <v>0</v>
      </c>
      <c r="Y253">
        <f ca="1"/>
        <v>0.96268610867104087</v>
      </c>
      <c r="Z253">
        <f ca="1"/>
        <v>0</v>
      </c>
      <c r="AA253">
        <f ca="1"/>
        <v>0</v>
      </c>
      <c r="AB253">
        <f ca="1"/>
        <v>0.89679353119945704</v>
      </c>
      <c r="AD253" s="2">
        <f t="shared" ca="1" si="32"/>
        <v>44498</v>
      </c>
      <c r="AE253" s="46">
        <f t="shared" ca="1" si="33"/>
        <v>0</v>
      </c>
      <c r="AG253" s="72">
        <f t="shared" ca="1" si="37"/>
        <v>42.918901819730785</v>
      </c>
      <c r="AH253" s="72">
        <f t="shared" ca="1" si="38"/>
        <v>42.918901819730785</v>
      </c>
      <c r="AI253" s="3">
        <f t="shared" ca="1" si="39"/>
        <v>0</v>
      </c>
    </row>
    <row r="254" spans="7:35" x14ac:dyDescent="0.25">
      <c r="G254" s="3">
        <f t="shared" si="34"/>
        <v>157</v>
      </c>
      <c r="H254" s="104">
        <f t="shared" si="36"/>
        <v>44352</v>
      </c>
      <c r="I254" s="131">
        <f>HLOOKUP($H$4,'Met Data'!$A$2:$F$368,G254,FALSE)</f>
        <v>11.3016666666666</v>
      </c>
      <c r="J254" s="131">
        <f ca="1">HLOOKUP($H$4,'Met Data'!$H$2:$M$368,G254,FALSE)*L254</f>
        <v>3.3633333333333302</v>
      </c>
      <c r="K254" s="105">
        <f>HLOOKUP($H$4,'Met Data'!$O$2:$T$368,G254,FALSE)</f>
        <v>1.3233452483653401</v>
      </c>
      <c r="L254">
        <f t="shared" ca="1" si="30"/>
        <v>1</v>
      </c>
      <c r="N254" t="b">
        <f t="shared" ca="1" si="35"/>
        <v>1</v>
      </c>
      <c r="O254" t="b">
        <f t="shared" ca="1" si="31"/>
        <v>1</v>
      </c>
      <c r="P254" s="2">
        <f ca="1"/>
        <v>44499</v>
      </c>
      <c r="Q254">
        <f ca="1"/>
        <v>41.052397298191117</v>
      </c>
      <c r="R254">
        <f ca="1"/>
        <v>1.1775867254272601</v>
      </c>
      <c r="S254">
        <f ca="1"/>
        <v>1.9113189951283573E-16</v>
      </c>
      <c r="T254">
        <f ca="1"/>
        <v>0.46773197953850842</v>
      </c>
      <c r="U254">
        <f ca="1"/>
        <v>0</v>
      </c>
      <c r="V254">
        <f ca="1"/>
        <v>141.45333678466801</v>
      </c>
      <c r="W254">
        <f ca="1"/>
        <v>113.406554491157</v>
      </c>
      <c r="X254">
        <f ca="1"/>
        <v>0</v>
      </c>
      <c r="Y254">
        <f ca="1"/>
        <v>0.95195139557726283</v>
      </c>
      <c r="Z254">
        <f ca="1"/>
        <v>0</v>
      </c>
      <c r="AA254">
        <f ca="1"/>
        <v>0</v>
      </c>
      <c r="AB254">
        <f ca="1"/>
        <v>0.89698615422210803</v>
      </c>
      <c r="AD254" s="2">
        <f t="shared" ca="1" si="32"/>
        <v>44499</v>
      </c>
      <c r="AE254" s="46">
        <f t="shared" ca="1" si="33"/>
        <v>0</v>
      </c>
      <c r="AG254" s="72">
        <f t="shared" ca="1" si="37"/>
        <v>42.229984023618371</v>
      </c>
      <c r="AH254" s="72">
        <f t="shared" ca="1" si="38"/>
        <v>42.229984023618378</v>
      </c>
      <c r="AI254" s="3">
        <f t="shared" ca="1" si="39"/>
        <v>0</v>
      </c>
    </row>
    <row r="255" spans="7:35" x14ac:dyDescent="0.25">
      <c r="G255" s="3">
        <f t="shared" si="34"/>
        <v>158</v>
      </c>
      <c r="H255" s="104">
        <f t="shared" si="36"/>
        <v>44353</v>
      </c>
      <c r="I255" s="131">
        <f>HLOOKUP($H$4,'Met Data'!$A$2:$F$368,G255,FALSE)</f>
        <v>11.2416666666666</v>
      </c>
      <c r="J255" s="131">
        <f ca="1">HLOOKUP($H$4,'Met Data'!$H$2:$M$368,G255,FALSE)*L255</f>
        <v>3.4666666666666601</v>
      </c>
      <c r="K255" s="105">
        <f>HLOOKUP($H$4,'Met Data'!$O$2:$T$368,G255,FALSE)</f>
        <v>1.31169017597242</v>
      </c>
      <c r="L255">
        <f t="shared" ca="1" si="30"/>
        <v>1</v>
      </c>
      <c r="N255" t="b">
        <f t="shared" ca="1" si="35"/>
        <v>1</v>
      </c>
      <c r="O255" t="b">
        <f t="shared" ca="1" si="31"/>
        <v>1</v>
      </c>
      <c r="P255" s="2">
        <f ca="1"/>
        <v>44500</v>
      </c>
      <c r="Q255">
        <f ca="1"/>
        <v>40.354293877085773</v>
      </c>
      <c r="R255">
        <f ca="1"/>
        <v>1.14888988138097</v>
      </c>
      <c r="S255">
        <f ca="1"/>
        <v>1.5418955890385293E-16</v>
      </c>
      <c r="T255">
        <f ca="1"/>
        <v>0.45078646027562858</v>
      </c>
      <c r="U255">
        <f ca="1"/>
        <v>0</v>
      </c>
      <c r="V255">
        <f ca="1"/>
        <v>142.60222666604901</v>
      </c>
      <c r="W255">
        <f ca="1"/>
        <v>114.327647240884</v>
      </c>
      <c r="X255">
        <f ca="1"/>
        <v>0</v>
      </c>
      <c r="Y255">
        <f ca="1"/>
        <v>0.93509864379674112</v>
      </c>
      <c r="Z255">
        <f ca="1"/>
        <v>0</v>
      </c>
      <c r="AA255">
        <f ca="1"/>
        <v>0</v>
      </c>
      <c r="AB255">
        <f ca="1"/>
        <v>0.89716499456139898</v>
      </c>
      <c r="AD255" s="2">
        <f t="shared" ca="1" si="32"/>
        <v>44500</v>
      </c>
      <c r="AE255" s="46">
        <f t="shared" ca="1" si="33"/>
        <v>0</v>
      </c>
      <c r="AG255" s="72">
        <f t="shared" ca="1" si="37"/>
        <v>41.503183758466747</v>
      </c>
      <c r="AH255" s="72">
        <f t="shared" ca="1" si="38"/>
        <v>41.50318375846674</v>
      </c>
      <c r="AI255" s="3">
        <f t="shared" ca="1" si="39"/>
        <v>0</v>
      </c>
    </row>
    <row r="256" spans="7:35" x14ac:dyDescent="0.25">
      <c r="G256" s="3">
        <f t="shared" si="34"/>
        <v>159</v>
      </c>
      <c r="H256" s="104">
        <f t="shared" si="36"/>
        <v>44354</v>
      </c>
      <c r="I256" s="131">
        <f>HLOOKUP($H$4,'Met Data'!$A$2:$F$368,G256,FALSE)</f>
        <v>11.3533333333333</v>
      </c>
      <c r="J256" s="131">
        <f ca="1">HLOOKUP($H$4,'Met Data'!$H$2:$M$368,G256,FALSE)*L256</f>
        <v>3.12333333333333</v>
      </c>
      <c r="K256" s="105">
        <f>HLOOKUP($H$4,'Met Data'!$O$2:$T$368,G256,FALSE)</f>
        <v>1.3774495437093499</v>
      </c>
      <c r="L256">
        <f t="shared" ca="1" si="30"/>
        <v>1</v>
      </c>
      <c r="N256" t="b">
        <f t="shared" ca="1" si="35"/>
        <v>1</v>
      </c>
      <c r="O256" t="b">
        <f t="shared" ca="1" si="31"/>
        <v>1</v>
      </c>
      <c r="P256" s="2">
        <f ca="1"/>
        <v>44501</v>
      </c>
      <c r="Q256">
        <f ca="1"/>
        <v>39.682305867931284</v>
      </c>
      <c r="R256">
        <f ca="1"/>
        <v>1.09746746327207</v>
      </c>
      <c r="S256">
        <f ca="1"/>
        <v>1.2298385929614948E-16</v>
      </c>
      <c r="T256">
        <f ca="1"/>
        <v>0.42547945411758498</v>
      </c>
      <c r="U256">
        <f ca="1"/>
        <v>0</v>
      </c>
      <c r="V256">
        <f ca="1"/>
        <v>143.69969412932099</v>
      </c>
      <c r="W256">
        <f ca="1"/>
        <v>115.20751339678399</v>
      </c>
      <c r="X256">
        <f ca="1"/>
        <v>0</v>
      </c>
      <c r="Y256">
        <f ca="1"/>
        <v>0.9218828821669548</v>
      </c>
      <c r="Z256">
        <f ca="1"/>
        <v>0</v>
      </c>
      <c r="AA256">
        <f ca="1"/>
        <v>0</v>
      </c>
      <c r="AB256">
        <f ca="1"/>
        <v>0.89732780052698602</v>
      </c>
      <c r="AD256" s="2">
        <f t="shared" ca="1" si="32"/>
        <v>44501</v>
      </c>
      <c r="AE256" s="46">
        <f t="shared" ca="1" si="33"/>
        <v>0</v>
      </c>
      <c r="AG256" s="72">
        <f t="shared" ca="1" si="37"/>
        <v>40.779773331203359</v>
      </c>
      <c r="AH256" s="72">
        <f t="shared" ca="1" si="38"/>
        <v>40.779773331203351</v>
      </c>
      <c r="AI256" s="3">
        <f t="shared" ca="1" si="39"/>
        <v>0</v>
      </c>
    </row>
    <row r="257" spans="7:35" x14ac:dyDescent="0.25">
      <c r="G257" s="3">
        <f t="shared" si="34"/>
        <v>160</v>
      </c>
      <c r="H257" s="104">
        <f t="shared" si="36"/>
        <v>44355</v>
      </c>
      <c r="I257" s="131">
        <f>HLOOKUP($H$4,'Met Data'!$A$2:$F$368,G257,FALSE)</f>
        <v>11.6383333333333</v>
      </c>
      <c r="J257" s="131">
        <f ca="1">HLOOKUP($H$4,'Met Data'!$H$2:$M$368,G257,FALSE)*L257</f>
        <v>2.8</v>
      </c>
      <c r="K257" s="105">
        <f>HLOOKUP($H$4,'Met Data'!$O$2:$T$368,G257,FALSE)</f>
        <v>1.37514607405536</v>
      </c>
      <c r="L257">
        <f t="shared" ca="1" si="30"/>
        <v>1</v>
      </c>
      <c r="N257" t="b">
        <f t="shared" ca="1" si="35"/>
        <v>1</v>
      </c>
      <c r="O257" t="b">
        <f t="shared" ca="1" si="31"/>
        <v>1</v>
      </c>
      <c r="P257" s="2">
        <f ca="1"/>
        <v>44502</v>
      </c>
      <c r="Q257">
        <f ca="1"/>
        <v>39.008701510794673</v>
      </c>
      <c r="R257">
        <f ca="1"/>
        <v>1.08879746091546</v>
      </c>
      <c r="S257">
        <f ca="1"/>
        <v>1.0167736648715381E-16</v>
      </c>
      <c r="T257">
        <f ca="1"/>
        <v>0.41519310377884339</v>
      </c>
      <c r="U257">
        <f ca="1"/>
        <v>0</v>
      </c>
      <c r="V257">
        <f ca="1"/>
        <v>144.78849159023699</v>
      </c>
      <c r="W257">
        <f ca="1"/>
        <v>116.080428602518</v>
      </c>
      <c r="X257">
        <f ca="1"/>
        <v>0</v>
      </c>
      <c r="Y257">
        <f ca="1"/>
        <v>0.89870979151686836</v>
      </c>
      <c r="Z257">
        <f ca="1"/>
        <v>0</v>
      </c>
      <c r="AA257">
        <f ca="1"/>
        <v>0</v>
      </c>
      <c r="AB257">
        <f ca="1"/>
        <v>0.89748188451283495</v>
      </c>
      <c r="AD257" s="2">
        <f t="shared" ca="1" si="32"/>
        <v>44502</v>
      </c>
      <c r="AE257" s="46">
        <f t="shared" ca="1" si="33"/>
        <v>0</v>
      </c>
      <c r="AG257" s="72">
        <f t="shared" ca="1" si="37"/>
        <v>40.097498971710124</v>
      </c>
      <c r="AH257" s="72">
        <f t="shared" ca="1" si="38"/>
        <v>40.097498971710131</v>
      </c>
      <c r="AI257" s="3">
        <f t="shared" ca="1" si="39"/>
        <v>0</v>
      </c>
    </row>
    <row r="258" spans="7:35" x14ac:dyDescent="0.25">
      <c r="G258" s="3">
        <f t="shared" si="34"/>
        <v>161</v>
      </c>
      <c r="H258" s="104">
        <f t="shared" si="36"/>
        <v>44356</v>
      </c>
      <c r="I258" s="131">
        <f>HLOOKUP($H$4,'Met Data'!$A$2:$F$368,G258,FALSE)</f>
        <v>12.033333333333299</v>
      </c>
      <c r="J258" s="131">
        <f ca="1">HLOOKUP($H$4,'Met Data'!$H$2:$M$368,G258,FALSE)*L258</f>
        <v>5.1033333333333299</v>
      </c>
      <c r="K258" s="105">
        <f>HLOOKUP($H$4,'Met Data'!$O$2:$T$368,G258,FALSE)</f>
        <v>1.2907055368786999</v>
      </c>
      <c r="L258">
        <f t="shared" ca="1" si="30"/>
        <v>1</v>
      </c>
      <c r="N258" t="b">
        <f t="shared" ca="1" si="35"/>
        <v>1</v>
      </c>
      <c r="O258" t="b">
        <f t="shared" ca="1" si="31"/>
        <v>1</v>
      </c>
      <c r="P258" s="2">
        <f ca="1"/>
        <v>44503</v>
      </c>
      <c r="Q258">
        <f ca="1"/>
        <v>38.349180557278316</v>
      </c>
      <c r="R258">
        <f ca="1"/>
        <v>1.0675485539857701</v>
      </c>
      <c r="S258">
        <f ca="1"/>
        <v>8.4944239327729205E-17</v>
      </c>
      <c r="T258">
        <f ca="1"/>
        <v>0.40802760046941738</v>
      </c>
      <c r="U258">
        <f ca="1"/>
        <v>0</v>
      </c>
      <c r="V258">
        <f ca="1"/>
        <v>145.85604014422299</v>
      </c>
      <c r="W258">
        <f ca="1"/>
        <v>116.936308046661</v>
      </c>
      <c r="X258">
        <f ca="1"/>
        <v>0</v>
      </c>
      <c r="Y258">
        <f ca="1"/>
        <v>0.89207681295520369</v>
      </c>
      <c r="Z258">
        <f ca="1"/>
        <v>0</v>
      </c>
      <c r="AA258">
        <f ca="1"/>
        <v>0</v>
      </c>
      <c r="AB258">
        <f ca="1"/>
        <v>0.89762605714063504</v>
      </c>
      <c r="AD258" s="2">
        <f t="shared" ca="1" si="32"/>
        <v>44503</v>
      </c>
      <c r="AE258" s="46">
        <f t="shared" ca="1" si="33"/>
        <v>0</v>
      </c>
      <c r="AG258" s="72">
        <f t="shared" ca="1" si="37"/>
        <v>39.41672911126409</v>
      </c>
      <c r="AH258" s="72">
        <f t="shared" ca="1" si="38"/>
        <v>39.41672911126409</v>
      </c>
      <c r="AI258" s="3">
        <f t="shared" ca="1" si="39"/>
        <v>0</v>
      </c>
    </row>
    <row r="259" spans="7:35" x14ac:dyDescent="0.25">
      <c r="G259" s="3">
        <f t="shared" si="34"/>
        <v>162</v>
      </c>
      <c r="H259" s="104">
        <f t="shared" si="36"/>
        <v>44357</v>
      </c>
      <c r="I259" s="131">
        <f>HLOOKUP($H$4,'Met Data'!$A$2:$F$368,G259,FALSE)</f>
        <v>12.0483333333333</v>
      </c>
      <c r="J259" s="131">
        <f ca="1">HLOOKUP($H$4,'Met Data'!$H$2:$M$368,G259,FALSE)*L259</f>
        <v>7.0566666666666604</v>
      </c>
      <c r="K259" s="105">
        <f>HLOOKUP($H$4,'Met Data'!$O$2:$T$368,G259,FALSE)</f>
        <v>1.1704038738008</v>
      </c>
      <c r="L259">
        <f t="shared" ca="1" si="30"/>
        <v>1</v>
      </c>
      <c r="N259" t="b">
        <f t="shared" ca="1" si="35"/>
        <v>1</v>
      </c>
      <c r="O259" t="b">
        <f t="shared" ca="1" si="31"/>
        <v>1</v>
      </c>
      <c r="P259" s="2">
        <f ca="1"/>
        <v>44504</v>
      </c>
      <c r="Q259">
        <f ca="1"/>
        <v>37.694032554941792</v>
      </c>
      <c r="R259">
        <f ca="1"/>
        <v>1.0699070366694301</v>
      </c>
      <c r="S259">
        <f ca="1"/>
        <v>7.3203054318238552E-17</v>
      </c>
      <c r="T259">
        <f ca="1"/>
        <v>0.41475903433290723</v>
      </c>
      <c r="U259">
        <f ca="1"/>
        <v>0</v>
      </c>
      <c r="V259">
        <f ca="1"/>
        <v>146.925947180892</v>
      </c>
      <c r="W259">
        <f ca="1"/>
        <v>117.794078343301</v>
      </c>
      <c r="X259">
        <f ca="1"/>
        <v>0</v>
      </c>
      <c r="Y259">
        <f ca="1"/>
        <v>0.89095758220549803</v>
      </c>
      <c r="Z259">
        <f ca="1"/>
        <v>0</v>
      </c>
      <c r="AA259">
        <f ca="1"/>
        <v>0</v>
      </c>
      <c r="AB259">
        <f ca="1"/>
        <v>0.89776395993087899</v>
      </c>
      <c r="AD259" s="2">
        <f t="shared" ca="1" si="32"/>
        <v>44504</v>
      </c>
      <c r="AE259" s="46">
        <f t="shared" ca="1" si="33"/>
        <v>0</v>
      </c>
      <c r="AG259" s="72">
        <f t="shared" ca="1" si="37"/>
        <v>38.763939591611226</v>
      </c>
      <c r="AH259" s="72">
        <f t="shared" ca="1" si="38"/>
        <v>38.763939591611219</v>
      </c>
      <c r="AI259" s="3">
        <f t="shared" ca="1" si="39"/>
        <v>0</v>
      </c>
    </row>
    <row r="260" spans="7:35" x14ac:dyDescent="0.25">
      <c r="G260" s="3">
        <f t="shared" si="34"/>
        <v>163</v>
      </c>
      <c r="H260" s="104">
        <f t="shared" si="36"/>
        <v>44358</v>
      </c>
      <c r="I260" s="131">
        <f>HLOOKUP($H$4,'Met Data'!$A$2:$F$368,G260,FALSE)</f>
        <v>12.105</v>
      </c>
      <c r="J260" s="131">
        <f ca="1">HLOOKUP($H$4,'Met Data'!$H$2:$M$368,G260,FALSE)*L260</f>
        <v>4.8199999999999896</v>
      </c>
      <c r="K260" s="105">
        <f>HLOOKUP($H$4,'Met Data'!$O$2:$T$368,G260,FALSE)</f>
        <v>1.2848931912011301</v>
      </c>
      <c r="L260">
        <f t="shared" ca="1" si="30"/>
        <v>1</v>
      </c>
      <c r="N260" t="b">
        <f t="shared" ca="1" si="35"/>
        <v>1</v>
      </c>
      <c r="O260" t="b">
        <f t="shared" ca="1" si="31"/>
        <v>1</v>
      </c>
      <c r="P260" s="2">
        <f ca="1"/>
        <v>44505</v>
      </c>
      <c r="Q260">
        <f ca="1"/>
        <v>37.052041606938694</v>
      </c>
      <c r="R260">
        <f ca="1"/>
        <v>1.08174067736917</v>
      </c>
      <c r="S260">
        <f ca="1"/>
        <v>6.524656351707928E-17</v>
      </c>
      <c r="T260">
        <f ca="1"/>
        <v>0.43974972936606738</v>
      </c>
      <c r="U260">
        <f ca="1"/>
        <v>0</v>
      </c>
      <c r="V260">
        <f ca="1"/>
        <v>148.00768785826099</v>
      </c>
      <c r="W260">
        <f ca="1"/>
        <v>118.66133595533</v>
      </c>
      <c r="X260">
        <f ca="1"/>
        <v>0</v>
      </c>
      <c r="Y260">
        <f ca="1"/>
        <v>0.91397057327136866</v>
      </c>
      <c r="Z260">
        <f ca="1"/>
        <v>0</v>
      </c>
      <c r="AA260">
        <f ca="1"/>
        <v>0</v>
      </c>
      <c r="AB260">
        <f ca="1"/>
        <v>0.89789694589746805</v>
      </c>
      <c r="AD260" s="2">
        <f t="shared" ca="1" si="32"/>
        <v>44505</v>
      </c>
      <c r="AE260" s="46">
        <f t="shared" ca="1" si="33"/>
        <v>0</v>
      </c>
      <c r="AG260" s="72">
        <f t="shared" ca="1" si="37"/>
        <v>38.133782284307863</v>
      </c>
      <c r="AH260" s="72">
        <f t="shared" ca="1" si="38"/>
        <v>38.133782284307863</v>
      </c>
      <c r="AI260" s="3">
        <f t="shared" ca="1" si="39"/>
        <v>0</v>
      </c>
    </row>
    <row r="261" spans="7:35" x14ac:dyDescent="0.25">
      <c r="G261" s="3">
        <f t="shared" si="34"/>
        <v>164</v>
      </c>
      <c r="H261" s="104">
        <f t="shared" si="36"/>
        <v>44359</v>
      </c>
      <c r="I261" s="131">
        <f>HLOOKUP($H$4,'Met Data'!$A$2:$F$368,G261,FALSE)</f>
        <v>11.93</v>
      </c>
      <c r="J261" s="131">
        <f ca="1">HLOOKUP($H$4,'Met Data'!$H$2:$M$368,G261,FALSE)*L261</f>
        <v>4.05</v>
      </c>
      <c r="K261" s="105">
        <f>HLOOKUP($H$4,'Met Data'!$O$2:$T$368,G261,FALSE)</f>
        <v>1.2113320799843399</v>
      </c>
      <c r="L261">
        <f t="shared" ca="1" si="30"/>
        <v>1</v>
      </c>
      <c r="N261" t="b">
        <f t="shared" ca="1" si="35"/>
        <v>1</v>
      </c>
      <c r="O261" t="b">
        <f t="shared" ca="1" si="31"/>
        <v>1</v>
      </c>
      <c r="P261" s="2">
        <f ca="1"/>
        <v>44506</v>
      </c>
      <c r="Q261">
        <f ca="1"/>
        <v>36.441541644737775</v>
      </c>
      <c r="R261">
        <f ca="1"/>
        <v>1.0386145581409201</v>
      </c>
      <c r="S261">
        <f ca="1"/>
        <v>5.3652749192882836E-17</v>
      </c>
      <c r="T261">
        <f ca="1"/>
        <v>0.42811459594000029</v>
      </c>
      <c r="U261">
        <f ca="1"/>
        <v>0</v>
      </c>
      <c r="V261">
        <f ca="1"/>
        <v>149.046302416402</v>
      </c>
      <c r="W261">
        <f ca="1"/>
        <v>119.494018316598</v>
      </c>
      <c r="X261">
        <f ca="1"/>
        <v>0</v>
      </c>
      <c r="Y261">
        <f ca="1"/>
        <v>0.91899379986693519</v>
      </c>
      <c r="Z261">
        <f ca="1"/>
        <v>0</v>
      </c>
      <c r="AA261">
        <f ca="1"/>
        <v>0</v>
      </c>
      <c r="AB261">
        <f ca="1"/>
        <v>0.89801877163465904</v>
      </c>
      <c r="AD261" s="2">
        <f t="shared" ca="1" si="32"/>
        <v>44506</v>
      </c>
      <c r="AE261" s="46">
        <f t="shared" ca="1" si="33"/>
        <v>0</v>
      </c>
      <c r="AG261" s="72">
        <f t="shared" ca="1" si="37"/>
        <v>37.480156202878696</v>
      </c>
      <c r="AH261" s="72">
        <f t="shared" ca="1" si="38"/>
        <v>37.480156202878696</v>
      </c>
      <c r="AI261" s="3">
        <f t="shared" ca="1" si="39"/>
        <v>0</v>
      </c>
    </row>
    <row r="262" spans="7:35" x14ac:dyDescent="0.25">
      <c r="G262" s="3">
        <f t="shared" si="34"/>
        <v>165</v>
      </c>
      <c r="H262" s="104">
        <f t="shared" si="36"/>
        <v>44360</v>
      </c>
      <c r="I262" s="131">
        <f>HLOOKUP($H$4,'Met Data'!$A$2:$F$368,G262,FALSE)</f>
        <v>11.734999999999999</v>
      </c>
      <c r="J262" s="131">
        <f ca="1">HLOOKUP($H$4,'Met Data'!$H$2:$M$368,G262,FALSE)*L262</f>
        <v>3.5866666666666598</v>
      </c>
      <c r="K262" s="105">
        <f>HLOOKUP($H$4,'Met Data'!$O$2:$T$368,G262,FALSE)</f>
        <v>1.4600871377923801</v>
      </c>
      <c r="L262">
        <f t="shared" ref="L262:L325" ca="1" si="40">IF(H262&lt;$B$31,$J$3,$J$4)</f>
        <v>1</v>
      </c>
      <c r="N262" t="b">
        <f t="shared" ca="1" si="35"/>
        <v>1</v>
      </c>
      <c r="O262" t="b">
        <f t="shared" ref="O262:O325" ca="1" si="41">AND(IF(P262&gt;($P$2-1),TRUE,FALSE),IF(P262&lt;($P$3+1),TRUE,FALSE))</f>
        <v>1</v>
      </c>
      <c r="P262" s="2">
        <f ca="1"/>
        <v>44507</v>
      </c>
      <c r="Q262">
        <f ca="1"/>
        <v>35.83821576222541</v>
      </c>
      <c r="R262">
        <f ca="1"/>
        <v>1.0469723568770299</v>
      </c>
      <c r="S262">
        <f ca="1"/>
        <v>4.6641855212593259E-17</v>
      </c>
      <c r="T262">
        <f ca="1"/>
        <v>0.44364647436467003</v>
      </c>
      <c r="U262">
        <f ca="1"/>
        <v>0</v>
      </c>
      <c r="V262">
        <f ca="1"/>
        <v>150.09327477327901</v>
      </c>
      <c r="W262">
        <f ca="1"/>
        <v>120.33340132685299</v>
      </c>
      <c r="X262">
        <f ca="1"/>
        <v>0</v>
      </c>
      <c r="Y262">
        <f ca="1"/>
        <v>0.92641924564019529</v>
      </c>
      <c r="Z262">
        <f ca="1"/>
        <v>0</v>
      </c>
      <c r="AA262">
        <f ca="1"/>
        <v>0</v>
      </c>
      <c r="AB262">
        <f ca="1"/>
        <v>0.89813599272705602</v>
      </c>
      <c r="AD262" s="2">
        <f t="shared" ref="AD262:AD325" ca="1" si="42">IFERROR(P262,$AD$4)</f>
        <v>44507</v>
      </c>
      <c r="AE262" s="46">
        <f t="shared" ref="AE262:AE325" ca="1" si="43">IFERROR(U262,0)</f>
        <v>0</v>
      </c>
      <c r="AG262" s="72">
        <f t="shared" ca="1" si="37"/>
        <v>36.885188119102445</v>
      </c>
      <c r="AH262" s="72">
        <f t="shared" ca="1" si="38"/>
        <v>36.885188119102438</v>
      </c>
      <c r="AI262" s="3">
        <f t="shared" ca="1" si="39"/>
        <v>0</v>
      </c>
    </row>
    <row r="263" spans="7:35" x14ac:dyDescent="0.25">
      <c r="G263" s="3">
        <f t="shared" ref="G263:G326" si="44">H263-DATE(YEAR(H263),1,0)+1</f>
        <v>166</v>
      </c>
      <c r="H263" s="104">
        <f t="shared" si="36"/>
        <v>44361</v>
      </c>
      <c r="I263" s="131">
        <f>HLOOKUP($H$4,'Met Data'!$A$2:$F$368,G263,FALSE)</f>
        <v>11.1666666666666</v>
      </c>
      <c r="J263" s="131">
        <f ca="1">HLOOKUP($H$4,'Met Data'!$H$2:$M$368,G263,FALSE)*L263</f>
        <v>3.2966666666666602</v>
      </c>
      <c r="K263" s="105">
        <f>HLOOKUP($H$4,'Met Data'!$O$2:$T$368,G263,FALSE)</f>
        <v>1.34458805503312</v>
      </c>
      <c r="L263">
        <f t="shared" ca="1" si="40"/>
        <v>1</v>
      </c>
      <c r="N263" t="b">
        <f t="shared" ref="N263:N326" ca="1" si="45">IF(P263&lt;$P$3,TRUE,FALSE)</f>
        <v>1</v>
      </c>
      <c r="O263" t="b">
        <f t="shared" ca="1" si="41"/>
        <v>1</v>
      </c>
      <c r="P263" s="2">
        <f ca="1"/>
        <v>44508</v>
      </c>
      <c r="Q263">
        <f ca="1"/>
        <v>35.240570717956238</v>
      </c>
      <c r="R263">
        <f ca="1"/>
        <v>1.0508651799498201</v>
      </c>
      <c r="S263">
        <f ca="1"/>
        <v>3.982727569340549E-17</v>
      </c>
      <c r="T263">
        <f ca="1"/>
        <v>0.45322013568064851</v>
      </c>
      <c r="U263">
        <f ca="1"/>
        <v>0</v>
      </c>
      <c r="V263">
        <f ca="1"/>
        <v>151.144139953229</v>
      </c>
      <c r="W263">
        <f ca="1"/>
        <v>121.17590530733</v>
      </c>
      <c r="X263">
        <f ca="1"/>
        <v>0</v>
      </c>
      <c r="Y263">
        <f ca="1"/>
        <v>0.92592412578398275</v>
      </c>
      <c r="Z263">
        <f ca="1"/>
        <v>0</v>
      </c>
      <c r="AA263">
        <f ca="1"/>
        <v>0</v>
      </c>
      <c r="AB263">
        <f ca="1"/>
        <v>0.89824822574445096</v>
      </c>
      <c r="AD263" s="2">
        <f t="shared" ca="1" si="42"/>
        <v>44508</v>
      </c>
      <c r="AE263" s="46">
        <f t="shared" ca="1" si="43"/>
        <v>0</v>
      </c>
      <c r="AG263" s="72">
        <f t="shared" ca="1" si="37"/>
        <v>36.291435897906055</v>
      </c>
      <c r="AH263" s="72">
        <f t="shared" ca="1" si="38"/>
        <v>36.291435897906055</v>
      </c>
      <c r="AI263" s="3">
        <f t="shared" ca="1" si="39"/>
        <v>0</v>
      </c>
    </row>
    <row r="264" spans="7:35" x14ac:dyDescent="0.25">
      <c r="G264" s="3">
        <f t="shared" si="44"/>
        <v>167</v>
      </c>
      <c r="H264" s="104">
        <f t="shared" ref="H264:H327" si="46">H263+1</f>
        <v>44362</v>
      </c>
      <c r="I264" s="131">
        <f>HLOOKUP($H$4,'Met Data'!$A$2:$F$368,G264,FALSE)</f>
        <v>11.2283333333333</v>
      </c>
      <c r="J264" s="131">
        <f ca="1">HLOOKUP($H$4,'Met Data'!$H$2:$M$368,G264,FALSE)*L264</f>
        <v>6.4733333333333301</v>
      </c>
      <c r="K264" s="105">
        <f>HLOOKUP($H$4,'Met Data'!$O$2:$T$368,G264,FALSE)</f>
        <v>1.38085812732775</v>
      </c>
      <c r="L264">
        <f t="shared" ca="1" si="40"/>
        <v>1</v>
      </c>
      <c r="N264" t="b">
        <f t="shared" ca="1" si="45"/>
        <v>1</v>
      </c>
      <c r="O264" t="b">
        <f t="shared" ca="1" si="41"/>
        <v>1</v>
      </c>
      <c r="P264" s="2">
        <f ca="1"/>
        <v>44509</v>
      </c>
      <c r="Q264">
        <f ca="1"/>
        <v>34.669620377919721</v>
      </c>
      <c r="R264">
        <f ca="1"/>
        <v>1.0105789068206801</v>
      </c>
      <c r="S264">
        <f ca="1"/>
        <v>3.2490610839119794E-17</v>
      </c>
      <c r="T264">
        <f ca="1"/>
        <v>0.43962856678415912</v>
      </c>
      <c r="U264">
        <f ca="1"/>
        <v>0</v>
      </c>
      <c r="V264">
        <f ca="1"/>
        <v>152.15471886005</v>
      </c>
      <c r="W264">
        <f ca="1"/>
        <v>121.986110810212</v>
      </c>
      <c r="X264">
        <f ca="1"/>
        <v>0</v>
      </c>
      <c r="Y264">
        <f ca="1"/>
        <v>0.92567881493182724</v>
      </c>
      <c r="Z264">
        <f ca="1"/>
        <v>0</v>
      </c>
      <c r="AA264">
        <f ca="1"/>
        <v>0</v>
      </c>
      <c r="AB264">
        <f ca="1"/>
        <v>0.89835122391364397</v>
      </c>
      <c r="AD264" s="2">
        <f t="shared" ca="1" si="42"/>
        <v>44509</v>
      </c>
      <c r="AE264" s="46">
        <f t="shared" ca="1" si="43"/>
        <v>0</v>
      </c>
      <c r="AG264" s="72">
        <f t="shared" ca="1" si="37"/>
        <v>35.680199284740397</v>
      </c>
      <c r="AH264" s="72">
        <f t="shared" ca="1" si="38"/>
        <v>35.680199284740404</v>
      </c>
      <c r="AI264" s="3">
        <f t="shared" ca="1" si="39"/>
        <v>0</v>
      </c>
    </row>
    <row r="265" spans="7:35" x14ac:dyDescent="0.25">
      <c r="G265" s="3">
        <f t="shared" si="44"/>
        <v>168</v>
      </c>
      <c r="H265" s="104">
        <f t="shared" si="46"/>
        <v>44363</v>
      </c>
      <c r="I265" s="131">
        <f>HLOOKUP($H$4,'Met Data'!$A$2:$F$368,G265,FALSE)</f>
        <v>10.6586206896551</v>
      </c>
      <c r="J265" s="131">
        <f ca="1">HLOOKUP($H$4,'Met Data'!$H$2:$M$368,G265,FALSE)*L265</f>
        <v>4.2733333333333299</v>
      </c>
      <c r="K265" s="105">
        <f>HLOOKUP($H$4,'Met Data'!$O$2:$T$368,G265,FALSE)</f>
        <v>1.38162675040215</v>
      </c>
      <c r="L265">
        <f t="shared" ca="1" si="40"/>
        <v>1</v>
      </c>
      <c r="N265" t="b">
        <f t="shared" ca="1" si="45"/>
        <v>1</v>
      </c>
      <c r="O265" t="b">
        <f t="shared" ca="1" si="41"/>
        <v>1</v>
      </c>
      <c r="P265" s="2">
        <f ca="1"/>
        <v>44510</v>
      </c>
      <c r="Q265">
        <f ca="1"/>
        <v>34.097781781070843</v>
      </c>
      <c r="R265">
        <f ca="1"/>
        <v>1.0201563184302</v>
      </c>
      <c r="S265">
        <f ca="1"/>
        <v>2.7732591591702933E-17</v>
      </c>
      <c r="T265">
        <f ca="1"/>
        <v>0.44831772158132216</v>
      </c>
      <c r="U265">
        <f ca="1"/>
        <v>0</v>
      </c>
      <c r="V265">
        <f ca="1"/>
        <v>153.17487517847999</v>
      </c>
      <c r="W265">
        <f ca="1"/>
        <v>122.803994755161</v>
      </c>
      <c r="X265">
        <f ca="1"/>
        <v>0</v>
      </c>
      <c r="Y265">
        <f ca="1"/>
        <v>0.91773877141842763</v>
      </c>
      <c r="Z265">
        <f ca="1"/>
        <v>0</v>
      </c>
      <c r="AA265">
        <f ca="1"/>
        <v>0</v>
      </c>
      <c r="AB265">
        <f ca="1"/>
        <v>0.89845047651994503</v>
      </c>
      <c r="AD265" s="2">
        <f t="shared" ca="1" si="42"/>
        <v>44510</v>
      </c>
      <c r="AE265" s="46">
        <f t="shared" ca="1" si="43"/>
        <v>0</v>
      </c>
      <c r="AG265" s="72">
        <f t="shared" ca="1" si="37"/>
        <v>35.117938099501046</v>
      </c>
      <c r="AH265" s="72">
        <f t="shared" ca="1" si="38"/>
        <v>35.117938099501046</v>
      </c>
      <c r="AI265" s="3">
        <f t="shared" ca="1" si="39"/>
        <v>0</v>
      </c>
    </row>
    <row r="266" spans="7:35" x14ac:dyDescent="0.25">
      <c r="G266" s="3">
        <f t="shared" si="44"/>
        <v>169</v>
      </c>
      <c r="H266" s="104">
        <f t="shared" si="46"/>
        <v>44364</v>
      </c>
      <c r="I266" s="131">
        <f>HLOOKUP($H$4,'Met Data'!$A$2:$F$368,G266,FALSE)</f>
        <v>10.7310344827586</v>
      </c>
      <c r="J266" s="131">
        <f ca="1">HLOOKUP($H$4,'Met Data'!$H$2:$M$368,G266,FALSE)*L266</f>
        <v>4.5699999999999896</v>
      </c>
      <c r="K266" s="105">
        <f>HLOOKUP($H$4,'Met Data'!$O$2:$T$368,G266,FALSE)</f>
        <v>1.17648432087559</v>
      </c>
      <c r="L266">
        <f t="shared" ca="1" si="40"/>
        <v>1</v>
      </c>
      <c r="N266" t="b">
        <f t="shared" ca="1" si="45"/>
        <v>1</v>
      </c>
      <c r="O266" t="b">
        <f t="shared" ca="1" si="41"/>
        <v>1</v>
      </c>
      <c r="P266" s="2">
        <f ca="1"/>
        <v>44511</v>
      </c>
      <c r="Q266">
        <f ca="1"/>
        <v>33.529498388217505</v>
      </c>
      <c r="R266">
        <f ca="1"/>
        <v>1.01118864565933</v>
      </c>
      <c r="S266">
        <f ca="1"/>
        <v>2.298192370295393E-17</v>
      </c>
      <c r="T266">
        <f ca="1"/>
        <v>0.44290525280599291</v>
      </c>
      <c r="U266">
        <f ca="1"/>
        <v>0</v>
      </c>
      <c r="V266">
        <f ca="1"/>
        <v>154.18606382413901</v>
      </c>
      <c r="W266">
        <f ca="1"/>
        <v>123.61468910038801</v>
      </c>
      <c r="X266">
        <f ca="1"/>
        <v>0</v>
      </c>
      <c r="Y266">
        <f ca="1"/>
        <v>0.90186940653580161</v>
      </c>
      <c r="Z266">
        <f ca="1"/>
        <v>0</v>
      </c>
      <c r="AA266">
        <f ca="1"/>
        <v>0</v>
      </c>
      <c r="AB266">
        <f ca="1"/>
        <v>0.898544347436394</v>
      </c>
      <c r="AD266" s="2">
        <f t="shared" ca="1" si="42"/>
        <v>44511</v>
      </c>
      <c r="AE266" s="46">
        <f t="shared" ca="1" si="43"/>
        <v>0</v>
      </c>
      <c r="AG266" s="72">
        <f t="shared" ca="1" si="37"/>
        <v>34.540687033876836</v>
      </c>
      <c r="AH266" s="72">
        <f t="shared" ca="1" si="38"/>
        <v>34.540687033876836</v>
      </c>
      <c r="AI266" s="3">
        <f t="shared" ca="1" si="39"/>
        <v>0</v>
      </c>
    </row>
    <row r="267" spans="7:35" x14ac:dyDescent="0.25">
      <c r="G267" s="3">
        <f t="shared" si="44"/>
        <v>170</v>
      </c>
      <c r="H267" s="104">
        <f t="shared" si="46"/>
        <v>44365</v>
      </c>
      <c r="I267" s="131">
        <f>HLOOKUP($H$4,'Met Data'!$A$2:$F$368,G267,FALSE)</f>
        <v>11.2603448275862</v>
      </c>
      <c r="J267" s="131">
        <f ca="1">HLOOKUP($H$4,'Met Data'!$H$2:$M$368,G267,FALSE)*L267</f>
        <v>4.72</v>
      </c>
      <c r="K267" s="105">
        <f>HLOOKUP($H$4,'Met Data'!$O$2:$T$368,G267,FALSE)</f>
        <v>1.1014836099696199</v>
      </c>
      <c r="L267">
        <f t="shared" ca="1" si="40"/>
        <v>1</v>
      </c>
      <c r="N267" t="b">
        <f t="shared" ca="1" si="45"/>
        <v>1</v>
      </c>
      <c r="O267" t="b">
        <f t="shared" ca="1" si="41"/>
        <v>1</v>
      </c>
      <c r="P267" s="2">
        <f ca="1"/>
        <v>44512</v>
      </c>
      <c r="Q267">
        <f ca="1"/>
        <v>32.978379960008915</v>
      </c>
      <c r="R267">
        <f ca="1"/>
        <v>0.99364748769195899</v>
      </c>
      <c r="S267">
        <f ca="1"/>
        <v>1.9285305809633553E-17</v>
      </c>
      <c r="T267">
        <f ca="1"/>
        <v>0.4425290594833714</v>
      </c>
      <c r="U267">
        <f ca="1"/>
        <v>0</v>
      </c>
      <c r="V267">
        <f ca="1"/>
        <v>155.179711311831</v>
      </c>
      <c r="W267">
        <f ca="1"/>
        <v>124.41132027586499</v>
      </c>
      <c r="X267">
        <f ca="1"/>
        <v>0</v>
      </c>
      <c r="Y267">
        <f ca="1"/>
        <v>0.90306294978908852</v>
      </c>
      <c r="Z267">
        <f ca="1"/>
        <v>0</v>
      </c>
      <c r="AA267">
        <f ca="1"/>
        <v>0</v>
      </c>
      <c r="AB267">
        <f ca="1"/>
        <v>0.89863237681049002</v>
      </c>
      <c r="AD267" s="2">
        <f t="shared" ca="1" si="42"/>
        <v>44512</v>
      </c>
      <c r="AE267" s="46">
        <f t="shared" ca="1" si="43"/>
        <v>0</v>
      </c>
      <c r="AG267" s="72">
        <f t="shared" ref="AG267:AG330" ca="1" si="47">Q266+S267+T267+U267</f>
        <v>33.972027447700874</v>
      </c>
      <c r="AH267" s="72">
        <f t="shared" ref="AH267:AH330" ca="1" si="48">Q267+R267+X267</f>
        <v>33.972027447700874</v>
      </c>
      <c r="AI267" s="3">
        <f t="shared" ref="AI267:AI330" ca="1" si="49">AH267-AG267</f>
        <v>0</v>
      </c>
    </row>
    <row r="268" spans="7:35" x14ac:dyDescent="0.25">
      <c r="G268" s="3">
        <f t="shared" si="44"/>
        <v>171</v>
      </c>
      <c r="H268" s="104">
        <f t="shared" si="46"/>
        <v>44366</v>
      </c>
      <c r="I268" s="131">
        <f>HLOOKUP($H$4,'Met Data'!$A$2:$F$368,G268,FALSE)</f>
        <v>10.906896551724101</v>
      </c>
      <c r="J268" s="131">
        <f ca="1">HLOOKUP($H$4,'Met Data'!$H$2:$M$368,G268,FALSE)*L268</f>
        <v>4.07</v>
      </c>
      <c r="K268" s="105">
        <f>HLOOKUP($H$4,'Met Data'!$O$2:$T$368,G268,FALSE)</f>
        <v>1.1347149368896201</v>
      </c>
      <c r="L268">
        <f t="shared" ca="1" si="40"/>
        <v>1</v>
      </c>
      <c r="N268" t="b">
        <f t="shared" ca="1" si="45"/>
        <v>1</v>
      </c>
      <c r="O268" t="b">
        <f t="shared" ca="1" si="41"/>
        <v>1</v>
      </c>
      <c r="P268" s="2">
        <f ca="1"/>
        <v>44513</v>
      </c>
      <c r="Q268">
        <f ca="1"/>
        <v>32.446148466202906</v>
      </c>
      <c r="R268">
        <f ca="1"/>
        <v>0.96292647738394499</v>
      </c>
      <c r="S268">
        <f ca="1"/>
        <v>1.5833747893272035E-17</v>
      </c>
      <c r="T268">
        <f ca="1"/>
        <v>0.43069498357793401</v>
      </c>
      <c r="U268">
        <f ca="1"/>
        <v>0</v>
      </c>
      <c r="V268">
        <f ca="1"/>
        <v>156.142637789215</v>
      </c>
      <c r="W268">
        <f ca="1"/>
        <v>125.183321675836</v>
      </c>
      <c r="X268">
        <f ca="1"/>
        <v>0</v>
      </c>
      <c r="Y268">
        <f ca="1"/>
        <v>0.89688484465963569</v>
      </c>
      <c r="Z268">
        <f ca="1"/>
        <v>0</v>
      </c>
      <c r="AA268">
        <f ca="1"/>
        <v>0</v>
      </c>
      <c r="AB268">
        <f ca="1"/>
        <v>0.89871384291710998</v>
      </c>
      <c r="AD268" s="2">
        <f t="shared" ca="1" si="42"/>
        <v>44513</v>
      </c>
      <c r="AE268" s="46">
        <f t="shared" ca="1" si="43"/>
        <v>0</v>
      </c>
      <c r="AG268" s="72">
        <f t="shared" ca="1" si="47"/>
        <v>33.409074943586852</v>
      </c>
      <c r="AH268" s="72">
        <f t="shared" ca="1" si="48"/>
        <v>33.409074943586852</v>
      </c>
      <c r="AI268" s="3">
        <f t="shared" ca="1" si="49"/>
        <v>0</v>
      </c>
    </row>
    <row r="269" spans="7:35" x14ac:dyDescent="0.25">
      <c r="G269" s="3">
        <f t="shared" si="44"/>
        <v>172</v>
      </c>
      <c r="H269" s="104">
        <f t="shared" si="46"/>
        <v>44367</v>
      </c>
      <c r="I269" s="131">
        <f>HLOOKUP($H$4,'Met Data'!$A$2:$F$368,G269,FALSE)</f>
        <v>11.072413793103401</v>
      </c>
      <c r="J269" s="131">
        <f ca="1">HLOOKUP($H$4,'Met Data'!$H$2:$M$368,G269,FALSE)*L269</f>
        <v>5.89333333333333</v>
      </c>
      <c r="K269" s="105">
        <f>HLOOKUP($H$4,'Met Data'!$O$2:$T$368,G269,FALSE)</f>
        <v>1.25671546368113</v>
      </c>
      <c r="L269">
        <f t="shared" ca="1" si="40"/>
        <v>1</v>
      </c>
      <c r="N269" t="b">
        <f t="shared" ca="1" si="45"/>
        <v>1</v>
      </c>
      <c r="O269" t="b">
        <f t="shared" ca="1" si="41"/>
        <v>1</v>
      </c>
      <c r="P269" s="2">
        <f ca="1"/>
        <v>44514</v>
      </c>
      <c r="Q269">
        <f ca="1"/>
        <v>31.927820540280038</v>
      </c>
      <c r="R269">
        <f ca="1"/>
        <v>0.94441966065159</v>
      </c>
      <c r="S269">
        <f ca="1"/>
        <v>1.3230773053719398E-17</v>
      </c>
      <c r="T269">
        <f ca="1"/>
        <v>0.42609173472872414</v>
      </c>
      <c r="U269">
        <f ca="1"/>
        <v>0</v>
      </c>
      <c r="V269">
        <f ca="1"/>
        <v>157.08705744986699</v>
      </c>
      <c r="W269">
        <f ca="1"/>
        <v>125.940485714117</v>
      </c>
      <c r="X269">
        <f ca="1"/>
        <v>0</v>
      </c>
      <c r="Y269">
        <f ca="1"/>
        <v>0.89185198751756145</v>
      </c>
      <c r="Z269">
        <f ca="1"/>
        <v>0</v>
      </c>
      <c r="AA269">
        <f ca="1"/>
        <v>0</v>
      </c>
      <c r="AB269">
        <f ca="1"/>
        <v>0.89879019911644398</v>
      </c>
      <c r="AD269" s="2">
        <f t="shared" ca="1" si="42"/>
        <v>44514</v>
      </c>
      <c r="AE269" s="46">
        <f t="shared" ca="1" si="43"/>
        <v>0</v>
      </c>
      <c r="AG269" s="72">
        <f t="shared" ca="1" si="47"/>
        <v>32.872240200931628</v>
      </c>
      <c r="AH269" s="72">
        <f t="shared" ca="1" si="48"/>
        <v>32.872240200931628</v>
      </c>
      <c r="AI269" s="3">
        <f t="shared" ca="1" si="49"/>
        <v>0</v>
      </c>
    </row>
    <row r="270" spans="7:35" x14ac:dyDescent="0.25">
      <c r="G270" s="3">
        <f t="shared" si="44"/>
        <v>173</v>
      </c>
      <c r="H270" s="104">
        <f t="shared" si="46"/>
        <v>44368</v>
      </c>
      <c r="I270" s="131">
        <f>HLOOKUP($H$4,'Met Data'!$A$2:$F$368,G270,FALSE)</f>
        <v>11.1844827586206</v>
      </c>
      <c r="J270" s="131">
        <f ca="1">HLOOKUP($H$4,'Met Data'!$H$2:$M$368,G270,FALSE)*L270</f>
        <v>2.27</v>
      </c>
      <c r="K270" s="105">
        <f>HLOOKUP($H$4,'Met Data'!$O$2:$T$368,G270,FALSE)</f>
        <v>1.3590610231009399</v>
      </c>
      <c r="L270">
        <f t="shared" ca="1" si="40"/>
        <v>1</v>
      </c>
      <c r="N270" t="b">
        <f t="shared" ca="1" si="45"/>
        <v>1</v>
      </c>
      <c r="O270" t="b">
        <f t="shared" ca="1" si="41"/>
        <v>1</v>
      </c>
      <c r="P270" s="2">
        <f ca="1"/>
        <v>44515</v>
      </c>
      <c r="Q270">
        <f ca="1"/>
        <v>31.406910138360892</v>
      </c>
      <c r="R270">
        <f ca="1"/>
        <v>0.95200644961033698</v>
      </c>
      <c r="S270">
        <f ca="1"/>
        <v>1.1268237386279754E-17</v>
      </c>
      <c r="T270">
        <f ca="1"/>
        <v>0.43109604769118559</v>
      </c>
      <c r="U270">
        <f ca="1"/>
        <v>0</v>
      </c>
      <c r="V270">
        <f ca="1"/>
        <v>158.03906389947699</v>
      </c>
      <c r="W270">
        <f ca="1"/>
        <v>126.703732264236</v>
      </c>
      <c r="X270">
        <f ca="1"/>
        <v>0</v>
      </c>
      <c r="Y270">
        <f ca="1"/>
        <v>0.8775838322720938</v>
      </c>
      <c r="Z270">
        <f ca="1"/>
        <v>0</v>
      </c>
      <c r="AA270">
        <f ca="1"/>
        <v>0</v>
      </c>
      <c r="AB270">
        <f ca="1"/>
        <v>0.89886373926119101</v>
      </c>
      <c r="AD270" s="2">
        <f t="shared" ca="1" si="42"/>
        <v>44515</v>
      </c>
      <c r="AE270" s="46">
        <f t="shared" ca="1" si="43"/>
        <v>0</v>
      </c>
      <c r="AG270" s="72">
        <f t="shared" ca="1" si="47"/>
        <v>32.358916587971223</v>
      </c>
      <c r="AH270" s="72">
        <f t="shared" ca="1" si="48"/>
        <v>32.35891658797123</v>
      </c>
      <c r="AI270" s="3">
        <f t="shared" ca="1" si="49"/>
        <v>0</v>
      </c>
    </row>
    <row r="271" spans="7:35" x14ac:dyDescent="0.25">
      <c r="G271" s="3">
        <f t="shared" si="44"/>
        <v>174</v>
      </c>
      <c r="H271" s="104">
        <f t="shared" si="46"/>
        <v>44369</v>
      </c>
      <c r="I271" s="131">
        <f>HLOOKUP($H$4,'Met Data'!$A$2:$F$368,G271,FALSE)</f>
        <v>10.84</v>
      </c>
      <c r="J271" s="131">
        <f ca="1">HLOOKUP($H$4,'Met Data'!$H$2:$M$368,G271,FALSE)*L271</f>
        <v>2.2633333333333301</v>
      </c>
      <c r="K271" s="105">
        <f>HLOOKUP($H$4,'Met Data'!$O$2:$T$368,G271,FALSE)</f>
        <v>1.3770648366319</v>
      </c>
      <c r="L271">
        <f t="shared" ca="1" si="40"/>
        <v>1</v>
      </c>
      <c r="N271" t="b">
        <f t="shared" ca="1" si="45"/>
        <v>1</v>
      </c>
      <c r="O271" t="b">
        <f t="shared" ca="1" si="41"/>
        <v>1</v>
      </c>
      <c r="P271" s="2">
        <f ca="1"/>
        <v>44516</v>
      </c>
      <c r="Q271">
        <f ca="1"/>
        <v>30.896509190316984</v>
      </c>
      <c r="R271">
        <f ca="1"/>
        <v>0.956687809070075</v>
      </c>
      <c r="S271">
        <f ca="1"/>
        <v>9.7790055742949183E-18</v>
      </c>
      <c r="T271">
        <f ca="1"/>
        <v>0.4462868610261671</v>
      </c>
      <c r="U271">
        <f ca="1"/>
        <v>0</v>
      </c>
      <c r="V271">
        <f ca="1"/>
        <v>158.995751708547</v>
      </c>
      <c r="W271">
        <f ca="1"/>
        <v>127.47073197323201</v>
      </c>
      <c r="X271">
        <f ca="1"/>
        <v>0</v>
      </c>
      <c r="Y271">
        <f ca="1"/>
        <v>0.8834181926178698</v>
      </c>
      <c r="Z271">
        <f ca="1"/>
        <v>0</v>
      </c>
      <c r="AA271">
        <f ca="1"/>
        <v>0</v>
      </c>
      <c r="AB271">
        <f ca="1"/>
        <v>0.89893429199515895</v>
      </c>
      <c r="AD271" s="2">
        <f t="shared" ca="1" si="42"/>
        <v>44516</v>
      </c>
      <c r="AE271" s="46">
        <f t="shared" ca="1" si="43"/>
        <v>0</v>
      </c>
      <c r="AG271" s="72">
        <f t="shared" ca="1" si="47"/>
        <v>31.853196999387059</v>
      </c>
      <c r="AH271" s="72">
        <f t="shared" ca="1" si="48"/>
        <v>31.853196999387059</v>
      </c>
      <c r="AI271" s="3">
        <f t="shared" ca="1" si="49"/>
        <v>0</v>
      </c>
    </row>
    <row r="272" spans="7:35" x14ac:dyDescent="0.25">
      <c r="G272" s="3">
        <f t="shared" si="44"/>
        <v>175</v>
      </c>
      <c r="H272" s="104">
        <f t="shared" si="46"/>
        <v>44370</v>
      </c>
      <c r="I272" s="131">
        <f>HLOOKUP($H$4,'Met Data'!$A$2:$F$368,G272,FALSE)</f>
        <v>10.578333333333299</v>
      </c>
      <c r="J272" s="131">
        <f ca="1">HLOOKUP($H$4,'Met Data'!$H$2:$M$368,G272,FALSE)*L272</f>
        <v>4.8499999999999996</v>
      </c>
      <c r="K272" s="105">
        <f>HLOOKUP($H$4,'Met Data'!$O$2:$T$368,G272,FALSE)</f>
        <v>1.14995789296724</v>
      </c>
      <c r="L272">
        <f t="shared" ca="1" si="40"/>
        <v>1</v>
      </c>
      <c r="N272" t="b">
        <f t="shared" ca="1" si="45"/>
        <v>1</v>
      </c>
      <c r="O272" t="b">
        <f t="shared" ca="1" si="41"/>
        <v>1</v>
      </c>
      <c r="P272" s="2">
        <f ca="1"/>
        <v>44517</v>
      </c>
      <c r="Q272">
        <f ca="1"/>
        <v>30.405086765565251</v>
      </c>
      <c r="R272">
        <f ca="1"/>
        <v>0.91645138232840395</v>
      </c>
      <c r="S272">
        <f ca="1"/>
        <v>7.8765889870767552E-18</v>
      </c>
      <c r="T272">
        <f ca="1"/>
        <v>0.42502895757667397</v>
      </c>
      <c r="U272">
        <f ca="1"/>
        <v>0</v>
      </c>
      <c r="V272">
        <f ca="1"/>
        <v>159.91220309087601</v>
      </c>
      <c r="W272">
        <f ca="1"/>
        <v>128.205473167685</v>
      </c>
      <c r="X272">
        <f ca="1"/>
        <v>0</v>
      </c>
      <c r="Y272">
        <f ca="1"/>
        <v>0.87030059212762467</v>
      </c>
      <c r="Z272">
        <f ca="1"/>
        <v>0</v>
      </c>
      <c r="AA272">
        <f ca="1"/>
        <v>0</v>
      </c>
      <c r="AB272">
        <f ca="1"/>
        <v>0.89899883649354795</v>
      </c>
      <c r="AD272" s="2">
        <f t="shared" ca="1" si="42"/>
        <v>44517</v>
      </c>
      <c r="AE272" s="46">
        <f t="shared" ca="1" si="43"/>
        <v>0</v>
      </c>
      <c r="AG272" s="72">
        <f t="shared" ca="1" si="47"/>
        <v>31.321538147893659</v>
      </c>
      <c r="AH272" s="72">
        <f t="shared" ca="1" si="48"/>
        <v>31.321538147893655</v>
      </c>
      <c r="AI272" s="3">
        <f t="shared" ca="1" si="49"/>
        <v>0</v>
      </c>
    </row>
    <row r="273" spans="7:35" x14ac:dyDescent="0.25">
      <c r="G273" s="3">
        <f t="shared" si="44"/>
        <v>176</v>
      </c>
      <c r="H273" s="104">
        <f t="shared" si="46"/>
        <v>44371</v>
      </c>
      <c r="I273" s="131">
        <f>HLOOKUP($H$4,'Met Data'!$A$2:$F$368,G273,FALSE)</f>
        <v>10.6928571428571</v>
      </c>
      <c r="J273" s="131">
        <f ca="1">HLOOKUP($H$4,'Met Data'!$H$2:$M$368,G273,FALSE)*L273</f>
        <v>6.4607142857142801</v>
      </c>
      <c r="K273" s="105">
        <f>HLOOKUP($H$4,'Met Data'!$O$2:$T$368,G273,FALSE)</f>
        <v>1.1771575957217399</v>
      </c>
      <c r="L273">
        <f t="shared" ca="1" si="40"/>
        <v>1</v>
      </c>
      <c r="N273" t="b">
        <f t="shared" ca="1" si="45"/>
        <v>0</v>
      </c>
      <c r="O273" t="b">
        <f t="shared" ca="1" si="41"/>
        <v>1</v>
      </c>
      <c r="P273" s="2">
        <f ca="1"/>
        <v>44518</v>
      </c>
      <c r="Q273">
        <f ca="1"/>
        <v>29.931663770224525</v>
      </c>
      <c r="R273">
        <f ca="1"/>
        <v>0.87857593372862697</v>
      </c>
      <c r="S273">
        <f ca="1"/>
        <v>6.3942473932354905E-18</v>
      </c>
      <c r="T273">
        <f ca="1"/>
        <v>0.40515293838789784</v>
      </c>
      <c r="U273">
        <f ca="1"/>
        <v>0</v>
      </c>
      <c r="V273">
        <f ca="1"/>
        <v>160.79077902460401</v>
      </c>
      <c r="W273">
        <f ca="1"/>
        <v>128.90984870075999</v>
      </c>
      <c r="X273">
        <f ca="1"/>
        <v>0</v>
      </c>
      <c r="Y273">
        <f ca="1"/>
        <v>0.85705523613384982</v>
      </c>
      <c r="Z273">
        <f ca="1"/>
        <v>0</v>
      </c>
      <c r="AA273">
        <f ca="1"/>
        <v>0</v>
      </c>
      <c r="AB273">
        <f ca="1"/>
        <v>0.89905801275835695</v>
      </c>
      <c r="AD273" s="2">
        <f t="shared" ca="1" si="42"/>
        <v>44518</v>
      </c>
      <c r="AE273" s="46">
        <f t="shared" ca="1" si="43"/>
        <v>0</v>
      </c>
      <c r="AG273" s="72">
        <f t="shared" ca="1" si="47"/>
        <v>30.810239703953147</v>
      </c>
      <c r="AH273" s="72">
        <f t="shared" ca="1" si="48"/>
        <v>30.810239703953151</v>
      </c>
      <c r="AI273" s="3">
        <f t="shared" ca="1" si="49"/>
        <v>0</v>
      </c>
    </row>
    <row r="274" spans="7:35" x14ac:dyDescent="0.25">
      <c r="G274" s="3">
        <f t="shared" si="44"/>
        <v>177</v>
      </c>
      <c r="H274" s="104">
        <f t="shared" si="46"/>
        <v>44372</v>
      </c>
      <c r="I274" s="131">
        <f>HLOOKUP($H$4,'Met Data'!$A$2:$F$368,G274,FALSE)</f>
        <v>10.8642857142857</v>
      </c>
      <c r="J274" s="131">
        <f ca="1">HLOOKUP($H$4,'Met Data'!$H$2:$M$368,G274,FALSE)*L274</f>
        <v>8.7785714285714196</v>
      </c>
      <c r="K274" s="105">
        <f>HLOOKUP($H$4,'Met Data'!$O$2:$T$368,G274,FALSE)</f>
        <v>1.3519764431878101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44519</v>
      </c>
      <c r="Q274">
        <f ca="1"/>
        <v>34.976763746716621</v>
      </c>
      <c r="R274">
        <f ca="1"/>
        <v>0</v>
      </c>
      <c r="S274">
        <f ca="1"/>
        <v>4.6480295074960729</v>
      </c>
      <c r="T274">
        <f ca="1"/>
        <v>0.39707046899602638</v>
      </c>
      <c r="U274">
        <f ca="1"/>
        <v>0</v>
      </c>
      <c r="V274">
        <f ca="1"/>
        <v>0</v>
      </c>
      <c r="W274">
        <f ca="1"/>
        <v>0</v>
      </c>
      <c r="X274">
        <f ca="1"/>
        <v>0</v>
      </c>
      <c r="Y274">
        <f ca="1"/>
        <v>0.8429313644533234</v>
      </c>
      <c r="Z274">
        <f ca="1"/>
        <v>0</v>
      </c>
      <c r="AA274">
        <f ca="1"/>
        <v>0</v>
      </c>
      <c r="AB274">
        <f ca="1"/>
        <v>0</v>
      </c>
      <c r="AD274" s="2">
        <f t="shared" ca="1" si="42"/>
        <v>44519</v>
      </c>
      <c r="AE274" s="46">
        <f t="shared" ca="1" si="43"/>
        <v>0</v>
      </c>
      <c r="AG274" s="72">
        <f t="shared" ca="1" si="47"/>
        <v>34.976763746716621</v>
      </c>
      <c r="AH274" s="72">
        <f t="shared" ca="1" si="48"/>
        <v>34.976763746716621</v>
      </c>
      <c r="AI274" s="3">
        <f t="shared" ca="1" si="49"/>
        <v>0</v>
      </c>
    </row>
    <row r="275" spans="7:35" x14ac:dyDescent="0.25">
      <c r="G275" s="3">
        <f t="shared" si="44"/>
        <v>178</v>
      </c>
      <c r="H275" s="104">
        <f t="shared" si="46"/>
        <v>44373</v>
      </c>
      <c r="I275" s="131">
        <f>HLOOKUP($H$4,'Met Data'!$A$2:$F$368,G275,FALSE)</f>
        <v>10.492857142857099</v>
      </c>
      <c r="J275" s="131">
        <f ca="1">HLOOKUP($H$4,'Met Data'!$H$2:$M$368,G275,FALSE)*L275</f>
        <v>3.8</v>
      </c>
      <c r="K275" s="105">
        <f>HLOOKUP($H$4,'Met Data'!$O$2:$T$368,G275,FALSE)</f>
        <v>1.34392263247945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44520</v>
      </c>
      <c r="Q275">
        <f ca="1"/>
        <v>39.438475309200165</v>
      </c>
      <c r="R275">
        <f ca="1"/>
        <v>0</v>
      </c>
      <c r="S275">
        <f ca="1"/>
        <v>4.0539326232767747</v>
      </c>
      <c r="T275">
        <f ca="1"/>
        <v>0.40777893920676733</v>
      </c>
      <c r="U275">
        <f ca="1"/>
        <v>0</v>
      </c>
      <c r="V275">
        <f ca="1"/>
        <v>0</v>
      </c>
      <c r="W275">
        <f ca="1"/>
        <v>0</v>
      </c>
      <c r="X275">
        <f ca="1"/>
        <v>0</v>
      </c>
      <c r="Y275">
        <f ca="1"/>
        <v>0.83667704168851564</v>
      </c>
      <c r="Z275">
        <f ca="1"/>
        <v>0</v>
      </c>
      <c r="AA275">
        <f ca="1"/>
        <v>0</v>
      </c>
      <c r="AB275">
        <f ca="1"/>
        <v>0</v>
      </c>
      <c r="AD275" s="2">
        <f t="shared" ca="1" si="42"/>
        <v>44520</v>
      </c>
      <c r="AE275" s="46">
        <f t="shared" ca="1" si="43"/>
        <v>0</v>
      </c>
      <c r="AG275" s="72">
        <f t="shared" ca="1" si="47"/>
        <v>39.438475309200157</v>
      </c>
      <c r="AH275" s="72">
        <f t="shared" ca="1" si="48"/>
        <v>39.438475309200165</v>
      </c>
      <c r="AI275" s="3">
        <f t="shared" ca="1" si="49"/>
        <v>0</v>
      </c>
    </row>
    <row r="276" spans="7:35" x14ac:dyDescent="0.25">
      <c r="G276" s="3">
        <f t="shared" si="44"/>
        <v>179</v>
      </c>
      <c r="H276" s="104">
        <f t="shared" si="46"/>
        <v>44374</v>
      </c>
      <c r="I276" s="131">
        <f>HLOOKUP($H$4,'Met Data'!$A$2:$F$368,G276,FALSE)</f>
        <v>10.592857142857101</v>
      </c>
      <c r="J276" s="131">
        <f ca="1">HLOOKUP($H$4,'Met Data'!$H$2:$M$368,G276,FALSE)*L276</f>
        <v>2.81785714285714</v>
      </c>
      <c r="K276" s="105">
        <f>HLOOKUP($H$4,'Met Data'!$O$2:$T$368,G276,FALSE)</f>
        <v>1.47912334327964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44521</v>
      </c>
      <c r="Q276">
        <f ca="1"/>
        <v>43.311097429396767</v>
      </c>
      <c r="R276">
        <f ca="1"/>
        <v>0</v>
      </c>
      <c r="S276">
        <f ca="1"/>
        <v>3.4629330409570809</v>
      </c>
      <c r="T276">
        <f ca="1"/>
        <v>0.40968907923952486</v>
      </c>
      <c r="U276">
        <f ca="1"/>
        <v>0</v>
      </c>
      <c r="V276">
        <f ca="1"/>
        <v>0</v>
      </c>
      <c r="W276">
        <f ca="1"/>
        <v>0</v>
      </c>
      <c r="X276">
        <f ca="1"/>
        <v>0</v>
      </c>
      <c r="Y276">
        <f ca="1"/>
        <v>0.83556930989896716</v>
      </c>
      <c r="Z276">
        <f ca="1"/>
        <v>0</v>
      </c>
      <c r="AA276">
        <f ca="1"/>
        <v>0</v>
      </c>
      <c r="AB276">
        <f ca="1"/>
        <v>0</v>
      </c>
      <c r="AD276" s="2">
        <f t="shared" ca="1" si="42"/>
        <v>44521</v>
      </c>
      <c r="AE276" s="46">
        <f t="shared" ca="1" si="43"/>
        <v>0</v>
      </c>
      <c r="AG276" s="72">
        <f t="shared" ca="1" si="47"/>
        <v>43.311097429396774</v>
      </c>
      <c r="AH276" s="72">
        <f t="shared" ca="1" si="48"/>
        <v>43.311097429396767</v>
      </c>
      <c r="AI276" s="3">
        <f t="shared" ca="1" si="49"/>
        <v>0</v>
      </c>
    </row>
    <row r="277" spans="7:35" x14ac:dyDescent="0.25">
      <c r="G277" s="3">
        <f t="shared" si="44"/>
        <v>180</v>
      </c>
      <c r="H277" s="104">
        <f t="shared" si="46"/>
        <v>44375</v>
      </c>
      <c r="I277" s="131">
        <f>HLOOKUP($H$4,'Met Data'!$A$2:$F$368,G277,FALSE)</f>
        <v>10.465517241379301</v>
      </c>
      <c r="J277" s="131">
        <f ca="1">HLOOKUP($H$4,'Met Data'!$H$2:$M$368,G277,FALSE)*L277</f>
        <v>5.6517241379310299</v>
      </c>
      <c r="K277" s="105">
        <f>HLOOKUP($H$4,'Met Data'!$O$2:$T$368,G277,FALSE)</f>
        <v>1.2990420850019999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44522</v>
      </c>
      <c r="Q277">
        <f ca="1"/>
        <v>46.75309907000765</v>
      </c>
      <c r="R277">
        <f ca="1"/>
        <v>0</v>
      </c>
      <c r="S277">
        <f ca="1"/>
        <v>3.0200625034038024</v>
      </c>
      <c r="T277">
        <f ca="1"/>
        <v>0.42193913720708159</v>
      </c>
      <c r="U277">
        <f ca="1"/>
        <v>0</v>
      </c>
      <c r="V277">
        <f ca="1"/>
        <v>0</v>
      </c>
      <c r="W277">
        <f ca="1"/>
        <v>0</v>
      </c>
      <c r="X277">
        <f ca="1"/>
        <v>0</v>
      </c>
      <c r="Y277">
        <f ca="1"/>
        <v>0.84395583089062332</v>
      </c>
      <c r="Z277">
        <f ca="1"/>
        <v>0</v>
      </c>
      <c r="AA277">
        <f ca="1"/>
        <v>0</v>
      </c>
      <c r="AB277">
        <f ca="1"/>
        <v>0</v>
      </c>
      <c r="AD277" s="2">
        <f t="shared" ca="1" si="42"/>
        <v>44522</v>
      </c>
      <c r="AE277" s="46">
        <f t="shared" ca="1" si="43"/>
        <v>0</v>
      </c>
      <c r="AG277" s="72">
        <f t="shared" ca="1" si="47"/>
        <v>46.75309907000765</v>
      </c>
      <c r="AH277" s="72">
        <f t="shared" ca="1" si="48"/>
        <v>46.75309907000765</v>
      </c>
      <c r="AI277" s="3">
        <f t="shared" ca="1" si="49"/>
        <v>0</v>
      </c>
    </row>
    <row r="278" spans="7:35" x14ac:dyDescent="0.25">
      <c r="G278" s="3">
        <f t="shared" si="44"/>
        <v>181</v>
      </c>
      <c r="H278" s="104">
        <f t="shared" si="46"/>
        <v>44376</v>
      </c>
      <c r="I278" s="131">
        <f>HLOOKUP($H$4,'Met Data'!$A$2:$F$368,G278,FALSE)</f>
        <v>10.572413793103401</v>
      </c>
      <c r="J278" s="131">
        <f ca="1">HLOOKUP($H$4,'Met Data'!$H$2:$M$368,G278,FALSE)*L278</f>
        <v>5.2517241379310304</v>
      </c>
      <c r="K278" s="105">
        <f>HLOOKUP($H$4,'Met Data'!$O$2:$T$368,G278,FALSE)</f>
        <v>1.2839514040086699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44523</v>
      </c>
      <c r="Q278">
        <f ca="1"/>
        <v>49.771422775169754</v>
      </c>
      <c r="R278">
        <f ca="1"/>
        <v>0</v>
      </c>
      <c r="S278">
        <f ca="1"/>
        <v>2.5895386003882441</v>
      </c>
      <c r="T278">
        <f ca="1"/>
        <v>0.42878510477385717</v>
      </c>
      <c r="U278">
        <f ca="1"/>
        <v>0</v>
      </c>
      <c r="V278">
        <f ca="1"/>
        <v>0</v>
      </c>
      <c r="W278">
        <f ca="1"/>
        <v>0</v>
      </c>
      <c r="X278">
        <f ca="1"/>
        <v>0</v>
      </c>
      <c r="Y278">
        <f ca="1"/>
        <v>0.84156047350008478</v>
      </c>
      <c r="Z278">
        <f ca="1"/>
        <v>0</v>
      </c>
      <c r="AA278">
        <f ca="1"/>
        <v>0</v>
      </c>
      <c r="AB278">
        <f ca="1"/>
        <v>0</v>
      </c>
      <c r="AD278" s="2">
        <f t="shared" ca="1" si="42"/>
        <v>44523</v>
      </c>
      <c r="AE278" s="46">
        <f t="shared" ca="1" si="43"/>
        <v>0</v>
      </c>
      <c r="AG278" s="72">
        <f t="shared" ca="1" si="47"/>
        <v>49.771422775169754</v>
      </c>
      <c r="AH278" s="72">
        <f t="shared" ca="1" si="48"/>
        <v>49.771422775169754</v>
      </c>
      <c r="AI278" s="3">
        <f t="shared" ca="1" si="49"/>
        <v>0</v>
      </c>
    </row>
    <row r="279" spans="7:35" x14ac:dyDescent="0.25">
      <c r="G279" s="3">
        <f t="shared" si="44"/>
        <v>182</v>
      </c>
      <c r="H279" s="104">
        <f t="shared" si="46"/>
        <v>44377</v>
      </c>
      <c r="I279" s="131">
        <f>HLOOKUP($H$4,'Met Data'!$A$2:$F$368,G279,FALSE)</f>
        <v>10.655357142857101</v>
      </c>
      <c r="J279" s="131">
        <f ca="1">HLOOKUP($H$4,'Met Data'!$H$2:$M$368,G279,FALSE)*L279</f>
        <v>7.4689655172413696</v>
      </c>
      <c r="K279" s="105">
        <f>HLOOKUP($H$4,'Met Data'!$O$2:$T$368,G279,FALSE)</f>
        <v>1.3058632096396601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44524</v>
      </c>
      <c r="Q279">
        <f ca="1"/>
        <v>52.343045578459332</v>
      </c>
      <c r="R279">
        <f ca="1"/>
        <v>0</v>
      </c>
      <c r="S279">
        <f ca="1"/>
        <v>2.1513202856179561</v>
      </c>
      <c r="T279">
        <f ca="1"/>
        <v>0.4203025176716193</v>
      </c>
      <c r="U279">
        <f ca="1"/>
        <v>0</v>
      </c>
      <c r="V279">
        <f ca="1"/>
        <v>0</v>
      </c>
      <c r="W279">
        <f ca="1"/>
        <v>0</v>
      </c>
      <c r="X279">
        <f ca="1"/>
        <v>0</v>
      </c>
      <c r="Y279">
        <f ca="1"/>
        <v>0.83582476430737895</v>
      </c>
      <c r="Z279">
        <f ca="1"/>
        <v>0</v>
      </c>
      <c r="AA279">
        <f ca="1"/>
        <v>0</v>
      </c>
      <c r="AB279">
        <f ca="1"/>
        <v>0</v>
      </c>
      <c r="AD279" s="2">
        <f t="shared" ca="1" si="42"/>
        <v>44524</v>
      </c>
      <c r="AE279" s="46">
        <f t="shared" ca="1" si="43"/>
        <v>0</v>
      </c>
      <c r="AG279" s="72">
        <f t="shared" ca="1" si="47"/>
        <v>52.343045578459332</v>
      </c>
      <c r="AH279" s="72">
        <f t="shared" ca="1" si="48"/>
        <v>52.343045578459332</v>
      </c>
      <c r="AI279" s="3">
        <f t="shared" ca="1" si="49"/>
        <v>0</v>
      </c>
    </row>
    <row r="280" spans="7:35" x14ac:dyDescent="0.25">
      <c r="G280" s="3">
        <f t="shared" si="44"/>
        <v>183</v>
      </c>
      <c r="H280" s="104">
        <f t="shared" si="46"/>
        <v>44378</v>
      </c>
      <c r="I280" s="131">
        <f>HLOOKUP($H$4,'Met Data'!$A$2:$F$368,G280,FALSE)</f>
        <v>10.0517857142857</v>
      </c>
      <c r="J280" s="131">
        <f ca="1">HLOOKUP($H$4,'Met Data'!$H$2:$M$368,G280,FALSE)*L280</f>
        <v>3.5392857142857101</v>
      </c>
      <c r="K280" s="105">
        <f>HLOOKUP($H$4,'Met Data'!$O$2:$T$368,G280,FALSE)</f>
        <v>1.4482050520096601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44525</v>
      </c>
      <c r="Q280">
        <f ca="1"/>
        <v>54.668962924810167</v>
      </c>
      <c r="R280">
        <f ca="1"/>
        <v>0</v>
      </c>
      <c r="S280">
        <f ca="1"/>
        <v>1.8865485730429294</v>
      </c>
      <c r="T280">
        <f ca="1"/>
        <v>0.43936877330790808</v>
      </c>
      <c r="U280">
        <f ca="1"/>
        <v>0</v>
      </c>
      <c r="V280">
        <f ca="1"/>
        <v>0</v>
      </c>
      <c r="W280">
        <f ca="1"/>
        <v>0</v>
      </c>
      <c r="X280">
        <f ca="1"/>
        <v>0</v>
      </c>
      <c r="Y280">
        <f ca="1"/>
        <v>0.83047994792210378</v>
      </c>
      <c r="Z280">
        <f ca="1"/>
        <v>0</v>
      </c>
      <c r="AA280">
        <f ca="1"/>
        <v>0</v>
      </c>
      <c r="AB280">
        <f ca="1"/>
        <v>0</v>
      </c>
      <c r="AD280" s="2">
        <f t="shared" ca="1" si="42"/>
        <v>44525</v>
      </c>
      <c r="AE280" s="46">
        <f t="shared" ca="1" si="43"/>
        <v>0</v>
      </c>
      <c r="AG280" s="72">
        <f t="shared" ca="1" si="47"/>
        <v>54.668962924810167</v>
      </c>
      <c r="AH280" s="72">
        <f t="shared" ca="1" si="48"/>
        <v>54.668962924810167</v>
      </c>
      <c r="AI280" s="3">
        <f t="shared" ca="1" si="49"/>
        <v>0</v>
      </c>
    </row>
    <row r="281" spans="7:35" x14ac:dyDescent="0.25">
      <c r="G281" s="3">
        <f t="shared" si="44"/>
        <v>184</v>
      </c>
      <c r="H281" s="104">
        <f t="shared" si="46"/>
        <v>44379</v>
      </c>
      <c r="I281" s="131">
        <f>HLOOKUP($H$4,'Met Data'!$A$2:$F$368,G281,FALSE)</f>
        <v>9.5678571428571395</v>
      </c>
      <c r="J281" s="131">
        <f ca="1">HLOOKUP($H$4,'Met Data'!$H$2:$M$368,G281,FALSE)*L281</f>
        <v>4.33928571428571</v>
      </c>
      <c r="K281" s="105">
        <f>HLOOKUP($H$4,'Met Data'!$O$2:$T$368,G281,FALSE)</f>
        <v>1.3964370426983801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44526</v>
      </c>
      <c r="Q281">
        <f ca="1"/>
        <v>56.679603406318542</v>
      </c>
      <c r="R281">
        <f ca="1"/>
        <v>0</v>
      </c>
      <c r="S281">
        <f ca="1"/>
        <v>1.5750964156345895</v>
      </c>
      <c r="T281">
        <f ca="1"/>
        <v>0.43554406587378047</v>
      </c>
      <c r="U281">
        <f ca="1"/>
        <v>0</v>
      </c>
      <c r="V281">
        <f ca="1"/>
        <v>0</v>
      </c>
      <c r="W281">
        <f ca="1"/>
        <v>0</v>
      </c>
      <c r="X281">
        <f ca="1"/>
        <v>0</v>
      </c>
      <c r="Y281">
        <f ca="1"/>
        <v>0.82110554331933905</v>
      </c>
      <c r="Z281">
        <f ca="1"/>
        <v>0</v>
      </c>
      <c r="AA281">
        <f ca="1"/>
        <v>0</v>
      </c>
      <c r="AB281">
        <f ca="1"/>
        <v>0</v>
      </c>
      <c r="AD281" s="2">
        <f t="shared" ca="1" si="42"/>
        <v>44526</v>
      </c>
      <c r="AE281" s="46">
        <f t="shared" ca="1" si="43"/>
        <v>0</v>
      </c>
      <c r="AG281" s="72">
        <f t="shared" ca="1" si="47"/>
        <v>56.679603406318535</v>
      </c>
      <c r="AH281" s="72">
        <f t="shared" ca="1" si="48"/>
        <v>56.679603406318542</v>
      </c>
      <c r="AI281" s="3">
        <f t="shared" ca="1" si="49"/>
        <v>0</v>
      </c>
    </row>
    <row r="282" spans="7:35" x14ac:dyDescent="0.25">
      <c r="G282" s="3">
        <f t="shared" si="44"/>
        <v>185</v>
      </c>
      <c r="H282" s="104">
        <f t="shared" si="46"/>
        <v>44380</v>
      </c>
      <c r="I282" s="131">
        <f>HLOOKUP($H$4,'Met Data'!$A$2:$F$368,G282,FALSE)</f>
        <v>9.7035714285714292</v>
      </c>
      <c r="J282" s="131">
        <f ca="1">HLOOKUP($H$4,'Met Data'!$H$2:$M$368,G282,FALSE)*L282</f>
        <v>3.2666666666666599</v>
      </c>
      <c r="K282" s="105">
        <f>HLOOKUP($H$4,'Met Data'!$O$2:$T$368,G282,FALSE)</f>
        <v>1.2730824905906899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44527</v>
      </c>
      <c r="Q282">
        <f ca="1"/>
        <v>58.404522646020901</v>
      </c>
      <c r="R282">
        <f ca="1"/>
        <v>0</v>
      </c>
      <c r="S282">
        <f ca="1"/>
        <v>1.3010225963861521</v>
      </c>
      <c r="T282">
        <f ca="1"/>
        <v>0.42389664331621441</v>
      </c>
      <c r="U282">
        <f ca="1"/>
        <v>0</v>
      </c>
      <c r="V282">
        <f ca="1"/>
        <v>0</v>
      </c>
      <c r="W282">
        <f ca="1"/>
        <v>0</v>
      </c>
      <c r="X282">
        <f ca="1"/>
        <v>0</v>
      </c>
      <c r="Y282">
        <f ca="1"/>
        <v>0.82248271947399543</v>
      </c>
      <c r="Z282">
        <f ca="1"/>
        <v>0</v>
      </c>
      <c r="AA282">
        <f ca="1"/>
        <v>0</v>
      </c>
      <c r="AB282">
        <f ca="1"/>
        <v>0</v>
      </c>
      <c r="AD282" s="2">
        <f t="shared" ca="1" si="42"/>
        <v>44527</v>
      </c>
      <c r="AE282" s="46">
        <f t="shared" ca="1" si="43"/>
        <v>0</v>
      </c>
      <c r="AG282" s="72">
        <f t="shared" ca="1" si="47"/>
        <v>58.404522646020908</v>
      </c>
      <c r="AH282" s="72">
        <f t="shared" ca="1" si="48"/>
        <v>58.404522646020901</v>
      </c>
      <c r="AI282" s="3">
        <f t="shared" ca="1" si="49"/>
        <v>0</v>
      </c>
    </row>
    <row r="283" spans="7:35" x14ac:dyDescent="0.25">
      <c r="G283" s="3">
        <f t="shared" si="44"/>
        <v>186</v>
      </c>
      <c r="H283" s="104">
        <f t="shared" si="46"/>
        <v>44381</v>
      </c>
      <c r="I283" s="131">
        <f>HLOOKUP($H$4,'Met Data'!$A$2:$F$368,G283,FALSE)</f>
        <v>10.1785714285714</v>
      </c>
      <c r="J283" s="131">
        <f ca="1">HLOOKUP($H$4,'Met Data'!$H$2:$M$368,G283,FALSE)*L283</f>
        <v>5.2555555555555502</v>
      </c>
      <c r="K283" s="105">
        <f>HLOOKUP($H$4,'Met Data'!$O$2:$T$368,G283,FALSE)</f>
        <v>1.2896889465411501</v>
      </c>
      <c r="L283">
        <f t="shared" ca="1" si="40"/>
        <v>1</v>
      </c>
      <c r="N283" t="b">
        <f t="shared" ca="1" si="45"/>
        <v>0</v>
      </c>
      <c r="O283" t="b">
        <f t="shared" ca="1" si="41"/>
        <v>0</v>
      </c>
      <c r="P283" s="2">
        <f ca="1"/>
        <v>44528</v>
      </c>
      <c r="Q283">
        <f ca="1"/>
        <v>59.944736721201714</v>
      </c>
      <c r="R283">
        <f ca="1"/>
        <v>0</v>
      </c>
      <c r="S283">
        <f ca="1"/>
        <v>1.1123600797753401</v>
      </c>
      <c r="T283">
        <f ca="1"/>
        <v>0.42785399540547064</v>
      </c>
      <c r="U283">
        <f ca="1"/>
        <v>0</v>
      </c>
      <c r="V283">
        <f ca="1"/>
        <v>0</v>
      </c>
      <c r="W283">
        <f ca="1"/>
        <v>0</v>
      </c>
      <c r="X283">
        <f ca="1"/>
        <v>0</v>
      </c>
      <c r="Y283">
        <f ca="1"/>
        <v>0.83480898400098824</v>
      </c>
      <c r="Z283">
        <f ca="1"/>
        <v>0</v>
      </c>
      <c r="AA283">
        <f ca="1"/>
        <v>0</v>
      </c>
      <c r="AB283">
        <f ca="1"/>
        <v>0</v>
      </c>
      <c r="AD283" s="2">
        <f t="shared" ca="1" si="42"/>
        <v>44528</v>
      </c>
      <c r="AE283" s="46">
        <f t="shared" ca="1" si="43"/>
        <v>0</v>
      </c>
      <c r="AG283" s="72">
        <f t="shared" ca="1" si="47"/>
        <v>59.944736721201714</v>
      </c>
      <c r="AH283" s="72">
        <f t="shared" ca="1" si="48"/>
        <v>59.944736721201714</v>
      </c>
      <c r="AI283" s="3">
        <f t="shared" ca="1" si="49"/>
        <v>0</v>
      </c>
    </row>
    <row r="284" spans="7:35" x14ac:dyDescent="0.25">
      <c r="G284" s="3">
        <f t="shared" si="44"/>
        <v>187</v>
      </c>
      <c r="H284" s="104">
        <f t="shared" si="46"/>
        <v>44382</v>
      </c>
      <c r="I284" s="131">
        <f>HLOOKUP($H$4,'Met Data'!$A$2:$F$368,G284,FALSE)</f>
        <v>10.675000000000001</v>
      </c>
      <c r="J284" s="131">
        <f ca="1">HLOOKUP($H$4,'Met Data'!$H$2:$M$368,G284,FALSE)*L284</f>
        <v>2.9892857142857099</v>
      </c>
      <c r="K284" s="105">
        <f>HLOOKUP($H$4,'Met Data'!$O$2:$T$368,G284,FALSE)</f>
        <v>1.4660191910043801</v>
      </c>
      <c r="L284">
        <f t="shared" ca="1" si="40"/>
        <v>1</v>
      </c>
      <c r="N284" t="b">
        <f t="shared" ca="1" si="45"/>
        <v>0</v>
      </c>
      <c r="O284" t="b">
        <f t="shared" ca="1" si="41"/>
        <v>0</v>
      </c>
      <c r="P284" s="2">
        <f ca="1"/>
        <v>44529</v>
      </c>
      <c r="Q284">
        <f ca="1"/>
        <v>61.314880590029034</v>
      </c>
      <c r="R284">
        <f ca="1"/>
        <v>0</v>
      </c>
      <c r="S284">
        <f ca="1"/>
        <v>0.94125002478408615</v>
      </c>
      <c r="T284">
        <f ca="1"/>
        <v>0.42889384404323572</v>
      </c>
      <c r="U284">
        <f ca="1"/>
        <v>0</v>
      </c>
      <c r="V284">
        <f ca="1"/>
        <v>0</v>
      </c>
      <c r="W284">
        <f ca="1"/>
        <v>0</v>
      </c>
      <c r="X284">
        <f ca="1"/>
        <v>0</v>
      </c>
      <c r="Y284">
        <f ca="1"/>
        <v>0.82953646461089103</v>
      </c>
      <c r="Z284">
        <f ca="1"/>
        <v>0</v>
      </c>
      <c r="AA284">
        <f ca="1"/>
        <v>0</v>
      </c>
      <c r="AB284">
        <f ca="1"/>
        <v>0</v>
      </c>
      <c r="AD284" s="2">
        <f t="shared" ca="1" si="42"/>
        <v>44529</v>
      </c>
      <c r="AE284" s="46">
        <f t="shared" ca="1" si="43"/>
        <v>0</v>
      </c>
      <c r="AG284" s="72">
        <f t="shared" ca="1" si="47"/>
        <v>61.314880590029041</v>
      </c>
      <c r="AH284" s="72">
        <f t="shared" ca="1" si="48"/>
        <v>61.314880590029034</v>
      </c>
      <c r="AI284" s="3">
        <f t="shared" ca="1" si="49"/>
        <v>0</v>
      </c>
    </row>
    <row r="285" spans="7:35" x14ac:dyDescent="0.25">
      <c r="G285" s="3">
        <f t="shared" si="44"/>
        <v>188</v>
      </c>
      <c r="H285" s="104">
        <f t="shared" si="46"/>
        <v>44383</v>
      </c>
      <c r="I285" s="131">
        <f>HLOOKUP($H$4,'Met Data'!$A$2:$F$368,G285,FALSE)</f>
        <v>10.6303571428571</v>
      </c>
      <c r="J285" s="131">
        <f ca="1">HLOOKUP($H$4,'Met Data'!$H$2:$M$368,G285,FALSE)*L285</f>
        <v>4.4413793103448196</v>
      </c>
      <c r="K285" s="105">
        <f>HLOOKUP($H$4,'Met Data'!$O$2:$T$368,G285,FALSE)</f>
        <v>1.3068901655768601</v>
      </c>
      <c r="L285">
        <f t="shared" ca="1" si="40"/>
        <v>1</v>
      </c>
      <c r="N285" t="b">
        <f t="shared" ca="1" si="45"/>
        <v>0</v>
      </c>
      <c r="O285" t="b">
        <f t="shared" ca="1" si="41"/>
        <v>0</v>
      </c>
      <c r="P285" s="2">
        <f ca="1"/>
        <v>44530</v>
      </c>
      <c r="Q285">
        <f ca="1"/>
        <v>62.558070459195172</v>
      </c>
      <c r="R285">
        <f ca="1"/>
        <v>0</v>
      </c>
      <c r="S285">
        <f ca="1"/>
        <v>0.80643615806291624</v>
      </c>
      <c r="T285">
        <f ca="1"/>
        <v>0.43675371110322558</v>
      </c>
      <c r="U285">
        <f ca="1"/>
        <v>0</v>
      </c>
      <c r="V285">
        <f ca="1"/>
        <v>0</v>
      </c>
      <c r="W285">
        <f ca="1"/>
        <v>0</v>
      </c>
      <c r="X285">
        <f ca="1"/>
        <v>0</v>
      </c>
      <c r="Y285">
        <f ca="1"/>
        <v>0.82597592896047345</v>
      </c>
      <c r="Z285">
        <f ca="1"/>
        <v>0</v>
      </c>
      <c r="AA285">
        <f ca="1"/>
        <v>0</v>
      </c>
      <c r="AB285">
        <f ca="1"/>
        <v>0</v>
      </c>
      <c r="AD285" s="2">
        <f t="shared" ca="1" si="42"/>
        <v>44530</v>
      </c>
      <c r="AE285" s="46">
        <f t="shared" ca="1" si="43"/>
        <v>0</v>
      </c>
      <c r="AG285" s="72">
        <f t="shared" ca="1" si="47"/>
        <v>62.558070459195179</v>
      </c>
      <c r="AH285" s="72">
        <f t="shared" ca="1" si="48"/>
        <v>62.558070459195172</v>
      </c>
      <c r="AI285" s="3">
        <f t="shared" ca="1" si="49"/>
        <v>0</v>
      </c>
    </row>
    <row r="286" spans="7:35" x14ac:dyDescent="0.25">
      <c r="G286" s="3">
        <f t="shared" si="44"/>
        <v>189</v>
      </c>
      <c r="H286" s="104">
        <f t="shared" si="46"/>
        <v>44384</v>
      </c>
      <c r="I286" s="131">
        <f>HLOOKUP($H$4,'Met Data'!$A$2:$F$368,G286,FALSE)</f>
        <v>10.5714285714285</v>
      </c>
      <c r="J286" s="131">
        <f ca="1">HLOOKUP($H$4,'Met Data'!$H$2:$M$368,G286,FALSE)*L286</f>
        <v>2.8758620689655099</v>
      </c>
      <c r="K286" s="105">
        <f>HLOOKUP($H$4,'Met Data'!$O$2:$T$368,G286,FALSE)</f>
        <v>1.41669004164846</v>
      </c>
      <c r="L286">
        <f t="shared" ca="1" si="40"/>
        <v>1</v>
      </c>
      <c r="N286" t="b">
        <f t="shared" ca="1" si="45"/>
        <v>0</v>
      </c>
      <c r="O286" t="b">
        <f t="shared" ca="1" si="41"/>
        <v>0</v>
      </c>
      <c r="P286" s="2">
        <f ca="1"/>
        <v>44531</v>
      </c>
      <c r="Q286">
        <f ca="1"/>
        <v>63.675773142252304</v>
      </c>
      <c r="R286">
        <f ca="1"/>
        <v>0</v>
      </c>
      <c r="S286">
        <f ca="1"/>
        <v>0.67962541923667152</v>
      </c>
      <c r="T286">
        <f ca="1"/>
        <v>0.43807726382045709</v>
      </c>
      <c r="U286">
        <f ca="1"/>
        <v>0</v>
      </c>
      <c r="V286">
        <f ca="1"/>
        <v>0</v>
      </c>
      <c r="W286">
        <f ca="1"/>
        <v>0</v>
      </c>
      <c r="X286">
        <f ca="1"/>
        <v>0</v>
      </c>
      <c r="Y286">
        <f ca="1"/>
        <v>0.81282917865118198</v>
      </c>
      <c r="Z286">
        <f ca="1"/>
        <v>0</v>
      </c>
      <c r="AA286">
        <f ca="1"/>
        <v>0</v>
      </c>
      <c r="AB286">
        <f ca="1"/>
        <v>0</v>
      </c>
      <c r="AD286" s="2">
        <f t="shared" ca="1" si="42"/>
        <v>44531</v>
      </c>
      <c r="AE286" s="46">
        <f t="shared" ca="1" si="43"/>
        <v>0</v>
      </c>
      <c r="AG286" s="72">
        <f t="shared" ca="1" si="47"/>
        <v>63.675773142252304</v>
      </c>
      <c r="AH286" s="72">
        <f t="shared" ca="1" si="48"/>
        <v>63.675773142252304</v>
      </c>
      <c r="AI286" s="3">
        <f t="shared" ca="1" si="49"/>
        <v>0</v>
      </c>
    </row>
    <row r="287" spans="7:35" x14ac:dyDescent="0.25">
      <c r="G287" s="3">
        <f t="shared" si="44"/>
        <v>190</v>
      </c>
      <c r="H287" s="104">
        <f t="shared" si="46"/>
        <v>44385</v>
      </c>
      <c r="I287" s="131">
        <f>HLOOKUP($H$4,'Met Data'!$A$2:$F$368,G287,FALSE)</f>
        <v>10.2685185185185</v>
      </c>
      <c r="J287" s="131">
        <f ca="1">HLOOKUP($H$4,'Met Data'!$H$2:$M$368,G287,FALSE)*L287</f>
        <v>3.7892857142857101</v>
      </c>
      <c r="K287" s="105">
        <f>HLOOKUP($H$4,'Met Data'!$O$2:$T$368,G287,FALSE)</f>
        <v>1.3370081337281099</v>
      </c>
      <c r="L287">
        <f t="shared" ca="1" si="40"/>
        <v>1</v>
      </c>
      <c r="N287" t="b">
        <f t="shared" ca="1" si="45"/>
        <v>0</v>
      </c>
      <c r="O287" t="b">
        <f t="shared" ca="1" si="41"/>
        <v>0</v>
      </c>
      <c r="P287" s="2">
        <f ca="1"/>
        <v>44532</v>
      </c>
      <c r="Q287">
        <f ca="1"/>
        <v>64.740874033170996</v>
      </c>
      <c r="R287">
        <f ca="1"/>
        <v>0</v>
      </c>
      <c r="S287">
        <f ca="1"/>
        <v>0.60128380955363037</v>
      </c>
      <c r="T287">
        <f ca="1"/>
        <v>0.46381708136504973</v>
      </c>
      <c r="U287">
        <f ca="1"/>
        <v>0</v>
      </c>
      <c r="V287">
        <f ca="1"/>
        <v>0</v>
      </c>
      <c r="W287">
        <f ca="1"/>
        <v>0</v>
      </c>
      <c r="X287">
        <f ca="1"/>
        <v>0</v>
      </c>
      <c r="Y287">
        <f ca="1"/>
        <v>0.83171209874189123</v>
      </c>
      <c r="Z287">
        <f ca="1"/>
        <v>0</v>
      </c>
      <c r="AA287">
        <f ca="1"/>
        <v>0</v>
      </c>
      <c r="AB287">
        <f ca="1"/>
        <v>0</v>
      </c>
      <c r="AD287" s="2">
        <f t="shared" ca="1" si="42"/>
        <v>44532</v>
      </c>
      <c r="AE287" s="46">
        <f t="shared" ca="1" si="43"/>
        <v>0</v>
      </c>
      <c r="AG287" s="72">
        <f t="shared" ca="1" si="47"/>
        <v>64.740874033170982</v>
      </c>
      <c r="AH287" s="72">
        <f t="shared" ca="1" si="48"/>
        <v>64.740874033170996</v>
      </c>
      <c r="AI287" s="3">
        <f t="shared" ca="1" si="49"/>
        <v>0</v>
      </c>
    </row>
    <row r="288" spans="7:35" x14ac:dyDescent="0.25">
      <c r="G288" s="3">
        <f t="shared" si="44"/>
        <v>191</v>
      </c>
      <c r="H288" s="104">
        <f t="shared" si="46"/>
        <v>44386</v>
      </c>
      <c r="I288" s="131">
        <f>HLOOKUP($H$4,'Met Data'!$A$2:$F$368,G288,FALSE)</f>
        <v>10.4166666666666</v>
      </c>
      <c r="J288" s="131">
        <f ca="1">HLOOKUP($H$4,'Met Data'!$H$2:$M$368,G288,FALSE)*L288</f>
        <v>4.8428571428571399</v>
      </c>
      <c r="K288" s="105">
        <f>HLOOKUP($H$4,'Met Data'!$O$2:$T$368,G288,FALSE)</f>
        <v>1.6936819221313</v>
      </c>
      <c r="L288">
        <f t="shared" ca="1" si="40"/>
        <v>1</v>
      </c>
      <c r="N288" t="b">
        <f t="shared" ca="1" si="45"/>
        <v>0</v>
      </c>
      <c r="O288" t="b">
        <f t="shared" ca="1" si="41"/>
        <v>0</v>
      </c>
      <c r="P288" s="2">
        <f ca="1"/>
        <v>44533</v>
      </c>
      <c r="Q288">
        <f ca="1"/>
        <v>65.710849977996546</v>
      </c>
      <c r="R288">
        <f ca="1"/>
        <v>0</v>
      </c>
      <c r="S288">
        <f ca="1"/>
        <v>0.5032816991215262</v>
      </c>
      <c r="T288">
        <f ca="1"/>
        <v>0.46669424570403273</v>
      </c>
      <c r="U288">
        <f ca="1"/>
        <v>0</v>
      </c>
      <c r="V288">
        <f ca="1"/>
        <v>0</v>
      </c>
      <c r="W288">
        <f ca="1"/>
        <v>0</v>
      </c>
      <c r="X288">
        <f ca="1"/>
        <v>0</v>
      </c>
      <c r="Y288">
        <f ca="1"/>
        <v>0.81907918053025952</v>
      </c>
      <c r="Z288">
        <f ca="1"/>
        <v>0</v>
      </c>
      <c r="AA288">
        <f ca="1"/>
        <v>0</v>
      </c>
      <c r="AB288">
        <f ca="1"/>
        <v>0</v>
      </c>
      <c r="AD288" s="2">
        <f t="shared" ca="1" si="42"/>
        <v>44533</v>
      </c>
      <c r="AE288" s="46">
        <f t="shared" ca="1" si="43"/>
        <v>0</v>
      </c>
      <c r="AG288" s="72">
        <f t="shared" ca="1" si="47"/>
        <v>65.71084997799656</v>
      </c>
      <c r="AH288" s="72">
        <f t="shared" ca="1" si="48"/>
        <v>65.710849977996546</v>
      </c>
      <c r="AI288" s="3">
        <f t="shared" ca="1" si="49"/>
        <v>0</v>
      </c>
    </row>
    <row r="289" spans="7:35" x14ac:dyDescent="0.25">
      <c r="G289" s="3">
        <f t="shared" si="44"/>
        <v>192</v>
      </c>
      <c r="H289" s="104">
        <f t="shared" si="46"/>
        <v>44387</v>
      </c>
      <c r="I289" s="131">
        <f>HLOOKUP($H$4,'Met Data'!$A$2:$F$368,G289,FALSE)</f>
        <v>9.7703703703703706</v>
      </c>
      <c r="J289" s="131">
        <f ca="1">HLOOKUP($H$4,'Met Data'!$H$2:$M$368,G289,FALSE)*L289</f>
        <v>2.27857142857142</v>
      </c>
      <c r="K289" s="105">
        <f>HLOOKUP($H$4,'Met Data'!$O$2:$T$368,G289,FALSE)</f>
        <v>1.4303197134636301</v>
      </c>
      <c r="L289">
        <f t="shared" ca="1" si="40"/>
        <v>1</v>
      </c>
      <c r="N289" t="b">
        <f t="shared" ca="1" si="45"/>
        <v>0</v>
      </c>
      <c r="O289" t="b">
        <f t="shared" ca="1" si="41"/>
        <v>0</v>
      </c>
      <c r="P289" s="2">
        <f ca="1"/>
        <v>44534</v>
      </c>
      <c r="Q289">
        <f ca="1"/>
        <v>66.629639488159683</v>
      </c>
      <c r="R289">
        <f ca="1"/>
        <v>0</v>
      </c>
      <c r="S289">
        <f ca="1"/>
        <v>0.43461886171499636</v>
      </c>
      <c r="T289">
        <f ca="1"/>
        <v>0.48417064844813251</v>
      </c>
      <c r="U289">
        <f ca="1"/>
        <v>0</v>
      </c>
      <c r="V289">
        <f ca="1"/>
        <v>0</v>
      </c>
      <c r="W289">
        <f ca="1"/>
        <v>0</v>
      </c>
      <c r="X289">
        <f ca="1"/>
        <v>0</v>
      </c>
      <c r="Y289">
        <f ca="1"/>
        <v>0.84468384741684244</v>
      </c>
      <c r="Z289">
        <f ca="1"/>
        <v>0</v>
      </c>
      <c r="AA289">
        <f ca="1"/>
        <v>0</v>
      </c>
      <c r="AB289">
        <f ca="1"/>
        <v>0</v>
      </c>
      <c r="AD289" s="2">
        <f t="shared" ca="1" si="42"/>
        <v>44534</v>
      </c>
      <c r="AE289" s="46">
        <f t="shared" ca="1" si="43"/>
        <v>0</v>
      </c>
      <c r="AG289" s="72">
        <f t="shared" ca="1" si="47"/>
        <v>66.629639488159668</v>
      </c>
      <c r="AH289" s="72">
        <f t="shared" ca="1" si="48"/>
        <v>66.629639488159683</v>
      </c>
      <c r="AI289" s="3">
        <f t="shared" ca="1" si="49"/>
        <v>0</v>
      </c>
    </row>
    <row r="290" spans="7:35" x14ac:dyDescent="0.25">
      <c r="G290" s="3">
        <f t="shared" si="44"/>
        <v>193</v>
      </c>
      <c r="H290" s="104">
        <f t="shared" si="46"/>
        <v>44388</v>
      </c>
      <c r="I290" s="131">
        <f>HLOOKUP($H$4,'Met Data'!$A$2:$F$368,G290,FALSE)</f>
        <v>9.4057692307692307</v>
      </c>
      <c r="J290" s="131">
        <f ca="1">HLOOKUP($H$4,'Met Data'!$H$2:$M$368,G290,FALSE)*L290</f>
        <v>4.05</v>
      </c>
      <c r="K290" s="105">
        <f>HLOOKUP($H$4,'Met Data'!$O$2:$T$368,G290,FALSE)</f>
        <v>1.34234874078288</v>
      </c>
      <c r="L290">
        <f t="shared" ca="1" si="40"/>
        <v>1</v>
      </c>
      <c r="N290" t="b">
        <f t="shared" ca="1" si="45"/>
        <v>0</v>
      </c>
      <c r="O290" t="b">
        <f t="shared" ca="1" si="41"/>
        <v>0</v>
      </c>
      <c r="P290" s="2">
        <f ca="1"/>
        <v>44535</v>
      </c>
      <c r="Q290">
        <f ca="1"/>
        <v>67.478552935250406</v>
      </c>
      <c r="R290">
        <f ca="1"/>
        <v>0</v>
      </c>
      <c r="S290">
        <f ca="1"/>
        <v>0.36265463638103634</v>
      </c>
      <c r="T290">
        <f ca="1"/>
        <v>0.48625881070968335</v>
      </c>
      <c r="U290">
        <f ca="1"/>
        <v>0</v>
      </c>
      <c r="V290">
        <f ca="1"/>
        <v>0</v>
      </c>
      <c r="W290">
        <f ca="1"/>
        <v>0</v>
      </c>
      <c r="X290">
        <f ca="1"/>
        <v>0</v>
      </c>
      <c r="Y290">
        <f ca="1"/>
        <v>0.85868427186533536</v>
      </c>
      <c r="Z290">
        <f ca="1"/>
        <v>0</v>
      </c>
      <c r="AA290">
        <f ca="1"/>
        <v>0</v>
      </c>
      <c r="AB290">
        <f ca="1"/>
        <v>0</v>
      </c>
      <c r="AD290" s="2">
        <f t="shared" ca="1" si="42"/>
        <v>44535</v>
      </c>
      <c r="AE290" s="46">
        <f t="shared" ca="1" si="43"/>
        <v>0</v>
      </c>
      <c r="AG290" s="72">
        <f t="shared" ca="1" si="47"/>
        <v>67.478552935250406</v>
      </c>
      <c r="AH290" s="72">
        <f t="shared" ca="1" si="48"/>
        <v>67.478552935250406</v>
      </c>
      <c r="AI290" s="3">
        <f t="shared" ca="1" si="49"/>
        <v>0</v>
      </c>
    </row>
    <row r="291" spans="7:35" x14ac:dyDescent="0.25">
      <c r="G291" s="3">
        <f t="shared" si="44"/>
        <v>194</v>
      </c>
      <c r="H291" s="104">
        <f t="shared" si="46"/>
        <v>44389</v>
      </c>
      <c r="I291" s="131">
        <f>HLOOKUP($H$4,'Met Data'!$A$2:$F$368,G291,FALSE)</f>
        <v>9.7037037037037006</v>
      </c>
      <c r="J291" s="131">
        <f ca="1">HLOOKUP($H$4,'Met Data'!$H$2:$M$368,G291,FALSE)*L291</f>
        <v>7.2038461538461496</v>
      </c>
      <c r="K291" s="105">
        <f>HLOOKUP($H$4,'Met Data'!$O$2:$T$368,G291,FALSE)</f>
        <v>1.4005767318328199</v>
      </c>
      <c r="L291">
        <f t="shared" ca="1" si="40"/>
        <v>1</v>
      </c>
      <c r="N291" t="b">
        <f t="shared" ca="1" si="45"/>
        <v>0</v>
      </c>
      <c r="O291" t="b">
        <f t="shared" ca="1" si="41"/>
        <v>0</v>
      </c>
      <c r="P291" s="2">
        <f ca="1"/>
        <v>44536</v>
      </c>
      <c r="Q291">
        <f ca="1"/>
        <v>68.269375993677286</v>
      </c>
      <c r="R291">
        <f ca="1"/>
        <v>0</v>
      </c>
      <c r="S291">
        <f ca="1"/>
        <v>0.30185191648288257</v>
      </c>
      <c r="T291">
        <f ca="1"/>
        <v>0.48897114194400837</v>
      </c>
      <c r="U291">
        <f ca="1"/>
        <v>0</v>
      </c>
      <c r="V291">
        <f ca="1"/>
        <v>0</v>
      </c>
      <c r="W291">
        <f ca="1"/>
        <v>0</v>
      </c>
      <c r="X291">
        <f ca="1"/>
        <v>0</v>
      </c>
      <c r="Y291">
        <f ca="1"/>
        <v>0.8612842388357087</v>
      </c>
      <c r="Z291">
        <f ca="1"/>
        <v>0</v>
      </c>
      <c r="AA291">
        <f ca="1"/>
        <v>0</v>
      </c>
      <c r="AB291">
        <f ca="1"/>
        <v>0</v>
      </c>
      <c r="AD291" s="2">
        <f t="shared" ca="1" si="42"/>
        <v>44536</v>
      </c>
      <c r="AE291" s="46">
        <f t="shared" ca="1" si="43"/>
        <v>0</v>
      </c>
      <c r="AG291" s="72">
        <f t="shared" ca="1" si="47"/>
        <v>68.269375993677301</v>
      </c>
      <c r="AH291" s="72">
        <f t="shared" ca="1" si="48"/>
        <v>68.269375993677286</v>
      </c>
      <c r="AI291" s="3">
        <f t="shared" ca="1" si="49"/>
        <v>0</v>
      </c>
    </row>
    <row r="292" spans="7:35" x14ac:dyDescent="0.25">
      <c r="G292" s="3">
        <f t="shared" si="44"/>
        <v>195</v>
      </c>
      <c r="H292" s="104">
        <f t="shared" si="46"/>
        <v>44390</v>
      </c>
      <c r="I292" s="131">
        <f>HLOOKUP($H$4,'Met Data'!$A$2:$F$368,G292,FALSE)</f>
        <v>9.875</v>
      </c>
      <c r="J292" s="131">
        <f ca="1">HLOOKUP($H$4,'Met Data'!$H$2:$M$368,G292,FALSE)*L292</f>
        <v>2.7366666666666601</v>
      </c>
      <c r="K292" s="105">
        <f>HLOOKUP($H$4,'Met Data'!$O$2:$T$368,G292,FALSE)</f>
        <v>1.5241946960031101</v>
      </c>
      <c r="L292">
        <f t="shared" ca="1" si="40"/>
        <v>1</v>
      </c>
      <c r="N292" t="b">
        <f t="shared" ca="1" si="45"/>
        <v>0</v>
      </c>
      <c r="O292" t="b">
        <f t="shared" ca="1" si="41"/>
        <v>0</v>
      </c>
      <c r="P292" s="2">
        <f ca="1"/>
        <v>44537</v>
      </c>
      <c r="Q292">
        <f ca="1"/>
        <v>68.98444843287858</v>
      </c>
      <c r="R292">
        <f ca="1"/>
        <v>0</v>
      </c>
      <c r="S292">
        <f ca="1"/>
        <v>0.24323325458145018</v>
      </c>
      <c r="T292">
        <f ca="1"/>
        <v>0.4718391846198477</v>
      </c>
      <c r="U292">
        <f ca="1"/>
        <v>0</v>
      </c>
      <c r="V292">
        <f ca="1"/>
        <v>0</v>
      </c>
      <c r="W292">
        <f ca="1"/>
        <v>0</v>
      </c>
      <c r="X292">
        <f ca="1"/>
        <v>0</v>
      </c>
      <c r="Y292">
        <f ca="1"/>
        <v>0.86566868747593106</v>
      </c>
      <c r="Z292">
        <f ca="1"/>
        <v>0</v>
      </c>
      <c r="AA292">
        <f ca="1"/>
        <v>0</v>
      </c>
      <c r="AB292">
        <f ca="1"/>
        <v>0</v>
      </c>
      <c r="AD292" s="2">
        <f t="shared" ca="1" si="42"/>
        <v>44537</v>
      </c>
      <c r="AE292" s="46">
        <f t="shared" ca="1" si="43"/>
        <v>0</v>
      </c>
      <c r="AG292" s="72">
        <f t="shared" ca="1" si="47"/>
        <v>68.984448432878594</v>
      </c>
      <c r="AH292" s="72">
        <f t="shared" ca="1" si="48"/>
        <v>68.98444843287858</v>
      </c>
      <c r="AI292" s="3">
        <f t="shared" ca="1" si="49"/>
        <v>0</v>
      </c>
    </row>
    <row r="293" spans="7:35" x14ac:dyDescent="0.25">
      <c r="G293" s="3">
        <f t="shared" si="44"/>
        <v>196</v>
      </c>
      <c r="H293" s="104">
        <f t="shared" si="46"/>
        <v>44391</v>
      </c>
      <c r="I293" s="131">
        <f>HLOOKUP($H$4,'Met Data'!$A$2:$F$368,G293,FALSE)</f>
        <v>9.4732142857142794</v>
      </c>
      <c r="J293" s="131">
        <f ca="1">HLOOKUP($H$4,'Met Data'!$H$2:$M$368,G293,FALSE)*L293</f>
        <v>4.4607142857142801</v>
      </c>
      <c r="K293" s="105">
        <f>HLOOKUP($H$4,'Met Data'!$O$2:$T$368,G293,FALSE)</f>
        <v>1.1833728950226901</v>
      </c>
      <c r="L293">
        <f t="shared" ca="1" si="40"/>
        <v>1</v>
      </c>
      <c r="N293" t="b">
        <f t="shared" ca="1" si="45"/>
        <v>0</v>
      </c>
      <c r="O293" t="b">
        <f t="shared" ca="1" si="41"/>
        <v>0</v>
      </c>
      <c r="P293" s="2">
        <f ca="1"/>
        <v>44538</v>
      </c>
      <c r="Q293">
        <f ca="1"/>
        <v>69.648477025045793</v>
      </c>
      <c r="R293">
        <f ca="1"/>
        <v>0</v>
      </c>
      <c r="S293">
        <f ca="1"/>
        <v>0.19962632430389432</v>
      </c>
      <c r="T293">
        <f ca="1"/>
        <v>0.46440226786331845</v>
      </c>
      <c r="U293">
        <f ca="1"/>
        <v>0</v>
      </c>
      <c r="V293">
        <f ca="1"/>
        <v>0</v>
      </c>
      <c r="W293">
        <f ca="1"/>
        <v>0</v>
      </c>
      <c r="X293">
        <f ca="1"/>
        <v>0</v>
      </c>
      <c r="Y293">
        <f ca="1"/>
        <v>0.8566086050799363</v>
      </c>
      <c r="Z293">
        <f ca="1"/>
        <v>0</v>
      </c>
      <c r="AA293">
        <f ca="1"/>
        <v>0</v>
      </c>
      <c r="AB293">
        <f ca="1"/>
        <v>0</v>
      </c>
      <c r="AD293" s="2">
        <f t="shared" ca="1" si="42"/>
        <v>44538</v>
      </c>
      <c r="AE293" s="46">
        <f t="shared" ca="1" si="43"/>
        <v>0</v>
      </c>
      <c r="AG293" s="72">
        <f t="shared" ca="1" si="47"/>
        <v>69.648477025045793</v>
      </c>
      <c r="AH293" s="72">
        <f t="shared" ca="1" si="48"/>
        <v>69.648477025045793</v>
      </c>
      <c r="AI293" s="3">
        <f t="shared" ca="1" si="49"/>
        <v>0</v>
      </c>
    </row>
    <row r="294" spans="7:35" x14ac:dyDescent="0.25">
      <c r="G294" s="3">
        <f t="shared" si="44"/>
        <v>197</v>
      </c>
      <c r="H294" s="104">
        <f t="shared" si="46"/>
        <v>44392</v>
      </c>
      <c r="I294" s="131">
        <f>HLOOKUP($H$4,'Met Data'!$A$2:$F$368,G294,FALSE)</f>
        <v>10.3732142857142</v>
      </c>
      <c r="J294" s="131">
        <f ca="1">HLOOKUP($H$4,'Met Data'!$H$2:$M$368,G294,FALSE)*L294</f>
        <v>6.4071428571428504</v>
      </c>
      <c r="K294" s="105">
        <f>HLOOKUP($H$4,'Met Data'!$O$2:$T$368,G294,FALSE)</f>
        <v>1.32556972588678</v>
      </c>
      <c r="L294">
        <f t="shared" ca="1" si="40"/>
        <v>1</v>
      </c>
      <c r="N294" t="b">
        <f t="shared" ca="1" si="45"/>
        <v>0</v>
      </c>
      <c r="O294" t="b">
        <f t="shared" ca="1" si="41"/>
        <v>0</v>
      </c>
      <c r="P294" s="2">
        <f ca="1"/>
        <v>44539</v>
      </c>
      <c r="Q294">
        <f ca="1"/>
        <v>70.28702685093991</v>
      </c>
      <c r="R294">
        <f ca="1"/>
        <v>0</v>
      </c>
      <c r="S294">
        <f ca="1"/>
        <v>0.16778160098224582</v>
      </c>
      <c r="T294">
        <f ca="1"/>
        <v>0.47076822491186476</v>
      </c>
      <c r="U294">
        <f ca="1"/>
        <v>0</v>
      </c>
      <c r="V294">
        <f ca="1"/>
        <v>0</v>
      </c>
      <c r="W294">
        <f ca="1"/>
        <v>0</v>
      </c>
      <c r="X294">
        <f ca="1"/>
        <v>0</v>
      </c>
      <c r="Y294">
        <f ca="1"/>
        <v>0.83883584214481355</v>
      </c>
      <c r="Z294">
        <f ca="1"/>
        <v>0</v>
      </c>
      <c r="AA294">
        <f ca="1"/>
        <v>0</v>
      </c>
      <c r="AB294">
        <f ca="1"/>
        <v>0</v>
      </c>
      <c r="AD294" s="2">
        <f t="shared" ca="1" si="42"/>
        <v>44539</v>
      </c>
      <c r="AE294" s="46">
        <f t="shared" ca="1" si="43"/>
        <v>0</v>
      </c>
      <c r="AG294" s="72">
        <f t="shared" ca="1" si="47"/>
        <v>70.28702685093991</v>
      </c>
      <c r="AH294" s="72">
        <f t="shared" ca="1" si="48"/>
        <v>70.28702685093991</v>
      </c>
      <c r="AI294" s="3">
        <f t="shared" ca="1" si="49"/>
        <v>0</v>
      </c>
    </row>
    <row r="295" spans="7:35" x14ac:dyDescent="0.25">
      <c r="G295" s="3">
        <f t="shared" si="44"/>
        <v>198</v>
      </c>
      <c r="H295" s="104">
        <f t="shared" si="46"/>
        <v>44393</v>
      </c>
      <c r="I295" s="131">
        <f>HLOOKUP($H$4,'Met Data'!$A$2:$F$368,G295,FALSE)</f>
        <v>10.9428571428571</v>
      </c>
      <c r="J295" s="131">
        <f ca="1">HLOOKUP($H$4,'Met Data'!$H$2:$M$368,G295,FALSE)*L295</f>
        <v>5.1392857142857098</v>
      </c>
      <c r="K295" s="105">
        <f>HLOOKUP($H$4,'Met Data'!$O$2:$T$368,G295,FALSE)</f>
        <v>1.2285245260717499</v>
      </c>
      <c r="L295">
        <f t="shared" ca="1" si="40"/>
        <v>1</v>
      </c>
      <c r="N295" t="b">
        <f t="shared" ca="1" si="45"/>
        <v>0</v>
      </c>
      <c r="O295" t="b">
        <f t="shared" ca="1" si="41"/>
        <v>0</v>
      </c>
      <c r="P295" s="2">
        <f ca="1"/>
        <v>44540</v>
      </c>
      <c r="Q295">
        <f ca="1"/>
        <v>70.891154122815593</v>
      </c>
      <c r="R295">
        <f ca="1"/>
        <v>0</v>
      </c>
      <c r="S295">
        <f ca="1"/>
        <v>0.13852591109985418</v>
      </c>
      <c r="T295">
        <f ca="1"/>
        <v>0.46560136077583086</v>
      </c>
      <c r="U295">
        <f ca="1"/>
        <v>0</v>
      </c>
      <c r="V295">
        <f ca="1"/>
        <v>0</v>
      </c>
      <c r="W295">
        <f ca="1"/>
        <v>0</v>
      </c>
      <c r="X295">
        <f ca="1"/>
        <v>0</v>
      </c>
      <c r="Y295">
        <f ca="1"/>
        <v>0.83527887790593325</v>
      </c>
      <c r="Z295">
        <f ca="1"/>
        <v>0</v>
      </c>
      <c r="AA295">
        <f ca="1"/>
        <v>0</v>
      </c>
      <c r="AB295">
        <f ca="1"/>
        <v>0</v>
      </c>
      <c r="AD295" s="2">
        <f t="shared" ca="1" si="42"/>
        <v>44540</v>
      </c>
      <c r="AE295" s="46">
        <f t="shared" ca="1" si="43"/>
        <v>0</v>
      </c>
      <c r="AG295" s="72">
        <f t="shared" ca="1" si="47"/>
        <v>70.891154122815593</v>
      </c>
      <c r="AH295" s="72">
        <f t="shared" ca="1" si="48"/>
        <v>70.891154122815593</v>
      </c>
      <c r="AI295" s="3">
        <f t="shared" ca="1" si="49"/>
        <v>0</v>
      </c>
    </row>
    <row r="296" spans="7:35" x14ac:dyDescent="0.25">
      <c r="G296" s="3">
        <f t="shared" si="44"/>
        <v>199</v>
      </c>
      <c r="H296" s="104">
        <f t="shared" si="46"/>
        <v>44394</v>
      </c>
      <c r="I296" s="131">
        <f>HLOOKUP($H$4,'Met Data'!$A$2:$F$368,G296,FALSE)</f>
        <v>10.689655172413699</v>
      </c>
      <c r="J296" s="131">
        <f ca="1">HLOOKUP($H$4,'Met Data'!$H$2:$M$368,G296,FALSE)*L296</f>
        <v>7.5433333333333303</v>
      </c>
      <c r="K296" s="105">
        <f>HLOOKUP($H$4,'Met Data'!$O$2:$T$368,G296,FALSE)</f>
        <v>1.11837858032715</v>
      </c>
      <c r="L296">
        <f t="shared" ca="1" si="40"/>
        <v>1</v>
      </c>
      <c r="N296" t="b">
        <f t="shared" ca="1" si="45"/>
        <v>0</v>
      </c>
      <c r="O296" t="b">
        <f t="shared" ca="1" si="41"/>
        <v>0</v>
      </c>
      <c r="P296" s="2">
        <f ca="1"/>
        <v>44541</v>
      </c>
      <c r="Q296">
        <f ca="1"/>
        <v>71.481024909618725</v>
      </c>
      <c r="R296">
        <f ca="1"/>
        <v>0</v>
      </c>
      <c r="S296">
        <f ca="1"/>
        <v>0.11658188085086152</v>
      </c>
      <c r="T296">
        <f ca="1"/>
        <v>0.47328890595227535</v>
      </c>
      <c r="U296">
        <f ca="1"/>
        <v>0</v>
      </c>
      <c r="V296">
        <f ca="1"/>
        <v>0</v>
      </c>
      <c r="W296">
        <f ca="1"/>
        <v>0</v>
      </c>
      <c r="X296">
        <f ca="1"/>
        <v>0</v>
      </c>
      <c r="Y296">
        <f ca="1"/>
        <v>0.8157773402649876</v>
      </c>
      <c r="Z296">
        <f ca="1"/>
        <v>0</v>
      </c>
      <c r="AA296">
        <f ca="1"/>
        <v>0</v>
      </c>
      <c r="AB296">
        <f ca="1"/>
        <v>0</v>
      </c>
      <c r="AD296" s="2">
        <f t="shared" ca="1" si="42"/>
        <v>44541</v>
      </c>
      <c r="AE296" s="46">
        <f t="shared" ca="1" si="43"/>
        <v>0</v>
      </c>
      <c r="AG296" s="72">
        <f t="shared" ca="1" si="47"/>
        <v>71.481024909618725</v>
      </c>
      <c r="AH296" s="72">
        <f t="shared" ca="1" si="48"/>
        <v>71.481024909618725</v>
      </c>
      <c r="AI296" s="3">
        <f t="shared" ca="1" si="49"/>
        <v>0</v>
      </c>
    </row>
    <row r="297" spans="7:35" x14ac:dyDescent="0.25">
      <c r="G297" s="3">
        <f t="shared" si="44"/>
        <v>200</v>
      </c>
      <c r="H297" s="104">
        <f t="shared" si="46"/>
        <v>44395</v>
      </c>
      <c r="I297" s="131">
        <f>HLOOKUP($H$4,'Met Data'!$A$2:$F$368,G297,FALSE)</f>
        <v>10.322413793103401</v>
      </c>
      <c r="J297" s="131">
        <f ca="1">HLOOKUP($H$4,'Met Data'!$H$2:$M$368,G297,FALSE)*L297</f>
        <v>7.7933333333333303</v>
      </c>
      <c r="K297" s="105">
        <f>HLOOKUP($H$4,'Met Data'!$O$2:$T$368,G297,FALSE)</f>
        <v>1.2757644672773201</v>
      </c>
      <c r="L297">
        <f t="shared" ca="1" si="40"/>
        <v>1</v>
      </c>
      <c r="N297" t="b">
        <f t="shared" ca="1" si="45"/>
        <v>0</v>
      </c>
      <c r="O297" t="b">
        <f t="shared" ca="1" si="41"/>
        <v>0</v>
      </c>
      <c r="P297" s="2">
        <f ca="1"/>
        <v>44542</v>
      </c>
      <c r="Q297">
        <f ca="1"/>
        <v>72.063657570808715</v>
      </c>
      <c r="R297">
        <f ca="1"/>
        <v>0</v>
      </c>
      <c r="S297">
        <f ca="1"/>
        <v>9.8560222241360879E-2</v>
      </c>
      <c r="T297">
        <f ca="1"/>
        <v>0.48407243894862823</v>
      </c>
      <c r="U297">
        <f ca="1"/>
        <v>0</v>
      </c>
      <c r="V297">
        <f ca="1"/>
        <v>0</v>
      </c>
      <c r="W297">
        <f ca="1"/>
        <v>0</v>
      </c>
      <c r="X297">
        <f ca="1"/>
        <v>0</v>
      </c>
      <c r="Y297">
        <f ca="1"/>
        <v>0.80533848377147987</v>
      </c>
      <c r="Z297">
        <f ca="1"/>
        <v>0</v>
      </c>
      <c r="AA297">
        <f ca="1"/>
        <v>0</v>
      </c>
      <c r="AB297">
        <f ca="1"/>
        <v>0</v>
      </c>
      <c r="AD297" s="2">
        <f t="shared" ca="1" si="42"/>
        <v>44542</v>
      </c>
      <c r="AE297" s="46">
        <f t="shared" ca="1" si="43"/>
        <v>0</v>
      </c>
      <c r="AG297" s="72">
        <f t="shared" ca="1" si="47"/>
        <v>72.063657570808715</v>
      </c>
      <c r="AH297" s="72">
        <f t="shared" ca="1" si="48"/>
        <v>72.063657570808715</v>
      </c>
      <c r="AI297" s="3">
        <f t="shared" ca="1" si="49"/>
        <v>0</v>
      </c>
    </row>
    <row r="298" spans="7:35" x14ac:dyDescent="0.25">
      <c r="G298" s="3">
        <f t="shared" si="44"/>
        <v>201</v>
      </c>
      <c r="H298" s="104">
        <f t="shared" si="46"/>
        <v>44396</v>
      </c>
      <c r="I298" s="131">
        <f>HLOOKUP($H$4,'Met Data'!$A$2:$F$368,G298,FALSE)</f>
        <v>10.189655172413699</v>
      </c>
      <c r="J298" s="131">
        <f ca="1">HLOOKUP($H$4,'Met Data'!$H$2:$M$368,G298,FALSE)*L298</f>
        <v>4.3533333333333299</v>
      </c>
      <c r="K298" s="105">
        <f>HLOOKUP($H$4,'Met Data'!$O$2:$T$368,G298,FALSE)</f>
        <v>1.3903947480338801</v>
      </c>
      <c r="L298">
        <f t="shared" ca="1" si="40"/>
        <v>1</v>
      </c>
      <c r="N298" t="b">
        <f t="shared" ca="1" si="45"/>
        <v>0</v>
      </c>
      <c r="O298" t="b">
        <f t="shared" ca="1" si="41"/>
        <v>0</v>
      </c>
      <c r="P298" s="2">
        <f ca="1"/>
        <v>44543</v>
      </c>
      <c r="Q298">
        <f ca="1"/>
        <v>72.610510421652862</v>
      </c>
      <c r="R298">
        <f ca="1"/>
        <v>0</v>
      </c>
      <c r="S298">
        <f ca="1"/>
        <v>7.9487919655853279E-2</v>
      </c>
      <c r="T298">
        <f ca="1"/>
        <v>0.46736493118829503</v>
      </c>
      <c r="U298">
        <f ca="1"/>
        <v>0</v>
      </c>
      <c r="V298">
        <f ca="1"/>
        <v>0</v>
      </c>
      <c r="W298">
        <f ca="1"/>
        <v>0</v>
      </c>
      <c r="X298">
        <f ca="1"/>
        <v>0</v>
      </c>
      <c r="Y298">
        <f ca="1"/>
        <v>0.79204374465984206</v>
      </c>
      <c r="Z298">
        <f ca="1"/>
        <v>0</v>
      </c>
      <c r="AA298">
        <f ca="1"/>
        <v>0</v>
      </c>
      <c r="AB298">
        <f ca="1"/>
        <v>0</v>
      </c>
      <c r="AD298" s="2">
        <f t="shared" ca="1" si="42"/>
        <v>44543</v>
      </c>
      <c r="AE298" s="46">
        <f t="shared" ca="1" si="43"/>
        <v>0</v>
      </c>
      <c r="AG298" s="72">
        <f t="shared" ca="1" si="47"/>
        <v>72.610510421652862</v>
      </c>
      <c r="AH298" s="72">
        <f t="shared" ca="1" si="48"/>
        <v>72.610510421652862</v>
      </c>
      <c r="AI298" s="3">
        <f t="shared" ca="1" si="49"/>
        <v>0</v>
      </c>
    </row>
    <row r="299" spans="7:35" x14ac:dyDescent="0.25">
      <c r="G299" s="3">
        <f t="shared" si="44"/>
        <v>202</v>
      </c>
      <c r="H299" s="104">
        <f t="shared" si="46"/>
        <v>44397</v>
      </c>
      <c r="I299" s="131">
        <f>HLOOKUP($H$4,'Met Data'!$A$2:$F$368,G299,FALSE)</f>
        <v>10.668333333333299</v>
      </c>
      <c r="J299" s="131">
        <f ca="1">HLOOKUP($H$4,'Met Data'!$H$2:$M$368,G299,FALSE)*L299</f>
        <v>2.8833333333333302</v>
      </c>
      <c r="K299" s="105">
        <f>HLOOKUP($H$4,'Met Data'!$O$2:$T$368,G299,FALSE)</f>
        <v>1.4312964730661999</v>
      </c>
      <c r="L299">
        <f t="shared" ca="1" si="40"/>
        <v>1</v>
      </c>
      <c r="N299" t="b">
        <f t="shared" ca="1" si="45"/>
        <v>0</v>
      </c>
      <c r="O299" t="b">
        <f t="shared" ca="1" si="41"/>
        <v>0</v>
      </c>
      <c r="P299" s="2">
        <f ca="1"/>
        <v>44544</v>
      </c>
      <c r="Q299">
        <f ca="1"/>
        <v>73.146572562748389</v>
      </c>
      <c r="R299">
        <f ca="1"/>
        <v>0</v>
      </c>
      <c r="S299">
        <f ca="1"/>
        <v>6.6799120384958416E-2</v>
      </c>
      <c r="T299">
        <f ca="1"/>
        <v>0.46926302071058057</v>
      </c>
      <c r="U299">
        <f ca="1"/>
        <v>0</v>
      </c>
      <c r="V299">
        <f ca="1"/>
        <v>0</v>
      </c>
      <c r="W299">
        <f ca="1"/>
        <v>0</v>
      </c>
      <c r="X299">
        <f ca="1"/>
        <v>0</v>
      </c>
      <c r="Y299">
        <f ca="1"/>
        <v>0.79978417084295716</v>
      </c>
      <c r="Z299">
        <f ca="1"/>
        <v>0</v>
      </c>
      <c r="AA299">
        <f ca="1"/>
        <v>0</v>
      </c>
      <c r="AB299">
        <f ca="1"/>
        <v>0</v>
      </c>
      <c r="AD299" s="2">
        <f t="shared" ca="1" si="42"/>
        <v>44544</v>
      </c>
      <c r="AE299" s="46">
        <f t="shared" ca="1" si="43"/>
        <v>0</v>
      </c>
      <c r="AG299" s="72">
        <f t="shared" ca="1" si="47"/>
        <v>73.146572562748403</v>
      </c>
      <c r="AH299" s="72">
        <f t="shared" ca="1" si="48"/>
        <v>73.146572562748389</v>
      </c>
      <c r="AI299" s="3">
        <f t="shared" ca="1" si="49"/>
        <v>0</v>
      </c>
    </row>
    <row r="300" spans="7:35" x14ac:dyDescent="0.25">
      <c r="G300" s="3">
        <f t="shared" si="44"/>
        <v>203</v>
      </c>
      <c r="H300" s="104">
        <f t="shared" si="46"/>
        <v>44398</v>
      </c>
      <c r="I300" s="131">
        <f>HLOOKUP($H$4,'Met Data'!$A$2:$F$368,G300,FALSE)</f>
        <v>10.181666666666599</v>
      </c>
      <c r="J300" s="131">
        <f ca="1">HLOOKUP($H$4,'Met Data'!$H$2:$M$368,G300,FALSE)*L300</f>
        <v>4.64333333333333</v>
      </c>
      <c r="K300" s="105">
        <f>HLOOKUP($H$4,'Met Data'!$O$2:$T$368,G300,FALSE)</f>
        <v>1.23251722447282</v>
      </c>
      <c r="L300">
        <f t="shared" ca="1" si="40"/>
        <v>1</v>
      </c>
      <c r="N300" t="b">
        <f t="shared" ca="1" si="45"/>
        <v>0</v>
      </c>
      <c r="O300" t="b">
        <f t="shared" ca="1" si="41"/>
        <v>0</v>
      </c>
      <c r="P300" s="2">
        <f ca="1"/>
        <v>44545</v>
      </c>
      <c r="Q300">
        <f ca="1"/>
        <v>73.660785119865793</v>
      </c>
      <c r="R300">
        <f ca="1"/>
        <v>0</v>
      </c>
      <c r="S300">
        <f ca="1"/>
        <v>5.4807157091269362E-2</v>
      </c>
      <c r="T300">
        <f ca="1"/>
        <v>0.45940540002613689</v>
      </c>
      <c r="U300">
        <f ca="1"/>
        <v>0</v>
      </c>
      <c r="V300">
        <f ca="1"/>
        <v>0</v>
      </c>
      <c r="W300">
        <f ca="1"/>
        <v>0</v>
      </c>
      <c r="X300">
        <f ca="1"/>
        <v>0</v>
      </c>
      <c r="Y300">
        <f ca="1"/>
        <v>0.79339330481449921</v>
      </c>
      <c r="Z300">
        <f ca="1"/>
        <v>0</v>
      </c>
      <c r="AA300">
        <f ca="1"/>
        <v>0</v>
      </c>
      <c r="AB300">
        <f ca="1"/>
        <v>0</v>
      </c>
      <c r="AD300" s="2">
        <f t="shared" ca="1" si="42"/>
        <v>44545</v>
      </c>
      <c r="AE300" s="46">
        <f t="shared" ca="1" si="43"/>
        <v>0</v>
      </c>
      <c r="AG300" s="72">
        <f t="shared" ca="1" si="47"/>
        <v>73.660785119865807</v>
      </c>
      <c r="AH300" s="72">
        <f t="shared" ca="1" si="48"/>
        <v>73.660785119865793</v>
      </c>
      <c r="AI300" s="3">
        <f t="shared" ca="1" si="49"/>
        <v>0</v>
      </c>
    </row>
    <row r="301" spans="7:35" x14ac:dyDescent="0.25">
      <c r="G301" s="3">
        <f t="shared" si="44"/>
        <v>204</v>
      </c>
      <c r="H301" s="104">
        <f t="shared" si="46"/>
        <v>44399</v>
      </c>
      <c r="I301" s="131">
        <f>HLOOKUP($H$4,'Met Data'!$A$2:$F$368,G301,FALSE)</f>
        <v>10.761666666666599</v>
      </c>
      <c r="J301" s="131">
        <f ca="1">HLOOKUP($H$4,'Met Data'!$H$2:$M$368,G301,FALSE)*L301</f>
        <v>5.7333333333333298</v>
      </c>
      <c r="K301" s="105">
        <f>HLOOKUP($H$4,'Met Data'!$O$2:$T$368,G301,FALSE)</f>
        <v>1.55725377410155</v>
      </c>
      <c r="L301">
        <f t="shared" ca="1" si="40"/>
        <v>1</v>
      </c>
      <c r="N301" t="b">
        <f t="shared" ca="1" si="45"/>
        <v>0</v>
      </c>
      <c r="O301" t="b">
        <f t="shared" ca="1" si="41"/>
        <v>0</v>
      </c>
      <c r="P301" s="2">
        <f ca="1"/>
        <v>44546</v>
      </c>
      <c r="Q301">
        <f ca="1"/>
        <v>74.182076154975789</v>
      </c>
      <c r="R301">
        <f ca="1"/>
        <v>0</v>
      </c>
      <c r="S301">
        <f ca="1"/>
        <v>4.725867165684635E-2</v>
      </c>
      <c r="T301">
        <f ca="1"/>
        <v>0.47403236345314392</v>
      </c>
      <c r="U301">
        <f ca="1"/>
        <v>0</v>
      </c>
      <c r="V301">
        <f ca="1"/>
        <v>0</v>
      </c>
      <c r="W301">
        <f ca="1"/>
        <v>0</v>
      </c>
      <c r="X301">
        <f ca="1"/>
        <v>0</v>
      </c>
      <c r="Y301">
        <f ca="1"/>
        <v>0.81160331522541707</v>
      </c>
      <c r="Z301">
        <f ca="1"/>
        <v>0</v>
      </c>
      <c r="AA301">
        <f ca="1"/>
        <v>0</v>
      </c>
      <c r="AB301">
        <f ca="1"/>
        <v>0</v>
      </c>
      <c r="AD301" s="2">
        <f t="shared" ca="1" si="42"/>
        <v>44546</v>
      </c>
      <c r="AE301" s="46">
        <f t="shared" ca="1" si="43"/>
        <v>0</v>
      </c>
      <c r="AG301" s="72">
        <f t="shared" ca="1" si="47"/>
        <v>74.182076154975789</v>
      </c>
      <c r="AH301" s="72">
        <f t="shared" ca="1" si="48"/>
        <v>74.182076154975789</v>
      </c>
      <c r="AI301" s="3">
        <f t="shared" ca="1" si="49"/>
        <v>0</v>
      </c>
    </row>
    <row r="302" spans="7:35" x14ac:dyDescent="0.25">
      <c r="G302" s="3">
        <f t="shared" si="44"/>
        <v>205</v>
      </c>
      <c r="H302" s="104">
        <f t="shared" si="46"/>
        <v>44400</v>
      </c>
      <c r="I302" s="131">
        <f>HLOOKUP($H$4,'Met Data'!$A$2:$F$368,G302,FALSE)</f>
        <v>10.623333333333299</v>
      </c>
      <c r="J302" s="131">
        <f ca="1">HLOOKUP($H$4,'Met Data'!$H$2:$M$368,G302,FALSE)*L302</f>
        <v>7.9733333333333301</v>
      </c>
      <c r="K302" s="105">
        <f>HLOOKUP($H$4,'Met Data'!$O$2:$T$368,G302,FALSE)</f>
        <v>1.24522053814258</v>
      </c>
      <c r="L302">
        <f t="shared" ca="1" si="40"/>
        <v>1</v>
      </c>
      <c r="N302" t="b">
        <f t="shared" ca="1" si="45"/>
        <v>0</v>
      </c>
      <c r="O302" t="b">
        <f t="shared" ca="1" si="41"/>
        <v>0</v>
      </c>
      <c r="P302" s="2">
        <f ca="1"/>
        <v>44547</v>
      </c>
      <c r="Q302">
        <f ca="1"/>
        <v>74.705371844918943</v>
      </c>
      <c r="R302">
        <f ca="1"/>
        <v>0</v>
      </c>
      <c r="S302">
        <f ca="1"/>
        <v>4.0076566486734036E-2</v>
      </c>
      <c r="T302">
        <f ca="1"/>
        <v>0.48321912345642021</v>
      </c>
      <c r="U302">
        <f ca="1"/>
        <v>0</v>
      </c>
      <c r="V302">
        <f ca="1"/>
        <v>0</v>
      </c>
      <c r="W302">
        <f ca="1"/>
        <v>0</v>
      </c>
      <c r="X302">
        <f ca="1"/>
        <v>0</v>
      </c>
      <c r="Y302">
        <f ca="1"/>
        <v>0.82351371652546701</v>
      </c>
      <c r="Z302">
        <f ca="1"/>
        <v>0</v>
      </c>
      <c r="AA302">
        <f ca="1"/>
        <v>0</v>
      </c>
      <c r="AB302">
        <f ca="1"/>
        <v>0</v>
      </c>
      <c r="AD302" s="2">
        <f t="shared" ca="1" si="42"/>
        <v>44547</v>
      </c>
      <c r="AE302" s="46">
        <f t="shared" ca="1" si="43"/>
        <v>0</v>
      </c>
      <c r="AG302" s="72">
        <f t="shared" ca="1" si="47"/>
        <v>74.705371844918943</v>
      </c>
      <c r="AH302" s="72">
        <f t="shared" ca="1" si="48"/>
        <v>74.705371844918943</v>
      </c>
      <c r="AI302" s="3">
        <f t="shared" ca="1" si="49"/>
        <v>0</v>
      </c>
    </row>
    <row r="303" spans="7:35" x14ac:dyDescent="0.25">
      <c r="G303" s="3">
        <f t="shared" si="44"/>
        <v>206</v>
      </c>
      <c r="H303" s="104">
        <f t="shared" si="46"/>
        <v>44401</v>
      </c>
      <c r="I303" s="131">
        <f>HLOOKUP($H$4,'Met Data'!$A$2:$F$368,G303,FALSE)</f>
        <v>10.654999999999999</v>
      </c>
      <c r="J303" s="131">
        <f ca="1">HLOOKUP($H$4,'Met Data'!$H$2:$M$368,G303,FALSE)*L303</f>
        <v>4.2566666666666597</v>
      </c>
      <c r="K303" s="105">
        <f>HLOOKUP($H$4,'Met Data'!$O$2:$T$368,G303,FALSE)</f>
        <v>1.3859271813606999</v>
      </c>
      <c r="L303">
        <f t="shared" ca="1" si="40"/>
        <v>1</v>
      </c>
      <c r="N303" t="b">
        <f t="shared" ca="1" si="45"/>
        <v>0</v>
      </c>
      <c r="O303" t="b">
        <f t="shared" ca="1" si="41"/>
        <v>0</v>
      </c>
      <c r="P303" s="2">
        <f ca="1"/>
        <v>44548</v>
      </c>
      <c r="Q303">
        <f ca="1"/>
        <v>75.216870141114981</v>
      </c>
      <c r="R303">
        <f ca="1"/>
        <v>0</v>
      </c>
      <c r="S303">
        <f ca="1"/>
        <v>3.3107831492849613E-2</v>
      </c>
      <c r="T303">
        <f ca="1"/>
        <v>0.47839046470319024</v>
      </c>
      <c r="U303">
        <f ca="1"/>
        <v>0</v>
      </c>
      <c r="V303">
        <f ca="1"/>
        <v>0</v>
      </c>
      <c r="W303">
        <f ca="1"/>
        <v>0</v>
      </c>
      <c r="X303">
        <f ca="1"/>
        <v>0</v>
      </c>
      <c r="Y303">
        <f ca="1"/>
        <v>0.83375988698531145</v>
      </c>
      <c r="Z303">
        <f ca="1"/>
        <v>0</v>
      </c>
      <c r="AA303">
        <f ca="1"/>
        <v>0</v>
      </c>
      <c r="AB303">
        <f ca="1"/>
        <v>0</v>
      </c>
      <c r="AD303" s="2">
        <f t="shared" ca="1" si="42"/>
        <v>44548</v>
      </c>
      <c r="AE303" s="46">
        <f t="shared" ca="1" si="43"/>
        <v>0</v>
      </c>
      <c r="AG303" s="72">
        <f t="shared" ca="1" si="47"/>
        <v>75.216870141114995</v>
      </c>
      <c r="AH303" s="72">
        <f t="shared" ca="1" si="48"/>
        <v>75.216870141114981</v>
      </c>
      <c r="AI303" s="3">
        <f t="shared" ca="1" si="49"/>
        <v>0</v>
      </c>
    </row>
    <row r="304" spans="7:35" x14ac:dyDescent="0.25">
      <c r="G304" s="3">
        <f t="shared" si="44"/>
        <v>207</v>
      </c>
      <c r="H304" s="104">
        <f t="shared" si="46"/>
        <v>44402</v>
      </c>
      <c r="I304" s="131">
        <f>HLOOKUP($H$4,'Met Data'!$A$2:$F$368,G304,FALSE)</f>
        <v>10.085000000000001</v>
      </c>
      <c r="J304" s="131">
        <f ca="1">HLOOKUP($H$4,'Met Data'!$H$2:$M$368,G304,FALSE)*L304</f>
        <v>4.9833333333333298</v>
      </c>
      <c r="K304" s="105">
        <f>HLOOKUP($H$4,'Met Data'!$O$2:$T$368,G304,FALSE)</f>
        <v>1.45895733681155</v>
      </c>
      <c r="L304">
        <f t="shared" ca="1" si="40"/>
        <v>1</v>
      </c>
      <c r="N304" t="b">
        <f t="shared" ca="1" si="45"/>
        <v>0</v>
      </c>
      <c r="O304" t="b">
        <f t="shared" ca="1" si="41"/>
        <v>0</v>
      </c>
      <c r="P304" s="2">
        <f ca="1"/>
        <v>44549</v>
      </c>
      <c r="Q304">
        <f ca="1"/>
        <v>75.734405379275785</v>
      </c>
      <c r="R304">
        <f ca="1"/>
        <v>0</v>
      </c>
      <c r="S304">
        <f ca="1"/>
        <v>2.80505860066892E-2</v>
      </c>
      <c r="T304">
        <f ca="1"/>
        <v>0.48948465215411274</v>
      </c>
      <c r="U304">
        <f ca="1"/>
        <v>0</v>
      </c>
      <c r="V304">
        <f ca="1"/>
        <v>0</v>
      </c>
      <c r="W304">
        <f ca="1"/>
        <v>0</v>
      </c>
      <c r="X304">
        <f ca="1"/>
        <v>0</v>
      </c>
      <c r="Y304">
        <f ca="1"/>
        <v>0.84084904464122512</v>
      </c>
      <c r="Z304">
        <f ca="1"/>
        <v>0</v>
      </c>
      <c r="AA304">
        <f ca="1"/>
        <v>0</v>
      </c>
      <c r="AB304">
        <f ca="1"/>
        <v>0</v>
      </c>
      <c r="AD304" s="2">
        <f t="shared" ca="1" si="42"/>
        <v>44549</v>
      </c>
      <c r="AE304" s="46">
        <f t="shared" ca="1" si="43"/>
        <v>0</v>
      </c>
      <c r="AG304" s="72">
        <f t="shared" ca="1" si="47"/>
        <v>75.734405379275785</v>
      </c>
      <c r="AH304" s="72">
        <f t="shared" ca="1" si="48"/>
        <v>75.734405379275785</v>
      </c>
      <c r="AI304" s="3">
        <f t="shared" ca="1" si="49"/>
        <v>0</v>
      </c>
    </row>
    <row r="305" spans="7:35" x14ac:dyDescent="0.25">
      <c r="G305" s="3">
        <f t="shared" si="44"/>
        <v>208</v>
      </c>
      <c r="H305" s="104">
        <f t="shared" si="46"/>
        <v>44403</v>
      </c>
      <c r="I305" s="131">
        <f>HLOOKUP($H$4,'Met Data'!$A$2:$F$368,G305,FALSE)</f>
        <v>9.99</v>
      </c>
      <c r="J305" s="131">
        <f ca="1">HLOOKUP($H$4,'Met Data'!$H$2:$M$368,G305,FALSE)*L305</f>
        <v>3.5266666666666602</v>
      </c>
      <c r="K305" s="105">
        <f>HLOOKUP($H$4,'Met Data'!$O$2:$T$368,G305,FALSE)</f>
        <v>1.3793054622795899</v>
      </c>
      <c r="L305">
        <f t="shared" ca="1" si="40"/>
        <v>1</v>
      </c>
      <c r="N305" t="b">
        <f t="shared" ca="1" si="45"/>
        <v>0</v>
      </c>
      <c r="O305" t="b">
        <f t="shared" ca="1" si="41"/>
        <v>0</v>
      </c>
      <c r="P305" s="2">
        <f ca="1"/>
        <v>44550</v>
      </c>
      <c r="Q305">
        <f ca="1"/>
        <v>76.245978131383609</v>
      </c>
      <c r="R305">
        <f ca="1"/>
        <v>0</v>
      </c>
      <c r="S305">
        <f ca="1"/>
        <v>2.3098269084822074E-2</v>
      </c>
      <c r="T305">
        <f ca="1"/>
        <v>0.48847448302300472</v>
      </c>
      <c r="U305">
        <f ca="1"/>
        <v>0</v>
      </c>
      <c r="V305">
        <f ca="1"/>
        <v>0</v>
      </c>
      <c r="W305">
        <f ca="1"/>
        <v>0</v>
      </c>
      <c r="X305">
        <f ca="1"/>
        <v>0</v>
      </c>
      <c r="Y305">
        <f ca="1"/>
        <v>0.82262579381111511</v>
      </c>
      <c r="Z305">
        <f ca="1"/>
        <v>0</v>
      </c>
      <c r="AA305">
        <f ca="1"/>
        <v>0</v>
      </c>
      <c r="AB305">
        <f ca="1"/>
        <v>0</v>
      </c>
      <c r="AD305" s="2">
        <f t="shared" ca="1" si="42"/>
        <v>44550</v>
      </c>
      <c r="AE305" s="46">
        <f t="shared" ca="1" si="43"/>
        <v>0</v>
      </c>
      <c r="AG305" s="72">
        <f t="shared" ca="1" si="47"/>
        <v>76.245978131383609</v>
      </c>
      <c r="AH305" s="72">
        <f t="shared" ca="1" si="48"/>
        <v>76.245978131383609</v>
      </c>
      <c r="AI305" s="3">
        <f t="shared" ca="1" si="49"/>
        <v>0</v>
      </c>
    </row>
    <row r="306" spans="7:35" x14ac:dyDescent="0.25">
      <c r="G306" s="3">
        <f t="shared" si="44"/>
        <v>209</v>
      </c>
      <c r="H306" s="104">
        <f t="shared" si="46"/>
        <v>44404</v>
      </c>
      <c r="I306" s="131">
        <f>HLOOKUP($H$4,'Met Data'!$A$2:$F$368,G306,FALSE)</f>
        <v>10.4116666666666</v>
      </c>
      <c r="J306" s="131">
        <f ca="1">HLOOKUP($H$4,'Met Data'!$H$2:$M$368,G306,FALSE)*L306</f>
        <v>5.38</v>
      </c>
      <c r="K306" s="105">
        <f>HLOOKUP($H$4,'Met Data'!$O$2:$T$368,G306,FALSE)</f>
        <v>1.53088528913385</v>
      </c>
      <c r="L306">
        <f t="shared" ca="1" si="40"/>
        <v>1</v>
      </c>
      <c r="N306" t="b">
        <f t="shared" ca="1" si="45"/>
        <v>0</v>
      </c>
      <c r="O306" t="b">
        <f t="shared" ca="1" si="41"/>
        <v>0</v>
      </c>
      <c r="P306" s="2">
        <f ca="1"/>
        <v>44551</v>
      </c>
      <c r="Q306">
        <f ca="1"/>
        <v>76.756042828196613</v>
      </c>
      <c r="R306">
        <f ca="1"/>
        <v>0</v>
      </c>
      <c r="S306">
        <f ca="1"/>
        <v>1.9237961598868532E-2</v>
      </c>
      <c r="T306">
        <f ca="1"/>
        <v>0.49082673521413844</v>
      </c>
      <c r="U306">
        <f ca="1"/>
        <v>0</v>
      </c>
      <c r="V306">
        <f ca="1"/>
        <v>0</v>
      </c>
      <c r="W306">
        <f ca="1"/>
        <v>0</v>
      </c>
      <c r="X306">
        <f ca="1"/>
        <v>0</v>
      </c>
      <c r="Y306">
        <f ca="1"/>
        <v>0.82633325803132107</v>
      </c>
      <c r="Z306">
        <f ca="1"/>
        <v>0</v>
      </c>
      <c r="AA306">
        <f ca="1"/>
        <v>0</v>
      </c>
      <c r="AB306">
        <f ca="1"/>
        <v>0</v>
      </c>
      <c r="AD306" s="2">
        <f t="shared" ca="1" si="42"/>
        <v>44551</v>
      </c>
      <c r="AE306" s="46">
        <f t="shared" ca="1" si="43"/>
        <v>0</v>
      </c>
      <c r="AG306" s="72">
        <f t="shared" ca="1" si="47"/>
        <v>76.756042828196627</v>
      </c>
      <c r="AH306" s="72">
        <f t="shared" ca="1" si="48"/>
        <v>76.756042828196613</v>
      </c>
      <c r="AI306" s="3">
        <f t="shared" ca="1" si="49"/>
        <v>0</v>
      </c>
    </row>
    <row r="307" spans="7:35" x14ac:dyDescent="0.25">
      <c r="G307" s="3">
        <f t="shared" si="44"/>
        <v>210</v>
      </c>
      <c r="H307" s="104">
        <f t="shared" si="46"/>
        <v>44405</v>
      </c>
      <c r="I307" s="131">
        <f>HLOOKUP($H$4,'Met Data'!$A$2:$F$368,G307,FALSE)</f>
        <v>10.494999999999999</v>
      </c>
      <c r="J307" s="131">
        <f ca="1">HLOOKUP($H$4,'Met Data'!$H$2:$M$368,G307,FALSE)*L307</f>
        <v>3.6033333333333299</v>
      </c>
      <c r="K307" s="105">
        <f>HLOOKUP($H$4,'Met Data'!$O$2:$T$368,G307,FALSE)</f>
        <v>1.5836053821317999</v>
      </c>
      <c r="L307">
        <f t="shared" ca="1" si="40"/>
        <v>1</v>
      </c>
      <c r="N307" t="b">
        <f t="shared" ca="1" si="45"/>
        <v>0</v>
      </c>
      <c r="O307" t="b">
        <f t="shared" ca="1" si="41"/>
        <v>0</v>
      </c>
      <c r="P307" s="2">
        <f ca="1"/>
        <v>44552</v>
      </c>
      <c r="Q307">
        <f ca="1"/>
        <v>77.259510751825303</v>
      </c>
      <c r="R307">
        <f ca="1"/>
        <v>0</v>
      </c>
      <c r="S307">
        <f ca="1"/>
        <v>1.5800997895862229E-2</v>
      </c>
      <c r="T307">
        <f ca="1"/>
        <v>0.48766692573283626</v>
      </c>
      <c r="U307">
        <f ca="1"/>
        <v>0</v>
      </c>
      <c r="V307">
        <f ca="1"/>
        <v>0</v>
      </c>
      <c r="W307">
        <f ca="1"/>
        <v>0</v>
      </c>
      <c r="X307">
        <f ca="1"/>
        <v>0</v>
      </c>
      <c r="Y307">
        <f ca="1"/>
        <v>0.81156670546585352</v>
      </c>
      <c r="Z307">
        <f ca="1"/>
        <v>0</v>
      </c>
      <c r="AA307">
        <f ca="1"/>
        <v>0</v>
      </c>
      <c r="AB307">
        <f ca="1"/>
        <v>0</v>
      </c>
      <c r="AD307" s="2">
        <f t="shared" ca="1" si="42"/>
        <v>44552</v>
      </c>
      <c r="AE307" s="46">
        <f t="shared" ca="1" si="43"/>
        <v>0</v>
      </c>
      <c r="AG307" s="72">
        <f t="shared" ca="1" si="47"/>
        <v>77.259510751825317</v>
      </c>
      <c r="AH307" s="72">
        <f t="shared" ca="1" si="48"/>
        <v>77.259510751825303</v>
      </c>
      <c r="AI307" s="3">
        <f t="shared" ca="1" si="49"/>
        <v>0</v>
      </c>
    </row>
    <row r="308" spans="7:35" x14ac:dyDescent="0.25">
      <c r="G308" s="3">
        <f t="shared" si="44"/>
        <v>211</v>
      </c>
      <c r="H308" s="104">
        <f t="shared" si="46"/>
        <v>44406</v>
      </c>
      <c r="I308" s="131">
        <f>HLOOKUP($H$4,'Met Data'!$A$2:$F$368,G308,FALSE)</f>
        <v>10.685</v>
      </c>
      <c r="J308" s="131">
        <f ca="1">HLOOKUP($H$4,'Met Data'!$H$2:$M$368,G308,FALSE)*L308</f>
        <v>5.83</v>
      </c>
      <c r="K308" s="105">
        <f>HLOOKUP($H$4,'Met Data'!$O$2:$T$368,G308,FALSE)</f>
        <v>1.6019548518300599</v>
      </c>
      <c r="L308">
        <f t="shared" ca="1" si="40"/>
        <v>1</v>
      </c>
      <c r="N308" t="b">
        <f t="shared" ca="1" si="45"/>
        <v>0</v>
      </c>
      <c r="O308" t="b">
        <f t="shared" ca="1" si="41"/>
        <v>0</v>
      </c>
      <c r="P308" s="2">
        <f ca="1"/>
        <v>44553</v>
      </c>
      <c r="Q308">
        <f ca="1"/>
        <v>77.739899403881381</v>
      </c>
      <c r="R308">
        <f ca="1"/>
        <v>0</v>
      </c>
      <c r="S308">
        <f ca="1"/>
        <v>1.2675401176836958E-2</v>
      </c>
      <c r="T308">
        <f ca="1"/>
        <v>0.46771325087924182</v>
      </c>
      <c r="U308">
        <f ca="1"/>
        <v>0</v>
      </c>
      <c r="V308">
        <f ca="1"/>
        <v>0</v>
      </c>
      <c r="W308">
        <f ca="1"/>
        <v>0</v>
      </c>
      <c r="X308">
        <f ca="1"/>
        <v>0</v>
      </c>
      <c r="Y308">
        <f ca="1"/>
        <v>0.80211137231609375</v>
      </c>
      <c r="Z308">
        <f ca="1"/>
        <v>0</v>
      </c>
      <c r="AA308">
        <f ca="1"/>
        <v>0</v>
      </c>
      <c r="AB308">
        <f ca="1"/>
        <v>0</v>
      </c>
      <c r="AD308" s="2">
        <f t="shared" ca="1" si="42"/>
        <v>44553</v>
      </c>
      <c r="AE308" s="46">
        <f t="shared" ca="1" si="43"/>
        <v>0</v>
      </c>
      <c r="AG308" s="72">
        <f t="shared" ca="1" si="47"/>
        <v>77.739899403881381</v>
      </c>
      <c r="AH308" s="72">
        <f t="shared" ca="1" si="48"/>
        <v>77.739899403881381</v>
      </c>
      <c r="AI308" s="3">
        <f t="shared" ca="1" si="49"/>
        <v>0</v>
      </c>
    </row>
    <row r="309" spans="7:35" x14ac:dyDescent="0.25">
      <c r="G309" s="3">
        <f t="shared" si="44"/>
        <v>212</v>
      </c>
      <c r="H309" s="104">
        <f t="shared" si="46"/>
        <v>44407</v>
      </c>
      <c r="I309" s="131">
        <f>HLOOKUP($H$4,'Met Data'!$A$2:$F$368,G309,FALSE)</f>
        <v>10.678333333333301</v>
      </c>
      <c r="J309" s="131">
        <f ca="1">HLOOKUP($H$4,'Met Data'!$H$2:$M$368,G309,FALSE)*L309</f>
        <v>2.98</v>
      </c>
      <c r="K309" s="105">
        <f>HLOOKUP($H$4,'Met Data'!$O$2:$T$368,G309,FALSE)</f>
        <v>1.6077513956073599</v>
      </c>
      <c r="L309">
        <f t="shared" ca="1" si="40"/>
        <v>1</v>
      </c>
      <c r="N309" t="b">
        <f t="shared" ca="1" si="45"/>
        <v>0</v>
      </c>
      <c r="O309" t="b">
        <f t="shared" ca="1" si="41"/>
        <v>0</v>
      </c>
      <c r="P309" s="2">
        <f ca="1"/>
        <v>44554</v>
      </c>
      <c r="Q309">
        <f ca="1"/>
        <v>78.223431312974938</v>
      </c>
      <c r="R309">
        <f ca="1"/>
        <v>0</v>
      </c>
      <c r="S309">
        <f ca="1"/>
        <v>1.0678657382322819E-2</v>
      </c>
      <c r="T309">
        <f ca="1"/>
        <v>0.47285325171123493</v>
      </c>
      <c r="U309">
        <f ca="1"/>
        <v>0</v>
      </c>
      <c r="V309">
        <f ca="1"/>
        <v>0</v>
      </c>
      <c r="W309">
        <f ca="1"/>
        <v>0</v>
      </c>
      <c r="X309">
        <f ca="1"/>
        <v>0</v>
      </c>
      <c r="Y309">
        <f ca="1"/>
        <v>0.80241895876948499</v>
      </c>
      <c r="Z309">
        <f ca="1"/>
        <v>0</v>
      </c>
      <c r="AA309">
        <f ca="1"/>
        <v>0</v>
      </c>
      <c r="AB309">
        <f ca="1"/>
        <v>0</v>
      </c>
      <c r="AD309" s="2">
        <f t="shared" ca="1" si="42"/>
        <v>44554</v>
      </c>
      <c r="AE309" s="46">
        <f t="shared" ca="1" si="43"/>
        <v>0</v>
      </c>
      <c r="AG309" s="72">
        <f t="shared" ca="1" si="47"/>
        <v>78.223431312974938</v>
      </c>
      <c r="AH309" s="72">
        <f t="shared" ca="1" si="48"/>
        <v>78.223431312974938</v>
      </c>
      <c r="AI309" s="3">
        <f t="shared" ca="1" si="49"/>
        <v>0</v>
      </c>
    </row>
    <row r="310" spans="7:35" x14ac:dyDescent="0.25">
      <c r="G310" s="3">
        <f t="shared" si="44"/>
        <v>213</v>
      </c>
      <c r="H310" s="104">
        <f t="shared" si="46"/>
        <v>44408</v>
      </c>
      <c r="I310" s="131">
        <f>HLOOKUP($H$4,'Met Data'!$A$2:$F$368,G310,FALSE)</f>
        <v>10.767241379310301</v>
      </c>
      <c r="J310" s="131">
        <f ca="1">HLOOKUP($H$4,'Met Data'!$H$2:$M$368,G310,FALSE)*L310</f>
        <v>4.4285714285714199</v>
      </c>
      <c r="K310" s="105">
        <f>HLOOKUP($H$4,'Met Data'!$O$2:$T$368,G310,FALSE)</f>
        <v>1.4764466109261301</v>
      </c>
      <c r="L310">
        <f t="shared" ca="1" si="40"/>
        <v>1</v>
      </c>
      <c r="N310" t="b">
        <f t="shared" ca="1" si="45"/>
        <v>0</v>
      </c>
      <c r="O310" t="b">
        <f t="shared" ca="1" si="41"/>
        <v>0</v>
      </c>
      <c r="P310" s="2">
        <f ca="1"/>
        <v>44555</v>
      </c>
      <c r="Q310">
        <f ca="1"/>
        <v>78.721964063856333</v>
      </c>
      <c r="R310">
        <f ca="1"/>
        <v>0</v>
      </c>
      <c r="S310">
        <f ca="1"/>
        <v>9.1675846666893577E-3</v>
      </c>
      <c r="T310">
        <f ca="1"/>
        <v>0.4893651662147056</v>
      </c>
      <c r="U310">
        <f ca="1"/>
        <v>0</v>
      </c>
      <c r="V310">
        <f ca="1"/>
        <v>0</v>
      </c>
      <c r="W310">
        <f ca="1"/>
        <v>0</v>
      </c>
      <c r="X310">
        <f ca="1"/>
        <v>0</v>
      </c>
      <c r="Y310">
        <f ca="1"/>
        <v>0.81414038649150067</v>
      </c>
      <c r="Z310">
        <f ca="1"/>
        <v>0</v>
      </c>
      <c r="AA310">
        <f ca="1"/>
        <v>0</v>
      </c>
      <c r="AB310">
        <f ca="1"/>
        <v>0</v>
      </c>
      <c r="AD310" s="2">
        <f t="shared" ca="1" si="42"/>
        <v>44555</v>
      </c>
      <c r="AE310" s="46">
        <f t="shared" ca="1" si="43"/>
        <v>0</v>
      </c>
      <c r="AG310" s="72">
        <f t="shared" ca="1" si="47"/>
        <v>78.721964063856333</v>
      </c>
      <c r="AH310" s="72">
        <f t="shared" ca="1" si="48"/>
        <v>78.721964063856333</v>
      </c>
      <c r="AI310" s="3">
        <f t="shared" ca="1" si="49"/>
        <v>0</v>
      </c>
    </row>
    <row r="311" spans="7:35" x14ac:dyDescent="0.25">
      <c r="G311" s="3">
        <f t="shared" si="44"/>
        <v>214</v>
      </c>
      <c r="H311" s="104">
        <f t="shared" si="46"/>
        <v>44409</v>
      </c>
      <c r="I311" s="131">
        <f>HLOOKUP($H$4,'Met Data'!$A$2:$F$368,G311,FALSE)</f>
        <v>10.815</v>
      </c>
      <c r="J311" s="131">
        <f ca="1">HLOOKUP($H$4,'Met Data'!$H$2:$M$368,G311,FALSE)*L311</f>
        <v>3.8533333333333299</v>
      </c>
      <c r="K311" s="105">
        <f>HLOOKUP($H$4,'Met Data'!$O$2:$T$368,G311,FALSE)</f>
        <v>1.4161434812322</v>
      </c>
      <c r="L311">
        <f t="shared" ca="1" si="40"/>
        <v>1</v>
      </c>
      <c r="N311" t="b">
        <f t="shared" ca="1" si="45"/>
        <v>0</v>
      </c>
      <c r="O311" t="b">
        <f t="shared" ca="1" si="41"/>
        <v>0</v>
      </c>
      <c r="P311" s="2">
        <f ca="1"/>
        <v>44556</v>
      </c>
      <c r="Q311">
        <f ca="1"/>
        <v>79.195557300052144</v>
      </c>
      <c r="R311">
        <f ca="1"/>
        <v>0</v>
      </c>
      <c r="S311">
        <f ca="1"/>
        <v>7.2921230433461194E-3</v>
      </c>
      <c r="T311">
        <f ca="1"/>
        <v>0.46630111315245548</v>
      </c>
      <c r="U311">
        <f ca="1"/>
        <v>0</v>
      </c>
      <c r="V311">
        <f ca="1"/>
        <v>0</v>
      </c>
      <c r="W311">
        <f ca="1"/>
        <v>0</v>
      </c>
      <c r="X311">
        <f ca="1"/>
        <v>0</v>
      </c>
      <c r="Y311">
        <f ca="1"/>
        <v>0.79375898169910575</v>
      </c>
      <c r="Z311">
        <f ca="1"/>
        <v>0</v>
      </c>
      <c r="AA311">
        <f ca="1"/>
        <v>0</v>
      </c>
      <c r="AB311">
        <f ca="1"/>
        <v>0</v>
      </c>
      <c r="AD311" s="2">
        <f t="shared" ca="1" si="42"/>
        <v>44556</v>
      </c>
      <c r="AE311" s="46">
        <f t="shared" ca="1" si="43"/>
        <v>0</v>
      </c>
      <c r="AG311" s="72">
        <f t="shared" ca="1" si="47"/>
        <v>79.19555730005213</v>
      </c>
      <c r="AH311" s="72">
        <f t="shared" ca="1" si="48"/>
        <v>79.195557300052144</v>
      </c>
      <c r="AI311" s="3">
        <f t="shared" ca="1" si="49"/>
        <v>0</v>
      </c>
    </row>
    <row r="312" spans="7:35" x14ac:dyDescent="0.25">
      <c r="G312" s="3">
        <f t="shared" si="44"/>
        <v>215</v>
      </c>
      <c r="H312" s="104">
        <f t="shared" si="46"/>
        <v>44410</v>
      </c>
      <c r="I312" s="131">
        <f>HLOOKUP($H$4,'Met Data'!$A$2:$F$368,G312,FALSE)</f>
        <v>11.156666666666601</v>
      </c>
      <c r="J312" s="131">
        <f ca="1">HLOOKUP($H$4,'Met Data'!$H$2:$M$368,G312,FALSE)*L312</f>
        <v>5.7666666666666604</v>
      </c>
      <c r="K312" s="105">
        <f>HLOOKUP($H$4,'Met Data'!$O$2:$T$368,G312,FALSE)</f>
        <v>1.4216364054283901</v>
      </c>
      <c r="L312">
        <f t="shared" ca="1" si="40"/>
        <v>1</v>
      </c>
      <c r="N312" t="b">
        <f t="shared" ca="1" si="45"/>
        <v>0</v>
      </c>
      <c r="O312" t="b">
        <f t="shared" ca="1" si="41"/>
        <v>0</v>
      </c>
      <c r="P312" s="2">
        <f ca="1"/>
        <v>44557</v>
      </c>
      <c r="Q312">
        <f ca="1"/>
        <v>79.663021791875536</v>
      </c>
      <c r="R312">
        <f ca="1"/>
        <v>0</v>
      </c>
      <c r="S312">
        <f ca="1"/>
        <v>6.0289040356605421E-3</v>
      </c>
      <c r="T312">
        <f ca="1"/>
        <v>0.46143558778774085</v>
      </c>
      <c r="U312">
        <f ca="1"/>
        <v>0</v>
      </c>
      <c r="V312">
        <f ca="1"/>
        <v>0</v>
      </c>
      <c r="W312">
        <f ca="1"/>
        <v>0</v>
      </c>
      <c r="X312">
        <f ca="1"/>
        <v>0</v>
      </c>
      <c r="Y312">
        <f ca="1"/>
        <v>0.78156185095717412</v>
      </c>
      <c r="Z312">
        <f ca="1"/>
        <v>0</v>
      </c>
      <c r="AA312">
        <f ca="1"/>
        <v>0</v>
      </c>
      <c r="AB312">
        <f ca="1"/>
        <v>0</v>
      </c>
      <c r="AD312" s="2">
        <f t="shared" ca="1" si="42"/>
        <v>44557</v>
      </c>
      <c r="AE312" s="46">
        <f t="shared" ca="1" si="43"/>
        <v>0</v>
      </c>
      <c r="AG312" s="72">
        <f t="shared" ca="1" si="47"/>
        <v>79.663021791875551</v>
      </c>
      <c r="AH312" s="72">
        <f t="shared" ca="1" si="48"/>
        <v>79.663021791875536</v>
      </c>
      <c r="AI312" s="3">
        <f t="shared" ca="1" si="49"/>
        <v>0</v>
      </c>
    </row>
    <row r="313" spans="7:35" x14ac:dyDescent="0.25">
      <c r="G313" s="3">
        <f t="shared" si="44"/>
        <v>216</v>
      </c>
      <c r="H313" s="104">
        <f t="shared" si="46"/>
        <v>44411</v>
      </c>
      <c r="I313" s="131">
        <f>HLOOKUP($H$4,'Met Data'!$A$2:$F$368,G313,FALSE)</f>
        <v>11.0879310344827</v>
      </c>
      <c r="J313" s="131">
        <f ca="1">HLOOKUP($H$4,'Met Data'!$H$2:$M$368,G313,FALSE)*L313</f>
        <v>3.2896551724137901</v>
      </c>
      <c r="K313" s="105">
        <f>HLOOKUP($H$4,'Met Data'!$O$2:$T$368,G313,FALSE)</f>
        <v>1.4857250646951901</v>
      </c>
      <c r="L313">
        <f t="shared" ca="1" si="40"/>
        <v>1</v>
      </c>
      <c r="N313" t="b">
        <f t="shared" ca="1" si="45"/>
        <v>0</v>
      </c>
      <c r="O313" t="b">
        <f t="shared" ca="1" si="41"/>
        <v>0</v>
      </c>
      <c r="P313" s="2">
        <f ca="1"/>
        <v>44558</v>
      </c>
      <c r="Q313">
        <f ca="1"/>
        <v>80.145067336176098</v>
      </c>
      <c r="R313">
        <f ca="1"/>
        <v>0</v>
      </c>
      <c r="S313">
        <f ca="1"/>
        <v>5.143356234451139E-3</v>
      </c>
      <c r="T313">
        <f ca="1"/>
        <v>0.47690218806610457</v>
      </c>
      <c r="U313">
        <f ca="1"/>
        <v>0</v>
      </c>
      <c r="V313">
        <f ca="1"/>
        <v>0</v>
      </c>
      <c r="W313">
        <f ca="1"/>
        <v>0</v>
      </c>
      <c r="X313">
        <f ca="1"/>
        <v>0</v>
      </c>
      <c r="Y313">
        <f ca="1"/>
        <v>0.76048822417027029</v>
      </c>
      <c r="Z313">
        <f ca="1"/>
        <v>0</v>
      </c>
      <c r="AA313">
        <f ca="1"/>
        <v>0</v>
      </c>
      <c r="AB313">
        <f ca="1"/>
        <v>0</v>
      </c>
      <c r="AD313" s="2">
        <f t="shared" ca="1" si="42"/>
        <v>44558</v>
      </c>
      <c r="AE313" s="46">
        <f t="shared" ca="1" si="43"/>
        <v>0</v>
      </c>
      <c r="AG313" s="72">
        <f t="shared" ca="1" si="47"/>
        <v>80.145067336176098</v>
      </c>
      <c r="AH313" s="72">
        <f t="shared" ca="1" si="48"/>
        <v>80.145067336176098</v>
      </c>
      <c r="AI313" s="3">
        <f t="shared" ca="1" si="49"/>
        <v>0</v>
      </c>
    </row>
    <row r="314" spans="7:35" x14ac:dyDescent="0.25">
      <c r="G314" s="3">
        <f t="shared" si="44"/>
        <v>217</v>
      </c>
      <c r="H314" s="104">
        <f t="shared" si="46"/>
        <v>44412</v>
      </c>
      <c r="I314" s="131">
        <f>HLOOKUP($H$4,'Met Data'!$A$2:$F$368,G314,FALSE)</f>
        <v>10.9965517241379</v>
      </c>
      <c r="J314" s="131">
        <f ca="1">HLOOKUP($H$4,'Met Data'!$H$2:$M$368,G314,FALSE)*L314</f>
        <v>5.08275862068965</v>
      </c>
      <c r="K314" s="105">
        <f>HLOOKUP($H$4,'Met Data'!$O$2:$T$368,G314,FALSE)</f>
        <v>1.4618721174640501</v>
      </c>
      <c r="L314">
        <f t="shared" ca="1" si="40"/>
        <v>1</v>
      </c>
      <c r="N314" t="b">
        <f t="shared" ca="1" si="45"/>
        <v>0</v>
      </c>
      <c r="O314" t="b">
        <f t="shared" ca="1" si="41"/>
        <v>0</v>
      </c>
      <c r="P314" s="2">
        <f ca="1"/>
        <v>44559</v>
      </c>
      <c r="Q314">
        <f ca="1"/>
        <v>80.636838785271692</v>
      </c>
      <c r="R314">
        <f ca="1"/>
        <v>0</v>
      </c>
      <c r="S314">
        <f ca="1"/>
        <v>4.3619160206812696E-3</v>
      </c>
      <c r="T314">
        <f ca="1"/>
        <v>0.48740953307490609</v>
      </c>
      <c r="U314">
        <f ca="1"/>
        <v>0</v>
      </c>
      <c r="V314">
        <f ca="1"/>
        <v>0</v>
      </c>
      <c r="W314">
        <f ca="1"/>
        <v>0</v>
      </c>
      <c r="X314">
        <f ca="1"/>
        <v>0</v>
      </c>
      <c r="Y314">
        <f ca="1"/>
        <v>0.75853390623324057</v>
      </c>
      <c r="Z314">
        <f ca="1"/>
        <v>0</v>
      </c>
      <c r="AA314">
        <f ca="1"/>
        <v>0</v>
      </c>
      <c r="AB314">
        <f ca="1"/>
        <v>0</v>
      </c>
      <c r="AD314" s="2">
        <f t="shared" ca="1" si="42"/>
        <v>44559</v>
      </c>
      <c r="AE314" s="46">
        <f t="shared" ca="1" si="43"/>
        <v>0</v>
      </c>
      <c r="AG314" s="72">
        <f t="shared" ca="1" si="47"/>
        <v>80.636838785271692</v>
      </c>
      <c r="AH314" s="72">
        <f t="shared" ca="1" si="48"/>
        <v>80.636838785271692</v>
      </c>
      <c r="AI314" s="3">
        <f t="shared" ca="1" si="49"/>
        <v>0</v>
      </c>
    </row>
    <row r="315" spans="7:35" x14ac:dyDescent="0.25">
      <c r="G315" s="3">
        <f t="shared" si="44"/>
        <v>218</v>
      </c>
      <c r="H315" s="104">
        <f t="shared" si="46"/>
        <v>44413</v>
      </c>
      <c r="I315" s="131">
        <f>HLOOKUP($H$4,'Met Data'!$A$2:$F$368,G315,FALSE)</f>
        <v>10.706395995550601</v>
      </c>
      <c r="J315" s="131">
        <f ca="1">HLOOKUP($H$4,'Met Data'!$H$2:$M$368,G315,FALSE)*L315</f>
        <v>4.8827586206896498</v>
      </c>
      <c r="K315" s="105">
        <f>HLOOKUP($H$4,'Met Data'!$O$2:$T$368,G315,FALSE)</f>
        <v>1.3278392687764899</v>
      </c>
      <c r="L315">
        <f t="shared" ca="1" si="40"/>
        <v>1</v>
      </c>
      <c r="N315" t="b">
        <f t="shared" ca="1" si="45"/>
        <v>0</v>
      </c>
      <c r="O315" t="b">
        <f t="shared" ca="1" si="41"/>
        <v>0</v>
      </c>
      <c r="P315" s="2">
        <f ca="1"/>
        <v>44560</v>
      </c>
      <c r="Q315">
        <f ca="1"/>
        <v>81.12772192490678</v>
      </c>
      <c r="R315">
        <f ca="1"/>
        <v>0</v>
      </c>
      <c r="S315">
        <f ca="1"/>
        <v>3.6469692424190604E-3</v>
      </c>
      <c r="T315">
        <f ca="1"/>
        <v>0.48723617039268174</v>
      </c>
      <c r="U315">
        <f ca="1"/>
        <v>0</v>
      </c>
      <c r="V315">
        <f ca="1"/>
        <v>0</v>
      </c>
      <c r="W315">
        <f ca="1"/>
        <v>0</v>
      </c>
      <c r="X315">
        <f ca="1"/>
        <v>0</v>
      </c>
      <c r="Y315">
        <f ca="1"/>
        <v>0.77129833332610465</v>
      </c>
      <c r="Z315">
        <f ca="1"/>
        <v>0</v>
      </c>
      <c r="AA315">
        <f ca="1"/>
        <v>0</v>
      </c>
      <c r="AB315">
        <f ca="1"/>
        <v>0</v>
      </c>
      <c r="AD315" s="2">
        <f t="shared" ca="1" si="42"/>
        <v>44560</v>
      </c>
      <c r="AE315" s="46">
        <f t="shared" ca="1" si="43"/>
        <v>0</v>
      </c>
      <c r="AG315" s="72">
        <f t="shared" ca="1" si="47"/>
        <v>81.127721924906794</v>
      </c>
      <c r="AH315" s="72">
        <f t="shared" ca="1" si="48"/>
        <v>81.12772192490678</v>
      </c>
      <c r="AI315" s="3">
        <f t="shared" ca="1" si="49"/>
        <v>0</v>
      </c>
    </row>
    <row r="316" spans="7:35" x14ac:dyDescent="0.25">
      <c r="G316" s="3">
        <f t="shared" si="44"/>
        <v>219</v>
      </c>
      <c r="H316" s="104">
        <f t="shared" si="46"/>
        <v>44414</v>
      </c>
      <c r="I316" s="131">
        <f>HLOOKUP($H$4,'Met Data'!$A$2:$F$368,G316,FALSE)</f>
        <v>10.6327586206896</v>
      </c>
      <c r="J316" s="131">
        <f ca="1">HLOOKUP($H$4,'Met Data'!$H$2:$M$368,G316,FALSE)*L316</f>
        <v>4.1724137931034404</v>
      </c>
      <c r="K316" s="105">
        <f>HLOOKUP($H$4,'Met Data'!$O$2:$T$368,G316,FALSE)</f>
        <v>1.47551454127292</v>
      </c>
      <c r="L316">
        <f t="shared" ca="1" si="40"/>
        <v>1</v>
      </c>
      <c r="N316" t="b">
        <f t="shared" ca="1" si="45"/>
        <v>0</v>
      </c>
      <c r="O316" t="b">
        <f t="shared" ca="1" si="41"/>
        <v>0</v>
      </c>
      <c r="P316" s="2">
        <f ca="1"/>
        <v>44561</v>
      </c>
      <c r="Q316">
        <f ca="1"/>
        <v>81.636592445993216</v>
      </c>
      <c r="R316">
        <f ca="1"/>
        <v>0</v>
      </c>
      <c r="S316">
        <f ca="1"/>
        <v>3.1635187851861844E-3</v>
      </c>
      <c r="T316">
        <f ca="1"/>
        <v>0.50570700230123244</v>
      </c>
      <c r="U316">
        <f ca="1"/>
        <v>0</v>
      </c>
      <c r="V316">
        <f ca="1"/>
        <v>0</v>
      </c>
      <c r="W316">
        <f ca="1"/>
        <v>0</v>
      </c>
      <c r="X316">
        <f ca="1"/>
        <v>0</v>
      </c>
      <c r="Y316">
        <f ca="1"/>
        <v>0.81992887496181999</v>
      </c>
      <c r="Z316">
        <f ca="1"/>
        <v>0</v>
      </c>
      <c r="AA316">
        <f ca="1"/>
        <v>0</v>
      </c>
      <c r="AB316">
        <f ca="1"/>
        <v>0</v>
      </c>
      <c r="AD316" s="2">
        <f t="shared" ca="1" si="42"/>
        <v>44561</v>
      </c>
      <c r="AE316" s="46">
        <f t="shared" ca="1" si="43"/>
        <v>0</v>
      </c>
      <c r="AG316" s="72">
        <f t="shared" ca="1" si="47"/>
        <v>81.636592445993202</v>
      </c>
      <c r="AH316" s="72">
        <f t="shared" ca="1" si="48"/>
        <v>81.636592445993216</v>
      </c>
      <c r="AI316" s="3">
        <f t="shared" ca="1" si="49"/>
        <v>0</v>
      </c>
    </row>
    <row r="317" spans="7:35" x14ac:dyDescent="0.25">
      <c r="G317" s="3">
        <f t="shared" si="44"/>
        <v>220</v>
      </c>
      <c r="H317" s="104">
        <f t="shared" si="46"/>
        <v>44415</v>
      </c>
      <c r="I317" s="131">
        <f>HLOOKUP($H$4,'Met Data'!$A$2:$F$368,G317,FALSE)</f>
        <v>10.7362068965517</v>
      </c>
      <c r="J317" s="131">
        <f ca="1">HLOOKUP($H$4,'Met Data'!$H$2:$M$368,G317,FALSE)*L317</f>
        <v>3.27241379310344</v>
      </c>
      <c r="K317" s="105">
        <f>HLOOKUP($H$4,'Met Data'!$O$2:$T$368,G317,FALSE)</f>
        <v>1.4915207810797499</v>
      </c>
      <c r="L317">
        <f t="shared" ca="1" si="40"/>
        <v>1</v>
      </c>
      <c r="N317" t="b">
        <f t="shared" ca="1" si="45"/>
        <v>0</v>
      </c>
      <c r="O317" t="b">
        <f t="shared" ca="1" si="41"/>
        <v>0</v>
      </c>
      <c r="P317" s="2">
        <f ca="1"/>
        <v>44562</v>
      </c>
      <c r="Q317">
        <f ca="1"/>
        <v>82.133611237917307</v>
      </c>
      <c r="R317">
        <f ca="1"/>
        <v>0</v>
      </c>
      <c r="S317">
        <f ca="1"/>
        <v>2.56098371887641E-3</v>
      </c>
      <c r="T317">
        <f ca="1"/>
        <v>0.49445780820522051</v>
      </c>
      <c r="U317">
        <f ca="1"/>
        <v>0</v>
      </c>
      <c r="V317">
        <f ca="1"/>
        <v>0</v>
      </c>
      <c r="W317">
        <f ca="1"/>
        <v>0</v>
      </c>
      <c r="X317">
        <f ca="1"/>
        <v>0</v>
      </c>
      <c r="Y317">
        <f ca="1"/>
        <v>0.81248529501000266</v>
      </c>
      <c r="Z317">
        <f ca="1"/>
        <v>0</v>
      </c>
      <c r="AA317">
        <f ca="1"/>
        <v>0</v>
      </c>
      <c r="AB317">
        <f ca="1"/>
        <v>0</v>
      </c>
      <c r="AD317" s="2">
        <f t="shared" ca="1" si="42"/>
        <v>44562</v>
      </c>
      <c r="AE317" s="46">
        <f t="shared" ca="1" si="43"/>
        <v>0</v>
      </c>
      <c r="AG317" s="72">
        <f t="shared" ca="1" si="47"/>
        <v>82.133611237917322</v>
      </c>
      <c r="AH317" s="72">
        <f t="shared" ca="1" si="48"/>
        <v>82.133611237917307</v>
      </c>
      <c r="AI317" s="3">
        <f t="shared" ca="1" si="49"/>
        <v>0</v>
      </c>
    </row>
    <row r="318" spans="7:35" x14ac:dyDescent="0.25">
      <c r="G318" s="3">
        <f t="shared" si="44"/>
        <v>221</v>
      </c>
      <c r="H318" s="104">
        <f t="shared" si="46"/>
        <v>44416</v>
      </c>
      <c r="I318" s="131">
        <f>HLOOKUP($H$4,'Met Data'!$A$2:$F$368,G318,FALSE)</f>
        <v>10.733333333333301</v>
      </c>
      <c r="J318" s="131">
        <f ca="1">HLOOKUP($H$4,'Met Data'!$H$2:$M$368,G318,FALSE)*L318</f>
        <v>2.4066666666666601</v>
      </c>
      <c r="K318" s="105">
        <f>HLOOKUP($H$4,'Met Data'!$O$2:$T$368,G318,FALSE)</f>
        <v>1.7881547154649999</v>
      </c>
      <c r="L318">
        <f t="shared" ca="1" si="40"/>
        <v>1</v>
      </c>
      <c r="N318" t="b">
        <f t="shared" ca="1" si="45"/>
        <v>0</v>
      </c>
      <c r="O318" t="b">
        <f t="shared" ca="1" si="41"/>
        <v>0</v>
      </c>
      <c r="P318" s="2">
        <f ca="1"/>
        <v>44563</v>
      </c>
      <c r="Q318">
        <f ca="1"/>
        <v>82.6314015329461</v>
      </c>
      <c r="R318">
        <f ca="1"/>
        <v>0</v>
      </c>
      <c r="S318">
        <f ca="1"/>
        <v>2.1126080348832761E-3</v>
      </c>
      <c r="T318">
        <f ca="1"/>
        <v>0.49567768699390474</v>
      </c>
      <c r="U318">
        <f ca="1"/>
        <v>0</v>
      </c>
      <c r="V318">
        <f ca="1"/>
        <v>0</v>
      </c>
      <c r="W318">
        <f ca="1"/>
        <v>0</v>
      </c>
      <c r="X318">
        <f ca="1"/>
        <v>0</v>
      </c>
      <c r="Y318">
        <f ca="1"/>
        <v>0.79263557806551432</v>
      </c>
      <c r="Z318">
        <f ca="1"/>
        <v>0</v>
      </c>
      <c r="AA318">
        <f ca="1"/>
        <v>0</v>
      </c>
      <c r="AB318">
        <f ca="1"/>
        <v>0</v>
      </c>
      <c r="AD318" s="2">
        <f t="shared" ca="1" si="42"/>
        <v>44563</v>
      </c>
      <c r="AE318" s="46">
        <f t="shared" ca="1" si="43"/>
        <v>0</v>
      </c>
      <c r="AG318" s="72">
        <f t="shared" ca="1" si="47"/>
        <v>82.631401532946086</v>
      </c>
      <c r="AH318" s="72">
        <f t="shared" ca="1" si="48"/>
        <v>82.6314015329461</v>
      </c>
      <c r="AI318" s="3">
        <f t="shared" ca="1" si="49"/>
        <v>0</v>
      </c>
    </row>
    <row r="319" spans="7:35" x14ac:dyDescent="0.25">
      <c r="G319" s="3">
        <f t="shared" si="44"/>
        <v>222</v>
      </c>
      <c r="H319" s="104">
        <f t="shared" si="46"/>
        <v>44417</v>
      </c>
      <c r="I319" s="131">
        <f>HLOOKUP($H$4,'Met Data'!$A$2:$F$368,G319,FALSE)</f>
        <v>10.86</v>
      </c>
      <c r="J319" s="131">
        <f ca="1">HLOOKUP($H$4,'Met Data'!$H$2:$M$368,G319,FALSE)*L319</f>
        <v>4.66</v>
      </c>
      <c r="K319" s="105">
        <f>HLOOKUP($H$4,'Met Data'!$O$2:$T$368,G319,FALSE)</f>
        <v>1.7221488940763401</v>
      </c>
      <c r="L319">
        <f t="shared" ca="1" si="40"/>
        <v>1</v>
      </c>
      <c r="N319" t="b">
        <f t="shared" ca="1" si="45"/>
        <v>0</v>
      </c>
      <c r="O319" t="b">
        <f t="shared" ca="1" si="41"/>
        <v>0</v>
      </c>
      <c r="P319" s="2">
        <f ca="1"/>
        <v>44564</v>
      </c>
      <c r="Q319">
        <f ca="1"/>
        <v>83.109714323420718</v>
      </c>
      <c r="R319">
        <f ca="1"/>
        <v>0</v>
      </c>
      <c r="S319">
        <f ca="1"/>
        <v>1.6905213418899868E-3</v>
      </c>
      <c r="T319">
        <f ca="1"/>
        <v>0.47662226913273553</v>
      </c>
      <c r="U319">
        <f ca="1"/>
        <v>0</v>
      </c>
      <c r="V319">
        <f ca="1"/>
        <v>0</v>
      </c>
      <c r="W319">
        <f ca="1"/>
        <v>0</v>
      </c>
      <c r="X319">
        <f ca="1"/>
        <v>0</v>
      </c>
      <c r="Y319">
        <f ca="1"/>
        <v>0.77341358053424902</v>
      </c>
      <c r="Z319">
        <f ca="1"/>
        <v>0</v>
      </c>
      <c r="AA319">
        <f ca="1"/>
        <v>0</v>
      </c>
      <c r="AB319">
        <f ca="1"/>
        <v>0</v>
      </c>
      <c r="AD319" s="2">
        <f t="shared" ca="1" si="42"/>
        <v>44564</v>
      </c>
      <c r="AE319" s="46">
        <f t="shared" ca="1" si="43"/>
        <v>0</v>
      </c>
      <c r="AG319" s="72">
        <f t="shared" ca="1" si="47"/>
        <v>83.109714323420718</v>
      </c>
      <c r="AH319" s="72">
        <f t="shared" ca="1" si="48"/>
        <v>83.109714323420718</v>
      </c>
      <c r="AI319" s="3">
        <f t="shared" ca="1" si="49"/>
        <v>0</v>
      </c>
    </row>
    <row r="320" spans="7:35" x14ac:dyDescent="0.25">
      <c r="G320" s="3">
        <f t="shared" si="44"/>
        <v>223</v>
      </c>
      <c r="H320" s="104">
        <f t="shared" si="46"/>
        <v>44418</v>
      </c>
      <c r="I320" s="131">
        <f>HLOOKUP($H$4,'Met Data'!$A$2:$F$368,G320,FALSE)</f>
        <v>10.6416666666666</v>
      </c>
      <c r="J320" s="131">
        <f ca="1">HLOOKUP($H$4,'Met Data'!$H$2:$M$368,G320,FALSE)*L320</f>
        <v>4.53666666666666</v>
      </c>
      <c r="K320" s="105">
        <f>HLOOKUP($H$4,'Met Data'!$O$2:$T$368,G320,FALSE)</f>
        <v>1.78798041526371</v>
      </c>
      <c r="L320">
        <f t="shared" ca="1" si="40"/>
        <v>1</v>
      </c>
      <c r="N320" t="b">
        <f t="shared" ca="1" si="45"/>
        <v>0</v>
      </c>
      <c r="O320" t="b">
        <f t="shared" ca="1" si="41"/>
        <v>0</v>
      </c>
      <c r="P320" s="2">
        <f ca="1"/>
        <v>44565</v>
      </c>
      <c r="Q320">
        <f ca="1"/>
        <v>83.584639408083433</v>
      </c>
      <c r="R320">
        <f ca="1"/>
        <v>0</v>
      </c>
      <c r="S320">
        <f ca="1"/>
        <v>1.3951306873036136E-3</v>
      </c>
      <c r="T320">
        <f ca="1"/>
        <v>0.47352995397540626</v>
      </c>
      <c r="U320">
        <f ca="1"/>
        <v>0</v>
      </c>
      <c r="V320">
        <f ca="1"/>
        <v>0</v>
      </c>
      <c r="W320">
        <f ca="1"/>
        <v>0</v>
      </c>
      <c r="X320">
        <f ca="1"/>
        <v>0</v>
      </c>
      <c r="Y320">
        <f ca="1"/>
        <v>0.75459974113138217</v>
      </c>
      <c r="Z320">
        <f ca="1"/>
        <v>0</v>
      </c>
      <c r="AA320">
        <f ca="1"/>
        <v>0</v>
      </c>
      <c r="AB320">
        <f ca="1"/>
        <v>0</v>
      </c>
      <c r="AD320" s="2">
        <f t="shared" ca="1" si="42"/>
        <v>44565</v>
      </c>
      <c r="AE320" s="46">
        <f t="shared" ca="1" si="43"/>
        <v>0</v>
      </c>
      <c r="AG320" s="72">
        <f t="shared" ca="1" si="47"/>
        <v>83.584639408083419</v>
      </c>
      <c r="AH320" s="72">
        <f t="shared" ca="1" si="48"/>
        <v>83.584639408083433</v>
      </c>
      <c r="AI320" s="3">
        <f t="shared" ca="1" si="49"/>
        <v>0</v>
      </c>
    </row>
    <row r="321" spans="7:35" x14ac:dyDescent="0.25">
      <c r="G321" s="3">
        <f t="shared" si="44"/>
        <v>224</v>
      </c>
      <c r="H321" s="104">
        <f t="shared" si="46"/>
        <v>44419</v>
      </c>
      <c r="I321" s="131">
        <f>HLOOKUP($H$4,'Met Data'!$A$2:$F$368,G321,FALSE)</f>
        <v>10.8983333333333</v>
      </c>
      <c r="J321" s="131">
        <f ca="1">HLOOKUP($H$4,'Met Data'!$H$2:$M$368,G321,FALSE)*L321</f>
        <v>5.7266666666666604</v>
      </c>
      <c r="K321" s="105">
        <f>HLOOKUP($H$4,'Met Data'!$O$2:$T$368,G321,FALSE)</f>
        <v>1.78444613895236</v>
      </c>
      <c r="L321">
        <f t="shared" ca="1" si="40"/>
        <v>1</v>
      </c>
      <c r="N321" t="b">
        <f t="shared" ca="1" si="45"/>
        <v>0</v>
      </c>
      <c r="O321" t="b">
        <f t="shared" ca="1" si="41"/>
        <v>0</v>
      </c>
      <c r="P321" s="2">
        <f ca="1"/>
        <v>44566</v>
      </c>
      <c r="Q321">
        <f ca="1"/>
        <v>84.035119201123052</v>
      </c>
      <c r="R321">
        <f ca="1"/>
        <v>0</v>
      </c>
      <c r="S321">
        <f ca="1"/>
        <v>1.1158705692741254E-3</v>
      </c>
      <c r="T321">
        <f ca="1"/>
        <v>0.44936392247032964</v>
      </c>
      <c r="U321">
        <f ca="1"/>
        <v>0</v>
      </c>
      <c r="V321">
        <f ca="1"/>
        <v>0</v>
      </c>
      <c r="W321">
        <f ca="1"/>
        <v>0</v>
      </c>
      <c r="X321">
        <f ca="1"/>
        <v>0</v>
      </c>
      <c r="Y321">
        <f ca="1"/>
        <v>0.73839277425383798</v>
      </c>
      <c r="Z321">
        <f ca="1"/>
        <v>0</v>
      </c>
      <c r="AA321">
        <f ca="1"/>
        <v>0</v>
      </c>
      <c r="AB321">
        <f ca="1"/>
        <v>0</v>
      </c>
      <c r="AD321" s="2">
        <f t="shared" ca="1" si="42"/>
        <v>44566</v>
      </c>
      <c r="AE321" s="46">
        <f t="shared" ca="1" si="43"/>
        <v>0</v>
      </c>
      <c r="AG321" s="72">
        <f t="shared" ca="1" si="47"/>
        <v>84.035119201123038</v>
      </c>
      <c r="AH321" s="72">
        <f t="shared" ca="1" si="48"/>
        <v>84.035119201123052</v>
      </c>
      <c r="AI321" s="3">
        <f t="shared" ca="1" si="49"/>
        <v>0</v>
      </c>
    </row>
    <row r="322" spans="7:35" x14ac:dyDescent="0.25">
      <c r="G322" s="3">
        <f t="shared" si="44"/>
        <v>225</v>
      </c>
      <c r="H322" s="104">
        <f t="shared" si="46"/>
        <v>44420</v>
      </c>
      <c r="I322" s="131">
        <f>HLOOKUP($H$4,'Met Data'!$A$2:$F$368,G322,FALSE)</f>
        <v>10.62</v>
      </c>
      <c r="J322" s="131">
        <f ca="1">HLOOKUP($H$4,'Met Data'!$H$2:$M$368,G322,FALSE)*L322</f>
        <v>3.95333333333333</v>
      </c>
      <c r="K322" s="105">
        <f>HLOOKUP($H$4,'Met Data'!$O$2:$T$368,G322,FALSE)</f>
        <v>1.79702295751458</v>
      </c>
      <c r="L322">
        <f t="shared" ca="1" si="40"/>
        <v>1</v>
      </c>
      <c r="N322" t="b">
        <f t="shared" ca="1" si="45"/>
        <v>0</v>
      </c>
      <c r="O322" t="b">
        <f t="shared" ca="1" si="41"/>
        <v>0</v>
      </c>
      <c r="P322" s="2">
        <f ca="1"/>
        <v>44567</v>
      </c>
      <c r="Q322">
        <f ca="1"/>
        <v>84.480645341630577</v>
      </c>
      <c r="R322">
        <f ca="1"/>
        <v>0</v>
      </c>
      <c r="S322">
        <f ca="1"/>
        <v>9.2921070447262171E-4</v>
      </c>
      <c r="T322">
        <f ca="1"/>
        <v>0.44459692980306637</v>
      </c>
      <c r="U322">
        <f ca="1"/>
        <v>0</v>
      </c>
      <c r="V322">
        <f ca="1"/>
        <v>0</v>
      </c>
      <c r="W322">
        <f ca="1"/>
        <v>0</v>
      </c>
      <c r="X322">
        <f ca="1"/>
        <v>0</v>
      </c>
      <c r="Y322">
        <f ca="1"/>
        <v>0.72545994215367571</v>
      </c>
      <c r="Z322">
        <f ca="1"/>
        <v>0</v>
      </c>
      <c r="AA322">
        <f ca="1"/>
        <v>0</v>
      </c>
      <c r="AB322">
        <f ca="1"/>
        <v>0</v>
      </c>
      <c r="AD322" s="2">
        <f t="shared" ca="1" si="42"/>
        <v>44567</v>
      </c>
      <c r="AE322" s="46">
        <f t="shared" ca="1" si="43"/>
        <v>0</v>
      </c>
      <c r="AG322" s="72">
        <f t="shared" ca="1" si="47"/>
        <v>84.480645341630591</v>
      </c>
      <c r="AH322" s="72">
        <f t="shared" ca="1" si="48"/>
        <v>84.480645341630577</v>
      </c>
      <c r="AI322" s="3">
        <f t="shared" ca="1" si="49"/>
        <v>0</v>
      </c>
    </row>
    <row r="323" spans="7:35" x14ac:dyDescent="0.25">
      <c r="G323" s="3">
        <f t="shared" si="44"/>
        <v>226</v>
      </c>
      <c r="H323" s="104">
        <f t="shared" si="46"/>
        <v>44421</v>
      </c>
      <c r="I323" s="131">
        <f>HLOOKUP($H$4,'Met Data'!$A$2:$F$368,G323,FALSE)</f>
        <v>10.851666666666601</v>
      </c>
      <c r="J323" s="131">
        <f ca="1">HLOOKUP($H$4,'Met Data'!$H$2:$M$368,G323,FALSE)*L323</f>
        <v>4.43</v>
      </c>
      <c r="K323" s="105">
        <f>HLOOKUP($H$4,'Met Data'!$O$2:$T$368,G323,FALSE)</f>
        <v>1.75622712343688</v>
      </c>
      <c r="L323">
        <f t="shared" ca="1" si="40"/>
        <v>1</v>
      </c>
      <c r="N323" t="b">
        <f t="shared" ca="1" si="45"/>
        <v>0</v>
      </c>
      <c r="O323" t="b">
        <f t="shared" ca="1" si="41"/>
        <v>0</v>
      </c>
      <c r="P323" s="2">
        <f ca="1"/>
        <v>44568</v>
      </c>
      <c r="Q323">
        <f ca="1"/>
        <v>84.933509585656111</v>
      </c>
      <c r="R323">
        <f ca="1"/>
        <v>0</v>
      </c>
      <c r="S323">
        <f ca="1"/>
        <v>7.9138008379670043E-4</v>
      </c>
      <c r="T323">
        <f ca="1"/>
        <v>0.45207286394172724</v>
      </c>
      <c r="U323">
        <f ca="1"/>
        <v>0</v>
      </c>
      <c r="V323">
        <f ca="1"/>
        <v>0</v>
      </c>
      <c r="W323">
        <f ca="1"/>
        <v>0</v>
      </c>
      <c r="X323">
        <f ca="1"/>
        <v>0</v>
      </c>
      <c r="Y323">
        <f ca="1"/>
        <v>0.71312012094101962</v>
      </c>
      <c r="Z323">
        <f ca="1"/>
        <v>0</v>
      </c>
      <c r="AA323">
        <f ca="1"/>
        <v>0</v>
      </c>
      <c r="AB323">
        <f ca="1"/>
        <v>0</v>
      </c>
      <c r="AD323" s="2">
        <f t="shared" ca="1" si="42"/>
        <v>44568</v>
      </c>
      <c r="AE323" s="46">
        <f t="shared" ca="1" si="43"/>
        <v>0</v>
      </c>
      <c r="AG323" s="72">
        <f t="shared" ca="1" si="47"/>
        <v>84.933509585656097</v>
      </c>
      <c r="AH323" s="72">
        <f t="shared" ca="1" si="48"/>
        <v>84.933509585656111</v>
      </c>
      <c r="AI323" s="3">
        <f t="shared" ca="1" si="49"/>
        <v>0</v>
      </c>
    </row>
    <row r="324" spans="7:35" x14ac:dyDescent="0.25">
      <c r="G324" s="3">
        <f t="shared" si="44"/>
        <v>227</v>
      </c>
      <c r="H324" s="104">
        <f t="shared" si="46"/>
        <v>44422</v>
      </c>
      <c r="I324" s="131">
        <f>HLOOKUP($H$4,'Met Data'!$A$2:$F$368,G324,FALSE)</f>
        <v>10.715517241379301</v>
      </c>
      <c r="J324" s="131">
        <f ca="1">HLOOKUP($H$4,'Met Data'!$H$2:$M$368,G324,FALSE)*L324</f>
        <v>5.1034482758620596</v>
      </c>
      <c r="K324" s="105">
        <f>HLOOKUP($H$4,'Met Data'!$O$2:$T$368,G324,FALSE)</f>
        <v>1.8143744354657301</v>
      </c>
      <c r="L324">
        <f t="shared" ca="1" si="40"/>
        <v>1</v>
      </c>
      <c r="N324" t="b">
        <f t="shared" ca="1" si="45"/>
        <v>0</v>
      </c>
      <c r="O324" t="b">
        <f t="shared" ca="1" si="41"/>
        <v>0</v>
      </c>
      <c r="P324" s="2">
        <f ca="1"/>
        <v>44569</v>
      </c>
      <c r="Q324">
        <f ca="1"/>
        <v>85.392547134912121</v>
      </c>
      <c r="R324">
        <f ca="1"/>
        <v>0</v>
      </c>
      <c r="S324">
        <f ca="1"/>
        <v>6.7461451308986381E-4</v>
      </c>
      <c r="T324">
        <f ca="1"/>
        <v>0.45836293474292145</v>
      </c>
      <c r="U324">
        <f ca="1"/>
        <v>0</v>
      </c>
      <c r="V324">
        <f ca="1"/>
        <v>0</v>
      </c>
      <c r="W324">
        <f ca="1"/>
        <v>0</v>
      </c>
      <c r="X324">
        <f ca="1"/>
        <v>0</v>
      </c>
      <c r="Y324">
        <f ca="1"/>
        <v>0.7116065452636321</v>
      </c>
      <c r="Z324">
        <f ca="1"/>
        <v>0</v>
      </c>
      <c r="AA324">
        <f ca="1"/>
        <v>0</v>
      </c>
      <c r="AB324">
        <f ca="1"/>
        <v>0</v>
      </c>
      <c r="AD324" s="2">
        <f t="shared" ca="1" si="42"/>
        <v>44569</v>
      </c>
      <c r="AE324" s="46">
        <f t="shared" ca="1" si="43"/>
        <v>0</v>
      </c>
      <c r="AG324" s="72">
        <f t="shared" ca="1" si="47"/>
        <v>85.392547134912121</v>
      </c>
      <c r="AH324" s="72">
        <f t="shared" ca="1" si="48"/>
        <v>85.392547134912121</v>
      </c>
      <c r="AI324" s="3">
        <f t="shared" ca="1" si="49"/>
        <v>0</v>
      </c>
    </row>
    <row r="325" spans="7:35" x14ac:dyDescent="0.25">
      <c r="G325" s="3">
        <f t="shared" si="44"/>
        <v>228</v>
      </c>
      <c r="H325" s="104">
        <f t="shared" si="46"/>
        <v>44423</v>
      </c>
      <c r="I325" s="131">
        <f>HLOOKUP($H$4,'Met Data'!$A$2:$F$368,G325,FALSE)</f>
        <v>10.171666666666599</v>
      </c>
      <c r="J325" s="131">
        <f ca="1">HLOOKUP($H$4,'Met Data'!$H$2:$M$368,G325,FALSE)*L325</f>
        <v>5.0933333333333302</v>
      </c>
      <c r="K325" s="105">
        <f>HLOOKUP($H$4,'Met Data'!$O$2:$T$368,G325,FALSE)</f>
        <v>1.7504322855227901</v>
      </c>
      <c r="L325">
        <f t="shared" ca="1" si="40"/>
        <v>1</v>
      </c>
      <c r="N325" t="b">
        <f t="shared" ca="1" si="45"/>
        <v>0</v>
      </c>
      <c r="O325" t="b">
        <f t="shared" ca="1" si="41"/>
        <v>0</v>
      </c>
      <c r="P325" s="2">
        <f ca="1"/>
        <v>44570</v>
      </c>
      <c r="Q325">
        <f ca="1"/>
        <v>85.859180297644542</v>
      </c>
      <c r="R325">
        <f ca="1"/>
        <v>0</v>
      </c>
      <c r="S325">
        <f ca="1"/>
        <v>5.7570650822655139E-4</v>
      </c>
      <c r="T325">
        <f ca="1"/>
        <v>0.46605745622419981</v>
      </c>
      <c r="U325">
        <f ca="1"/>
        <v>0</v>
      </c>
      <c r="V325">
        <f ca="1"/>
        <v>0</v>
      </c>
      <c r="W325">
        <f ca="1"/>
        <v>0</v>
      </c>
      <c r="X325">
        <f ca="1"/>
        <v>0</v>
      </c>
      <c r="Y325">
        <f ca="1"/>
        <v>0.71201853411366967</v>
      </c>
      <c r="Z325">
        <f ca="1"/>
        <v>0</v>
      </c>
      <c r="AA325">
        <f ca="1"/>
        <v>0</v>
      </c>
      <c r="AB325">
        <f ca="1"/>
        <v>0</v>
      </c>
      <c r="AD325" s="2">
        <f t="shared" ca="1" si="42"/>
        <v>44570</v>
      </c>
      <c r="AE325" s="46">
        <f t="shared" ca="1" si="43"/>
        <v>0</v>
      </c>
      <c r="AG325" s="72">
        <f t="shared" ca="1" si="47"/>
        <v>85.859180297644556</v>
      </c>
      <c r="AH325" s="72">
        <f t="shared" ca="1" si="48"/>
        <v>85.859180297644542</v>
      </c>
      <c r="AI325" s="3">
        <f t="shared" ca="1" si="49"/>
        <v>0</v>
      </c>
    </row>
    <row r="326" spans="7:35" x14ac:dyDescent="0.25">
      <c r="G326" s="3">
        <f t="shared" si="44"/>
        <v>229</v>
      </c>
      <c r="H326" s="104">
        <f t="shared" si="46"/>
        <v>44424</v>
      </c>
      <c r="I326" s="131">
        <f>HLOOKUP($H$4,'Met Data'!$A$2:$F$368,G326,FALSE)</f>
        <v>10.203333333333299</v>
      </c>
      <c r="J326" s="131">
        <f ca="1">HLOOKUP($H$4,'Met Data'!$H$2:$M$368,G326,FALSE)*L326</f>
        <v>4.3433333333333302</v>
      </c>
      <c r="K326" s="105">
        <f>HLOOKUP($H$4,'Met Data'!$O$2:$T$368,G326,FALSE)</f>
        <v>1.72694084936311</v>
      </c>
      <c r="L326">
        <f t="shared" ref="L326:L389" ca="1" si="50">IF(H326&lt;$B$31,$J$3,$J$4)</f>
        <v>1</v>
      </c>
      <c r="N326" t="b">
        <f t="shared" ca="1" si="45"/>
        <v>0</v>
      </c>
      <c r="O326" t="b">
        <f t="shared" ref="O326:O389" ca="1" si="51">AND(IF(P326&gt;($P$2-1),TRUE,FALSE),IF(P326&lt;($P$3+1),TRUE,FALSE))</f>
        <v>0</v>
      </c>
      <c r="P326" s="2">
        <f ca="1"/>
        <v>44571</v>
      </c>
      <c r="Q326">
        <f ca="1"/>
        <v>86.310510261981193</v>
      </c>
      <c r="R326">
        <f ca="1"/>
        <v>0</v>
      </c>
      <c r="S326">
        <f ca="1"/>
        <v>4.6913640608135234E-4</v>
      </c>
      <c r="T326">
        <f ca="1"/>
        <v>0.45086082793056231</v>
      </c>
      <c r="U326">
        <f ca="1"/>
        <v>0</v>
      </c>
      <c r="V326">
        <f ca="1"/>
        <v>0</v>
      </c>
      <c r="W326">
        <f ca="1"/>
        <v>0</v>
      </c>
      <c r="X326">
        <f ca="1"/>
        <v>0</v>
      </c>
      <c r="Y326">
        <f ca="1"/>
        <v>0.69578623146767105</v>
      </c>
      <c r="Z326">
        <f ca="1"/>
        <v>0</v>
      </c>
      <c r="AA326">
        <f ca="1"/>
        <v>0</v>
      </c>
      <c r="AB326">
        <f ca="1"/>
        <v>0</v>
      </c>
      <c r="AD326" s="2">
        <f t="shared" ref="AD326:AD389" ca="1" si="52">IFERROR(P326,$AD$4)</f>
        <v>44571</v>
      </c>
      <c r="AE326" s="46">
        <f t="shared" ref="AE326:AE389" ca="1" si="53">IFERROR(U326,0)</f>
        <v>0</v>
      </c>
      <c r="AG326" s="72">
        <f t="shared" ca="1" si="47"/>
        <v>86.310510261981193</v>
      </c>
      <c r="AH326" s="72">
        <f t="shared" ca="1" si="48"/>
        <v>86.310510261981193</v>
      </c>
      <c r="AI326" s="3">
        <f t="shared" ca="1" si="49"/>
        <v>0</v>
      </c>
    </row>
    <row r="327" spans="7:35" x14ac:dyDescent="0.25">
      <c r="G327" s="3">
        <f t="shared" ref="G327:G390" si="54">H327-DATE(YEAR(H327),1,0)+1</f>
        <v>230</v>
      </c>
      <c r="H327" s="104">
        <f t="shared" si="46"/>
        <v>44425</v>
      </c>
      <c r="I327" s="131">
        <f>HLOOKUP($H$4,'Met Data'!$A$2:$F$368,G327,FALSE)</f>
        <v>10.0833333333333</v>
      </c>
      <c r="J327" s="131">
        <f ca="1">HLOOKUP($H$4,'Met Data'!$H$2:$M$368,G327,FALSE)*L327</f>
        <v>5.3333333333333304</v>
      </c>
      <c r="K327" s="105">
        <f>HLOOKUP($H$4,'Met Data'!$O$2:$T$368,G327,FALSE)</f>
        <v>1.9911176675537099</v>
      </c>
      <c r="L327">
        <f t="shared" ca="1" si="50"/>
        <v>1</v>
      </c>
      <c r="N327" t="b">
        <f t="shared" ref="N327:N390" ca="1" si="55">IF(P327&lt;$P$3,TRUE,FALSE)</f>
        <v>0</v>
      </c>
      <c r="O327" t="b">
        <f t="shared" ca="1" si="51"/>
        <v>0</v>
      </c>
      <c r="P327" s="2">
        <f ca="1"/>
        <v>44572</v>
      </c>
      <c r="Q327">
        <f ca="1"/>
        <v>86.744086424893197</v>
      </c>
      <c r="R327">
        <f ca="1"/>
        <v>0</v>
      </c>
      <c r="S327">
        <f ca="1"/>
        <v>3.8262443573137598E-4</v>
      </c>
      <c r="T327">
        <f ca="1"/>
        <v>0.43319353847627273</v>
      </c>
      <c r="U327">
        <f ca="1"/>
        <v>0</v>
      </c>
      <c r="V327">
        <f ca="1"/>
        <v>0</v>
      </c>
      <c r="W327">
        <f ca="1"/>
        <v>0</v>
      </c>
      <c r="X327">
        <f ca="1"/>
        <v>0</v>
      </c>
      <c r="Y327">
        <f ca="1"/>
        <v>0.68069628958916095</v>
      </c>
      <c r="Z327">
        <f ca="1"/>
        <v>0</v>
      </c>
      <c r="AA327">
        <f ca="1"/>
        <v>0</v>
      </c>
      <c r="AB327">
        <f ca="1"/>
        <v>0</v>
      </c>
      <c r="AD327" s="2">
        <f t="shared" ca="1" si="52"/>
        <v>44572</v>
      </c>
      <c r="AE327" s="46">
        <f t="shared" ca="1" si="53"/>
        <v>0</v>
      </c>
      <c r="AG327" s="72">
        <f t="shared" ca="1" si="47"/>
        <v>86.744086424893197</v>
      </c>
      <c r="AH327" s="72">
        <f t="shared" ca="1" si="48"/>
        <v>86.744086424893197</v>
      </c>
      <c r="AI327" s="3">
        <f t="shared" ca="1" si="49"/>
        <v>0</v>
      </c>
    </row>
    <row r="328" spans="7:35" x14ac:dyDescent="0.25">
      <c r="G328" s="3">
        <f t="shared" si="54"/>
        <v>231</v>
      </c>
      <c r="H328" s="104">
        <f t="shared" ref="H328:H391" si="56">H327+1</f>
        <v>44426</v>
      </c>
      <c r="I328" s="131">
        <f>HLOOKUP($H$4,'Met Data'!$A$2:$F$368,G328,FALSE)</f>
        <v>10.0833333333333</v>
      </c>
      <c r="J328" s="131">
        <f ca="1">HLOOKUP($H$4,'Met Data'!$H$2:$M$368,G328,FALSE)*L328</f>
        <v>3.9433333333333298</v>
      </c>
      <c r="K328" s="105">
        <f>HLOOKUP($H$4,'Met Data'!$O$2:$T$368,G328,FALSE)</f>
        <v>1.888960132222</v>
      </c>
      <c r="L328">
        <f t="shared" ca="1" si="50"/>
        <v>1</v>
      </c>
      <c r="N328" t="b">
        <f t="shared" ca="1" si="55"/>
        <v>0</v>
      </c>
      <c r="O328" t="b">
        <f t="shared" ca="1" si="51"/>
        <v>0</v>
      </c>
      <c r="P328" s="2">
        <f ca="1"/>
        <v>44573</v>
      </c>
      <c r="Q328">
        <f ca="1"/>
        <v>87.172941678757638</v>
      </c>
      <c r="R328">
        <f ca="1"/>
        <v>0</v>
      </c>
      <c r="S328">
        <f ca="1"/>
        <v>3.2069237828430039E-4</v>
      </c>
      <c r="T328">
        <f ca="1"/>
        <v>0.42853456148616675</v>
      </c>
      <c r="U328">
        <f ca="1"/>
        <v>0</v>
      </c>
      <c r="V328">
        <f ca="1"/>
        <v>0</v>
      </c>
      <c r="W328">
        <f ca="1"/>
        <v>0</v>
      </c>
      <c r="X328">
        <f ca="1"/>
        <v>0</v>
      </c>
      <c r="Y328">
        <f ca="1"/>
        <v>0.66534376249947946</v>
      </c>
      <c r="Z328">
        <f ca="1"/>
        <v>0</v>
      </c>
      <c r="AA328">
        <f ca="1"/>
        <v>0</v>
      </c>
      <c r="AB328">
        <f ca="1"/>
        <v>0</v>
      </c>
      <c r="AD328" s="2">
        <f t="shared" ca="1" si="52"/>
        <v>44573</v>
      </c>
      <c r="AE328" s="46">
        <f t="shared" ca="1" si="53"/>
        <v>0</v>
      </c>
      <c r="AG328" s="72">
        <f t="shared" ca="1" si="47"/>
        <v>87.172941678757638</v>
      </c>
      <c r="AH328" s="72">
        <f t="shared" ca="1" si="48"/>
        <v>87.172941678757638</v>
      </c>
      <c r="AI328" s="3">
        <f t="shared" ca="1" si="49"/>
        <v>0</v>
      </c>
    </row>
    <row r="329" spans="7:35" x14ac:dyDescent="0.25">
      <c r="G329" s="3">
        <f t="shared" si="54"/>
        <v>232</v>
      </c>
      <c r="H329" s="104">
        <f t="shared" si="56"/>
        <v>44427</v>
      </c>
      <c r="I329" s="131">
        <f>HLOOKUP($H$4,'Met Data'!$A$2:$F$368,G329,FALSE)</f>
        <v>10.1383333333333</v>
      </c>
      <c r="J329" s="131">
        <f ca="1">HLOOKUP($H$4,'Met Data'!$H$2:$M$368,G329,FALSE)*L329</f>
        <v>3.5733333333333301</v>
      </c>
      <c r="K329" s="105">
        <f>HLOOKUP($H$4,'Met Data'!$O$2:$T$368,G329,FALSE)</f>
        <v>1.8335933724759199</v>
      </c>
      <c r="L329">
        <f t="shared" ca="1" si="50"/>
        <v>1</v>
      </c>
      <c r="N329" t="b">
        <f t="shared" ca="1" si="55"/>
        <v>0</v>
      </c>
      <c r="O329" t="b">
        <f t="shared" ca="1" si="51"/>
        <v>0</v>
      </c>
      <c r="P329" s="2">
        <f ca="1"/>
        <v>44574</v>
      </c>
      <c r="Q329">
        <f ca="1"/>
        <v>87.610801455922157</v>
      </c>
      <c r="R329">
        <f ca="1"/>
        <v>0</v>
      </c>
      <c r="S329">
        <f ca="1"/>
        <v>2.7900630369430136E-4</v>
      </c>
      <c r="T329">
        <f ca="1"/>
        <v>0.43758077086082053</v>
      </c>
      <c r="U329">
        <f ca="1"/>
        <v>0</v>
      </c>
      <c r="V329">
        <f ca="1"/>
        <v>0</v>
      </c>
      <c r="W329">
        <f ca="1"/>
        <v>0</v>
      </c>
      <c r="X329">
        <f ca="1"/>
        <v>0</v>
      </c>
      <c r="Y329">
        <f ca="1"/>
        <v>0.67218969834622155</v>
      </c>
      <c r="Z329">
        <f ca="1"/>
        <v>0</v>
      </c>
      <c r="AA329">
        <f ca="1"/>
        <v>0</v>
      </c>
      <c r="AB329">
        <f ca="1"/>
        <v>0</v>
      </c>
      <c r="AD329" s="2">
        <f t="shared" ca="1" si="52"/>
        <v>44574</v>
      </c>
      <c r="AE329" s="46">
        <f t="shared" ca="1" si="53"/>
        <v>0</v>
      </c>
      <c r="AG329" s="72">
        <f t="shared" ca="1" si="47"/>
        <v>87.610801455922157</v>
      </c>
      <c r="AH329" s="72">
        <f t="shared" ca="1" si="48"/>
        <v>87.610801455922157</v>
      </c>
      <c r="AI329" s="3">
        <f t="shared" ca="1" si="49"/>
        <v>0</v>
      </c>
    </row>
    <row r="330" spans="7:35" x14ac:dyDescent="0.25">
      <c r="G330" s="3">
        <f t="shared" si="54"/>
        <v>233</v>
      </c>
      <c r="H330" s="104">
        <f t="shared" si="56"/>
        <v>44428</v>
      </c>
      <c r="I330" s="131">
        <f>HLOOKUP($H$4,'Met Data'!$A$2:$F$368,G330,FALSE)</f>
        <v>10.421666666666599</v>
      </c>
      <c r="J330" s="131">
        <f ca="1">HLOOKUP($H$4,'Met Data'!$H$2:$M$368,G330,FALSE)*L330</f>
        <v>4.8033333333333301</v>
      </c>
      <c r="K330" s="105">
        <f>HLOOKUP($H$4,'Met Data'!$O$2:$T$368,G330,FALSE)</f>
        <v>1.7788236818437999</v>
      </c>
      <c r="L330">
        <f t="shared" ca="1" si="50"/>
        <v>1</v>
      </c>
      <c r="N330" t="b">
        <f t="shared" ca="1" si="55"/>
        <v>0</v>
      </c>
      <c r="O330" t="b">
        <f t="shared" ca="1" si="51"/>
        <v>0</v>
      </c>
      <c r="P330" s="2">
        <f ca="1"/>
        <v>44575</v>
      </c>
      <c r="Q330">
        <f ca="1"/>
        <v>88.051691610866186</v>
      </c>
      <c r="R330">
        <f ca="1"/>
        <v>0</v>
      </c>
      <c r="S330">
        <f ca="1"/>
        <v>2.378291168059908E-4</v>
      </c>
      <c r="T330">
        <f ca="1"/>
        <v>0.44065232582723229</v>
      </c>
      <c r="U330">
        <f ca="1"/>
        <v>0</v>
      </c>
      <c r="V330">
        <f ca="1"/>
        <v>0</v>
      </c>
      <c r="W330">
        <f ca="1"/>
        <v>0</v>
      </c>
      <c r="X330">
        <f ca="1"/>
        <v>0</v>
      </c>
      <c r="Y330">
        <f ca="1"/>
        <v>0.66568854592312798</v>
      </c>
      <c r="Z330">
        <f ca="1"/>
        <v>0</v>
      </c>
      <c r="AA330">
        <f ca="1"/>
        <v>0</v>
      </c>
      <c r="AB330">
        <f ca="1"/>
        <v>0</v>
      </c>
      <c r="AD330" s="2">
        <f t="shared" ca="1" si="52"/>
        <v>44575</v>
      </c>
      <c r="AE330" s="46">
        <f t="shared" ca="1" si="53"/>
        <v>0</v>
      </c>
      <c r="AG330" s="72">
        <f t="shared" ca="1" si="47"/>
        <v>88.0516916108662</v>
      </c>
      <c r="AH330" s="72">
        <f t="shared" ca="1" si="48"/>
        <v>88.051691610866186</v>
      </c>
      <c r="AI330" s="3">
        <f t="shared" ca="1" si="49"/>
        <v>0</v>
      </c>
    </row>
    <row r="331" spans="7:35" x14ac:dyDescent="0.25">
      <c r="G331" s="3">
        <f t="shared" si="54"/>
        <v>234</v>
      </c>
      <c r="H331" s="104">
        <f t="shared" si="56"/>
        <v>44429</v>
      </c>
      <c r="I331" s="131">
        <f>HLOOKUP($H$4,'Met Data'!$A$2:$F$368,G331,FALSE)</f>
        <v>10.703333333333299</v>
      </c>
      <c r="J331" s="131">
        <f ca="1">HLOOKUP($H$4,'Met Data'!$H$2:$M$368,G331,FALSE)*L331</f>
        <v>3.9833333333333298</v>
      </c>
      <c r="K331" s="105">
        <f>HLOOKUP($H$4,'Met Data'!$O$2:$T$368,G331,FALSE)</f>
        <v>1.7879198703522201</v>
      </c>
      <c r="L331">
        <f t="shared" ca="1" si="50"/>
        <v>1</v>
      </c>
      <c r="N331" t="b">
        <f t="shared" ca="1" si="55"/>
        <v>0</v>
      </c>
      <c r="O331" t="b">
        <f t="shared" ca="1" si="51"/>
        <v>0</v>
      </c>
      <c r="P331" s="2">
        <f ca="1"/>
        <v>44576</v>
      </c>
      <c r="Q331">
        <f ca="1"/>
        <v>88.483302383145997</v>
      </c>
      <c r="R331">
        <f ca="1"/>
        <v>0</v>
      </c>
      <c r="S331">
        <f ca="1"/>
        <v>1.97642409548714E-4</v>
      </c>
      <c r="T331">
        <f ca="1"/>
        <v>0.43141312987025576</v>
      </c>
      <c r="U331">
        <f ca="1"/>
        <v>0</v>
      </c>
      <c r="V331">
        <f ca="1"/>
        <v>0</v>
      </c>
      <c r="W331">
        <f ca="1"/>
        <v>0</v>
      </c>
      <c r="X331">
        <f ca="1"/>
        <v>0</v>
      </c>
      <c r="Y331">
        <f ca="1"/>
        <v>0.65107702859819938</v>
      </c>
      <c r="Z331">
        <f ca="1"/>
        <v>0</v>
      </c>
      <c r="AA331">
        <f ca="1"/>
        <v>0</v>
      </c>
      <c r="AB331">
        <f ca="1"/>
        <v>0</v>
      </c>
      <c r="AD331" s="2">
        <f t="shared" ca="1" si="52"/>
        <v>44576</v>
      </c>
      <c r="AE331" s="46">
        <f t="shared" ca="1" si="53"/>
        <v>0</v>
      </c>
      <c r="AG331" s="72">
        <f t="shared" ref="AG331:AG394" ca="1" si="57">Q330+S331+T331+U331</f>
        <v>88.483302383145983</v>
      </c>
      <c r="AH331" s="72">
        <f t="shared" ref="AH331:AH394" ca="1" si="58">Q331+R331+X331</f>
        <v>88.483302383145997</v>
      </c>
      <c r="AI331" s="3">
        <f t="shared" ref="AI331:AI394" ca="1" si="59">AH331-AG331</f>
        <v>0</v>
      </c>
    </row>
    <row r="332" spans="7:35" x14ac:dyDescent="0.25">
      <c r="G332" s="3">
        <f t="shared" si="54"/>
        <v>235</v>
      </c>
      <c r="H332" s="104">
        <f t="shared" si="56"/>
        <v>44430</v>
      </c>
      <c r="I332" s="131">
        <f>HLOOKUP($H$4,'Met Data'!$A$2:$F$368,G332,FALSE)</f>
        <v>10.8266666666666</v>
      </c>
      <c r="J332" s="131">
        <f ca="1">HLOOKUP($H$4,'Met Data'!$H$2:$M$368,G332,FALSE)*L332</f>
        <v>3.93</v>
      </c>
      <c r="K332" s="105">
        <f>HLOOKUP($H$4,'Met Data'!$O$2:$T$368,G332,FALSE)</f>
        <v>1.8884109943012299</v>
      </c>
      <c r="L332">
        <f t="shared" ca="1" si="50"/>
        <v>1</v>
      </c>
      <c r="N332" t="b">
        <f t="shared" ca="1" si="55"/>
        <v>0</v>
      </c>
      <c r="O332" t="b">
        <f t="shared" ca="1" si="51"/>
        <v>0</v>
      </c>
      <c r="P332" s="2">
        <f ca="1"/>
        <v>44577</v>
      </c>
      <c r="Q332">
        <f ca="1"/>
        <v>88.914680353353432</v>
      </c>
      <c r="R332">
        <f ca="1"/>
        <v>0</v>
      </c>
      <c r="S332">
        <f ca="1"/>
        <v>1.6886596599627825E-4</v>
      </c>
      <c r="T332">
        <f ca="1"/>
        <v>0.43120910424144043</v>
      </c>
      <c r="U332">
        <f ca="1"/>
        <v>0</v>
      </c>
      <c r="V332">
        <f ca="1"/>
        <v>0</v>
      </c>
      <c r="W332">
        <f ca="1"/>
        <v>0</v>
      </c>
      <c r="X332">
        <f ca="1"/>
        <v>0</v>
      </c>
      <c r="Y332">
        <f ca="1"/>
        <v>0.65210585278138367</v>
      </c>
      <c r="Z332">
        <f ca="1"/>
        <v>0</v>
      </c>
      <c r="AA332">
        <f ca="1"/>
        <v>0</v>
      </c>
      <c r="AB332">
        <f ca="1"/>
        <v>0</v>
      </c>
      <c r="AD332" s="2">
        <f t="shared" ca="1" si="52"/>
        <v>44577</v>
      </c>
      <c r="AE332" s="46">
        <f t="shared" ca="1" si="53"/>
        <v>0</v>
      </c>
      <c r="AG332" s="72">
        <f t="shared" ca="1" si="57"/>
        <v>88.914680353353447</v>
      </c>
      <c r="AH332" s="72">
        <f t="shared" ca="1" si="58"/>
        <v>88.914680353353432</v>
      </c>
      <c r="AI332" s="3">
        <f t="shared" ca="1" si="59"/>
        <v>0</v>
      </c>
    </row>
    <row r="333" spans="7:35" x14ac:dyDescent="0.25">
      <c r="G333" s="3">
        <f t="shared" si="54"/>
        <v>236</v>
      </c>
      <c r="H333" s="104">
        <f t="shared" si="56"/>
        <v>44431</v>
      </c>
      <c r="I333" s="131">
        <f>HLOOKUP($H$4,'Met Data'!$A$2:$F$368,G333,FALSE)</f>
        <v>11.0766666666666</v>
      </c>
      <c r="J333" s="131">
        <f ca="1">HLOOKUP($H$4,'Met Data'!$H$2:$M$368,G333,FALSE)*L333</f>
        <v>3.45</v>
      </c>
      <c r="K333" s="105">
        <f>HLOOKUP($H$4,'Met Data'!$O$2:$T$368,G333,FALSE)</f>
        <v>2.20927169374758</v>
      </c>
      <c r="L333">
        <f t="shared" ca="1" si="50"/>
        <v>1</v>
      </c>
      <c r="N333" t="b">
        <f t="shared" ca="1" si="55"/>
        <v>0</v>
      </c>
      <c r="O333" t="b">
        <f t="shared" ca="1" si="51"/>
        <v>0</v>
      </c>
      <c r="P333" s="2">
        <f ca="1"/>
        <v>44578</v>
      </c>
      <c r="Q333">
        <f ca="1"/>
        <v>89.339782976737283</v>
      </c>
      <c r="R333">
        <f ca="1"/>
        <v>0</v>
      </c>
      <c r="S333">
        <f ca="1"/>
        <v>1.4278476304274378E-4</v>
      </c>
      <c r="T333">
        <f ca="1"/>
        <v>0.42495983862080866</v>
      </c>
      <c r="U333">
        <f ca="1"/>
        <v>0</v>
      </c>
      <c r="V333">
        <f ca="1"/>
        <v>0</v>
      </c>
      <c r="W333">
        <f ca="1"/>
        <v>0</v>
      </c>
      <c r="X333">
        <f ca="1"/>
        <v>0</v>
      </c>
      <c r="Y333">
        <f ca="1"/>
        <v>0.65300586691993356</v>
      </c>
      <c r="Z333">
        <f ca="1"/>
        <v>0</v>
      </c>
      <c r="AA333">
        <f ca="1"/>
        <v>0</v>
      </c>
      <c r="AB333">
        <f ca="1"/>
        <v>0</v>
      </c>
      <c r="AD333" s="2">
        <f t="shared" ca="1" si="52"/>
        <v>44578</v>
      </c>
      <c r="AE333" s="46">
        <f t="shared" ca="1" si="53"/>
        <v>0</v>
      </c>
      <c r="AG333" s="72">
        <f t="shared" ca="1" si="57"/>
        <v>89.339782976737283</v>
      </c>
      <c r="AH333" s="72">
        <f t="shared" ca="1" si="58"/>
        <v>89.339782976737283</v>
      </c>
      <c r="AI333" s="3">
        <f t="shared" ca="1" si="59"/>
        <v>0</v>
      </c>
    </row>
    <row r="334" spans="7:35" x14ac:dyDescent="0.25">
      <c r="G334" s="3">
        <f t="shared" si="54"/>
        <v>237</v>
      </c>
      <c r="H334" s="104">
        <f t="shared" si="56"/>
        <v>44432</v>
      </c>
      <c r="I334" s="131">
        <f>HLOOKUP($H$4,'Met Data'!$A$2:$F$368,G334,FALSE)</f>
        <v>11.088333333333299</v>
      </c>
      <c r="J334" s="131">
        <f ca="1">HLOOKUP($H$4,'Met Data'!$H$2:$M$368,G334,FALSE)*L334</f>
        <v>3.2366666666666601</v>
      </c>
      <c r="K334" s="105">
        <f>HLOOKUP($H$4,'Met Data'!$O$2:$T$368,G334,FALSE)</f>
        <v>1.9660073359530601</v>
      </c>
      <c r="L334">
        <f t="shared" ca="1" si="50"/>
        <v>1</v>
      </c>
      <c r="N334" t="b">
        <f t="shared" ca="1" si="55"/>
        <v>0</v>
      </c>
      <c r="O334" t="b">
        <f t="shared" ca="1" si="51"/>
        <v>0</v>
      </c>
      <c r="P334" s="2">
        <f ca="1"/>
        <v>44579</v>
      </c>
      <c r="Q334">
        <f ca="1"/>
        <v>89.7628604326691</v>
      </c>
      <c r="R334">
        <f ca="1"/>
        <v>0</v>
      </c>
      <c r="S334">
        <f ca="1"/>
        <v>1.2134138202039724E-4</v>
      </c>
      <c r="T334">
        <f ca="1"/>
        <v>0.42295611454979731</v>
      </c>
      <c r="U334">
        <f ca="1"/>
        <v>0</v>
      </c>
      <c r="V334">
        <f ca="1"/>
        <v>0</v>
      </c>
      <c r="W334">
        <f ca="1"/>
        <v>0</v>
      </c>
      <c r="X334">
        <f ca="1"/>
        <v>0</v>
      </c>
      <c r="Y334">
        <f ca="1"/>
        <v>0.64704739623441854</v>
      </c>
      <c r="Z334">
        <f ca="1"/>
        <v>0</v>
      </c>
      <c r="AA334">
        <f ca="1"/>
        <v>0</v>
      </c>
      <c r="AB334">
        <f ca="1"/>
        <v>0</v>
      </c>
      <c r="AD334" s="2">
        <f t="shared" ca="1" si="52"/>
        <v>44579</v>
      </c>
      <c r="AE334" s="46">
        <f t="shared" ca="1" si="53"/>
        <v>0</v>
      </c>
      <c r="AG334" s="72">
        <f t="shared" ca="1" si="57"/>
        <v>89.7628604326691</v>
      </c>
      <c r="AH334" s="72">
        <f t="shared" ca="1" si="58"/>
        <v>89.7628604326691</v>
      </c>
      <c r="AI334" s="3">
        <f t="shared" ca="1" si="59"/>
        <v>0</v>
      </c>
    </row>
    <row r="335" spans="7:35" x14ac:dyDescent="0.25">
      <c r="G335" s="3">
        <f t="shared" si="54"/>
        <v>238</v>
      </c>
      <c r="H335" s="104">
        <f t="shared" si="56"/>
        <v>44433</v>
      </c>
      <c r="I335" s="131">
        <f>HLOOKUP($H$4,'Met Data'!$A$2:$F$368,G335,FALSE)</f>
        <v>11.283333333333299</v>
      </c>
      <c r="J335" s="131">
        <f ca="1">HLOOKUP($H$4,'Met Data'!$H$2:$M$368,G335,FALSE)*L335</f>
        <v>7.0266666666666602</v>
      </c>
      <c r="K335" s="105">
        <f>HLOOKUP($H$4,'Met Data'!$O$2:$T$368,G335,FALSE)</f>
        <v>1.72961358813406</v>
      </c>
      <c r="L335">
        <f t="shared" ca="1" si="50"/>
        <v>1</v>
      </c>
      <c r="N335" t="b">
        <f t="shared" ca="1" si="55"/>
        <v>0</v>
      </c>
      <c r="O335" t="b">
        <f t="shared" ca="1" si="51"/>
        <v>0</v>
      </c>
      <c r="P335" s="2">
        <f ca="1"/>
        <v>44580</v>
      </c>
      <c r="Q335">
        <f ca="1"/>
        <v>90.19153097553108</v>
      </c>
      <c r="R335">
        <f ca="1"/>
        <v>0</v>
      </c>
      <c r="S335">
        <f ca="1"/>
        <v>1.0457196807769449E-4</v>
      </c>
      <c r="T335">
        <f ca="1"/>
        <v>0.42856597089389636</v>
      </c>
      <c r="U335">
        <f ca="1"/>
        <v>0</v>
      </c>
      <c r="V335">
        <f ca="1"/>
        <v>0</v>
      </c>
      <c r="W335">
        <f ca="1"/>
        <v>0</v>
      </c>
      <c r="X335">
        <f ca="1"/>
        <v>0</v>
      </c>
      <c r="Y335">
        <f ca="1"/>
        <v>0.64095650794662984</v>
      </c>
      <c r="Z335">
        <f ca="1"/>
        <v>0</v>
      </c>
      <c r="AA335">
        <f ca="1"/>
        <v>0</v>
      </c>
      <c r="AB335">
        <f ca="1"/>
        <v>0</v>
      </c>
      <c r="AD335" s="2">
        <f t="shared" ca="1" si="52"/>
        <v>44580</v>
      </c>
      <c r="AE335" s="46">
        <f t="shared" ca="1" si="53"/>
        <v>0</v>
      </c>
      <c r="AG335" s="72">
        <f t="shared" ca="1" si="57"/>
        <v>90.19153097553108</v>
      </c>
      <c r="AH335" s="72">
        <f t="shared" ca="1" si="58"/>
        <v>90.19153097553108</v>
      </c>
      <c r="AI335" s="3">
        <f t="shared" ca="1" si="59"/>
        <v>0</v>
      </c>
    </row>
    <row r="336" spans="7:35" x14ac:dyDescent="0.25">
      <c r="G336" s="3">
        <f t="shared" si="54"/>
        <v>239</v>
      </c>
      <c r="H336" s="104">
        <f t="shared" si="56"/>
        <v>44434</v>
      </c>
      <c r="I336" s="131">
        <f>HLOOKUP($H$4,'Met Data'!$A$2:$F$368,G336,FALSE)</f>
        <v>11.1383333333333</v>
      </c>
      <c r="J336" s="131">
        <f ca="1">HLOOKUP($H$4,'Met Data'!$H$2:$M$368,G336,FALSE)*L336</f>
        <v>4.5666666666666602</v>
      </c>
      <c r="K336" s="105">
        <f>HLOOKUP($H$4,'Met Data'!$O$2:$T$368,G336,FALSE)</f>
        <v>2.0311984249146202</v>
      </c>
      <c r="L336">
        <f t="shared" ca="1" si="50"/>
        <v>1</v>
      </c>
      <c r="N336" t="b">
        <f t="shared" ca="1" si="55"/>
        <v>0</v>
      </c>
      <c r="O336" t="b">
        <f t="shared" ca="1" si="51"/>
        <v>0</v>
      </c>
      <c r="P336" s="2">
        <f ca="1"/>
        <v>44581</v>
      </c>
      <c r="Q336">
        <f ca="1"/>
        <v>90.610313467844321</v>
      </c>
      <c r="R336">
        <f ca="1"/>
        <v>0</v>
      </c>
      <c r="S336">
        <f ca="1"/>
        <v>8.7235746954575409E-5</v>
      </c>
      <c r="T336">
        <f ca="1"/>
        <v>0.41869525656628942</v>
      </c>
      <c r="U336">
        <f ca="1"/>
        <v>0</v>
      </c>
      <c r="V336">
        <f ca="1"/>
        <v>0</v>
      </c>
      <c r="W336">
        <f ca="1"/>
        <v>0</v>
      </c>
      <c r="X336">
        <f ca="1"/>
        <v>0</v>
      </c>
      <c r="Y336">
        <f ca="1"/>
        <v>0.62689244754355977</v>
      </c>
      <c r="Z336">
        <f ca="1"/>
        <v>0</v>
      </c>
      <c r="AA336">
        <f ca="1"/>
        <v>0</v>
      </c>
      <c r="AB336">
        <f ca="1"/>
        <v>0</v>
      </c>
      <c r="AD336" s="2">
        <f t="shared" ca="1" si="52"/>
        <v>44581</v>
      </c>
      <c r="AE336" s="46">
        <f t="shared" ca="1" si="53"/>
        <v>0</v>
      </c>
      <c r="AG336" s="72">
        <f t="shared" ca="1" si="57"/>
        <v>90.610313467844335</v>
      </c>
      <c r="AH336" s="72">
        <f t="shared" ca="1" si="58"/>
        <v>90.610313467844321</v>
      </c>
      <c r="AI336" s="3">
        <f t="shared" ca="1" si="59"/>
        <v>0</v>
      </c>
    </row>
    <row r="337" spans="7:35" x14ac:dyDescent="0.25">
      <c r="G337" s="3">
        <f t="shared" si="54"/>
        <v>240</v>
      </c>
      <c r="H337" s="104">
        <f t="shared" si="56"/>
        <v>44435</v>
      </c>
      <c r="I337" s="131">
        <f>HLOOKUP($H$4,'Met Data'!$A$2:$F$368,G337,FALSE)</f>
        <v>11.1133333333333</v>
      </c>
      <c r="J337" s="131">
        <f ca="1">HLOOKUP($H$4,'Met Data'!$H$2:$M$368,G337,FALSE)*L337</f>
        <v>2.8866666666666601</v>
      </c>
      <c r="K337" s="105">
        <f>HLOOKUP($H$4,'Met Data'!$O$2:$T$368,G337,FALSE)</f>
        <v>2.0005217214048798</v>
      </c>
      <c r="L337">
        <f t="shared" ca="1" si="50"/>
        <v>1</v>
      </c>
      <c r="N337" t="b">
        <f t="shared" ca="1" si="55"/>
        <v>0</v>
      </c>
      <c r="O337" t="b">
        <f t="shared" ca="1" si="51"/>
        <v>0</v>
      </c>
      <c r="P337" s="2">
        <f ca="1"/>
        <v>44582</v>
      </c>
      <c r="Q337">
        <f ca="1"/>
        <v>91.064034701213075</v>
      </c>
      <c r="R337">
        <f ca="1"/>
        <v>0</v>
      </c>
      <c r="S337">
        <f ca="1"/>
        <v>8.1656649085746135E-5</v>
      </c>
      <c r="T337">
        <f ca="1"/>
        <v>0.45363957671965738</v>
      </c>
      <c r="U337">
        <f ca="1"/>
        <v>0</v>
      </c>
      <c r="V337">
        <f ca="1"/>
        <v>0</v>
      </c>
      <c r="W337">
        <f ca="1"/>
        <v>0</v>
      </c>
      <c r="X337">
        <f ca="1"/>
        <v>0</v>
      </c>
      <c r="Y337">
        <f ca="1"/>
        <v>0.67481938704856392</v>
      </c>
      <c r="Z337">
        <f ca="1"/>
        <v>0</v>
      </c>
      <c r="AA337">
        <f ca="1"/>
        <v>0</v>
      </c>
      <c r="AB337">
        <f ca="1"/>
        <v>0</v>
      </c>
      <c r="AD337" s="2">
        <f t="shared" ca="1" si="52"/>
        <v>44582</v>
      </c>
      <c r="AE337" s="46">
        <f t="shared" ca="1" si="53"/>
        <v>0</v>
      </c>
      <c r="AG337" s="72">
        <f t="shared" ca="1" si="57"/>
        <v>91.06403470121306</v>
      </c>
      <c r="AH337" s="72">
        <f t="shared" ca="1" si="58"/>
        <v>91.064034701213075</v>
      </c>
      <c r="AI337" s="3">
        <f t="shared" ca="1" si="59"/>
        <v>0</v>
      </c>
    </row>
    <row r="338" spans="7:35" x14ac:dyDescent="0.25">
      <c r="G338" s="3">
        <f t="shared" si="54"/>
        <v>241</v>
      </c>
      <c r="H338" s="104">
        <f t="shared" si="56"/>
        <v>44436</v>
      </c>
      <c r="I338" s="131">
        <f>HLOOKUP($H$4,'Met Data'!$A$2:$F$368,G338,FALSE)</f>
        <v>10.7724137931034</v>
      </c>
      <c r="J338" s="131">
        <f ca="1">HLOOKUP($H$4,'Met Data'!$H$2:$M$368,G338,FALSE)*L338</f>
        <v>2.4862068965517201</v>
      </c>
      <c r="K338" s="105">
        <f>HLOOKUP($H$4,'Met Data'!$O$2:$T$368,G338,FALSE)</f>
        <v>2.19808146037672</v>
      </c>
      <c r="L338">
        <f t="shared" ca="1" si="50"/>
        <v>1</v>
      </c>
      <c r="N338" t="b">
        <f t="shared" ca="1" si="55"/>
        <v>0</v>
      </c>
      <c r="O338" t="b">
        <f t="shared" ca="1" si="51"/>
        <v>0</v>
      </c>
      <c r="P338" s="2">
        <f ca="1"/>
        <v>44583</v>
      </c>
      <c r="Q338">
        <f ca="1"/>
        <v>91.526170497759466</v>
      </c>
      <c r="R338">
        <f ca="1"/>
        <v>0</v>
      </c>
      <c r="S338">
        <f ca="1"/>
        <v>7.0377408891770642E-5</v>
      </c>
      <c r="T338">
        <f ca="1"/>
        <v>0.46206541913751503</v>
      </c>
      <c r="U338">
        <f ca="1"/>
        <v>0</v>
      </c>
      <c r="V338">
        <f ca="1"/>
        <v>0</v>
      </c>
      <c r="W338">
        <f ca="1"/>
        <v>0</v>
      </c>
      <c r="X338">
        <f ca="1"/>
        <v>0</v>
      </c>
      <c r="Y338">
        <f ca="1"/>
        <v>0.68325273292714406</v>
      </c>
      <c r="Z338">
        <f ca="1"/>
        <v>0</v>
      </c>
      <c r="AA338">
        <f ca="1"/>
        <v>0</v>
      </c>
      <c r="AB338">
        <f ca="1"/>
        <v>0</v>
      </c>
      <c r="AD338" s="2">
        <f t="shared" ca="1" si="52"/>
        <v>44583</v>
      </c>
      <c r="AE338" s="46">
        <f t="shared" ca="1" si="53"/>
        <v>0</v>
      </c>
      <c r="AG338" s="72">
        <f t="shared" ca="1" si="57"/>
        <v>91.52617049775948</v>
      </c>
      <c r="AH338" s="72">
        <f t="shared" ca="1" si="58"/>
        <v>91.526170497759466</v>
      </c>
      <c r="AI338" s="3">
        <f t="shared" ca="1" si="59"/>
        <v>0</v>
      </c>
    </row>
    <row r="339" spans="7:35" x14ac:dyDescent="0.25">
      <c r="G339" s="3">
        <f t="shared" si="54"/>
        <v>242</v>
      </c>
      <c r="H339" s="104">
        <f t="shared" si="56"/>
        <v>44437</v>
      </c>
      <c r="I339" s="131">
        <f>HLOOKUP($H$4,'Met Data'!$A$2:$F$368,G339,FALSE)</f>
        <v>10.753448275862</v>
      </c>
      <c r="J339" s="131">
        <f ca="1">HLOOKUP($H$4,'Met Data'!$H$2:$M$368,G339,FALSE)*L339</f>
        <v>2.4068965517241301</v>
      </c>
      <c r="K339" s="105">
        <f>HLOOKUP($H$4,'Met Data'!$O$2:$T$368,G339,FALSE)</f>
        <v>2.1823268558862501</v>
      </c>
      <c r="L339">
        <f t="shared" ca="1" si="50"/>
        <v>1</v>
      </c>
      <c r="N339" t="b">
        <f t="shared" ca="1" si="55"/>
        <v>0</v>
      </c>
      <c r="O339" t="b">
        <f t="shared" ca="1" si="51"/>
        <v>0</v>
      </c>
      <c r="P339" s="2">
        <f ca="1"/>
        <v>44584</v>
      </c>
      <c r="Q339">
        <f ca="1"/>
        <v>91.985989960213232</v>
      </c>
      <c r="R339">
        <f ca="1"/>
        <v>0</v>
      </c>
      <c r="S339">
        <f ca="1"/>
        <v>5.9051531454537097E-5</v>
      </c>
      <c r="T339">
        <f ca="1"/>
        <v>0.45976041092230047</v>
      </c>
      <c r="U339">
        <f ca="1"/>
        <v>0</v>
      </c>
      <c r="V339">
        <f ca="1"/>
        <v>0</v>
      </c>
      <c r="W339">
        <f ca="1"/>
        <v>0</v>
      </c>
      <c r="X339">
        <f ca="1"/>
        <v>0</v>
      </c>
      <c r="Y339">
        <f ca="1"/>
        <v>0.67857863756045489</v>
      </c>
      <c r="Z339">
        <f ca="1"/>
        <v>0</v>
      </c>
      <c r="AA339">
        <f ca="1"/>
        <v>0</v>
      </c>
      <c r="AB339">
        <f ca="1"/>
        <v>0</v>
      </c>
      <c r="AD339" s="2">
        <f t="shared" ca="1" si="52"/>
        <v>44584</v>
      </c>
      <c r="AE339" s="46">
        <f t="shared" ca="1" si="53"/>
        <v>0</v>
      </c>
      <c r="AG339" s="72">
        <f t="shared" ca="1" si="57"/>
        <v>91.985989960213217</v>
      </c>
      <c r="AH339" s="72">
        <f t="shared" ca="1" si="58"/>
        <v>91.985989960213232</v>
      </c>
      <c r="AI339" s="3">
        <f t="shared" ca="1" si="59"/>
        <v>0</v>
      </c>
    </row>
    <row r="340" spans="7:35" x14ac:dyDescent="0.25">
      <c r="G340" s="3">
        <f t="shared" si="54"/>
        <v>243</v>
      </c>
      <c r="H340" s="104">
        <f t="shared" si="56"/>
        <v>44438</v>
      </c>
      <c r="I340" s="131">
        <f>HLOOKUP($H$4,'Met Data'!$A$2:$F$368,G340,FALSE)</f>
        <v>10.891379310344799</v>
      </c>
      <c r="J340" s="131">
        <f ca="1">HLOOKUP($H$4,'Met Data'!$H$2:$M$368,G340,FALSE)*L340</f>
        <v>2.9931034482758601</v>
      </c>
      <c r="K340" s="105">
        <f>HLOOKUP($H$4,'Met Data'!$O$2:$T$368,G340,FALSE)</f>
        <v>1.8307871864441201</v>
      </c>
      <c r="L340">
        <f t="shared" ca="1" si="50"/>
        <v>1</v>
      </c>
      <c r="N340" t="b">
        <f t="shared" ca="1" si="55"/>
        <v>0</v>
      </c>
      <c r="O340" t="b">
        <f t="shared" ca="1" si="51"/>
        <v>0</v>
      </c>
      <c r="P340" s="2">
        <f ca="1"/>
        <v>44585</v>
      </c>
      <c r="Q340">
        <f ca="1"/>
        <v>92.450070856251216</v>
      </c>
      <c r="R340">
        <f ca="1"/>
        <v>0</v>
      </c>
      <c r="S340">
        <f ca="1"/>
        <v>5.0356501728334203E-5</v>
      </c>
      <c r="T340">
        <f ca="1"/>
        <v>0.46403053953626944</v>
      </c>
      <c r="U340">
        <f ca="1"/>
        <v>0</v>
      </c>
      <c r="V340">
        <f ca="1"/>
        <v>0</v>
      </c>
      <c r="W340">
        <f ca="1"/>
        <v>0</v>
      </c>
      <c r="X340">
        <f ca="1"/>
        <v>0</v>
      </c>
      <c r="Y340">
        <f ca="1"/>
        <v>0.68333790298541619</v>
      </c>
      <c r="Z340">
        <f ca="1"/>
        <v>0</v>
      </c>
      <c r="AA340">
        <f ca="1"/>
        <v>0</v>
      </c>
      <c r="AB340">
        <f ca="1"/>
        <v>0</v>
      </c>
      <c r="AD340" s="2">
        <f t="shared" ca="1" si="52"/>
        <v>44585</v>
      </c>
      <c r="AE340" s="46">
        <f t="shared" ca="1" si="53"/>
        <v>0</v>
      </c>
      <c r="AG340" s="72">
        <f t="shared" ca="1" si="57"/>
        <v>92.45007085625123</v>
      </c>
      <c r="AH340" s="72">
        <f t="shared" ca="1" si="58"/>
        <v>92.450070856251216</v>
      </c>
      <c r="AI340" s="3">
        <f t="shared" ca="1" si="59"/>
        <v>0</v>
      </c>
    </row>
    <row r="341" spans="7:35" x14ac:dyDescent="0.25">
      <c r="G341" s="3">
        <f t="shared" si="54"/>
        <v>244</v>
      </c>
      <c r="H341" s="104">
        <f t="shared" si="56"/>
        <v>44439</v>
      </c>
      <c r="I341" s="131">
        <f>HLOOKUP($H$4,'Met Data'!$A$2:$F$368,G341,FALSE)</f>
        <v>10.953448275862</v>
      </c>
      <c r="J341" s="131">
        <f ca="1">HLOOKUP($H$4,'Met Data'!$H$2:$M$368,G341,FALSE)*L341</f>
        <v>4.8862068965517196</v>
      </c>
      <c r="K341" s="105">
        <f>HLOOKUP($H$4,'Met Data'!$O$2:$T$368,G341,FALSE)</f>
        <v>2.1498109306225701</v>
      </c>
      <c r="L341">
        <f t="shared" ca="1" si="50"/>
        <v>1</v>
      </c>
      <c r="N341" t="b">
        <f t="shared" ca="1" si="55"/>
        <v>0</v>
      </c>
      <c r="O341" t="b">
        <f t="shared" ca="1" si="51"/>
        <v>0</v>
      </c>
      <c r="P341" s="2">
        <f ca="1"/>
        <v>44586</v>
      </c>
      <c r="Q341">
        <f ca="1"/>
        <v>92.924848489183148</v>
      </c>
      <c r="R341">
        <f ca="1"/>
        <v>0</v>
      </c>
      <c r="S341">
        <f ca="1"/>
        <v>4.3283696679344868E-5</v>
      </c>
      <c r="T341">
        <f ca="1"/>
        <v>0.47473434923524227</v>
      </c>
      <c r="U341">
        <f ca="1"/>
        <v>0</v>
      </c>
      <c r="V341">
        <f ca="1"/>
        <v>0</v>
      </c>
      <c r="W341">
        <f ca="1"/>
        <v>0</v>
      </c>
      <c r="X341">
        <f ca="1"/>
        <v>0</v>
      </c>
      <c r="Y341">
        <f ca="1"/>
        <v>0.68793636922931267</v>
      </c>
      <c r="Z341">
        <f ca="1"/>
        <v>0</v>
      </c>
      <c r="AA341">
        <f ca="1"/>
        <v>0</v>
      </c>
      <c r="AB341">
        <f ca="1"/>
        <v>0</v>
      </c>
      <c r="AD341" s="2">
        <f t="shared" ca="1" si="52"/>
        <v>44586</v>
      </c>
      <c r="AE341" s="46">
        <f t="shared" ca="1" si="53"/>
        <v>0</v>
      </c>
      <c r="AG341" s="72">
        <f t="shared" ca="1" si="57"/>
        <v>92.924848489183148</v>
      </c>
      <c r="AH341" s="72">
        <f t="shared" ca="1" si="58"/>
        <v>92.924848489183148</v>
      </c>
      <c r="AI341" s="3">
        <f t="shared" ca="1" si="59"/>
        <v>0</v>
      </c>
    </row>
    <row r="342" spans="7:35" x14ac:dyDescent="0.25">
      <c r="G342" s="3">
        <f t="shared" si="54"/>
        <v>245</v>
      </c>
      <c r="H342" s="104">
        <f t="shared" si="56"/>
        <v>44440</v>
      </c>
      <c r="I342" s="131">
        <f>HLOOKUP($H$4,'Met Data'!$A$2:$F$368,G342,FALSE)</f>
        <v>10.803333333333301</v>
      </c>
      <c r="J342" s="131">
        <f ca="1">HLOOKUP($H$4,'Met Data'!$H$2:$M$368,G342,FALSE)*L342</f>
        <v>3.05</v>
      </c>
      <c r="K342" s="105">
        <f>HLOOKUP($H$4,'Met Data'!$O$2:$T$368,G342,FALSE)</f>
        <v>2.1147026396135802</v>
      </c>
      <c r="L342">
        <f t="shared" ca="1" si="50"/>
        <v>1</v>
      </c>
      <c r="N342" t="b">
        <f t="shared" ca="1" si="55"/>
        <v>0</v>
      </c>
      <c r="O342" t="b">
        <f t="shared" ca="1" si="51"/>
        <v>0</v>
      </c>
      <c r="P342" s="2">
        <f ca="1"/>
        <v>44587</v>
      </c>
      <c r="Q342">
        <f ca="1"/>
        <v>93.394213845600348</v>
      </c>
      <c r="R342">
        <f ca="1"/>
        <v>0</v>
      </c>
      <c r="S342">
        <f ca="1"/>
        <v>3.5810649920068329E-5</v>
      </c>
      <c r="T342">
        <f ca="1"/>
        <v>0.46932954576729718</v>
      </c>
      <c r="U342">
        <f ca="1"/>
        <v>0</v>
      </c>
      <c r="V342">
        <f ca="1"/>
        <v>0</v>
      </c>
      <c r="W342">
        <f ca="1"/>
        <v>0</v>
      </c>
      <c r="X342">
        <f ca="1"/>
        <v>0</v>
      </c>
      <c r="Y342">
        <f ca="1"/>
        <v>0.67290522694259713</v>
      </c>
      <c r="Z342">
        <f ca="1"/>
        <v>0</v>
      </c>
      <c r="AA342">
        <f ca="1"/>
        <v>0</v>
      </c>
      <c r="AB342">
        <f ca="1"/>
        <v>0</v>
      </c>
      <c r="AD342" s="2">
        <f t="shared" ca="1" si="52"/>
        <v>44587</v>
      </c>
      <c r="AE342" s="46">
        <f t="shared" ca="1" si="53"/>
        <v>0</v>
      </c>
      <c r="AG342" s="72">
        <f t="shared" ca="1" si="57"/>
        <v>93.394213845600362</v>
      </c>
      <c r="AH342" s="72">
        <f t="shared" ca="1" si="58"/>
        <v>93.394213845600348</v>
      </c>
      <c r="AI342" s="3">
        <f t="shared" ca="1" si="59"/>
        <v>0</v>
      </c>
    </row>
    <row r="343" spans="7:35" x14ac:dyDescent="0.25">
      <c r="G343" s="3">
        <f t="shared" si="54"/>
        <v>246</v>
      </c>
      <c r="H343" s="104">
        <f t="shared" si="56"/>
        <v>44441</v>
      </c>
      <c r="I343" s="131">
        <f>HLOOKUP($H$4,'Met Data'!$A$2:$F$368,G343,FALSE)</f>
        <v>10.862068965517199</v>
      </c>
      <c r="J343" s="131">
        <f ca="1">HLOOKUP($H$4,'Met Data'!$H$2:$M$368,G343,FALSE)*L343</f>
        <v>2.8035714285714199</v>
      </c>
      <c r="K343" s="105">
        <f>HLOOKUP($H$4,'Met Data'!$O$2:$T$368,G343,FALSE)</f>
        <v>2.04836351360946</v>
      </c>
      <c r="L343">
        <f t="shared" ca="1" si="50"/>
        <v>1</v>
      </c>
      <c r="N343" t="b">
        <f t="shared" ca="1" si="55"/>
        <v>0</v>
      </c>
      <c r="O343" t="b">
        <f t="shared" ca="1" si="51"/>
        <v>0</v>
      </c>
      <c r="P343" s="2">
        <f ca="1"/>
        <v>44588</v>
      </c>
      <c r="Q343">
        <f ca="1"/>
        <v>93.849860443310746</v>
      </c>
      <c r="R343">
        <f ca="1"/>
        <v>0</v>
      </c>
      <c r="S343">
        <f ca="1"/>
        <v>2.9493192482264611E-5</v>
      </c>
      <c r="T343">
        <f ca="1"/>
        <v>0.45561710451790766</v>
      </c>
      <c r="U343">
        <f ca="1"/>
        <v>0</v>
      </c>
      <c r="V343">
        <f ca="1"/>
        <v>0</v>
      </c>
      <c r="W343">
        <f ca="1"/>
        <v>0</v>
      </c>
      <c r="X343">
        <f ca="1"/>
        <v>0</v>
      </c>
      <c r="Y343">
        <f ca="1"/>
        <v>0.66867477873013237</v>
      </c>
      <c r="Z343">
        <f ca="1"/>
        <v>0</v>
      </c>
      <c r="AA343">
        <f ca="1"/>
        <v>0</v>
      </c>
      <c r="AB343">
        <f ca="1"/>
        <v>0</v>
      </c>
      <c r="AD343" s="2">
        <f t="shared" ca="1" si="52"/>
        <v>44588</v>
      </c>
      <c r="AE343" s="46">
        <f t="shared" ca="1" si="53"/>
        <v>0</v>
      </c>
      <c r="AG343" s="72">
        <f t="shared" ca="1" si="57"/>
        <v>93.849860443310746</v>
      </c>
      <c r="AH343" s="72">
        <f t="shared" ca="1" si="58"/>
        <v>93.849860443310746</v>
      </c>
      <c r="AI343" s="3">
        <f t="shared" ca="1" si="59"/>
        <v>0</v>
      </c>
    </row>
    <row r="344" spans="7:35" x14ac:dyDescent="0.25">
      <c r="G344" s="3">
        <f t="shared" si="54"/>
        <v>247</v>
      </c>
      <c r="H344" s="104">
        <f t="shared" si="56"/>
        <v>44442</v>
      </c>
      <c r="I344" s="131">
        <f>HLOOKUP($H$4,'Met Data'!$A$2:$F$368,G344,FALSE)</f>
        <v>11.4379310344827</v>
      </c>
      <c r="J344" s="131">
        <f ca="1">HLOOKUP($H$4,'Met Data'!$H$2:$M$368,G344,FALSE)*L344</f>
        <v>2.2964285714285699</v>
      </c>
      <c r="K344" s="105">
        <f>HLOOKUP($H$4,'Met Data'!$O$2:$T$368,G344,FALSE)</f>
        <v>2.1933906940536101</v>
      </c>
      <c r="L344">
        <f t="shared" ca="1" si="50"/>
        <v>1</v>
      </c>
      <c r="N344" t="b">
        <f t="shared" ca="1" si="55"/>
        <v>0</v>
      </c>
      <c r="O344" t="b">
        <f t="shared" ca="1" si="51"/>
        <v>0</v>
      </c>
      <c r="P344" s="2">
        <f ca="1"/>
        <v>44589</v>
      </c>
      <c r="Q344">
        <f ca="1"/>
        <v>94.303767986274096</v>
      </c>
      <c r="R344">
        <f ca="1"/>
        <v>0</v>
      </c>
      <c r="S344">
        <f ca="1"/>
        <v>2.4747969331355046E-5</v>
      </c>
      <c r="T344">
        <f ca="1"/>
        <v>0.45388279499400969</v>
      </c>
      <c r="U344">
        <f ca="1"/>
        <v>0</v>
      </c>
      <c r="V344">
        <f ca="1"/>
        <v>0</v>
      </c>
      <c r="W344">
        <f ca="1"/>
        <v>0</v>
      </c>
      <c r="X344">
        <f ca="1"/>
        <v>0</v>
      </c>
      <c r="Y344">
        <f ca="1"/>
        <v>0.65699924491472939</v>
      </c>
      <c r="Z344">
        <f ca="1"/>
        <v>0</v>
      </c>
      <c r="AA344">
        <f ca="1"/>
        <v>0</v>
      </c>
      <c r="AB344">
        <f ca="1"/>
        <v>0</v>
      </c>
      <c r="AD344" s="2">
        <f t="shared" ca="1" si="52"/>
        <v>44589</v>
      </c>
      <c r="AE344" s="46">
        <f t="shared" ca="1" si="53"/>
        <v>0</v>
      </c>
      <c r="AG344" s="72">
        <f t="shared" ca="1" si="57"/>
        <v>94.303767986274096</v>
      </c>
      <c r="AH344" s="72">
        <f t="shared" ca="1" si="58"/>
        <v>94.303767986274096</v>
      </c>
      <c r="AI344" s="3">
        <f t="shared" ca="1" si="59"/>
        <v>0</v>
      </c>
    </row>
    <row r="345" spans="7:35" x14ac:dyDescent="0.25">
      <c r="G345" s="3">
        <f t="shared" si="54"/>
        <v>248</v>
      </c>
      <c r="H345" s="104">
        <f t="shared" si="56"/>
        <v>44443</v>
      </c>
      <c r="I345" s="131">
        <f>HLOOKUP($H$4,'Met Data'!$A$2:$F$368,G345,FALSE)</f>
        <v>11.5448275862068</v>
      </c>
      <c r="J345" s="131">
        <f ca="1">HLOOKUP($H$4,'Met Data'!$H$2:$M$368,G345,FALSE)*L345</f>
        <v>3.6892857142857101</v>
      </c>
      <c r="K345" s="105">
        <f>HLOOKUP($H$4,'Met Data'!$O$2:$T$368,G345,FALSE)</f>
        <v>2.0025541274337399</v>
      </c>
      <c r="L345">
        <f t="shared" ca="1" si="50"/>
        <v>1</v>
      </c>
      <c r="N345" t="b">
        <f t="shared" ca="1" si="55"/>
        <v>0</v>
      </c>
      <c r="O345" t="b">
        <f t="shared" ca="1" si="51"/>
        <v>0</v>
      </c>
      <c r="P345" s="2">
        <f ca="1"/>
        <v>44590</v>
      </c>
      <c r="Q345">
        <f ca="1"/>
        <v>94.760158783960378</v>
      </c>
      <c r="R345">
        <f ca="1"/>
        <v>0</v>
      </c>
      <c r="S345">
        <f ca="1"/>
        <v>2.0967508997265937E-5</v>
      </c>
      <c r="T345">
        <f ca="1"/>
        <v>0.456369830177285</v>
      </c>
      <c r="U345">
        <f ca="1"/>
        <v>0</v>
      </c>
      <c r="V345">
        <f ca="1"/>
        <v>0</v>
      </c>
      <c r="W345">
        <f ca="1"/>
        <v>0</v>
      </c>
      <c r="X345">
        <f ca="1"/>
        <v>0</v>
      </c>
      <c r="Y345">
        <f ca="1"/>
        <v>0.64819508353845479</v>
      </c>
      <c r="Z345">
        <f ca="1"/>
        <v>0</v>
      </c>
      <c r="AA345">
        <f ca="1"/>
        <v>0</v>
      </c>
      <c r="AB345">
        <f ca="1"/>
        <v>0</v>
      </c>
      <c r="AD345" s="2">
        <f t="shared" ca="1" si="52"/>
        <v>44590</v>
      </c>
      <c r="AE345" s="46">
        <f t="shared" ca="1" si="53"/>
        <v>0</v>
      </c>
      <c r="AG345" s="72">
        <f t="shared" ca="1" si="57"/>
        <v>94.760158783960378</v>
      </c>
      <c r="AH345" s="72">
        <f t="shared" ca="1" si="58"/>
        <v>94.760158783960378</v>
      </c>
      <c r="AI345" s="3">
        <f t="shared" ca="1" si="59"/>
        <v>0</v>
      </c>
    </row>
    <row r="346" spans="7:35" x14ac:dyDescent="0.25">
      <c r="G346" s="3">
        <f t="shared" si="54"/>
        <v>249</v>
      </c>
      <c r="H346" s="104">
        <f t="shared" si="56"/>
        <v>44444</v>
      </c>
      <c r="I346" s="131">
        <f>HLOOKUP($H$4,'Met Data'!$A$2:$F$368,G346,FALSE)</f>
        <v>11.734482758620601</v>
      </c>
      <c r="J346" s="131">
        <f ca="1">HLOOKUP($H$4,'Met Data'!$H$2:$M$368,G346,FALSE)*L346</f>
        <v>5.6892857142857096</v>
      </c>
      <c r="K346" s="105">
        <f>HLOOKUP($H$4,'Met Data'!$O$2:$T$368,G346,FALSE)</f>
        <v>2.0261980789565999</v>
      </c>
      <c r="L346">
        <f t="shared" ca="1" si="50"/>
        <v>1</v>
      </c>
      <c r="N346" t="b">
        <f t="shared" ca="1" si="55"/>
        <v>0</v>
      </c>
      <c r="O346" t="b">
        <f t="shared" ca="1" si="51"/>
        <v>0</v>
      </c>
      <c r="P346" s="2">
        <f ca="1"/>
        <v>44591</v>
      </c>
      <c r="Q346">
        <f ca="1"/>
        <v>95.225489447769704</v>
      </c>
      <c r="R346">
        <f ca="1"/>
        <v>0</v>
      </c>
      <c r="S346">
        <f ca="1"/>
        <v>1.8055511481614911E-5</v>
      </c>
      <c r="T346">
        <f ca="1"/>
        <v>0.46531260829785154</v>
      </c>
      <c r="U346">
        <f ca="1"/>
        <v>0</v>
      </c>
      <c r="V346">
        <f ca="1"/>
        <v>0</v>
      </c>
      <c r="W346">
        <f ca="1"/>
        <v>0</v>
      </c>
      <c r="X346">
        <f ca="1"/>
        <v>0</v>
      </c>
      <c r="Y346">
        <f ca="1"/>
        <v>0.64994294541906084</v>
      </c>
      <c r="Z346">
        <f ca="1"/>
        <v>0</v>
      </c>
      <c r="AA346">
        <f ca="1"/>
        <v>0</v>
      </c>
      <c r="AB346">
        <f ca="1"/>
        <v>0</v>
      </c>
      <c r="AD346" s="2">
        <f t="shared" ca="1" si="52"/>
        <v>44591</v>
      </c>
      <c r="AE346" s="46">
        <f t="shared" ca="1" si="53"/>
        <v>0</v>
      </c>
      <c r="AG346" s="72">
        <f t="shared" ca="1" si="57"/>
        <v>95.225489447769704</v>
      </c>
      <c r="AH346" s="72">
        <f t="shared" ca="1" si="58"/>
        <v>95.225489447769704</v>
      </c>
      <c r="AI346" s="3">
        <f t="shared" ca="1" si="59"/>
        <v>0</v>
      </c>
    </row>
    <row r="347" spans="7:35" x14ac:dyDescent="0.25">
      <c r="G347" s="3">
        <f t="shared" si="54"/>
        <v>250</v>
      </c>
      <c r="H347" s="104">
        <f t="shared" si="56"/>
        <v>44445</v>
      </c>
      <c r="I347" s="131">
        <f>HLOOKUP($H$4,'Met Data'!$A$2:$F$368,G347,FALSE)</f>
        <v>11.682758620689601</v>
      </c>
      <c r="J347" s="131">
        <f ca="1">HLOOKUP($H$4,'Met Data'!$H$2:$M$368,G347,FALSE)*L347</f>
        <v>3.97586206896551</v>
      </c>
      <c r="K347" s="105">
        <f>HLOOKUP($H$4,'Met Data'!$O$2:$T$368,G347,FALSE)</f>
        <v>2.26836536246158</v>
      </c>
      <c r="L347">
        <f t="shared" ca="1" si="50"/>
        <v>1</v>
      </c>
      <c r="N347" t="b">
        <f t="shared" ca="1" si="55"/>
        <v>0</v>
      </c>
      <c r="O347" t="b">
        <f t="shared" ca="1" si="51"/>
        <v>0</v>
      </c>
      <c r="P347" s="2">
        <f ca="1"/>
        <v>44592</v>
      </c>
      <c r="Q347">
        <f ca="1"/>
        <v>95.68914662972378</v>
      </c>
      <c r="R347">
        <f ca="1"/>
        <v>0</v>
      </c>
      <c r="S347">
        <f ca="1"/>
        <v>1.5241073662232677E-5</v>
      </c>
      <c r="T347">
        <f ca="1"/>
        <v>0.46364194088041527</v>
      </c>
      <c r="U347">
        <f ca="1"/>
        <v>0</v>
      </c>
      <c r="V347">
        <f ca="1"/>
        <v>0</v>
      </c>
      <c r="W347">
        <f ca="1"/>
        <v>0</v>
      </c>
      <c r="X347">
        <f ca="1"/>
        <v>0</v>
      </c>
      <c r="Y347">
        <f ca="1"/>
        <v>0.65019245957359595</v>
      </c>
      <c r="Z347">
        <f ca="1"/>
        <v>0</v>
      </c>
      <c r="AA347">
        <f ca="1"/>
        <v>0</v>
      </c>
      <c r="AB347">
        <f ca="1"/>
        <v>0</v>
      </c>
      <c r="AD347" s="2">
        <f t="shared" ca="1" si="52"/>
        <v>44592</v>
      </c>
      <c r="AE347" s="46">
        <f t="shared" ca="1" si="53"/>
        <v>0</v>
      </c>
      <c r="AG347" s="72">
        <f t="shared" ca="1" si="57"/>
        <v>95.689146629723794</v>
      </c>
      <c r="AH347" s="72">
        <f t="shared" ca="1" si="58"/>
        <v>95.68914662972378</v>
      </c>
      <c r="AI347" s="3">
        <f t="shared" ca="1" si="59"/>
        <v>0</v>
      </c>
    </row>
    <row r="348" spans="7:35" x14ac:dyDescent="0.25">
      <c r="G348" s="3">
        <f t="shared" si="54"/>
        <v>251</v>
      </c>
      <c r="H348" s="104">
        <f t="shared" si="56"/>
        <v>44446</v>
      </c>
      <c r="I348" s="131">
        <f>HLOOKUP($H$4,'Met Data'!$A$2:$F$368,G348,FALSE)</f>
        <v>11.389655172413701</v>
      </c>
      <c r="J348" s="131">
        <f ca="1">HLOOKUP($H$4,'Met Data'!$H$2:$M$368,G348,FALSE)*L348</f>
        <v>2.6793103448275799</v>
      </c>
      <c r="K348" s="105">
        <f>HLOOKUP($H$4,'Met Data'!$O$2:$T$368,G348,FALSE)</f>
        <v>2.1403968231495001</v>
      </c>
      <c r="L348">
        <f t="shared" ca="1" si="50"/>
        <v>1</v>
      </c>
      <c r="N348" t="b">
        <f t="shared" ca="1" si="55"/>
        <v>0</v>
      </c>
      <c r="O348" t="b">
        <f t="shared" ca="1" si="51"/>
        <v>0</v>
      </c>
      <c r="P348" s="2">
        <f ca="1"/>
        <v>44593</v>
      </c>
      <c r="Q348">
        <f ca="1"/>
        <v>96.146531469278301</v>
      </c>
      <c r="R348">
        <f ca="1"/>
        <v>0</v>
      </c>
      <c r="S348">
        <f ca="1"/>
        <v>1.26569212484093E-5</v>
      </c>
      <c r="T348">
        <f ca="1"/>
        <v>0.45737218263327006</v>
      </c>
      <c r="U348">
        <f ca="1"/>
        <v>0</v>
      </c>
      <c r="V348">
        <f ca="1"/>
        <v>0</v>
      </c>
      <c r="W348">
        <f ca="1"/>
        <v>0</v>
      </c>
      <c r="X348">
        <f ca="1"/>
        <v>0</v>
      </c>
      <c r="Y348">
        <f ca="1"/>
        <v>0.63459312750316166</v>
      </c>
      <c r="Z348">
        <f ca="1"/>
        <v>0</v>
      </c>
      <c r="AA348">
        <f ca="1"/>
        <v>0</v>
      </c>
      <c r="AB348">
        <f ca="1"/>
        <v>0</v>
      </c>
      <c r="AD348" s="2">
        <f t="shared" ca="1" si="52"/>
        <v>44593</v>
      </c>
      <c r="AE348" s="46">
        <f t="shared" ca="1" si="53"/>
        <v>0</v>
      </c>
      <c r="AG348" s="72">
        <f t="shared" ca="1" si="57"/>
        <v>96.146531469278287</v>
      </c>
      <c r="AH348" s="72">
        <f t="shared" ca="1" si="58"/>
        <v>96.146531469278301</v>
      </c>
      <c r="AI348" s="3">
        <f t="shared" ca="1" si="59"/>
        <v>0</v>
      </c>
    </row>
    <row r="349" spans="7:35" x14ac:dyDescent="0.25">
      <c r="G349" s="3">
        <f t="shared" si="54"/>
        <v>252</v>
      </c>
      <c r="H349" s="104">
        <f t="shared" si="56"/>
        <v>44447</v>
      </c>
      <c r="I349" s="131">
        <f>HLOOKUP($H$4,'Met Data'!$A$2:$F$368,G349,FALSE)</f>
        <v>11.834482758620601</v>
      </c>
      <c r="J349" s="131">
        <f ca="1">HLOOKUP($H$4,'Met Data'!$H$2:$M$368,G349,FALSE)*L349</f>
        <v>4.4310344827586201</v>
      </c>
      <c r="K349" s="105">
        <f>HLOOKUP($H$4,'Met Data'!$O$2:$T$368,G349,FALSE)</f>
        <v>2.4179314095726698</v>
      </c>
      <c r="L349">
        <f t="shared" ca="1" si="50"/>
        <v>1</v>
      </c>
      <c r="N349" t="b">
        <f t="shared" ca="1" si="55"/>
        <v>0</v>
      </c>
      <c r="O349" t="b">
        <f t="shared" ca="1" si="51"/>
        <v>0</v>
      </c>
      <c r="P349" s="2">
        <f ca="1"/>
        <v>44594</v>
      </c>
      <c r="Q349">
        <f ca="1"/>
        <v>96.60228789415379</v>
      </c>
      <c r="R349">
        <f ca="1"/>
        <v>0</v>
      </c>
      <c r="S349">
        <f ca="1"/>
        <v>1.0785453488125704E-5</v>
      </c>
      <c r="T349">
        <f ca="1"/>
        <v>0.45574563942200275</v>
      </c>
      <c r="U349">
        <f ca="1"/>
        <v>0</v>
      </c>
      <c r="V349">
        <f ca="1"/>
        <v>0</v>
      </c>
      <c r="W349">
        <f ca="1"/>
        <v>0</v>
      </c>
      <c r="X349">
        <f ca="1"/>
        <v>0</v>
      </c>
      <c r="Y349">
        <f ca="1"/>
        <v>0.64384950734449853</v>
      </c>
      <c r="Z349">
        <f ca="1"/>
        <v>0</v>
      </c>
      <c r="AA349">
        <f ca="1"/>
        <v>0</v>
      </c>
      <c r="AB349">
        <f ca="1"/>
        <v>0</v>
      </c>
      <c r="AD349" s="2">
        <f t="shared" ca="1" si="52"/>
        <v>44594</v>
      </c>
      <c r="AE349" s="46">
        <f t="shared" ca="1" si="53"/>
        <v>0</v>
      </c>
      <c r="AG349" s="72">
        <f t="shared" ca="1" si="57"/>
        <v>96.60228789415379</v>
      </c>
      <c r="AH349" s="72">
        <f t="shared" ca="1" si="58"/>
        <v>96.60228789415379</v>
      </c>
      <c r="AI349" s="3">
        <f t="shared" ca="1" si="59"/>
        <v>0</v>
      </c>
    </row>
    <row r="350" spans="7:35" x14ac:dyDescent="0.25">
      <c r="G350" s="3">
        <f t="shared" si="54"/>
        <v>253</v>
      </c>
      <c r="H350" s="104">
        <f t="shared" si="56"/>
        <v>44448</v>
      </c>
      <c r="I350" s="131">
        <f>HLOOKUP($H$4,'Met Data'!$A$2:$F$368,G350,FALSE)</f>
        <v>11.465</v>
      </c>
      <c r="J350" s="131">
        <f ca="1">HLOOKUP($H$4,'Met Data'!$H$2:$M$368,G350,FALSE)*L350</f>
        <v>3.6827586206896501</v>
      </c>
      <c r="K350" s="105">
        <f>HLOOKUP($H$4,'Met Data'!$O$2:$T$368,G350,FALSE)</f>
        <v>2.2362909221430498</v>
      </c>
      <c r="L350">
        <f t="shared" ca="1" si="50"/>
        <v>1</v>
      </c>
      <c r="N350" t="b">
        <f t="shared" ca="1" si="55"/>
        <v>0</v>
      </c>
      <c r="O350" t="b">
        <f t="shared" ca="1" si="51"/>
        <v>0</v>
      </c>
      <c r="P350" s="2">
        <f ca="1"/>
        <v>44595</v>
      </c>
      <c r="Q350">
        <f ca="1"/>
        <v>97.042222256846856</v>
      </c>
      <c r="R350">
        <f ca="1"/>
        <v>0</v>
      </c>
      <c r="S350">
        <f ca="1"/>
        <v>8.848756540257455E-6</v>
      </c>
      <c r="T350">
        <f ca="1"/>
        <v>0.43992551393650808</v>
      </c>
      <c r="U350">
        <f ca="1"/>
        <v>0</v>
      </c>
      <c r="V350">
        <f ca="1"/>
        <v>0</v>
      </c>
      <c r="W350">
        <f ca="1"/>
        <v>0</v>
      </c>
      <c r="X350">
        <f ca="1"/>
        <v>0</v>
      </c>
      <c r="Y350">
        <f ca="1"/>
        <v>0.62937193610624975</v>
      </c>
      <c r="Z350">
        <f ca="1"/>
        <v>0</v>
      </c>
      <c r="AA350">
        <f ca="1"/>
        <v>0</v>
      </c>
      <c r="AB350">
        <f ca="1"/>
        <v>0</v>
      </c>
      <c r="AD350" s="2">
        <f t="shared" ca="1" si="52"/>
        <v>44595</v>
      </c>
      <c r="AE350" s="46">
        <f t="shared" ca="1" si="53"/>
        <v>0</v>
      </c>
      <c r="AG350" s="72">
        <f t="shared" ca="1" si="57"/>
        <v>97.042222256846827</v>
      </c>
      <c r="AH350" s="72">
        <f t="shared" ca="1" si="58"/>
        <v>97.042222256846856</v>
      </c>
      <c r="AI350" s="3">
        <f t="shared" ca="1" si="59"/>
        <v>0</v>
      </c>
    </row>
    <row r="351" spans="7:35" x14ac:dyDescent="0.25">
      <c r="G351" s="3">
        <f t="shared" si="54"/>
        <v>254</v>
      </c>
      <c r="H351" s="104">
        <f t="shared" si="56"/>
        <v>44449</v>
      </c>
      <c r="I351" s="131">
        <f>HLOOKUP($H$4,'Met Data'!$A$2:$F$368,G351,FALSE)</f>
        <v>11.62</v>
      </c>
      <c r="J351" s="131">
        <f ca="1">HLOOKUP($H$4,'Met Data'!$H$2:$M$368,G351,FALSE)*L351</f>
        <v>1.66333333333333</v>
      </c>
      <c r="K351" s="105">
        <f>HLOOKUP($H$4,'Met Data'!$O$2:$T$368,G351,FALSE)</f>
        <v>2.5120136328346701</v>
      </c>
      <c r="L351">
        <f t="shared" ca="1" si="50"/>
        <v>1</v>
      </c>
      <c r="N351" t="b">
        <f t="shared" ca="1" si="55"/>
        <v>0</v>
      </c>
      <c r="O351" t="b">
        <f t="shared" ca="1" si="51"/>
        <v>0</v>
      </c>
      <c r="P351" s="2">
        <f ca="1"/>
        <v>44596</v>
      </c>
      <c r="Q351">
        <f ca="1"/>
        <v>97.474491615866398</v>
      </c>
      <c r="R351">
        <f ca="1"/>
        <v>0</v>
      </c>
      <c r="S351">
        <f ca="1"/>
        <v>7.5542858949621071E-6</v>
      </c>
      <c r="T351">
        <f ca="1"/>
        <v>0.43226180473365727</v>
      </c>
      <c r="U351">
        <f ca="1"/>
        <v>0</v>
      </c>
      <c r="V351">
        <f ca="1"/>
        <v>0</v>
      </c>
      <c r="W351">
        <f ca="1"/>
        <v>0</v>
      </c>
      <c r="X351">
        <f ca="1"/>
        <v>0</v>
      </c>
      <c r="Y351">
        <f ca="1"/>
        <v>0.64976499632907869</v>
      </c>
      <c r="Z351">
        <f ca="1"/>
        <v>0</v>
      </c>
      <c r="AA351">
        <f ca="1"/>
        <v>0</v>
      </c>
      <c r="AB351">
        <f ca="1"/>
        <v>0</v>
      </c>
      <c r="AD351" s="2">
        <f t="shared" ca="1" si="52"/>
        <v>44596</v>
      </c>
      <c r="AE351" s="46">
        <f t="shared" ca="1" si="53"/>
        <v>0</v>
      </c>
      <c r="AG351" s="72">
        <f t="shared" ca="1" si="57"/>
        <v>97.474491615866413</v>
      </c>
      <c r="AH351" s="72">
        <f t="shared" ca="1" si="58"/>
        <v>97.474491615866398</v>
      </c>
      <c r="AI351" s="3">
        <f t="shared" ca="1" si="59"/>
        <v>0</v>
      </c>
    </row>
    <row r="352" spans="7:35" x14ac:dyDescent="0.25">
      <c r="G352" s="3">
        <f t="shared" si="54"/>
        <v>255</v>
      </c>
      <c r="H352" s="104">
        <f t="shared" si="56"/>
        <v>44450</v>
      </c>
      <c r="I352" s="131">
        <f>HLOOKUP($H$4,'Met Data'!$A$2:$F$368,G352,FALSE)</f>
        <v>11.7633333333333</v>
      </c>
      <c r="J352" s="131">
        <f ca="1">HLOOKUP($H$4,'Met Data'!$H$2:$M$368,G352,FALSE)*L352</f>
        <v>3.2833333333333301</v>
      </c>
      <c r="K352" s="105">
        <f>HLOOKUP($H$4,'Met Data'!$O$2:$T$368,G352,FALSE)</f>
        <v>2.3151045080086101</v>
      </c>
      <c r="L352">
        <f t="shared" ca="1" si="50"/>
        <v>1</v>
      </c>
      <c r="N352" t="b">
        <f t="shared" ca="1" si="55"/>
        <v>0</v>
      </c>
      <c r="O352" t="b">
        <f t="shared" ca="1" si="51"/>
        <v>0</v>
      </c>
      <c r="P352" s="2">
        <f ca="1"/>
        <v>44597</v>
      </c>
      <c r="Q352">
        <f ca="1"/>
        <v>97.920068762462122</v>
      </c>
      <c r="R352">
        <f ca="1"/>
        <v>0</v>
      </c>
      <c r="S352">
        <f ca="1"/>
        <v>6.5841392422775422E-6</v>
      </c>
      <c r="T352">
        <f ca="1"/>
        <v>0.44557056245647975</v>
      </c>
      <c r="U352">
        <f ca="1"/>
        <v>0</v>
      </c>
      <c r="V352">
        <f ca="1"/>
        <v>0</v>
      </c>
      <c r="W352">
        <f ca="1"/>
        <v>0</v>
      </c>
      <c r="X352">
        <f ca="1"/>
        <v>0</v>
      </c>
      <c r="Y352">
        <f ca="1"/>
        <v>0.64694121916689673</v>
      </c>
      <c r="Z352">
        <f ca="1"/>
        <v>0</v>
      </c>
      <c r="AA352">
        <f ca="1"/>
        <v>0</v>
      </c>
      <c r="AB352">
        <f ca="1"/>
        <v>0</v>
      </c>
      <c r="AD352" s="2">
        <f t="shared" ca="1" si="52"/>
        <v>44597</v>
      </c>
      <c r="AE352" s="46">
        <f t="shared" ca="1" si="53"/>
        <v>0</v>
      </c>
      <c r="AG352" s="72">
        <f t="shared" ca="1" si="57"/>
        <v>97.920068762462122</v>
      </c>
      <c r="AH352" s="72">
        <f t="shared" ca="1" si="58"/>
        <v>97.920068762462122</v>
      </c>
      <c r="AI352" s="3">
        <f t="shared" ca="1" si="59"/>
        <v>0</v>
      </c>
    </row>
    <row r="353" spans="7:35" x14ac:dyDescent="0.25">
      <c r="G353" s="3">
        <f t="shared" si="54"/>
        <v>256</v>
      </c>
      <c r="H353" s="104">
        <f t="shared" si="56"/>
        <v>44451</v>
      </c>
      <c r="I353" s="131">
        <f>HLOOKUP($H$4,'Met Data'!$A$2:$F$368,G353,FALSE)</f>
        <v>12.158333333333299</v>
      </c>
      <c r="J353" s="131">
        <f ca="1">HLOOKUP($H$4,'Met Data'!$H$2:$M$368,G353,FALSE)*L353</f>
        <v>3.8833333333333302</v>
      </c>
      <c r="K353" s="105">
        <f>HLOOKUP($H$4,'Met Data'!$O$2:$T$368,G353,FALSE)</f>
        <v>2.3727724062230302</v>
      </c>
      <c r="L353">
        <f t="shared" ca="1" si="50"/>
        <v>1</v>
      </c>
      <c r="N353" t="b">
        <f t="shared" ca="1" si="55"/>
        <v>0</v>
      </c>
      <c r="O353" t="b">
        <f t="shared" ca="1" si="51"/>
        <v>0</v>
      </c>
      <c r="P353" s="2">
        <f ca="1"/>
        <v>44598</v>
      </c>
      <c r="Q353">
        <f ca="1"/>
        <v>98.349273292466151</v>
      </c>
      <c r="R353">
        <f ca="1"/>
        <v>0</v>
      </c>
      <c r="S353">
        <f ca="1"/>
        <v>5.382591513795175E-6</v>
      </c>
      <c r="T353">
        <f ca="1"/>
        <v>0.4291991474125158</v>
      </c>
      <c r="U353">
        <f ca="1"/>
        <v>0</v>
      </c>
      <c r="V353">
        <f ca="1"/>
        <v>0</v>
      </c>
      <c r="W353">
        <f ca="1"/>
        <v>0</v>
      </c>
      <c r="X353">
        <f ca="1"/>
        <v>0</v>
      </c>
      <c r="Y353">
        <f ca="1"/>
        <v>0.62514687079635467</v>
      </c>
      <c r="Z353">
        <f ca="1"/>
        <v>0</v>
      </c>
      <c r="AA353">
        <f ca="1"/>
        <v>0</v>
      </c>
      <c r="AB353">
        <f ca="1"/>
        <v>0</v>
      </c>
      <c r="AD353" s="2">
        <f t="shared" ca="1" si="52"/>
        <v>44598</v>
      </c>
      <c r="AE353" s="46">
        <f t="shared" ca="1" si="53"/>
        <v>0</v>
      </c>
      <c r="AG353" s="72">
        <f t="shared" ca="1" si="57"/>
        <v>98.349273292466151</v>
      </c>
      <c r="AH353" s="72">
        <f t="shared" ca="1" si="58"/>
        <v>98.349273292466151</v>
      </c>
      <c r="AI353" s="3">
        <f t="shared" ca="1" si="59"/>
        <v>0</v>
      </c>
    </row>
    <row r="354" spans="7:35" x14ac:dyDescent="0.25">
      <c r="G354" s="3">
        <f t="shared" si="54"/>
        <v>257</v>
      </c>
      <c r="H354" s="104">
        <f t="shared" si="56"/>
        <v>44452</v>
      </c>
      <c r="I354" s="131">
        <f>HLOOKUP($H$4,'Met Data'!$A$2:$F$368,G354,FALSE)</f>
        <v>11.908333333333299</v>
      </c>
      <c r="J354" s="131">
        <f ca="1">HLOOKUP($H$4,'Met Data'!$H$2:$M$368,G354,FALSE)*L354</f>
        <v>5.26</v>
      </c>
      <c r="K354" s="105">
        <f>HLOOKUP($H$4,'Met Data'!$O$2:$T$368,G354,FALSE)</f>
        <v>2.4036248389024699</v>
      </c>
      <c r="L354">
        <f t="shared" ca="1" si="50"/>
        <v>1</v>
      </c>
      <c r="N354" t="b">
        <f t="shared" ca="1" si="55"/>
        <v>0</v>
      </c>
      <c r="O354" t="b">
        <f t="shared" ca="1" si="51"/>
        <v>0</v>
      </c>
      <c r="P354" s="2">
        <f ca="1"/>
        <v>44599</v>
      </c>
      <c r="Q354">
        <f ca="1"/>
        <v>98.772756348390686</v>
      </c>
      <c r="R354">
        <f ca="1"/>
        <v>0</v>
      </c>
      <c r="S354">
        <f ca="1"/>
        <v>4.5217292952074091E-6</v>
      </c>
      <c r="T354">
        <f ca="1"/>
        <v>0.42347853419524006</v>
      </c>
      <c r="U354">
        <f ca="1"/>
        <v>0</v>
      </c>
      <c r="V354">
        <f ca="1"/>
        <v>0</v>
      </c>
      <c r="W354">
        <f ca="1"/>
        <v>0</v>
      </c>
      <c r="X354">
        <f ca="1"/>
        <v>0</v>
      </c>
      <c r="Y354">
        <f ca="1"/>
        <v>0.60954918016677118</v>
      </c>
      <c r="Z354">
        <f ca="1"/>
        <v>0</v>
      </c>
      <c r="AA354">
        <f ca="1"/>
        <v>0</v>
      </c>
      <c r="AB354">
        <f ca="1"/>
        <v>0</v>
      </c>
      <c r="AD354" s="2">
        <f t="shared" ca="1" si="52"/>
        <v>44599</v>
      </c>
      <c r="AE354" s="46">
        <f t="shared" ca="1" si="53"/>
        <v>0</v>
      </c>
      <c r="AG354" s="72">
        <f t="shared" ca="1" si="57"/>
        <v>98.772756348390686</v>
      </c>
      <c r="AH354" s="72">
        <f t="shared" ca="1" si="58"/>
        <v>98.772756348390686</v>
      </c>
      <c r="AI354" s="3">
        <f t="shared" ca="1" si="59"/>
        <v>0</v>
      </c>
    </row>
    <row r="355" spans="7:35" x14ac:dyDescent="0.25">
      <c r="G355" s="3">
        <f t="shared" si="54"/>
        <v>258</v>
      </c>
      <c r="H355" s="104">
        <f t="shared" si="56"/>
        <v>44453</v>
      </c>
      <c r="I355" s="131">
        <f>HLOOKUP($H$4,'Met Data'!$A$2:$F$368,G355,FALSE)</f>
        <v>12.074999999999999</v>
      </c>
      <c r="J355" s="131">
        <f ca="1">HLOOKUP($H$4,'Met Data'!$H$2:$M$368,G355,FALSE)*L355</f>
        <v>3.6933333333333298</v>
      </c>
      <c r="K355" s="105">
        <f>HLOOKUP($H$4,'Met Data'!$O$2:$T$368,G355,FALSE)</f>
        <v>2.56639010677653</v>
      </c>
      <c r="L355">
        <f t="shared" ca="1" si="50"/>
        <v>1</v>
      </c>
      <c r="N355" t="b">
        <f t="shared" ca="1" si="55"/>
        <v>0</v>
      </c>
      <c r="O355" t="b">
        <f t="shared" ca="1" si="51"/>
        <v>0</v>
      </c>
      <c r="P355" s="2">
        <f ca="1"/>
        <v>44600</v>
      </c>
      <c r="Q355">
        <f ca="1"/>
        <v>99.193834075508008</v>
      </c>
      <c r="R355">
        <f ca="1"/>
        <v>0</v>
      </c>
      <c r="S355">
        <f ca="1"/>
        <v>3.8635411700641386E-6</v>
      </c>
      <c r="T355">
        <f ca="1"/>
        <v>0.42107386357615606</v>
      </c>
      <c r="U355">
        <f ca="1"/>
        <v>0</v>
      </c>
      <c r="V355">
        <f ca="1"/>
        <v>0</v>
      </c>
      <c r="W355">
        <f ca="1"/>
        <v>0</v>
      </c>
      <c r="X355">
        <f ca="1"/>
        <v>0</v>
      </c>
      <c r="Y355">
        <f ca="1"/>
        <v>0.60637003075030538</v>
      </c>
      <c r="Z355">
        <f ca="1"/>
        <v>0</v>
      </c>
      <c r="AA355">
        <f ca="1"/>
        <v>0</v>
      </c>
      <c r="AB355">
        <f ca="1"/>
        <v>0</v>
      </c>
      <c r="AD355" s="2">
        <f t="shared" ca="1" si="52"/>
        <v>44600</v>
      </c>
      <c r="AE355" s="46">
        <f t="shared" ca="1" si="53"/>
        <v>0</v>
      </c>
      <c r="AG355" s="72">
        <f t="shared" ca="1" si="57"/>
        <v>99.193834075508008</v>
      </c>
      <c r="AH355" s="72">
        <f t="shared" ca="1" si="58"/>
        <v>99.193834075508008</v>
      </c>
      <c r="AI355" s="3">
        <f t="shared" ca="1" si="59"/>
        <v>0</v>
      </c>
    </row>
    <row r="356" spans="7:35" x14ac:dyDescent="0.25">
      <c r="G356" s="3">
        <f t="shared" si="54"/>
        <v>259</v>
      </c>
      <c r="H356" s="104">
        <f t="shared" si="56"/>
        <v>44454</v>
      </c>
      <c r="I356" s="131">
        <f>HLOOKUP($H$4,'Met Data'!$A$2:$F$368,G356,FALSE)</f>
        <v>12.3883333333333</v>
      </c>
      <c r="J356" s="131">
        <f ca="1">HLOOKUP($H$4,'Met Data'!$H$2:$M$368,G356,FALSE)*L356</f>
        <v>3.26</v>
      </c>
      <c r="K356" s="105">
        <f>HLOOKUP($H$4,'Met Data'!$O$2:$T$368,G356,FALSE)</f>
        <v>2.3157931057843801</v>
      </c>
      <c r="L356">
        <f t="shared" ca="1" si="50"/>
        <v>1</v>
      </c>
      <c r="N356" t="b">
        <f t="shared" ca="1" si="55"/>
        <v>0</v>
      </c>
      <c r="O356" t="b">
        <f t="shared" ca="1" si="51"/>
        <v>0</v>
      </c>
      <c r="P356" s="2">
        <f ca="1"/>
        <v>44601</v>
      </c>
      <c r="Q356">
        <f ca="1"/>
        <v>99.612191916946827</v>
      </c>
      <c r="R356">
        <f ca="1"/>
        <v>0</v>
      </c>
      <c r="S356">
        <f ca="1"/>
        <v>3.2814191522669577E-6</v>
      </c>
      <c r="T356">
        <f ca="1"/>
        <v>0.41835456001966687</v>
      </c>
      <c r="U356">
        <f ca="1"/>
        <v>0</v>
      </c>
      <c r="V356">
        <f ca="1"/>
        <v>0</v>
      </c>
      <c r="W356">
        <f ca="1"/>
        <v>0</v>
      </c>
      <c r="X356">
        <f ca="1"/>
        <v>0</v>
      </c>
      <c r="Y356">
        <f ca="1"/>
        <v>0.59417474766487688</v>
      </c>
      <c r="Z356">
        <f ca="1"/>
        <v>0</v>
      </c>
      <c r="AA356">
        <f ca="1"/>
        <v>0</v>
      </c>
      <c r="AB356">
        <f ca="1"/>
        <v>0</v>
      </c>
      <c r="AD356" s="2">
        <f t="shared" ca="1" si="52"/>
        <v>44601</v>
      </c>
      <c r="AE356" s="46">
        <f t="shared" ca="1" si="53"/>
        <v>0</v>
      </c>
      <c r="AG356" s="72">
        <f t="shared" ca="1" si="57"/>
        <v>99.612191916946827</v>
      </c>
      <c r="AH356" s="72">
        <f t="shared" ca="1" si="58"/>
        <v>99.612191916946827</v>
      </c>
      <c r="AI356" s="3">
        <f t="shared" ca="1" si="59"/>
        <v>0</v>
      </c>
    </row>
    <row r="357" spans="7:35" x14ac:dyDescent="0.25">
      <c r="G357" s="3">
        <f t="shared" si="54"/>
        <v>260</v>
      </c>
      <c r="H357" s="104">
        <f t="shared" si="56"/>
        <v>44455</v>
      </c>
      <c r="I357" s="131">
        <f>HLOOKUP($H$4,'Met Data'!$A$2:$F$368,G357,FALSE)</f>
        <v>12.5766666666666</v>
      </c>
      <c r="J357" s="131">
        <f ca="1">HLOOKUP($H$4,'Met Data'!$H$2:$M$368,G357,FALSE)*L357</f>
        <v>3.5999999999999899</v>
      </c>
      <c r="K357" s="105">
        <f>HLOOKUP($H$4,'Met Data'!$O$2:$T$368,G357,FALSE)</f>
        <v>2.2894884287258899</v>
      </c>
      <c r="L357">
        <f t="shared" ca="1" si="50"/>
        <v>1</v>
      </c>
      <c r="N357" t="b">
        <f t="shared" ca="1" si="55"/>
        <v>0</v>
      </c>
      <c r="O357" t="b">
        <f t="shared" ca="1" si="51"/>
        <v>0</v>
      </c>
      <c r="P357" s="2">
        <f ca="1"/>
        <v>44602</v>
      </c>
      <c r="Q357">
        <f ca="1"/>
        <v>100.03831925147202</v>
      </c>
      <c r="R357">
        <f ca="1"/>
        <v>0</v>
      </c>
      <c r="S357">
        <f ca="1"/>
        <v>2.8543293641944916E-6</v>
      </c>
      <c r="T357">
        <f ca="1"/>
        <v>0.42612448019582327</v>
      </c>
      <c r="U357">
        <f ca="1"/>
        <v>0</v>
      </c>
      <c r="V357">
        <f ca="1"/>
        <v>0</v>
      </c>
      <c r="W357">
        <f ca="1"/>
        <v>0</v>
      </c>
      <c r="X357">
        <f ca="1"/>
        <v>0</v>
      </c>
      <c r="Y357">
        <f ca="1"/>
        <v>0.58783074367853649</v>
      </c>
      <c r="Z357">
        <f ca="1"/>
        <v>0</v>
      </c>
      <c r="AA357">
        <f ca="1"/>
        <v>0</v>
      </c>
      <c r="AB357">
        <f ca="1"/>
        <v>0</v>
      </c>
      <c r="AD357" s="2">
        <f t="shared" ca="1" si="52"/>
        <v>44602</v>
      </c>
      <c r="AE357" s="46">
        <f t="shared" ca="1" si="53"/>
        <v>0</v>
      </c>
      <c r="AG357" s="72">
        <f t="shared" ca="1" si="57"/>
        <v>100.03831925147202</v>
      </c>
      <c r="AH357" s="72">
        <f t="shared" ca="1" si="58"/>
        <v>100.03831925147202</v>
      </c>
      <c r="AI357" s="3">
        <f t="shared" ca="1" si="59"/>
        <v>0</v>
      </c>
    </row>
    <row r="358" spans="7:35" x14ac:dyDescent="0.25">
      <c r="G358" s="3">
        <f t="shared" si="54"/>
        <v>261</v>
      </c>
      <c r="H358" s="104">
        <f t="shared" si="56"/>
        <v>44456</v>
      </c>
      <c r="I358" s="131">
        <f>HLOOKUP($H$4,'Met Data'!$A$2:$F$368,G358,FALSE)</f>
        <v>12.482258064516101</v>
      </c>
      <c r="J358" s="131">
        <f ca="1">HLOOKUP($H$4,'Met Data'!$H$2:$M$368,G358,FALSE)*L358</f>
        <v>2.73870967741935</v>
      </c>
      <c r="K358" s="105">
        <f>HLOOKUP($H$4,'Met Data'!$O$2:$T$368,G358,FALSE)</f>
        <v>2.42321708135252</v>
      </c>
      <c r="L358">
        <f t="shared" ca="1" si="50"/>
        <v>1</v>
      </c>
      <c r="N358" t="b">
        <f t="shared" ca="1" si="55"/>
        <v>0</v>
      </c>
      <c r="O358" t="b">
        <f t="shared" ca="1" si="51"/>
        <v>0</v>
      </c>
      <c r="P358" s="2">
        <f ca="1"/>
        <v>44603</v>
      </c>
      <c r="Q358">
        <f ca="1"/>
        <v>100.47112841411946</v>
      </c>
      <c r="R358">
        <f ca="1"/>
        <v>0</v>
      </c>
      <c r="S358">
        <f ca="1"/>
        <v>2.4887443136379248E-6</v>
      </c>
      <c r="T358">
        <f ca="1"/>
        <v>0.43280667390313149</v>
      </c>
      <c r="U358">
        <f ca="1"/>
        <v>0</v>
      </c>
      <c r="V358">
        <f ca="1"/>
        <v>0</v>
      </c>
      <c r="W358">
        <f ca="1"/>
        <v>0</v>
      </c>
      <c r="X358">
        <f ca="1"/>
        <v>0</v>
      </c>
      <c r="Y358">
        <f ca="1"/>
        <v>0.58933517046226547</v>
      </c>
      <c r="Z358">
        <f ca="1"/>
        <v>0</v>
      </c>
      <c r="AA358">
        <f ca="1"/>
        <v>0</v>
      </c>
      <c r="AB358">
        <f ca="1"/>
        <v>0</v>
      </c>
      <c r="AD358" s="2">
        <f t="shared" ca="1" si="52"/>
        <v>44603</v>
      </c>
      <c r="AE358" s="46">
        <f t="shared" ca="1" si="53"/>
        <v>0</v>
      </c>
      <c r="AG358" s="72">
        <f t="shared" ca="1" si="57"/>
        <v>100.47112841411946</v>
      </c>
      <c r="AH358" s="72">
        <f t="shared" ca="1" si="58"/>
        <v>100.47112841411946</v>
      </c>
      <c r="AI358" s="3">
        <f t="shared" ca="1" si="59"/>
        <v>0</v>
      </c>
    </row>
    <row r="359" spans="7:35" x14ac:dyDescent="0.25">
      <c r="G359" s="3">
        <f t="shared" si="54"/>
        <v>262</v>
      </c>
      <c r="H359" s="104">
        <f t="shared" si="56"/>
        <v>44457</v>
      </c>
      <c r="I359" s="131">
        <f>HLOOKUP($H$4,'Met Data'!$A$2:$F$368,G359,FALSE)</f>
        <v>12.261290322580599</v>
      </c>
      <c r="J359" s="131">
        <f ca="1">HLOOKUP($H$4,'Met Data'!$H$2:$M$368,G359,FALSE)*L359</f>
        <v>2.5741935483870901</v>
      </c>
      <c r="K359" s="105">
        <f>HLOOKUP($H$4,'Met Data'!$O$2:$T$368,G359,FALSE)</f>
        <v>2.45933848636487</v>
      </c>
      <c r="L359">
        <f t="shared" ca="1" si="50"/>
        <v>1</v>
      </c>
      <c r="N359" t="b">
        <f t="shared" ca="1" si="55"/>
        <v>0</v>
      </c>
      <c r="O359" t="b">
        <f t="shared" ca="1" si="51"/>
        <v>0</v>
      </c>
      <c r="P359" s="2">
        <f ca="1"/>
        <v>44604</v>
      </c>
      <c r="Q359">
        <f ca="1"/>
        <v>100.90363411594562</v>
      </c>
      <c r="R359">
        <f ca="1"/>
        <v>0</v>
      </c>
      <c r="S359">
        <f ca="1"/>
        <v>2.1440839972827445E-6</v>
      </c>
      <c r="T359">
        <f ca="1"/>
        <v>0.43250355774216859</v>
      </c>
      <c r="U359">
        <f ca="1"/>
        <v>0</v>
      </c>
      <c r="V359">
        <f ca="1"/>
        <v>0</v>
      </c>
      <c r="W359">
        <f ca="1"/>
        <v>0</v>
      </c>
      <c r="X359">
        <f ca="1"/>
        <v>0</v>
      </c>
      <c r="Y359">
        <f ca="1"/>
        <v>0.5928733427817362</v>
      </c>
      <c r="Z359">
        <f ca="1"/>
        <v>0</v>
      </c>
      <c r="AA359">
        <f ca="1"/>
        <v>0</v>
      </c>
      <c r="AB359">
        <f ca="1"/>
        <v>0</v>
      </c>
      <c r="AD359" s="2">
        <f t="shared" ca="1" si="52"/>
        <v>44604</v>
      </c>
      <c r="AE359" s="46">
        <f t="shared" ca="1" si="53"/>
        <v>0</v>
      </c>
      <c r="AG359" s="72">
        <f t="shared" ca="1" si="57"/>
        <v>100.90363411594562</v>
      </c>
      <c r="AH359" s="72">
        <f t="shared" ca="1" si="58"/>
        <v>100.90363411594562</v>
      </c>
      <c r="AI359" s="3">
        <f t="shared" ca="1" si="59"/>
        <v>0</v>
      </c>
    </row>
    <row r="360" spans="7:35" x14ac:dyDescent="0.25">
      <c r="G360" s="3">
        <f t="shared" si="54"/>
        <v>263</v>
      </c>
      <c r="H360" s="104">
        <f t="shared" si="56"/>
        <v>44458</v>
      </c>
      <c r="I360" s="131">
        <f>HLOOKUP($H$4,'Met Data'!$A$2:$F$368,G360,FALSE)</f>
        <v>12.1677419354838</v>
      </c>
      <c r="J360" s="131">
        <f ca="1">HLOOKUP($H$4,'Met Data'!$H$2:$M$368,G360,FALSE)*L360</f>
        <v>3.5774193548387001</v>
      </c>
      <c r="K360" s="105">
        <f>HLOOKUP($H$4,'Met Data'!$O$2:$T$368,G360,FALSE)</f>
        <v>2.2883058912546601</v>
      </c>
      <c r="L360">
        <f t="shared" ca="1" si="50"/>
        <v>1</v>
      </c>
      <c r="N360" t="b">
        <f t="shared" ca="1" si="55"/>
        <v>0</v>
      </c>
      <c r="O360" t="b">
        <f t="shared" ca="1" si="51"/>
        <v>0</v>
      </c>
      <c r="P360" s="2">
        <f ca="1"/>
        <v>44605</v>
      </c>
      <c r="Q360">
        <f ca="1"/>
        <v>101.32142708641921</v>
      </c>
      <c r="R360">
        <f ca="1"/>
        <v>0</v>
      </c>
      <c r="S360">
        <f ca="1"/>
        <v>1.7770472001781359E-6</v>
      </c>
      <c r="T360">
        <f ca="1"/>
        <v>0.41779119342638299</v>
      </c>
      <c r="U360">
        <f ca="1"/>
        <v>0</v>
      </c>
      <c r="V360">
        <f ca="1"/>
        <v>0</v>
      </c>
      <c r="W360">
        <f ca="1"/>
        <v>0</v>
      </c>
      <c r="X360">
        <f ca="1"/>
        <v>0</v>
      </c>
      <c r="Y360">
        <f ca="1"/>
        <v>0.57763993217444354</v>
      </c>
      <c r="Z360">
        <f ca="1"/>
        <v>0</v>
      </c>
      <c r="AA360">
        <f ca="1"/>
        <v>0</v>
      </c>
      <c r="AB360">
        <f ca="1"/>
        <v>0</v>
      </c>
      <c r="AD360" s="2">
        <f t="shared" ca="1" si="52"/>
        <v>44605</v>
      </c>
      <c r="AE360" s="46">
        <f t="shared" ca="1" si="53"/>
        <v>0</v>
      </c>
      <c r="AG360" s="72">
        <f t="shared" ca="1" si="57"/>
        <v>101.32142708641921</v>
      </c>
      <c r="AH360" s="72">
        <f t="shared" ca="1" si="58"/>
        <v>101.32142708641921</v>
      </c>
      <c r="AI360" s="3">
        <f t="shared" ca="1" si="59"/>
        <v>0</v>
      </c>
    </row>
    <row r="361" spans="7:35" x14ac:dyDescent="0.25">
      <c r="G361" s="3">
        <f t="shared" si="54"/>
        <v>264</v>
      </c>
      <c r="H361" s="104">
        <f t="shared" si="56"/>
        <v>44459</v>
      </c>
      <c r="I361" s="131">
        <f>HLOOKUP($H$4,'Met Data'!$A$2:$F$368,G361,FALSE)</f>
        <v>12.1064516129032</v>
      </c>
      <c r="J361" s="131">
        <f ca="1">HLOOKUP($H$4,'Met Data'!$H$2:$M$368,G361,FALSE)*L361</f>
        <v>2.6774193548387002</v>
      </c>
      <c r="K361" s="105">
        <f>HLOOKUP($H$4,'Met Data'!$O$2:$T$368,G361,FALSE)</f>
        <v>2.6656714596224198</v>
      </c>
      <c r="L361">
        <f t="shared" ca="1" si="50"/>
        <v>1</v>
      </c>
      <c r="N361" t="b">
        <f t="shared" ca="1" si="55"/>
        <v>0</v>
      </c>
      <c r="O361" t="b">
        <f t="shared" ca="1" si="51"/>
        <v>0</v>
      </c>
      <c r="P361" s="2">
        <f ca="1"/>
        <v>44606</v>
      </c>
      <c r="Q361">
        <f ca="1"/>
        <v>101.73769673113908</v>
      </c>
      <c r="R361">
        <f ca="1"/>
        <v>0</v>
      </c>
      <c r="S361">
        <f ca="1"/>
        <v>1.5271758103213646E-6</v>
      </c>
      <c r="T361">
        <f ca="1"/>
        <v>0.4162681175440599</v>
      </c>
      <c r="U361">
        <f ca="1"/>
        <v>0</v>
      </c>
      <c r="V361">
        <f ca="1"/>
        <v>0</v>
      </c>
      <c r="W361">
        <f ca="1"/>
        <v>0</v>
      </c>
      <c r="X361">
        <f ca="1"/>
        <v>0</v>
      </c>
      <c r="Y361">
        <f ca="1"/>
        <v>0.57361558158557346</v>
      </c>
      <c r="Z361">
        <f ca="1"/>
        <v>0</v>
      </c>
      <c r="AA361">
        <f ca="1"/>
        <v>0</v>
      </c>
      <c r="AB361">
        <f ca="1"/>
        <v>0</v>
      </c>
      <c r="AD361" s="2">
        <f t="shared" ca="1" si="52"/>
        <v>44606</v>
      </c>
      <c r="AE361" s="46">
        <f t="shared" ca="1" si="53"/>
        <v>0</v>
      </c>
      <c r="AG361" s="72">
        <f t="shared" ca="1" si="57"/>
        <v>101.73769673113908</v>
      </c>
      <c r="AH361" s="72">
        <f t="shared" ca="1" si="58"/>
        <v>101.73769673113908</v>
      </c>
      <c r="AI361" s="3">
        <f t="shared" ca="1" si="59"/>
        <v>0</v>
      </c>
    </row>
    <row r="362" spans="7:35" x14ac:dyDescent="0.25">
      <c r="G362" s="3">
        <f t="shared" si="54"/>
        <v>265</v>
      </c>
      <c r="H362" s="104">
        <f t="shared" si="56"/>
        <v>44460</v>
      </c>
      <c r="I362" s="131">
        <f>HLOOKUP($H$4,'Met Data'!$A$2:$F$368,G362,FALSE)</f>
        <v>12.012903225806401</v>
      </c>
      <c r="J362" s="131">
        <f ca="1">HLOOKUP($H$4,'Met Data'!$H$2:$M$368,G362,FALSE)*L362</f>
        <v>2.8193548387096699</v>
      </c>
      <c r="K362" s="105">
        <f>HLOOKUP($H$4,'Met Data'!$O$2:$T$368,G362,FALSE)</f>
        <v>2.6640837362866301</v>
      </c>
      <c r="L362">
        <f t="shared" ca="1" si="50"/>
        <v>1</v>
      </c>
      <c r="N362" t="b">
        <f t="shared" ca="1" si="55"/>
        <v>0</v>
      </c>
      <c r="O362" t="b">
        <f t="shared" ca="1" si="51"/>
        <v>0</v>
      </c>
      <c r="P362" s="2">
        <f ca="1"/>
        <v>44607</v>
      </c>
      <c r="Q362">
        <f ca="1"/>
        <v>102.14889435970569</v>
      </c>
      <c r="R362">
        <f ca="1"/>
        <v>0</v>
      </c>
      <c r="S362">
        <f ca="1"/>
        <v>1.3133599761542183E-6</v>
      </c>
      <c r="T362">
        <f ca="1"/>
        <v>0.41119631520664163</v>
      </c>
      <c r="U362">
        <f ca="1"/>
        <v>0</v>
      </c>
      <c r="V362">
        <f ca="1"/>
        <v>0</v>
      </c>
      <c r="W362">
        <f ca="1"/>
        <v>0</v>
      </c>
      <c r="X362">
        <f ca="1"/>
        <v>0</v>
      </c>
      <c r="Y362">
        <f ca="1"/>
        <v>0.57714207458187294</v>
      </c>
      <c r="Z362">
        <f ca="1"/>
        <v>0</v>
      </c>
      <c r="AA362">
        <f ca="1"/>
        <v>0</v>
      </c>
      <c r="AB362">
        <f ca="1"/>
        <v>0</v>
      </c>
      <c r="AD362" s="2">
        <f t="shared" ca="1" si="52"/>
        <v>44607</v>
      </c>
      <c r="AE362" s="46">
        <f t="shared" ca="1" si="53"/>
        <v>0</v>
      </c>
      <c r="AG362" s="72">
        <f t="shared" ca="1" si="57"/>
        <v>102.14889435970569</v>
      </c>
      <c r="AH362" s="72">
        <f t="shared" ca="1" si="58"/>
        <v>102.14889435970569</v>
      </c>
      <c r="AI362" s="3">
        <f t="shared" ca="1" si="59"/>
        <v>0</v>
      </c>
    </row>
    <row r="363" spans="7:35" x14ac:dyDescent="0.25">
      <c r="G363" s="3">
        <f t="shared" si="54"/>
        <v>266</v>
      </c>
      <c r="H363" s="104">
        <f t="shared" si="56"/>
        <v>44461</v>
      </c>
      <c r="I363" s="131">
        <f>HLOOKUP($H$4,'Met Data'!$A$2:$F$368,G363,FALSE)</f>
        <v>12.1612903225806</v>
      </c>
      <c r="J363" s="131">
        <f ca="1">HLOOKUP($H$4,'Met Data'!$H$2:$M$368,G363,FALSE)*L363</f>
        <v>4.2935483870967701</v>
      </c>
      <c r="K363" s="105">
        <f>HLOOKUP($H$4,'Met Data'!$O$2:$T$368,G363,FALSE)</f>
        <v>2.5405503102234701</v>
      </c>
      <c r="L363">
        <f t="shared" ca="1" si="50"/>
        <v>1</v>
      </c>
      <c r="N363" t="b">
        <f t="shared" ca="1" si="55"/>
        <v>0</v>
      </c>
      <c r="O363" t="b">
        <f t="shared" ca="1" si="51"/>
        <v>0</v>
      </c>
      <c r="P363" s="2">
        <f ca="1"/>
        <v>44608</v>
      </c>
      <c r="Q363">
        <f ca="1"/>
        <v>102.5553444904353</v>
      </c>
      <c r="R363">
        <f ca="1"/>
        <v>0</v>
      </c>
      <c r="S363">
        <f ca="1"/>
        <v>1.1248084866239616E-6</v>
      </c>
      <c r="T363">
        <f ca="1"/>
        <v>0.40644900592111405</v>
      </c>
      <c r="U363">
        <f ca="1"/>
        <v>0</v>
      </c>
      <c r="V363">
        <f ca="1"/>
        <v>0</v>
      </c>
      <c r="W363">
        <f ca="1"/>
        <v>0</v>
      </c>
      <c r="X363">
        <f ca="1"/>
        <v>0</v>
      </c>
      <c r="Y363">
        <f ca="1"/>
        <v>0.57365863967030184</v>
      </c>
      <c r="Z363">
        <f ca="1"/>
        <v>0</v>
      </c>
      <c r="AA363">
        <f ca="1"/>
        <v>0</v>
      </c>
      <c r="AB363">
        <f ca="1"/>
        <v>0</v>
      </c>
      <c r="AD363" s="2">
        <f t="shared" ca="1" si="52"/>
        <v>44608</v>
      </c>
      <c r="AE363" s="46">
        <f t="shared" ca="1" si="53"/>
        <v>0</v>
      </c>
      <c r="AG363" s="72">
        <f t="shared" ca="1" si="57"/>
        <v>102.5553444904353</v>
      </c>
      <c r="AH363" s="72">
        <f t="shared" ca="1" si="58"/>
        <v>102.5553444904353</v>
      </c>
      <c r="AI363" s="3">
        <f t="shared" ca="1" si="59"/>
        <v>0</v>
      </c>
    </row>
    <row r="364" spans="7:35" x14ac:dyDescent="0.25">
      <c r="G364" s="3">
        <f t="shared" si="54"/>
        <v>267</v>
      </c>
      <c r="H364" s="104">
        <f t="shared" si="56"/>
        <v>44462</v>
      </c>
      <c r="I364" s="131">
        <f>HLOOKUP($H$4,'Met Data'!$A$2:$F$368,G364,FALSE)</f>
        <v>12.285483870967701</v>
      </c>
      <c r="J364" s="131">
        <f ca="1">HLOOKUP($H$4,'Met Data'!$H$2:$M$368,G364,FALSE)*L364</f>
        <v>3.69677419354838</v>
      </c>
      <c r="K364" s="105">
        <f>HLOOKUP($H$4,'Met Data'!$O$2:$T$368,G364,FALSE)</f>
        <v>2.75659518409562</v>
      </c>
      <c r="L364">
        <f t="shared" ca="1" si="50"/>
        <v>1</v>
      </c>
      <c r="N364" t="b">
        <f t="shared" ca="1" si="55"/>
        <v>0</v>
      </c>
      <c r="O364" t="b">
        <f t="shared" ca="1" si="51"/>
        <v>0</v>
      </c>
      <c r="P364" s="2">
        <f ca="1"/>
        <v>44609</v>
      </c>
      <c r="Q364">
        <f ca="1"/>
        <v>102.97331479283257</v>
      </c>
      <c r="R364">
        <f ca="1"/>
        <v>0</v>
      </c>
      <c r="S364">
        <f ca="1"/>
        <v>1.0103293765317683E-6</v>
      </c>
      <c r="T364">
        <f ca="1"/>
        <v>0.41796929206789502</v>
      </c>
      <c r="U364">
        <f ca="1"/>
        <v>0</v>
      </c>
      <c r="V364">
        <f ca="1"/>
        <v>0</v>
      </c>
      <c r="W364">
        <f ca="1"/>
        <v>0</v>
      </c>
      <c r="X364">
        <f ca="1"/>
        <v>0</v>
      </c>
      <c r="Y364">
        <f ca="1"/>
        <v>0.59324069303642346</v>
      </c>
      <c r="Z364">
        <f ca="1"/>
        <v>0</v>
      </c>
      <c r="AA364">
        <f ca="1"/>
        <v>0</v>
      </c>
      <c r="AB364">
        <f ca="1"/>
        <v>0</v>
      </c>
      <c r="AD364" s="2">
        <f t="shared" ca="1" si="52"/>
        <v>44609</v>
      </c>
      <c r="AE364" s="46">
        <f t="shared" ca="1" si="53"/>
        <v>0</v>
      </c>
      <c r="AG364" s="72">
        <f t="shared" ca="1" si="57"/>
        <v>102.97331479283257</v>
      </c>
      <c r="AH364" s="72">
        <f t="shared" ca="1" si="58"/>
        <v>102.97331479283257</v>
      </c>
      <c r="AI364" s="3">
        <f t="shared" ca="1" si="59"/>
        <v>0</v>
      </c>
    </row>
    <row r="365" spans="7:35" x14ac:dyDescent="0.25">
      <c r="G365" s="3">
        <f t="shared" si="54"/>
        <v>268</v>
      </c>
      <c r="H365" s="104">
        <f t="shared" si="56"/>
        <v>44463</v>
      </c>
      <c r="I365" s="131">
        <f>HLOOKUP($H$4,'Met Data'!$A$2:$F$368,G365,FALSE)</f>
        <v>12.7274193548387</v>
      </c>
      <c r="J365" s="131">
        <f ca="1">HLOOKUP($H$4,'Met Data'!$H$2:$M$368,G365,FALSE)*L365</f>
        <v>4.4354838709677402</v>
      </c>
      <c r="K365" s="105">
        <f>HLOOKUP($H$4,'Met Data'!$O$2:$T$368,G365,FALSE)</f>
        <v>2.4043238309259301</v>
      </c>
      <c r="L365">
        <f t="shared" ca="1" si="50"/>
        <v>1</v>
      </c>
      <c r="N365" t="b">
        <f t="shared" ca="1" si="55"/>
        <v>0</v>
      </c>
      <c r="O365" t="b">
        <f t="shared" ca="1" si="51"/>
        <v>0</v>
      </c>
      <c r="P365" s="2">
        <f ca="1"/>
        <v>44610</v>
      </c>
      <c r="Q365">
        <f ca="1"/>
        <v>103.39108403231275</v>
      </c>
      <c r="R365">
        <f ca="1"/>
        <v>0</v>
      </c>
      <c r="S365">
        <f ca="1"/>
        <v>8.6651946605995996E-7</v>
      </c>
      <c r="T365">
        <f ca="1"/>
        <v>0.41776837296070435</v>
      </c>
      <c r="U365">
        <f ca="1"/>
        <v>0</v>
      </c>
      <c r="V365">
        <f ca="1"/>
        <v>0</v>
      </c>
      <c r="W365">
        <f ca="1"/>
        <v>0</v>
      </c>
      <c r="X365">
        <f ca="1"/>
        <v>0</v>
      </c>
      <c r="Y365">
        <f ca="1"/>
        <v>0.58578398395464004</v>
      </c>
      <c r="Z365">
        <f ca="1"/>
        <v>0</v>
      </c>
      <c r="AA365">
        <f ca="1"/>
        <v>0</v>
      </c>
      <c r="AB365">
        <f ca="1"/>
        <v>0</v>
      </c>
      <c r="AD365" s="2">
        <f t="shared" ca="1" si="52"/>
        <v>44610</v>
      </c>
      <c r="AE365" s="46">
        <f t="shared" ca="1" si="53"/>
        <v>0</v>
      </c>
      <c r="AG365" s="72">
        <f t="shared" ca="1" si="57"/>
        <v>103.39108403231275</v>
      </c>
      <c r="AH365" s="72">
        <f t="shared" ca="1" si="58"/>
        <v>103.39108403231275</v>
      </c>
      <c r="AI365" s="3">
        <f t="shared" ca="1" si="59"/>
        <v>0</v>
      </c>
    </row>
    <row r="366" spans="7:35" x14ac:dyDescent="0.25">
      <c r="G366" s="3">
        <f t="shared" si="54"/>
        <v>269</v>
      </c>
      <c r="H366" s="104">
        <f t="shared" si="56"/>
        <v>44464</v>
      </c>
      <c r="I366" s="131">
        <f>HLOOKUP($H$4,'Met Data'!$A$2:$F$368,G366,FALSE)</f>
        <v>12.4338709677419</v>
      </c>
      <c r="J366" s="131">
        <f ca="1">HLOOKUP($H$4,'Met Data'!$H$2:$M$368,G366,FALSE)*L366</f>
        <v>3.1290322580645098</v>
      </c>
      <c r="K366" s="105">
        <f>HLOOKUP($H$4,'Met Data'!$O$2:$T$368,G366,FALSE)</f>
        <v>2.32653952570764</v>
      </c>
      <c r="L366">
        <f t="shared" ca="1" si="50"/>
        <v>1</v>
      </c>
      <c r="N366" t="b">
        <f t="shared" ca="1" si="55"/>
        <v>0</v>
      </c>
      <c r="O366" t="b">
        <f t="shared" ca="1" si="51"/>
        <v>0</v>
      </c>
      <c r="P366" s="2">
        <f ca="1"/>
        <v>44611</v>
      </c>
      <c r="Q366">
        <f ca="1"/>
        <v>103.80595336623837</v>
      </c>
      <c r="R366">
        <f ca="1"/>
        <v>0</v>
      </c>
      <c r="S366">
        <f ca="1"/>
        <v>7.4147545347764899E-7</v>
      </c>
      <c r="T366">
        <f ca="1"/>
        <v>0.41486859245017954</v>
      </c>
      <c r="U366">
        <f ca="1"/>
        <v>0</v>
      </c>
      <c r="V366">
        <f ca="1"/>
        <v>0</v>
      </c>
      <c r="W366">
        <f ca="1"/>
        <v>0</v>
      </c>
      <c r="X366">
        <f ca="1"/>
        <v>0</v>
      </c>
      <c r="Y366">
        <f ca="1"/>
        <v>0.58037168346259393</v>
      </c>
      <c r="Z366">
        <f ca="1"/>
        <v>0</v>
      </c>
      <c r="AA366">
        <f ca="1"/>
        <v>0</v>
      </c>
      <c r="AB366">
        <f ca="1"/>
        <v>0</v>
      </c>
      <c r="AD366" s="2">
        <f t="shared" ca="1" si="52"/>
        <v>44611</v>
      </c>
      <c r="AE366" s="46">
        <f t="shared" ca="1" si="53"/>
        <v>0</v>
      </c>
      <c r="AG366" s="72">
        <f t="shared" ca="1" si="57"/>
        <v>103.80595336623838</v>
      </c>
      <c r="AH366" s="72">
        <f t="shared" ca="1" si="58"/>
        <v>103.80595336623837</v>
      </c>
      <c r="AI366" s="3">
        <f t="shared" ca="1" si="59"/>
        <v>0</v>
      </c>
    </row>
    <row r="367" spans="7:35" x14ac:dyDescent="0.25">
      <c r="G367" s="3">
        <f t="shared" si="54"/>
        <v>270</v>
      </c>
      <c r="H367" s="104">
        <f t="shared" si="56"/>
        <v>44465</v>
      </c>
      <c r="I367" s="131">
        <f>HLOOKUP($H$4,'Met Data'!$A$2:$F$368,G367,FALSE)</f>
        <v>12.341666666666599</v>
      </c>
      <c r="J367" s="131">
        <f ca="1">HLOOKUP($H$4,'Met Data'!$H$2:$M$368,G367,FALSE)*L367</f>
        <v>4.32666666666666</v>
      </c>
      <c r="K367" s="105">
        <f>HLOOKUP($H$4,'Met Data'!$O$2:$T$368,G367,FALSE)</f>
        <v>2.5198296361703401</v>
      </c>
      <c r="L367">
        <f t="shared" ca="1" si="50"/>
        <v>1</v>
      </c>
      <c r="N367" t="b">
        <f t="shared" ca="1" si="55"/>
        <v>0</v>
      </c>
      <c r="O367" t="b">
        <f t="shared" ca="1" si="51"/>
        <v>0</v>
      </c>
      <c r="P367" s="2">
        <f ca="1"/>
        <v>44612</v>
      </c>
      <c r="Q367">
        <f ca="1"/>
        <v>104.23164532954186</v>
      </c>
      <c r="R367">
        <f ca="1"/>
        <v>0</v>
      </c>
      <c r="S367">
        <f ca="1"/>
        <v>6.6026993177129183E-7</v>
      </c>
      <c r="T367">
        <f ca="1"/>
        <v>0.42569130303355263</v>
      </c>
      <c r="U367">
        <f ca="1"/>
        <v>0</v>
      </c>
      <c r="V367">
        <f ca="1"/>
        <v>0</v>
      </c>
      <c r="W367">
        <f ca="1"/>
        <v>0</v>
      </c>
      <c r="X367">
        <f ca="1"/>
        <v>0</v>
      </c>
      <c r="Y367">
        <f ca="1"/>
        <v>0.59494194065231387</v>
      </c>
      <c r="Z367">
        <f ca="1"/>
        <v>0</v>
      </c>
      <c r="AA367">
        <f ca="1"/>
        <v>0</v>
      </c>
      <c r="AB367">
        <f ca="1"/>
        <v>0</v>
      </c>
      <c r="AD367" s="2">
        <f t="shared" ca="1" si="52"/>
        <v>44612</v>
      </c>
      <c r="AE367" s="46">
        <f t="shared" ca="1" si="53"/>
        <v>0</v>
      </c>
      <c r="AG367" s="72">
        <f t="shared" ca="1" si="57"/>
        <v>104.23164532954186</v>
      </c>
      <c r="AH367" s="72">
        <f t="shared" ca="1" si="58"/>
        <v>104.23164532954186</v>
      </c>
      <c r="AI367" s="3">
        <f t="shared" ca="1" si="59"/>
        <v>0</v>
      </c>
    </row>
    <row r="368" spans="7:35" x14ac:dyDescent="0.25">
      <c r="G368" s="3">
        <f t="shared" si="54"/>
        <v>271</v>
      </c>
      <c r="H368" s="104">
        <f t="shared" si="56"/>
        <v>44466</v>
      </c>
      <c r="I368" s="131">
        <f>HLOOKUP($H$4,'Met Data'!$A$2:$F$368,G368,FALSE)</f>
        <v>12.7183333333333</v>
      </c>
      <c r="J368" s="131">
        <f ca="1">HLOOKUP($H$4,'Met Data'!$H$2:$M$368,G368,FALSE)*L368</f>
        <v>2.83</v>
      </c>
      <c r="K368" s="105">
        <f>HLOOKUP($H$4,'Met Data'!$O$2:$T$368,G368,FALSE)</f>
        <v>2.6371707298843199</v>
      </c>
      <c r="L368">
        <f t="shared" ca="1" si="50"/>
        <v>1</v>
      </c>
      <c r="N368" t="b">
        <f t="shared" ca="1" si="55"/>
        <v>0</v>
      </c>
      <c r="O368" t="b">
        <f t="shared" ca="1" si="51"/>
        <v>0</v>
      </c>
      <c r="P368" s="2">
        <f ca="1"/>
        <v>44613</v>
      </c>
      <c r="Q368">
        <f ca="1"/>
        <v>104.65902670083797</v>
      </c>
      <c r="R368">
        <f ca="1"/>
        <v>0</v>
      </c>
      <c r="S368">
        <f ca="1"/>
        <v>5.7259277520048431E-7</v>
      </c>
      <c r="T368">
        <f ca="1"/>
        <v>0.42738079870332407</v>
      </c>
      <c r="U368">
        <f ca="1"/>
        <v>0</v>
      </c>
      <c r="V368">
        <f ca="1"/>
        <v>0</v>
      </c>
      <c r="W368">
        <f ca="1"/>
        <v>0</v>
      </c>
      <c r="X368">
        <f ca="1"/>
        <v>0</v>
      </c>
      <c r="Y368">
        <f ca="1"/>
        <v>0.60142916275782576</v>
      </c>
      <c r="Z368">
        <f ca="1"/>
        <v>0</v>
      </c>
      <c r="AA368">
        <f ca="1"/>
        <v>0</v>
      </c>
      <c r="AB368">
        <f ca="1"/>
        <v>0</v>
      </c>
      <c r="AD368" s="2">
        <f t="shared" ca="1" si="52"/>
        <v>44613</v>
      </c>
      <c r="AE368" s="46">
        <f t="shared" ca="1" si="53"/>
        <v>0</v>
      </c>
      <c r="AG368" s="72">
        <f t="shared" ca="1" si="57"/>
        <v>104.65902670083797</v>
      </c>
      <c r="AH368" s="72">
        <f t="shared" ca="1" si="58"/>
        <v>104.65902670083797</v>
      </c>
      <c r="AI368" s="3">
        <f t="shared" ca="1" si="59"/>
        <v>0</v>
      </c>
    </row>
    <row r="369" spans="7:35" x14ac:dyDescent="0.25">
      <c r="G369" s="3">
        <f t="shared" si="54"/>
        <v>272</v>
      </c>
      <c r="H369" s="104">
        <f t="shared" si="56"/>
        <v>44467</v>
      </c>
      <c r="I369" s="131">
        <f>HLOOKUP($H$4,'Met Data'!$A$2:$F$368,G369,FALSE)</f>
        <v>13.04</v>
      </c>
      <c r="J369" s="131">
        <f ca="1">HLOOKUP($H$4,'Met Data'!$H$2:$M$368,G369,FALSE)*L369</f>
        <v>4.2233333333333301</v>
      </c>
      <c r="K369" s="105">
        <f>HLOOKUP($H$4,'Met Data'!$O$2:$T$368,G369,FALSE)</f>
        <v>2.4067153885809098</v>
      </c>
      <c r="L369">
        <f t="shared" ca="1" si="50"/>
        <v>1</v>
      </c>
      <c r="N369" t="b">
        <f t="shared" ca="1" si="55"/>
        <v>0</v>
      </c>
      <c r="O369" t="b">
        <f t="shared" ca="1" si="51"/>
        <v>0</v>
      </c>
      <c r="P369" s="2">
        <f ca="1"/>
        <v>44614</v>
      </c>
      <c r="Q369">
        <f ca="1"/>
        <v>105.07695450959748</v>
      </c>
      <c r="R369">
        <f ca="1"/>
        <v>0</v>
      </c>
      <c r="S369">
        <f ca="1"/>
        <v>4.8256435756100435E-7</v>
      </c>
      <c r="T369">
        <f ca="1"/>
        <v>0.4179273261951526</v>
      </c>
      <c r="U369">
        <f ca="1"/>
        <v>0</v>
      </c>
      <c r="V369">
        <f ca="1"/>
        <v>0</v>
      </c>
      <c r="W369">
        <f ca="1"/>
        <v>0</v>
      </c>
      <c r="X369">
        <f ca="1"/>
        <v>0</v>
      </c>
      <c r="Y369">
        <f ca="1"/>
        <v>0.59603297144950829</v>
      </c>
      <c r="Z369">
        <f ca="1"/>
        <v>0</v>
      </c>
      <c r="AA369">
        <f ca="1"/>
        <v>0</v>
      </c>
      <c r="AB369">
        <f ca="1"/>
        <v>0</v>
      </c>
      <c r="AD369" s="2">
        <f t="shared" ca="1" si="52"/>
        <v>44614</v>
      </c>
      <c r="AE369" s="46">
        <f t="shared" ca="1" si="53"/>
        <v>0</v>
      </c>
      <c r="AG369" s="72">
        <f t="shared" ca="1" si="57"/>
        <v>105.07695450959748</v>
      </c>
      <c r="AH369" s="72">
        <f t="shared" ca="1" si="58"/>
        <v>105.07695450959748</v>
      </c>
      <c r="AI369" s="3">
        <f t="shared" ca="1" si="59"/>
        <v>0</v>
      </c>
    </row>
    <row r="370" spans="7:35" x14ac:dyDescent="0.25">
      <c r="G370" s="3">
        <f t="shared" si="54"/>
        <v>273</v>
      </c>
      <c r="H370" s="104">
        <f t="shared" si="56"/>
        <v>44468</v>
      </c>
      <c r="I370" s="131">
        <f>HLOOKUP($H$4,'Met Data'!$A$2:$F$368,G370,FALSE)</f>
        <v>13.381034482758601</v>
      </c>
      <c r="J370" s="131">
        <f ca="1">HLOOKUP($H$4,'Met Data'!$H$2:$M$368,G370,FALSE)*L370</f>
        <v>3.7620689655172401</v>
      </c>
      <c r="K370" s="105">
        <f>HLOOKUP($H$4,'Met Data'!$O$2:$T$368,G370,FALSE)</f>
        <v>2.71659484771267</v>
      </c>
      <c r="L370">
        <f t="shared" ca="1" si="50"/>
        <v>1</v>
      </c>
      <c r="N370" t="b">
        <f t="shared" ca="1" si="55"/>
        <v>0</v>
      </c>
      <c r="O370" t="b">
        <f t="shared" ca="1" si="51"/>
        <v>0</v>
      </c>
      <c r="P370" s="2">
        <f ca="1"/>
        <v>44615</v>
      </c>
      <c r="Q370">
        <f ca="1"/>
        <v>105.49876780280881</v>
      </c>
      <c r="R370">
        <f ca="1"/>
        <v>0</v>
      </c>
      <c r="S370">
        <f ca="1"/>
        <v>4.2121751744428673E-7</v>
      </c>
      <c r="T370">
        <f ca="1"/>
        <v>0.42181287199380568</v>
      </c>
      <c r="U370">
        <f ca="1"/>
        <v>0</v>
      </c>
      <c r="V370">
        <f ca="1"/>
        <v>0</v>
      </c>
      <c r="W370">
        <f ca="1"/>
        <v>0</v>
      </c>
      <c r="X370">
        <f ca="1"/>
        <v>0</v>
      </c>
      <c r="Y370">
        <f ca="1"/>
        <v>0.60360431246922319</v>
      </c>
      <c r="Z370">
        <f ca="1"/>
        <v>0</v>
      </c>
      <c r="AA370">
        <f ca="1"/>
        <v>0</v>
      </c>
      <c r="AB370">
        <f ca="1"/>
        <v>0</v>
      </c>
      <c r="AD370" s="2">
        <f t="shared" ca="1" si="52"/>
        <v>44615</v>
      </c>
      <c r="AE370" s="46">
        <f t="shared" ca="1" si="53"/>
        <v>0</v>
      </c>
      <c r="AG370" s="72">
        <f t="shared" ca="1" si="57"/>
        <v>105.49876780280881</v>
      </c>
      <c r="AH370" s="72">
        <f t="shared" ca="1" si="58"/>
        <v>105.49876780280881</v>
      </c>
      <c r="AI370" s="3">
        <f t="shared" ca="1" si="59"/>
        <v>0</v>
      </c>
    </row>
    <row r="371" spans="7:35" x14ac:dyDescent="0.25">
      <c r="G371" s="3">
        <f t="shared" si="54"/>
        <v>274</v>
      </c>
      <c r="H371" s="104">
        <f t="shared" si="56"/>
        <v>44469</v>
      </c>
      <c r="I371" s="131">
        <f>HLOOKUP($H$4,'Met Data'!$A$2:$F$368,G371,FALSE)</f>
        <v>13.274137931034399</v>
      </c>
      <c r="J371" s="131">
        <f ca="1">HLOOKUP($H$4,'Met Data'!$H$2:$M$368,G371,FALSE)*L371</f>
        <v>5.4793103448275797</v>
      </c>
      <c r="K371" s="105">
        <f>HLOOKUP($H$4,'Met Data'!$O$2:$T$368,G371,FALSE)</f>
        <v>2.6496213239398698</v>
      </c>
      <c r="L371">
        <f t="shared" ca="1" si="50"/>
        <v>1</v>
      </c>
      <c r="N371" t="b">
        <f t="shared" ca="1" si="55"/>
        <v>0</v>
      </c>
      <c r="O371" t="b">
        <f t="shared" ca="1" si="51"/>
        <v>0</v>
      </c>
      <c r="P371" s="2">
        <f ca="1"/>
        <v>44616</v>
      </c>
      <c r="Q371">
        <f ca="1"/>
        <v>105.90458770780855</v>
      </c>
      <c r="R371">
        <f ca="1"/>
        <v>0</v>
      </c>
      <c r="S371">
        <f ca="1"/>
        <v>3.5121853497600051E-7</v>
      </c>
      <c r="T371">
        <f ca="1"/>
        <v>0.40581955378120166</v>
      </c>
      <c r="U371">
        <f ca="1"/>
        <v>0</v>
      </c>
      <c r="V371">
        <f ca="1"/>
        <v>0</v>
      </c>
      <c r="W371">
        <f ca="1"/>
        <v>0</v>
      </c>
      <c r="X371">
        <f ca="1"/>
        <v>0</v>
      </c>
      <c r="Y371">
        <f ca="1"/>
        <v>0.59796857834876105</v>
      </c>
      <c r="Z371">
        <f ca="1"/>
        <v>0</v>
      </c>
      <c r="AA371">
        <f ca="1"/>
        <v>0</v>
      </c>
      <c r="AB371">
        <f ca="1"/>
        <v>0</v>
      </c>
      <c r="AD371" s="2">
        <f t="shared" ca="1" si="52"/>
        <v>44616</v>
      </c>
      <c r="AE371" s="46">
        <f t="shared" ca="1" si="53"/>
        <v>0</v>
      </c>
      <c r="AG371" s="72">
        <f t="shared" ca="1" si="57"/>
        <v>105.90458770780855</v>
      </c>
      <c r="AH371" s="72">
        <f t="shared" ca="1" si="58"/>
        <v>105.90458770780855</v>
      </c>
      <c r="AI371" s="3">
        <f t="shared" ca="1" si="59"/>
        <v>0</v>
      </c>
    </row>
    <row r="372" spans="7:35" x14ac:dyDescent="0.25">
      <c r="G372" s="3">
        <f t="shared" si="54"/>
        <v>275</v>
      </c>
      <c r="H372" s="104">
        <f t="shared" si="56"/>
        <v>44470</v>
      </c>
      <c r="I372" s="131">
        <f>HLOOKUP($H$4,'Met Data'!$A$2:$F$368,G372,FALSE)</f>
        <v>13.0233333333333</v>
      </c>
      <c r="J372" s="131">
        <f ca="1">HLOOKUP($H$4,'Met Data'!$H$2:$M$368,G372,FALSE)*L372</f>
        <v>7.2033333333333296</v>
      </c>
      <c r="K372" s="105">
        <f>HLOOKUP($H$4,'Met Data'!$O$2:$T$368,G372,FALSE)</f>
        <v>2.7120872842053001</v>
      </c>
      <c r="L372">
        <f t="shared" ca="1" si="50"/>
        <v>1</v>
      </c>
      <c r="N372" t="b">
        <f t="shared" ca="1" si="55"/>
        <v>0</v>
      </c>
      <c r="O372" t="b">
        <f t="shared" ca="1" si="51"/>
        <v>0</v>
      </c>
      <c r="P372" s="2">
        <f ca="1"/>
        <v>44617</v>
      </c>
      <c r="Q372">
        <f ca="1"/>
        <v>106.29091050378668</v>
      </c>
      <c r="R372">
        <f ca="1"/>
        <v>0</v>
      </c>
      <c r="S372">
        <f ca="1"/>
        <v>2.911590666530125E-7</v>
      </c>
      <c r="T372">
        <f ca="1"/>
        <v>0.38632250481906233</v>
      </c>
      <c r="U372">
        <f ca="1"/>
        <v>0</v>
      </c>
      <c r="V372">
        <f ca="1"/>
        <v>0</v>
      </c>
      <c r="W372">
        <f ca="1"/>
        <v>0</v>
      </c>
      <c r="X372">
        <f ca="1"/>
        <v>0</v>
      </c>
      <c r="Y372">
        <f ca="1"/>
        <v>0.58842960483255724</v>
      </c>
      <c r="Z372">
        <f ca="1"/>
        <v>0</v>
      </c>
      <c r="AA372">
        <f ca="1"/>
        <v>0</v>
      </c>
      <c r="AB372">
        <f ca="1"/>
        <v>0</v>
      </c>
      <c r="AD372" s="2">
        <f t="shared" ca="1" si="52"/>
        <v>44617</v>
      </c>
      <c r="AE372" s="46">
        <f t="shared" ca="1" si="53"/>
        <v>0</v>
      </c>
      <c r="AG372" s="72">
        <f t="shared" ca="1" si="57"/>
        <v>106.29091050378668</v>
      </c>
      <c r="AH372" s="72">
        <f t="shared" ca="1" si="58"/>
        <v>106.29091050378668</v>
      </c>
      <c r="AI372" s="3">
        <f t="shared" ca="1" si="59"/>
        <v>0</v>
      </c>
    </row>
    <row r="373" spans="7:35" x14ac:dyDescent="0.25">
      <c r="G373" s="3">
        <f t="shared" si="54"/>
        <v>276</v>
      </c>
      <c r="H373" s="104">
        <f t="shared" si="56"/>
        <v>44471</v>
      </c>
      <c r="I373" s="131">
        <f>HLOOKUP($H$4,'Met Data'!$A$2:$F$368,G373,FALSE)</f>
        <v>12.938333333333301</v>
      </c>
      <c r="J373" s="131">
        <f ca="1">HLOOKUP($H$4,'Met Data'!$H$2:$M$368,G373,FALSE)*L373</f>
        <v>4.3633333333333297</v>
      </c>
      <c r="K373" s="105">
        <f>HLOOKUP($H$4,'Met Data'!$O$2:$T$368,G373,FALSE)</f>
        <v>2.5284096014561799</v>
      </c>
      <c r="L373">
        <f t="shared" ca="1" si="50"/>
        <v>1</v>
      </c>
      <c r="N373" t="b">
        <f t="shared" ca="1" si="55"/>
        <v>0</v>
      </c>
      <c r="O373" t="b">
        <f t="shared" ca="1" si="51"/>
        <v>0</v>
      </c>
      <c r="P373" s="2">
        <f ca="1"/>
        <v>44618</v>
      </c>
      <c r="Q373">
        <f ca="1"/>
        <v>106.67883268587426</v>
      </c>
      <c r="R373">
        <f ca="1"/>
        <v>0</v>
      </c>
      <c r="S373">
        <f ca="1"/>
        <v>2.5374011550504365E-7</v>
      </c>
      <c r="T373">
        <f ca="1"/>
        <v>0.38792192834746475</v>
      </c>
      <c r="U373">
        <f ca="1"/>
        <v>0</v>
      </c>
      <c r="V373">
        <f ca="1"/>
        <v>0</v>
      </c>
      <c r="W373">
        <f ca="1"/>
        <v>0</v>
      </c>
      <c r="X373">
        <f ca="1"/>
        <v>0</v>
      </c>
      <c r="Y373">
        <f ca="1"/>
        <v>0.58538522485502087</v>
      </c>
      <c r="Z373">
        <f ca="1"/>
        <v>0</v>
      </c>
      <c r="AA373">
        <f ca="1"/>
        <v>0</v>
      </c>
      <c r="AB373">
        <f ca="1"/>
        <v>0</v>
      </c>
      <c r="AD373" s="2">
        <f t="shared" ca="1" si="52"/>
        <v>44618</v>
      </c>
      <c r="AE373" s="46">
        <f t="shared" ca="1" si="53"/>
        <v>0</v>
      </c>
      <c r="AG373" s="72">
        <f t="shared" ca="1" si="57"/>
        <v>106.67883268587426</v>
      </c>
      <c r="AH373" s="72">
        <f t="shared" ca="1" si="58"/>
        <v>106.67883268587426</v>
      </c>
      <c r="AI373" s="3">
        <f t="shared" ca="1" si="59"/>
        <v>0</v>
      </c>
    </row>
    <row r="374" spans="7:35" x14ac:dyDescent="0.25">
      <c r="G374" s="3">
        <f t="shared" si="54"/>
        <v>277</v>
      </c>
      <c r="H374" s="104">
        <f t="shared" si="56"/>
        <v>44472</v>
      </c>
      <c r="I374" s="131">
        <f>HLOOKUP($H$4,'Met Data'!$A$2:$F$368,G374,FALSE)</f>
        <v>13.2433333333333</v>
      </c>
      <c r="J374" s="131">
        <f ca="1">HLOOKUP($H$4,'Met Data'!$H$2:$M$368,G374,FALSE)*L374</f>
        <v>5.1333333333333302</v>
      </c>
      <c r="K374" s="105">
        <f>HLOOKUP($H$4,'Met Data'!$O$2:$T$368,G374,FALSE)</f>
        <v>2.88480468453885</v>
      </c>
      <c r="L374">
        <f t="shared" ca="1" si="50"/>
        <v>1</v>
      </c>
      <c r="N374" t="b">
        <f t="shared" ca="1" si="55"/>
        <v>0</v>
      </c>
      <c r="O374" t="b">
        <f t="shared" ca="1" si="51"/>
        <v>0</v>
      </c>
      <c r="P374" s="2">
        <f ca="1"/>
        <v>44619</v>
      </c>
      <c r="Q374">
        <f ca="1"/>
        <v>107.06685154715956</v>
      </c>
      <c r="R374">
        <f ca="1"/>
        <v>0</v>
      </c>
      <c r="S374">
        <f ca="1"/>
        <v>2.2002228373238725E-7</v>
      </c>
      <c r="T374">
        <f ca="1"/>
        <v>0.38801864126301305</v>
      </c>
      <c r="U374">
        <f ca="1"/>
        <v>0</v>
      </c>
      <c r="V374">
        <f ca="1"/>
        <v>0</v>
      </c>
      <c r="W374">
        <f ca="1"/>
        <v>0</v>
      </c>
      <c r="X374">
        <f ca="1"/>
        <v>0</v>
      </c>
      <c r="Y374">
        <f ca="1"/>
        <v>0.57963333082565882</v>
      </c>
      <c r="Z374">
        <f ca="1"/>
        <v>0</v>
      </c>
      <c r="AA374">
        <f ca="1"/>
        <v>0</v>
      </c>
      <c r="AB374">
        <f ca="1"/>
        <v>0</v>
      </c>
      <c r="AD374" s="2">
        <f t="shared" ca="1" si="52"/>
        <v>44619</v>
      </c>
      <c r="AE374" s="46">
        <f t="shared" ca="1" si="53"/>
        <v>0</v>
      </c>
      <c r="AG374" s="72">
        <f t="shared" ca="1" si="57"/>
        <v>107.06685154715956</v>
      </c>
      <c r="AH374" s="72">
        <f t="shared" ca="1" si="58"/>
        <v>107.06685154715956</v>
      </c>
      <c r="AI374" s="3">
        <f t="shared" ca="1" si="59"/>
        <v>0</v>
      </c>
    </row>
    <row r="375" spans="7:35" x14ac:dyDescent="0.25">
      <c r="G375" s="3">
        <f t="shared" si="54"/>
        <v>278</v>
      </c>
      <c r="H375" s="104">
        <f t="shared" si="56"/>
        <v>44473</v>
      </c>
      <c r="I375" s="131">
        <f>HLOOKUP($H$4,'Met Data'!$A$2:$F$368,G375,FALSE)</f>
        <v>12.85</v>
      </c>
      <c r="J375" s="131">
        <f ca="1">HLOOKUP($H$4,'Met Data'!$H$2:$M$368,G375,FALSE)*L375</f>
        <v>2.5033333333333299</v>
      </c>
      <c r="K375" s="105">
        <f>HLOOKUP($H$4,'Met Data'!$O$2:$T$368,G375,FALSE)</f>
        <v>2.7808067783335901</v>
      </c>
      <c r="L375">
        <f t="shared" ca="1" si="50"/>
        <v>1</v>
      </c>
      <c r="N375" t="b">
        <f t="shared" ca="1" si="55"/>
        <v>0</v>
      </c>
      <c r="O375" t="b">
        <f t="shared" ca="1" si="51"/>
        <v>0</v>
      </c>
      <c r="P375" s="2">
        <f ca="1"/>
        <v>44620</v>
      </c>
      <c r="Q375">
        <f ca="1"/>
        <v>107.45357406975565</v>
      </c>
      <c r="R375">
        <f ca="1"/>
        <v>0</v>
      </c>
      <c r="S375">
        <f ca="1"/>
        <v>1.9292877951947126E-7</v>
      </c>
      <c r="T375">
        <f ca="1"/>
        <v>0.38672232966730674</v>
      </c>
      <c r="U375">
        <f ca="1"/>
        <v>0</v>
      </c>
      <c r="V375">
        <f ca="1"/>
        <v>0</v>
      </c>
      <c r="W375">
        <f ca="1"/>
        <v>0</v>
      </c>
      <c r="X375">
        <f ca="1"/>
        <v>0</v>
      </c>
      <c r="Y375">
        <f ca="1"/>
        <v>0.59180422743123062</v>
      </c>
      <c r="Z375">
        <f ca="1"/>
        <v>0</v>
      </c>
      <c r="AA375">
        <f ca="1"/>
        <v>0</v>
      </c>
      <c r="AB375">
        <f ca="1"/>
        <v>0</v>
      </c>
      <c r="AD375" s="2">
        <f t="shared" ca="1" si="52"/>
        <v>44620</v>
      </c>
      <c r="AE375" s="46">
        <f t="shared" ca="1" si="53"/>
        <v>0</v>
      </c>
      <c r="AG375" s="72">
        <f t="shared" ca="1" si="57"/>
        <v>107.45357406975565</v>
      </c>
      <c r="AH375" s="72">
        <f t="shared" ca="1" si="58"/>
        <v>107.45357406975565</v>
      </c>
      <c r="AI375" s="3">
        <f t="shared" ca="1" si="59"/>
        <v>0</v>
      </c>
    </row>
    <row r="376" spans="7:35" x14ac:dyDescent="0.25">
      <c r="G376" s="3">
        <f t="shared" si="54"/>
        <v>279</v>
      </c>
      <c r="H376" s="104">
        <f t="shared" si="56"/>
        <v>44474</v>
      </c>
      <c r="I376" s="131">
        <f>HLOOKUP($H$4,'Met Data'!$A$2:$F$368,G376,FALSE)</f>
        <v>12.875806451612901</v>
      </c>
      <c r="J376" s="131">
        <f ca="1">HLOOKUP($H$4,'Met Data'!$H$2:$M$368,G376,FALSE)*L376</f>
        <v>4.1354838709677404</v>
      </c>
      <c r="K376" s="105">
        <f>HLOOKUP($H$4,'Met Data'!$O$2:$T$368,G376,FALSE)</f>
        <v>3.0772949163384999</v>
      </c>
      <c r="L376">
        <f t="shared" ca="1" si="50"/>
        <v>1</v>
      </c>
      <c r="N376" t="b">
        <f t="shared" ca="1" si="55"/>
        <v>0</v>
      </c>
      <c r="O376" t="b">
        <f t="shared" ca="1" si="51"/>
        <v>0</v>
      </c>
      <c r="P376" s="2">
        <f ca="1"/>
        <v>44621</v>
      </c>
      <c r="Q376">
        <f ca="1"/>
        <v>107.85073537842305</v>
      </c>
      <c r="R376">
        <f ca="1"/>
        <v>0</v>
      </c>
      <c r="S376">
        <f ca="1"/>
        <v>1.7319848210740715E-7</v>
      </c>
      <c r="T376">
        <f ca="1"/>
        <v>0.39716113546891652</v>
      </c>
      <c r="U376">
        <f ca="1"/>
        <v>0</v>
      </c>
      <c r="V376">
        <f ca="1"/>
        <v>0</v>
      </c>
      <c r="W376">
        <f ca="1"/>
        <v>0</v>
      </c>
      <c r="X376">
        <f ca="1"/>
        <v>0</v>
      </c>
      <c r="Y376">
        <f ca="1"/>
        <v>0.60840252036608056</v>
      </c>
      <c r="Z376">
        <f ca="1"/>
        <v>0</v>
      </c>
      <c r="AA376">
        <f ca="1"/>
        <v>0</v>
      </c>
      <c r="AB376">
        <f ca="1"/>
        <v>0</v>
      </c>
      <c r="AD376" s="2">
        <f t="shared" ca="1" si="52"/>
        <v>44621</v>
      </c>
      <c r="AE376" s="46">
        <f t="shared" ca="1" si="53"/>
        <v>0</v>
      </c>
      <c r="AG376" s="72">
        <f t="shared" ca="1" si="57"/>
        <v>107.85073537842305</v>
      </c>
      <c r="AH376" s="72">
        <f t="shared" ca="1" si="58"/>
        <v>107.85073537842305</v>
      </c>
      <c r="AI376" s="3">
        <f t="shared" ca="1" si="59"/>
        <v>0</v>
      </c>
    </row>
    <row r="377" spans="7:35" x14ac:dyDescent="0.25">
      <c r="G377" s="3">
        <f t="shared" si="54"/>
        <v>280</v>
      </c>
      <c r="H377" s="104">
        <f t="shared" si="56"/>
        <v>44475</v>
      </c>
      <c r="I377" s="131">
        <f>HLOOKUP($H$4,'Met Data'!$A$2:$F$368,G377,FALSE)</f>
        <v>12.9966666666666</v>
      </c>
      <c r="J377" s="131">
        <f ca="1">HLOOKUP($H$4,'Met Data'!$H$2:$M$368,G377,FALSE)*L377</f>
        <v>2.96999999999999</v>
      </c>
      <c r="K377" s="105">
        <f>HLOOKUP($H$4,'Met Data'!$O$2:$T$368,G377,FALSE)</f>
        <v>3.1690364753373701</v>
      </c>
      <c r="L377">
        <f t="shared" ca="1" si="50"/>
        <v>1</v>
      </c>
      <c r="N377" t="b">
        <f t="shared" ca="1" si="55"/>
        <v>0</v>
      </c>
      <c r="O377" t="b">
        <f t="shared" ca="1" si="51"/>
        <v>0</v>
      </c>
      <c r="P377" s="2">
        <f ca="1"/>
        <v>44622</v>
      </c>
      <c r="Q377">
        <f ca="1"/>
        <v>108.26014969319901</v>
      </c>
      <c r="R377">
        <f ca="1"/>
        <v>0</v>
      </c>
      <c r="S377">
        <f ca="1"/>
        <v>1.535281031020064E-7</v>
      </c>
      <c r="T377">
        <f ca="1"/>
        <v>0.40941416124785357</v>
      </c>
      <c r="U377">
        <f ca="1"/>
        <v>0</v>
      </c>
      <c r="V377">
        <f ca="1"/>
        <v>0</v>
      </c>
      <c r="W377">
        <f ca="1"/>
        <v>0</v>
      </c>
      <c r="X377">
        <f ca="1"/>
        <v>0</v>
      </c>
      <c r="Y377">
        <f ca="1"/>
        <v>0.60962968280313257</v>
      </c>
      <c r="Z377">
        <f ca="1"/>
        <v>0</v>
      </c>
      <c r="AA377">
        <f ca="1"/>
        <v>0</v>
      </c>
      <c r="AB377">
        <f ca="1"/>
        <v>0</v>
      </c>
      <c r="AD377" s="2">
        <f t="shared" ca="1" si="52"/>
        <v>44622</v>
      </c>
      <c r="AE377" s="46">
        <f t="shared" ca="1" si="53"/>
        <v>0</v>
      </c>
      <c r="AG377" s="72">
        <f t="shared" ca="1" si="57"/>
        <v>108.26014969319901</v>
      </c>
      <c r="AH377" s="72">
        <f t="shared" ca="1" si="58"/>
        <v>108.26014969319901</v>
      </c>
      <c r="AI377" s="3">
        <f t="shared" ca="1" si="59"/>
        <v>0</v>
      </c>
    </row>
    <row r="378" spans="7:35" x14ac:dyDescent="0.25">
      <c r="G378" s="3">
        <f t="shared" si="54"/>
        <v>281</v>
      </c>
      <c r="H378" s="104">
        <f t="shared" si="56"/>
        <v>44476</v>
      </c>
      <c r="I378" s="131">
        <f>HLOOKUP($H$4,'Met Data'!$A$2:$F$368,G378,FALSE)</f>
        <v>12.7633333333333</v>
      </c>
      <c r="J378" s="131">
        <f ca="1">HLOOKUP($H$4,'Met Data'!$H$2:$M$368,G378,FALSE)*L378</f>
        <v>2.61</v>
      </c>
      <c r="K378" s="105">
        <f>HLOOKUP($H$4,'Met Data'!$O$2:$T$368,G378,FALSE)</f>
        <v>2.8220150579732999</v>
      </c>
      <c r="L378">
        <f t="shared" ca="1" si="50"/>
        <v>1</v>
      </c>
      <c r="N378" t="b">
        <f t="shared" ca="1" si="55"/>
        <v>0</v>
      </c>
      <c r="O378" t="b">
        <f t="shared" ca="1" si="51"/>
        <v>0</v>
      </c>
      <c r="P378" s="2">
        <f ca="1"/>
        <v>44623</v>
      </c>
      <c r="Q378">
        <f ca="1"/>
        <v>108.67736577115451</v>
      </c>
      <c r="R378">
        <f ca="1"/>
        <v>0</v>
      </c>
      <c r="S378">
        <f ca="1"/>
        <v>1.353203167860866E-7</v>
      </c>
      <c r="T378">
        <f ca="1"/>
        <v>0.41721594263517886</v>
      </c>
      <c r="U378">
        <f ca="1"/>
        <v>0</v>
      </c>
      <c r="V378">
        <f ca="1"/>
        <v>0</v>
      </c>
      <c r="W378">
        <f ca="1"/>
        <v>0</v>
      </c>
      <c r="X378">
        <f ca="1"/>
        <v>0</v>
      </c>
      <c r="Y378">
        <f ca="1"/>
        <v>0.62056232613050233</v>
      </c>
      <c r="Z378">
        <f ca="1"/>
        <v>0</v>
      </c>
      <c r="AA378">
        <f ca="1"/>
        <v>0</v>
      </c>
      <c r="AB378">
        <f ca="1"/>
        <v>0</v>
      </c>
      <c r="AD378" s="2">
        <f t="shared" ca="1" si="52"/>
        <v>44623</v>
      </c>
      <c r="AE378" s="46">
        <f t="shared" ca="1" si="53"/>
        <v>0</v>
      </c>
      <c r="AG378" s="72">
        <f t="shared" ca="1" si="57"/>
        <v>108.67736577115451</v>
      </c>
      <c r="AH378" s="72">
        <f t="shared" ca="1" si="58"/>
        <v>108.67736577115451</v>
      </c>
      <c r="AI378" s="3">
        <f t="shared" ca="1" si="59"/>
        <v>0</v>
      </c>
    </row>
    <row r="379" spans="7:35" x14ac:dyDescent="0.25">
      <c r="G379" s="3">
        <f t="shared" si="54"/>
        <v>282</v>
      </c>
      <c r="H379" s="104">
        <f t="shared" si="56"/>
        <v>44477</v>
      </c>
      <c r="I379" s="131">
        <f>HLOOKUP($H$4,'Met Data'!$A$2:$F$368,G379,FALSE)</f>
        <v>13.4816666666666</v>
      </c>
      <c r="J379" s="131">
        <f ca="1">HLOOKUP($H$4,'Met Data'!$H$2:$M$368,G379,FALSE)*L379</f>
        <v>4.0666666666666602</v>
      </c>
      <c r="K379" s="105">
        <f>HLOOKUP($H$4,'Met Data'!$O$2:$T$368,G379,FALSE)</f>
        <v>2.68549157073894</v>
      </c>
      <c r="L379">
        <f t="shared" ca="1" si="50"/>
        <v>1</v>
      </c>
      <c r="N379" t="b">
        <f t="shared" ca="1" si="55"/>
        <v>0</v>
      </c>
      <c r="O379" t="b">
        <f t="shared" ca="1" si="51"/>
        <v>0</v>
      </c>
      <c r="P379" s="2">
        <f ca="1"/>
        <v>44624</v>
      </c>
      <c r="Q379">
        <f ca="1"/>
        <v>109.08634296009016</v>
      </c>
      <c r="R379">
        <f ca="1"/>
        <v>0</v>
      </c>
      <c r="S379">
        <f ca="1"/>
        <v>1.1651910828443828E-7</v>
      </c>
      <c r="T379">
        <f ca="1"/>
        <v>0.40897707241654319</v>
      </c>
      <c r="U379">
        <f ca="1"/>
        <v>0</v>
      </c>
      <c r="V379">
        <f ca="1"/>
        <v>0</v>
      </c>
      <c r="W379">
        <f ca="1"/>
        <v>0</v>
      </c>
      <c r="X379">
        <f ca="1"/>
        <v>0</v>
      </c>
      <c r="Y379">
        <f ca="1"/>
        <v>0.64617901531005195</v>
      </c>
      <c r="Z379">
        <f ca="1"/>
        <v>0</v>
      </c>
      <c r="AA379">
        <f ca="1"/>
        <v>0</v>
      </c>
      <c r="AB379">
        <f ca="1"/>
        <v>0</v>
      </c>
      <c r="AD379" s="2">
        <f t="shared" ca="1" si="52"/>
        <v>44624</v>
      </c>
      <c r="AE379" s="46">
        <f t="shared" ca="1" si="53"/>
        <v>0</v>
      </c>
      <c r="AG379" s="72">
        <f t="shared" ca="1" si="57"/>
        <v>109.08634296009016</v>
      </c>
      <c r="AH379" s="72">
        <f t="shared" ca="1" si="58"/>
        <v>109.08634296009016</v>
      </c>
      <c r="AI379" s="3">
        <f t="shared" ca="1" si="59"/>
        <v>0</v>
      </c>
    </row>
    <row r="380" spans="7:35" x14ac:dyDescent="0.25">
      <c r="G380" s="3">
        <f t="shared" si="54"/>
        <v>283</v>
      </c>
      <c r="H380" s="104">
        <f t="shared" si="56"/>
        <v>44478</v>
      </c>
      <c r="I380" s="131">
        <f>HLOOKUP($H$4,'Met Data'!$A$2:$F$368,G380,FALSE)</f>
        <v>13.6933333333333</v>
      </c>
      <c r="J380" s="131">
        <f ca="1">HLOOKUP($H$4,'Met Data'!$H$2:$M$368,G380,FALSE)*L380</f>
        <v>4.22</v>
      </c>
      <c r="K380" s="105">
        <f>HLOOKUP($H$4,'Met Data'!$O$2:$T$368,G380,FALSE)</f>
        <v>2.6969590648562201</v>
      </c>
      <c r="L380">
        <f t="shared" ca="1" si="50"/>
        <v>1</v>
      </c>
      <c r="N380" t="b">
        <f t="shared" ca="1" si="55"/>
        <v>0</v>
      </c>
      <c r="O380" t="b">
        <f t="shared" ca="1" si="51"/>
        <v>0</v>
      </c>
      <c r="P380" s="2">
        <f ca="1"/>
        <v>44625</v>
      </c>
      <c r="Q380">
        <f ca="1"/>
        <v>109.49366233342658</v>
      </c>
      <c r="R380">
        <f ca="1"/>
        <v>0</v>
      </c>
      <c r="S380">
        <f ca="1"/>
        <v>1.0001660168046246E-7</v>
      </c>
      <c r="T380">
        <f ca="1"/>
        <v>0.40731927331980888</v>
      </c>
      <c r="U380">
        <f ca="1"/>
        <v>0</v>
      </c>
      <c r="V380">
        <f ca="1"/>
        <v>0</v>
      </c>
      <c r="W380">
        <f ca="1"/>
        <v>0</v>
      </c>
      <c r="X380">
        <f ca="1"/>
        <v>0</v>
      </c>
      <c r="Y380">
        <f ca="1"/>
        <v>0.64777851061348357</v>
      </c>
      <c r="Z380">
        <f ca="1"/>
        <v>0</v>
      </c>
      <c r="AA380">
        <f ca="1"/>
        <v>0</v>
      </c>
      <c r="AB380">
        <f ca="1"/>
        <v>0</v>
      </c>
      <c r="AD380" s="2">
        <f t="shared" ca="1" si="52"/>
        <v>44625</v>
      </c>
      <c r="AE380" s="46">
        <f t="shared" ca="1" si="53"/>
        <v>0</v>
      </c>
      <c r="AG380" s="72">
        <f t="shared" ca="1" si="57"/>
        <v>109.49366233342658</v>
      </c>
      <c r="AH380" s="72">
        <f t="shared" ca="1" si="58"/>
        <v>109.49366233342658</v>
      </c>
      <c r="AI380" s="3">
        <f t="shared" ca="1" si="59"/>
        <v>0</v>
      </c>
    </row>
    <row r="381" spans="7:35" x14ac:dyDescent="0.25">
      <c r="G381" s="3">
        <f t="shared" si="54"/>
        <v>284</v>
      </c>
      <c r="H381" s="104">
        <f t="shared" si="56"/>
        <v>44479</v>
      </c>
      <c r="I381" s="131">
        <f>HLOOKUP($H$4,'Met Data'!$A$2:$F$368,G381,FALSE)</f>
        <v>12.9568965517241</v>
      </c>
      <c r="J381" s="131">
        <f ca="1">HLOOKUP($H$4,'Met Data'!$H$2:$M$368,G381,FALSE)*L381</f>
        <v>4.5966666666666596</v>
      </c>
      <c r="K381" s="105">
        <f>HLOOKUP($H$4,'Met Data'!$O$2:$T$368,G381,FALSE)</f>
        <v>2.9040985917251398</v>
      </c>
      <c r="L381">
        <f t="shared" ca="1" si="50"/>
        <v>1</v>
      </c>
      <c r="N381" t="b">
        <f t="shared" ca="1" si="55"/>
        <v>0</v>
      </c>
      <c r="O381" t="b">
        <f t="shared" ca="1" si="51"/>
        <v>0</v>
      </c>
      <c r="P381" s="2">
        <f ca="1"/>
        <v>44626</v>
      </c>
      <c r="Q381">
        <f ca="1"/>
        <v>109.91286958879748</v>
      </c>
      <c r="R381">
        <f ca="1"/>
        <v>0</v>
      </c>
      <c r="S381">
        <f ca="1"/>
        <v>8.7824495063941116E-8</v>
      </c>
      <c r="T381">
        <f ca="1"/>
        <v>0.41920716754640719</v>
      </c>
      <c r="U381">
        <f ca="1"/>
        <v>0</v>
      </c>
      <c r="V381">
        <f ca="1"/>
        <v>0</v>
      </c>
      <c r="W381">
        <f ca="1"/>
        <v>0</v>
      </c>
      <c r="X381">
        <f ca="1"/>
        <v>0</v>
      </c>
      <c r="Y381">
        <f ca="1"/>
        <v>0.64624378365834068</v>
      </c>
      <c r="Z381">
        <f ca="1"/>
        <v>0</v>
      </c>
      <c r="AA381">
        <f ca="1"/>
        <v>0</v>
      </c>
      <c r="AB381">
        <f ca="1"/>
        <v>0</v>
      </c>
      <c r="AD381" s="2">
        <f t="shared" ca="1" si="52"/>
        <v>44626</v>
      </c>
      <c r="AE381" s="46">
        <f t="shared" ca="1" si="53"/>
        <v>0</v>
      </c>
      <c r="AG381" s="72">
        <f t="shared" ca="1" si="57"/>
        <v>109.91286958879748</v>
      </c>
      <c r="AH381" s="72">
        <f t="shared" ca="1" si="58"/>
        <v>109.91286958879748</v>
      </c>
      <c r="AI381" s="3">
        <f t="shared" ca="1" si="59"/>
        <v>0</v>
      </c>
    </row>
    <row r="382" spans="7:35" x14ac:dyDescent="0.25">
      <c r="G382" s="3">
        <f t="shared" si="54"/>
        <v>285</v>
      </c>
      <c r="H382" s="104">
        <f t="shared" si="56"/>
        <v>44480</v>
      </c>
      <c r="I382" s="131">
        <f>HLOOKUP($H$4,'Met Data'!$A$2:$F$368,G382,FALSE)</f>
        <v>13.2293103448275</v>
      </c>
      <c r="J382" s="131">
        <f ca="1">HLOOKUP($H$4,'Met Data'!$H$2:$M$368,G382,FALSE)*L382</f>
        <v>2.3896551724137902</v>
      </c>
      <c r="K382" s="105">
        <f>HLOOKUP($H$4,'Met Data'!$O$2:$T$368,G382,FALSE)</f>
        <v>2.90858576113735</v>
      </c>
      <c r="L382">
        <f t="shared" ca="1" si="50"/>
        <v>1</v>
      </c>
      <c r="N382" t="b">
        <f t="shared" ca="1" si="55"/>
        <v>0</v>
      </c>
      <c r="O382" t="b">
        <f t="shared" ca="1" si="51"/>
        <v>0</v>
      </c>
      <c r="P382" s="2">
        <f ca="1"/>
        <v>44627</v>
      </c>
      <c r="Q382">
        <f ca="1"/>
        <v>110.31730527096423</v>
      </c>
      <c r="R382">
        <f ca="1"/>
        <v>0</v>
      </c>
      <c r="S382">
        <f ca="1"/>
        <v>7.3570872121728378E-8</v>
      </c>
      <c r="T382">
        <f ca="1"/>
        <v>0.40443560859587752</v>
      </c>
      <c r="U382">
        <f ca="1"/>
        <v>0</v>
      </c>
      <c r="V382">
        <f ca="1"/>
        <v>0</v>
      </c>
      <c r="W382">
        <f ca="1"/>
        <v>0</v>
      </c>
      <c r="X382">
        <f ca="1"/>
        <v>0</v>
      </c>
      <c r="Y382">
        <f ca="1"/>
        <v>0.65150294127138786</v>
      </c>
      <c r="Z382">
        <f ca="1"/>
        <v>0</v>
      </c>
      <c r="AA382">
        <f ca="1"/>
        <v>0</v>
      </c>
      <c r="AB382">
        <f ca="1"/>
        <v>0</v>
      </c>
      <c r="AD382" s="2">
        <f t="shared" ca="1" si="52"/>
        <v>44627</v>
      </c>
      <c r="AE382" s="46">
        <f t="shared" ca="1" si="53"/>
        <v>0</v>
      </c>
      <c r="AG382" s="72">
        <f t="shared" ca="1" si="57"/>
        <v>110.31730527096423</v>
      </c>
      <c r="AH382" s="72">
        <f t="shared" ca="1" si="58"/>
        <v>110.31730527096423</v>
      </c>
      <c r="AI382" s="3">
        <f t="shared" ca="1" si="59"/>
        <v>0</v>
      </c>
    </row>
    <row r="383" spans="7:35" x14ac:dyDescent="0.25">
      <c r="G383" s="3">
        <f t="shared" si="54"/>
        <v>286</v>
      </c>
      <c r="H383" s="104">
        <f t="shared" si="56"/>
        <v>44481</v>
      </c>
      <c r="I383" s="131">
        <f>HLOOKUP($H$4,'Met Data'!$A$2:$F$368,G383,FALSE)</f>
        <v>13.7431034482758</v>
      </c>
      <c r="J383" s="131">
        <f ca="1">HLOOKUP($H$4,'Met Data'!$H$2:$M$368,G383,FALSE)*L383</f>
        <v>5.39310344827586</v>
      </c>
      <c r="K383" s="105">
        <f>HLOOKUP($H$4,'Met Data'!$O$2:$T$368,G383,FALSE)</f>
        <v>2.9187130451018599</v>
      </c>
      <c r="L383">
        <f t="shared" ca="1" si="50"/>
        <v>1</v>
      </c>
      <c r="N383" t="b">
        <f t="shared" ca="1" si="55"/>
        <v>0</v>
      </c>
      <c r="O383" t="b">
        <f t="shared" ca="1" si="51"/>
        <v>0</v>
      </c>
      <c r="P383" s="2">
        <f ca="1"/>
        <v>44628</v>
      </c>
      <c r="Q383">
        <f ca="1"/>
        <v>110.7259769596201</v>
      </c>
      <c r="R383">
        <f ca="1"/>
        <v>0</v>
      </c>
      <c r="S383">
        <f ca="1"/>
        <v>6.3395727630258962E-8</v>
      </c>
      <c r="T383">
        <f ca="1"/>
        <v>0.40867162526014467</v>
      </c>
      <c r="U383">
        <f ca="1"/>
        <v>0</v>
      </c>
      <c r="V383">
        <f ca="1"/>
        <v>0</v>
      </c>
      <c r="W383">
        <f ca="1"/>
        <v>0</v>
      </c>
      <c r="X383">
        <f ca="1"/>
        <v>0</v>
      </c>
      <c r="Y383">
        <f ca="1"/>
        <v>0.63947548236230012</v>
      </c>
      <c r="Z383">
        <f ca="1"/>
        <v>0</v>
      </c>
      <c r="AA383">
        <f ca="1"/>
        <v>0</v>
      </c>
      <c r="AB383">
        <f ca="1"/>
        <v>0</v>
      </c>
      <c r="AD383" s="2">
        <f t="shared" ca="1" si="52"/>
        <v>44628</v>
      </c>
      <c r="AE383" s="46">
        <f t="shared" ca="1" si="53"/>
        <v>0</v>
      </c>
      <c r="AG383" s="72">
        <f t="shared" ca="1" si="57"/>
        <v>110.7259769596201</v>
      </c>
      <c r="AH383" s="72">
        <f t="shared" ca="1" si="58"/>
        <v>110.7259769596201</v>
      </c>
      <c r="AI383" s="3">
        <f t="shared" ca="1" si="59"/>
        <v>0</v>
      </c>
    </row>
    <row r="384" spans="7:35" x14ac:dyDescent="0.25">
      <c r="G384" s="3">
        <f t="shared" si="54"/>
        <v>287</v>
      </c>
      <c r="H384" s="104">
        <f t="shared" si="56"/>
        <v>44482</v>
      </c>
      <c r="I384" s="131">
        <f>HLOOKUP($H$4,'Met Data'!$A$2:$F$368,G384,FALSE)</f>
        <v>13.6551724137931</v>
      </c>
      <c r="J384" s="131">
        <f ca="1">HLOOKUP($H$4,'Met Data'!$H$2:$M$368,G384,FALSE)*L384</f>
        <v>4.9586206896551701</v>
      </c>
      <c r="K384" s="105">
        <f>HLOOKUP($H$4,'Met Data'!$O$2:$T$368,G384,FALSE)</f>
        <v>2.9944315874670302</v>
      </c>
      <c r="L384">
        <f t="shared" ca="1" si="50"/>
        <v>1</v>
      </c>
      <c r="N384" t="b">
        <f t="shared" ca="1" si="55"/>
        <v>0</v>
      </c>
      <c r="O384" t="b">
        <f t="shared" ca="1" si="51"/>
        <v>0</v>
      </c>
      <c r="P384" s="2">
        <f ca="1"/>
        <v>44629</v>
      </c>
      <c r="Q384">
        <f ca="1"/>
        <v>111.14653018215148</v>
      </c>
      <c r="R384">
        <f ca="1"/>
        <v>0</v>
      </c>
      <c r="S384">
        <f ca="1"/>
        <v>5.5987879852685803E-8</v>
      </c>
      <c r="T384">
        <f ca="1"/>
        <v>0.42055316654350555</v>
      </c>
      <c r="U384">
        <f ca="1"/>
        <v>0</v>
      </c>
      <c r="V384">
        <f ca="1"/>
        <v>0</v>
      </c>
      <c r="W384">
        <f ca="1"/>
        <v>0</v>
      </c>
      <c r="X384">
        <f ca="1"/>
        <v>0</v>
      </c>
      <c r="Y384">
        <f ca="1"/>
        <v>0.64751069303631037</v>
      </c>
      <c r="Z384">
        <f ca="1"/>
        <v>0</v>
      </c>
      <c r="AA384">
        <f ca="1"/>
        <v>0</v>
      </c>
      <c r="AB384">
        <f ca="1"/>
        <v>0</v>
      </c>
      <c r="AD384" s="2">
        <f t="shared" ca="1" si="52"/>
        <v>44629</v>
      </c>
      <c r="AE384" s="46">
        <f t="shared" ca="1" si="53"/>
        <v>0</v>
      </c>
      <c r="AG384" s="72">
        <f t="shared" ca="1" si="57"/>
        <v>111.14653018215148</v>
      </c>
      <c r="AH384" s="72">
        <f t="shared" ca="1" si="58"/>
        <v>111.14653018215148</v>
      </c>
      <c r="AI384" s="3">
        <f t="shared" ca="1" si="59"/>
        <v>0</v>
      </c>
    </row>
    <row r="385" spans="7:35" x14ac:dyDescent="0.25">
      <c r="G385" s="3">
        <f t="shared" si="54"/>
        <v>288</v>
      </c>
      <c r="H385" s="104">
        <f t="shared" si="56"/>
        <v>44483</v>
      </c>
      <c r="I385" s="131">
        <f>HLOOKUP($H$4,'Met Data'!$A$2:$F$368,G385,FALSE)</f>
        <v>13.334482758620601</v>
      </c>
      <c r="J385" s="131">
        <f ca="1">HLOOKUP($H$4,'Met Data'!$H$2:$M$368,G385,FALSE)*L385</f>
        <v>5.6758620689655102</v>
      </c>
      <c r="K385" s="105">
        <f>HLOOKUP($H$4,'Met Data'!$O$2:$T$368,G385,FALSE)</f>
        <v>2.9220059834019998</v>
      </c>
      <c r="L385">
        <f t="shared" ca="1" si="50"/>
        <v>1</v>
      </c>
      <c r="N385" t="b">
        <f t="shared" ca="1" si="55"/>
        <v>0</v>
      </c>
      <c r="O385" t="b">
        <f t="shared" ca="1" si="51"/>
        <v>0</v>
      </c>
      <c r="P385" s="2">
        <f ca="1"/>
        <v>44630</v>
      </c>
      <c r="Q385">
        <f ca="1"/>
        <v>111.55472670735929</v>
      </c>
      <c r="R385">
        <f ca="1"/>
        <v>0</v>
      </c>
      <c r="S385">
        <f ca="1"/>
        <v>4.6775612010577989E-8</v>
      </c>
      <c r="T385">
        <f ca="1"/>
        <v>0.40819647843219625</v>
      </c>
      <c r="U385">
        <f ca="1"/>
        <v>0</v>
      </c>
      <c r="V385">
        <f ca="1"/>
        <v>0</v>
      </c>
      <c r="W385">
        <f ca="1"/>
        <v>0</v>
      </c>
      <c r="X385">
        <f ca="1"/>
        <v>0</v>
      </c>
      <c r="Y385">
        <f ca="1"/>
        <v>0.64093013329408266</v>
      </c>
      <c r="Z385">
        <f ca="1"/>
        <v>0</v>
      </c>
      <c r="AA385">
        <f ca="1"/>
        <v>0</v>
      </c>
      <c r="AB385">
        <f ca="1"/>
        <v>0</v>
      </c>
      <c r="AD385" s="2">
        <f t="shared" ca="1" si="52"/>
        <v>44630</v>
      </c>
      <c r="AE385" s="46">
        <f t="shared" ca="1" si="53"/>
        <v>0</v>
      </c>
      <c r="AG385" s="72">
        <f t="shared" ca="1" si="57"/>
        <v>111.55472670735929</v>
      </c>
      <c r="AH385" s="72">
        <f t="shared" ca="1" si="58"/>
        <v>111.55472670735929</v>
      </c>
      <c r="AI385" s="3">
        <f t="shared" ca="1" si="59"/>
        <v>0</v>
      </c>
    </row>
    <row r="386" spans="7:35" x14ac:dyDescent="0.25">
      <c r="G386" s="3">
        <f t="shared" si="54"/>
        <v>289</v>
      </c>
      <c r="H386" s="104">
        <f t="shared" si="56"/>
        <v>44484</v>
      </c>
      <c r="I386" s="131">
        <f>HLOOKUP($H$4,'Met Data'!$A$2:$F$368,G386,FALSE)</f>
        <v>13.0379310344827</v>
      </c>
      <c r="J386" s="131">
        <f ca="1">HLOOKUP($H$4,'Met Data'!$H$2:$M$368,G386,FALSE)*L386</f>
        <v>5.9344827586206899</v>
      </c>
      <c r="K386" s="105">
        <f>HLOOKUP($H$4,'Met Data'!$O$2:$T$368,G386,FALSE)</f>
        <v>3.1812494285264998</v>
      </c>
      <c r="L386">
        <f t="shared" ca="1" si="50"/>
        <v>1</v>
      </c>
      <c r="N386" t="b">
        <f t="shared" ca="1" si="55"/>
        <v>0</v>
      </c>
      <c r="O386" t="b">
        <f t="shared" ca="1" si="51"/>
        <v>0</v>
      </c>
      <c r="P386" s="2">
        <f ca="1"/>
        <v>44631</v>
      </c>
      <c r="Q386">
        <f ca="1"/>
        <v>111.97950821851482</v>
      </c>
      <c r="R386">
        <f ca="1"/>
        <v>0</v>
      </c>
      <c r="S386">
        <f ca="1"/>
        <v>4.2341891196130186E-8</v>
      </c>
      <c r="T386">
        <f ca="1"/>
        <v>0.42478146881363221</v>
      </c>
      <c r="U386">
        <f ca="1"/>
        <v>0</v>
      </c>
      <c r="V386">
        <f ca="1"/>
        <v>0</v>
      </c>
      <c r="W386">
        <f ca="1"/>
        <v>0</v>
      </c>
      <c r="X386">
        <f ca="1"/>
        <v>0</v>
      </c>
      <c r="Y386">
        <f ca="1"/>
        <v>0.68033400851471704</v>
      </c>
      <c r="Z386">
        <f ca="1"/>
        <v>0</v>
      </c>
      <c r="AA386">
        <f ca="1"/>
        <v>0</v>
      </c>
      <c r="AB386">
        <f ca="1"/>
        <v>0</v>
      </c>
      <c r="AD386" s="2">
        <f t="shared" ca="1" si="52"/>
        <v>44631</v>
      </c>
      <c r="AE386" s="46">
        <f t="shared" ca="1" si="53"/>
        <v>0</v>
      </c>
      <c r="AG386" s="72">
        <f t="shared" ca="1" si="57"/>
        <v>111.97950821851482</v>
      </c>
      <c r="AH386" s="72">
        <f t="shared" ca="1" si="58"/>
        <v>111.97950821851482</v>
      </c>
      <c r="AI386" s="3">
        <f t="shared" ca="1" si="59"/>
        <v>0</v>
      </c>
    </row>
    <row r="387" spans="7:35" x14ac:dyDescent="0.25">
      <c r="G387" s="3">
        <f t="shared" si="54"/>
        <v>290</v>
      </c>
      <c r="H387" s="104">
        <f t="shared" si="56"/>
        <v>44485</v>
      </c>
      <c r="I387" s="131">
        <f>HLOOKUP($H$4,'Met Data'!$A$2:$F$368,G387,FALSE)</f>
        <v>13.094827586206801</v>
      </c>
      <c r="J387" s="131">
        <f ca="1">HLOOKUP($H$4,'Met Data'!$H$2:$M$368,G387,FALSE)*L387</f>
        <v>3.2862068965517199</v>
      </c>
      <c r="K387" s="105">
        <f>HLOOKUP($H$4,'Met Data'!$O$2:$T$368,G387,FALSE)</f>
        <v>3.1846462671739202</v>
      </c>
      <c r="L387">
        <f t="shared" ca="1" si="50"/>
        <v>1</v>
      </c>
      <c r="N387" t="b">
        <f t="shared" ca="1" si="55"/>
        <v>0</v>
      </c>
      <c r="O387" t="b">
        <f t="shared" ca="1" si="51"/>
        <v>0</v>
      </c>
      <c r="P387" s="2">
        <f ca="1"/>
        <v>44632</v>
      </c>
      <c r="Q387">
        <f ca="1"/>
        <v>112.41310946333385</v>
      </c>
      <c r="R387">
        <f ca="1"/>
        <v>0</v>
      </c>
      <c r="S387">
        <f ca="1"/>
        <v>3.6790556382361901E-8</v>
      </c>
      <c r="T387">
        <f ca="1"/>
        <v>0.4336012080284819</v>
      </c>
      <c r="U387">
        <f ca="1"/>
        <v>0</v>
      </c>
      <c r="V387">
        <f ca="1"/>
        <v>0</v>
      </c>
      <c r="W387">
        <f ca="1"/>
        <v>0</v>
      </c>
      <c r="X387">
        <f ca="1"/>
        <v>0</v>
      </c>
      <c r="Y387">
        <f ca="1"/>
        <v>0.68569845506288851</v>
      </c>
      <c r="Z387">
        <f ca="1"/>
        <v>0</v>
      </c>
      <c r="AA387">
        <f ca="1"/>
        <v>0</v>
      </c>
      <c r="AB387">
        <f ca="1"/>
        <v>0</v>
      </c>
      <c r="AD387" s="2">
        <f t="shared" ca="1" si="52"/>
        <v>44632</v>
      </c>
      <c r="AE387" s="46">
        <f t="shared" ca="1" si="53"/>
        <v>0</v>
      </c>
      <c r="AG387" s="72">
        <f t="shared" ca="1" si="57"/>
        <v>112.41310946333385</v>
      </c>
      <c r="AH387" s="72">
        <f t="shared" ca="1" si="58"/>
        <v>112.41310946333385</v>
      </c>
      <c r="AI387" s="3">
        <f t="shared" ca="1" si="59"/>
        <v>0</v>
      </c>
    </row>
    <row r="388" spans="7:35" x14ac:dyDescent="0.25">
      <c r="G388" s="3">
        <f t="shared" si="54"/>
        <v>291</v>
      </c>
      <c r="H388" s="104">
        <f t="shared" si="56"/>
        <v>44486</v>
      </c>
      <c r="I388" s="131">
        <f>HLOOKUP($H$4,'Met Data'!$A$2:$F$368,G388,FALSE)</f>
        <v>13.6775862068965</v>
      </c>
      <c r="J388" s="131">
        <f ca="1">HLOOKUP($H$4,'Met Data'!$H$2:$M$368,G388,FALSE)*L388</f>
        <v>3.4241379310344802</v>
      </c>
      <c r="K388" s="105">
        <f>HLOOKUP($H$4,'Met Data'!$O$2:$T$368,G388,FALSE)</f>
        <v>3.2300602691540199</v>
      </c>
      <c r="L388">
        <f t="shared" ca="1" si="50"/>
        <v>1</v>
      </c>
      <c r="N388" t="b">
        <f t="shared" ca="1" si="55"/>
        <v>0</v>
      </c>
      <c r="O388" t="b">
        <f t="shared" ca="1" si="51"/>
        <v>0</v>
      </c>
      <c r="P388" s="2">
        <f ca="1"/>
        <v>44633</v>
      </c>
      <c r="Q388">
        <f ca="1"/>
        <v>112.83188941562682</v>
      </c>
      <c r="R388">
        <f ca="1"/>
        <v>0</v>
      </c>
      <c r="S388">
        <f ca="1"/>
        <v>3.0438429599785147E-8</v>
      </c>
      <c r="T388">
        <f ca="1"/>
        <v>0.41877992185452984</v>
      </c>
      <c r="U388">
        <f ca="1"/>
        <v>0</v>
      </c>
      <c r="V388">
        <f ca="1"/>
        <v>0</v>
      </c>
      <c r="W388">
        <f ca="1"/>
        <v>0</v>
      </c>
      <c r="X388">
        <f ca="1"/>
        <v>0</v>
      </c>
      <c r="Y388">
        <f ca="1"/>
        <v>0.68058124750667714</v>
      </c>
      <c r="Z388">
        <f ca="1"/>
        <v>0</v>
      </c>
      <c r="AA388">
        <f ca="1"/>
        <v>0</v>
      </c>
      <c r="AB388">
        <f ca="1"/>
        <v>0</v>
      </c>
      <c r="AD388" s="2">
        <f t="shared" ca="1" si="52"/>
        <v>44633</v>
      </c>
      <c r="AE388" s="46">
        <f t="shared" ca="1" si="53"/>
        <v>0</v>
      </c>
      <c r="AG388" s="72">
        <f t="shared" ca="1" si="57"/>
        <v>112.83188941562682</v>
      </c>
      <c r="AH388" s="72">
        <f t="shared" ca="1" si="58"/>
        <v>112.83188941562682</v>
      </c>
      <c r="AI388" s="3">
        <f t="shared" ca="1" si="59"/>
        <v>0</v>
      </c>
    </row>
    <row r="389" spans="7:35" x14ac:dyDescent="0.25">
      <c r="G389" s="3">
        <f t="shared" si="54"/>
        <v>292</v>
      </c>
      <c r="H389" s="104">
        <f t="shared" si="56"/>
        <v>44487</v>
      </c>
      <c r="I389" s="131">
        <f>HLOOKUP($H$4,'Met Data'!$A$2:$F$368,G389,FALSE)</f>
        <v>13.189655172413699</v>
      </c>
      <c r="J389" s="131">
        <f ca="1">HLOOKUP($H$4,'Met Data'!$H$2:$M$368,G389,FALSE)*L389</f>
        <v>3.6586206896551698</v>
      </c>
      <c r="K389" s="105">
        <f>HLOOKUP($H$4,'Met Data'!$O$2:$T$368,G389,FALSE)</f>
        <v>2.98673361950474</v>
      </c>
      <c r="L389">
        <f t="shared" ca="1" si="50"/>
        <v>1</v>
      </c>
      <c r="N389" t="b">
        <f t="shared" ca="1" si="55"/>
        <v>0</v>
      </c>
      <c r="O389" t="b">
        <f t="shared" ca="1" si="51"/>
        <v>0</v>
      </c>
      <c r="P389" s="2">
        <f ca="1"/>
        <v>44634</v>
      </c>
      <c r="Q389">
        <f ca="1"/>
        <v>113.24868230441827</v>
      </c>
      <c r="R389">
        <f ca="1"/>
        <v>0</v>
      </c>
      <c r="S389">
        <f ca="1"/>
        <v>2.5889128545725139E-8</v>
      </c>
      <c r="T389">
        <f ca="1"/>
        <v>0.41679286290233158</v>
      </c>
      <c r="U389">
        <f ca="1"/>
        <v>0</v>
      </c>
      <c r="V389">
        <f ca="1"/>
        <v>0</v>
      </c>
      <c r="W389">
        <f ca="1"/>
        <v>0</v>
      </c>
      <c r="X389">
        <f ca="1"/>
        <v>0</v>
      </c>
      <c r="Y389">
        <f ca="1"/>
        <v>0.67678818777786653</v>
      </c>
      <c r="Z389">
        <f ca="1"/>
        <v>0</v>
      </c>
      <c r="AA389">
        <f ca="1"/>
        <v>0</v>
      </c>
      <c r="AB389">
        <f ca="1"/>
        <v>0</v>
      </c>
      <c r="AD389" s="2">
        <f t="shared" ca="1" si="52"/>
        <v>44634</v>
      </c>
      <c r="AE389" s="46">
        <f t="shared" ca="1" si="53"/>
        <v>0</v>
      </c>
      <c r="AG389" s="72">
        <f t="shared" ca="1" si="57"/>
        <v>113.24868230441827</v>
      </c>
      <c r="AH389" s="72">
        <f t="shared" ca="1" si="58"/>
        <v>113.24868230441827</v>
      </c>
      <c r="AI389" s="3">
        <f t="shared" ca="1" si="59"/>
        <v>0</v>
      </c>
    </row>
    <row r="390" spans="7:35" x14ac:dyDescent="0.25">
      <c r="G390" s="3">
        <f t="shared" si="54"/>
        <v>293</v>
      </c>
      <c r="H390" s="104">
        <f t="shared" si="56"/>
        <v>44488</v>
      </c>
      <c r="I390" s="131">
        <f>HLOOKUP($H$4,'Met Data'!$A$2:$F$368,G390,FALSE)</f>
        <v>12.9428571428571</v>
      </c>
      <c r="J390" s="131">
        <f ca="1">HLOOKUP($H$4,'Met Data'!$H$2:$M$368,G390,FALSE)*L390</f>
        <v>2.3892857142857098</v>
      </c>
      <c r="K390" s="105">
        <f>HLOOKUP($H$4,'Met Data'!$O$2:$T$368,G390,FALSE)</f>
        <v>3.3877860671285598</v>
      </c>
      <c r="L390">
        <f t="shared" ref="L390:L453" ca="1" si="60">IF(H390&lt;$B$31,$J$3,$J$4)</f>
        <v>1</v>
      </c>
      <c r="N390" t="b">
        <f t="shared" ca="1" si="55"/>
        <v>0</v>
      </c>
      <c r="O390" t="b">
        <f t="shared" ref="O390:O453" ca="1" si="61">AND(IF(P390&gt;($P$2-1),TRUE,FALSE),IF(P390&lt;($P$3+1),TRUE,FALSE))</f>
        <v>0</v>
      </c>
      <c r="P390" s="2">
        <f ca="1"/>
        <v>44635</v>
      </c>
      <c r="Q390">
        <f ca="1"/>
        <v>113.66511457407394</v>
      </c>
      <c r="R390">
        <f ca="1"/>
        <v>0</v>
      </c>
      <c r="S390">
        <f ca="1"/>
        <v>2.2234753969487148E-8</v>
      </c>
      <c r="T390">
        <f ca="1"/>
        <v>0.41643224742091062</v>
      </c>
      <c r="U390">
        <f ca="1"/>
        <v>0</v>
      </c>
      <c r="V390">
        <f ca="1"/>
        <v>0</v>
      </c>
      <c r="W390">
        <f ca="1"/>
        <v>0</v>
      </c>
      <c r="X390">
        <f ca="1"/>
        <v>0</v>
      </c>
      <c r="Y390">
        <f ca="1"/>
        <v>0.68531012271361957</v>
      </c>
      <c r="Z390">
        <f ca="1"/>
        <v>0</v>
      </c>
      <c r="AA390">
        <f ca="1"/>
        <v>0</v>
      </c>
      <c r="AB390">
        <f ca="1"/>
        <v>0</v>
      </c>
      <c r="AD390" s="2">
        <f t="shared" ref="AD390:AD453" ca="1" si="62">IFERROR(P390,$AD$4)</f>
        <v>44635</v>
      </c>
      <c r="AE390" s="46">
        <f t="shared" ref="AE390:AE453" ca="1" si="63">IFERROR(U390,0)</f>
        <v>0</v>
      </c>
      <c r="AG390" s="72">
        <f t="shared" ca="1" si="57"/>
        <v>113.66511457407394</v>
      </c>
      <c r="AH390" s="72">
        <f t="shared" ca="1" si="58"/>
        <v>113.66511457407394</v>
      </c>
      <c r="AI390" s="3">
        <f t="shared" ca="1" si="59"/>
        <v>0</v>
      </c>
    </row>
    <row r="391" spans="7:35" x14ac:dyDescent="0.25">
      <c r="G391" s="3">
        <f t="shared" ref="G391:G454" si="64">H391-DATE(YEAR(H391),1,0)+1</f>
        <v>294</v>
      </c>
      <c r="H391" s="104">
        <f t="shared" si="56"/>
        <v>44489</v>
      </c>
      <c r="I391" s="131">
        <f>HLOOKUP($H$4,'Met Data'!$A$2:$F$368,G391,FALSE)</f>
        <v>12.819642857142799</v>
      </c>
      <c r="J391" s="131">
        <f ca="1">HLOOKUP($H$4,'Met Data'!$H$2:$M$368,G391,FALSE)*L391</f>
        <v>1.6142857142857101</v>
      </c>
      <c r="K391" s="105">
        <f>HLOOKUP($H$4,'Met Data'!$O$2:$T$368,G391,FALSE)</f>
        <v>3.30175747979975</v>
      </c>
      <c r="L391">
        <f t="shared" ca="1" si="60"/>
        <v>1</v>
      </c>
      <c r="N391" t="b">
        <f t="shared" ref="N391:N454" ca="1" si="65">IF(P391&lt;$P$3,TRUE,FALSE)</f>
        <v>0</v>
      </c>
      <c r="O391" t="b">
        <f t="shared" ca="1" si="61"/>
        <v>0</v>
      </c>
      <c r="P391" s="2">
        <f ca="1"/>
        <v>44636</v>
      </c>
      <c r="Q391">
        <f ca="1"/>
        <v>114.08980928467112</v>
      </c>
      <c r="R391">
        <f ca="1"/>
        <v>0</v>
      </c>
      <c r="S391">
        <f ca="1"/>
        <v>1.9359721729832611E-8</v>
      </c>
      <c r="T391">
        <f ca="1"/>
        <v>0.42469469123746689</v>
      </c>
      <c r="U391">
        <f ca="1"/>
        <v>0</v>
      </c>
      <c r="V391">
        <f ca="1"/>
        <v>0</v>
      </c>
      <c r="W391">
        <f ca="1"/>
        <v>0</v>
      </c>
      <c r="X391">
        <f ca="1"/>
        <v>0</v>
      </c>
      <c r="Y391">
        <f ca="1"/>
        <v>0.69199729680175737</v>
      </c>
      <c r="Z391">
        <f ca="1"/>
        <v>0</v>
      </c>
      <c r="AA391">
        <f ca="1"/>
        <v>0</v>
      </c>
      <c r="AB391">
        <f ca="1"/>
        <v>0</v>
      </c>
      <c r="AD391" s="2">
        <f t="shared" ca="1" si="62"/>
        <v>44636</v>
      </c>
      <c r="AE391" s="46">
        <f t="shared" ca="1" si="63"/>
        <v>0</v>
      </c>
      <c r="AG391" s="72">
        <f t="shared" ca="1" si="57"/>
        <v>114.08980928467112</v>
      </c>
      <c r="AH391" s="72">
        <f t="shared" ca="1" si="58"/>
        <v>114.08980928467112</v>
      </c>
      <c r="AI391" s="3">
        <f t="shared" ca="1" si="59"/>
        <v>0</v>
      </c>
    </row>
    <row r="392" spans="7:35" x14ac:dyDescent="0.25">
      <c r="G392" s="3">
        <f t="shared" si="64"/>
        <v>295</v>
      </c>
      <c r="H392" s="104">
        <f t="shared" ref="H392:H455" si="66">H391+1</f>
        <v>44490</v>
      </c>
      <c r="I392" s="131">
        <f>HLOOKUP($H$4,'Met Data'!$A$2:$F$368,G392,FALSE)</f>
        <v>13.2785714285714</v>
      </c>
      <c r="J392" s="131">
        <f ca="1">HLOOKUP($H$4,'Met Data'!$H$2:$M$368,G392,FALSE)*L392</f>
        <v>2.9214285714285699</v>
      </c>
      <c r="K392" s="105">
        <f>HLOOKUP($H$4,'Met Data'!$O$2:$T$368,G392,FALSE)</f>
        <v>2.9372247945615499</v>
      </c>
      <c r="L392">
        <f t="shared" ca="1" si="60"/>
        <v>1</v>
      </c>
      <c r="N392" t="b">
        <f t="shared" ca="1" si="65"/>
        <v>0</v>
      </c>
      <c r="O392" t="b">
        <f t="shared" ca="1" si="61"/>
        <v>0</v>
      </c>
      <c r="P392" s="2">
        <f ca="1"/>
        <v>44637</v>
      </c>
      <c r="Q392">
        <f ca="1"/>
        <v>114.51488977727303</v>
      </c>
      <c r="R392">
        <f ca="1"/>
        <v>0</v>
      </c>
      <c r="S392">
        <f ca="1"/>
        <v>1.6537754132970478E-8</v>
      </c>
      <c r="T392">
        <f ca="1"/>
        <v>0.42508047606415439</v>
      </c>
      <c r="U392">
        <f ca="1"/>
        <v>0</v>
      </c>
      <c r="V392">
        <f ca="1"/>
        <v>0</v>
      </c>
      <c r="W392">
        <f ca="1"/>
        <v>0</v>
      </c>
      <c r="X392">
        <f ca="1"/>
        <v>0</v>
      </c>
      <c r="Y392">
        <f ca="1"/>
        <v>0.69415671892109077</v>
      </c>
      <c r="Z392">
        <f ca="1"/>
        <v>0</v>
      </c>
      <c r="AA392">
        <f ca="1"/>
        <v>0</v>
      </c>
      <c r="AB392">
        <f ca="1"/>
        <v>0</v>
      </c>
      <c r="AD392" s="2">
        <f t="shared" ca="1" si="62"/>
        <v>44637</v>
      </c>
      <c r="AE392" s="46">
        <f t="shared" ca="1" si="63"/>
        <v>0</v>
      </c>
      <c r="AG392" s="72">
        <f t="shared" ca="1" si="57"/>
        <v>114.51488977727303</v>
      </c>
      <c r="AH392" s="72">
        <f t="shared" ca="1" si="58"/>
        <v>114.51488977727303</v>
      </c>
      <c r="AI392" s="3">
        <f t="shared" ca="1" si="59"/>
        <v>0</v>
      </c>
    </row>
    <row r="393" spans="7:35" x14ac:dyDescent="0.25">
      <c r="G393" s="3">
        <f t="shared" si="64"/>
        <v>296</v>
      </c>
      <c r="H393" s="104">
        <f t="shared" si="66"/>
        <v>44491</v>
      </c>
      <c r="I393" s="131">
        <f>HLOOKUP($H$4,'Met Data'!$A$2:$F$368,G393,FALSE)</f>
        <v>13.5625</v>
      </c>
      <c r="J393" s="131">
        <f ca="1">HLOOKUP($H$4,'Met Data'!$H$2:$M$368,G393,FALSE)*L393</f>
        <v>3.3499999999999899</v>
      </c>
      <c r="K393" s="105">
        <f>HLOOKUP($H$4,'Met Data'!$O$2:$T$368,G393,FALSE)</f>
        <v>2.9112128548041598</v>
      </c>
      <c r="L393">
        <f t="shared" ca="1" si="60"/>
        <v>1</v>
      </c>
      <c r="N393" t="b">
        <f t="shared" ca="1" si="65"/>
        <v>0</v>
      </c>
      <c r="O393" t="b">
        <f t="shared" ca="1" si="61"/>
        <v>0</v>
      </c>
      <c r="P393" s="2">
        <f ca="1"/>
        <v>44638</v>
      </c>
      <c r="Q393">
        <f ca="1"/>
        <v>114.93504244721588</v>
      </c>
      <c r="R393">
        <f ca="1"/>
        <v>0</v>
      </c>
      <c r="S393">
        <f ca="1"/>
        <v>1.3950505840915405E-8</v>
      </c>
      <c r="T393">
        <f ca="1"/>
        <v>0.42015265599233248</v>
      </c>
      <c r="U393">
        <f ca="1"/>
        <v>0</v>
      </c>
      <c r="V393">
        <f ca="1"/>
        <v>0</v>
      </c>
      <c r="W393">
        <f ca="1"/>
        <v>0</v>
      </c>
      <c r="X393">
        <f ca="1"/>
        <v>0</v>
      </c>
      <c r="Y393">
        <f ca="1"/>
        <v>0.68986614186897066</v>
      </c>
      <c r="Z393">
        <f ca="1"/>
        <v>0</v>
      </c>
      <c r="AA393">
        <f ca="1"/>
        <v>0</v>
      </c>
      <c r="AB393">
        <f ca="1"/>
        <v>0</v>
      </c>
      <c r="AD393" s="2">
        <f t="shared" ca="1" si="62"/>
        <v>44638</v>
      </c>
      <c r="AE393" s="46">
        <f t="shared" ca="1" si="63"/>
        <v>0</v>
      </c>
      <c r="AG393" s="72">
        <f t="shared" ca="1" si="57"/>
        <v>114.93504244721588</v>
      </c>
      <c r="AH393" s="72">
        <f t="shared" ca="1" si="58"/>
        <v>114.93504244721588</v>
      </c>
      <c r="AI393" s="3">
        <f t="shared" ca="1" si="59"/>
        <v>0</v>
      </c>
    </row>
    <row r="394" spans="7:35" x14ac:dyDescent="0.25">
      <c r="G394" s="3">
        <f t="shared" si="64"/>
        <v>297</v>
      </c>
      <c r="H394" s="104">
        <f t="shared" si="66"/>
        <v>44492</v>
      </c>
      <c r="I394" s="131">
        <f>HLOOKUP($H$4,'Met Data'!$A$2:$F$368,G394,FALSE)</f>
        <v>13.9310344827586</v>
      </c>
      <c r="J394" s="131">
        <f ca="1">HLOOKUP($H$4,'Met Data'!$H$2:$M$368,G394,FALSE)*L394</f>
        <v>4.6137931034482698</v>
      </c>
      <c r="K394" s="105">
        <f>HLOOKUP($H$4,'Met Data'!$O$2:$T$368,G394,FALSE)</f>
        <v>3.5318790230099002</v>
      </c>
      <c r="L394">
        <f t="shared" ca="1" si="60"/>
        <v>1</v>
      </c>
      <c r="N394" t="b">
        <f t="shared" ca="1" si="65"/>
        <v>0</v>
      </c>
      <c r="O394" t="b">
        <f t="shared" ca="1" si="61"/>
        <v>0</v>
      </c>
      <c r="P394" s="2">
        <f ca="1"/>
        <v>44639</v>
      </c>
      <c r="Q394">
        <f ca="1"/>
        <v>115.33728366485269</v>
      </c>
      <c r="R394">
        <f ca="1"/>
        <v>0</v>
      </c>
      <c r="S394">
        <f ca="1"/>
        <v>1.1496855472914742E-8</v>
      </c>
      <c r="T394">
        <f ca="1"/>
        <v>0.40224120613996794</v>
      </c>
      <c r="U394">
        <f ca="1"/>
        <v>0</v>
      </c>
      <c r="V394">
        <f ca="1"/>
        <v>0</v>
      </c>
      <c r="W394">
        <f ca="1"/>
        <v>0</v>
      </c>
      <c r="X394">
        <f ca="1"/>
        <v>0</v>
      </c>
      <c r="Y394">
        <f ca="1"/>
        <v>0.6830668181297167</v>
      </c>
      <c r="Z394">
        <f ca="1"/>
        <v>0</v>
      </c>
      <c r="AA394">
        <f ca="1"/>
        <v>0</v>
      </c>
      <c r="AB394">
        <f ca="1"/>
        <v>0</v>
      </c>
      <c r="AD394" s="2">
        <f t="shared" ca="1" si="62"/>
        <v>44639</v>
      </c>
      <c r="AE394" s="46">
        <f t="shared" ca="1" si="63"/>
        <v>0</v>
      </c>
      <c r="AG394" s="72">
        <f t="shared" ca="1" si="57"/>
        <v>115.33728366485269</v>
      </c>
      <c r="AH394" s="72">
        <f t="shared" ca="1" si="58"/>
        <v>115.33728366485269</v>
      </c>
      <c r="AI394" s="3">
        <f t="shared" ca="1" si="59"/>
        <v>0</v>
      </c>
    </row>
    <row r="395" spans="7:35" x14ac:dyDescent="0.25">
      <c r="G395" s="3">
        <f t="shared" si="64"/>
        <v>298</v>
      </c>
      <c r="H395" s="104">
        <f t="shared" si="66"/>
        <v>44493</v>
      </c>
      <c r="I395" s="131">
        <f>HLOOKUP($H$4,'Met Data'!$A$2:$F$368,G395,FALSE)</f>
        <v>13.336206896551699</v>
      </c>
      <c r="J395" s="131">
        <f ca="1">HLOOKUP($H$4,'Met Data'!$H$2:$M$368,G395,FALSE)*L395</f>
        <v>3.30689655172413</v>
      </c>
      <c r="K395" s="105">
        <f>HLOOKUP($H$4,'Met Data'!$O$2:$T$368,G395,FALSE)</f>
        <v>3.2578637469081699</v>
      </c>
      <c r="L395">
        <f t="shared" ca="1" si="60"/>
        <v>1</v>
      </c>
      <c r="N395" t="b">
        <f t="shared" ca="1" si="65"/>
        <v>0</v>
      </c>
      <c r="O395" t="b">
        <f t="shared" ca="1" si="61"/>
        <v>0</v>
      </c>
      <c r="P395" s="2">
        <f ca="1"/>
        <v>44640</v>
      </c>
      <c r="Q395">
        <f ca="1"/>
        <v>115.74738769971034</v>
      </c>
      <c r="R395">
        <f ca="1"/>
        <v>0</v>
      </c>
      <c r="S395">
        <f ca="1"/>
        <v>1.0075866151128357E-8</v>
      </c>
      <c r="T395">
        <f ca="1"/>
        <v>0.41010402478178803</v>
      </c>
      <c r="U395">
        <f ca="1"/>
        <v>0</v>
      </c>
      <c r="V395">
        <f ca="1"/>
        <v>0</v>
      </c>
      <c r="W395">
        <f ca="1"/>
        <v>0</v>
      </c>
      <c r="X395">
        <f ca="1"/>
        <v>0</v>
      </c>
      <c r="Y395">
        <f ca="1"/>
        <v>0.69453564322145622</v>
      </c>
      <c r="Z395">
        <f ca="1"/>
        <v>0</v>
      </c>
      <c r="AA395">
        <f ca="1"/>
        <v>0</v>
      </c>
      <c r="AB395">
        <f ca="1"/>
        <v>0</v>
      </c>
      <c r="AD395" s="2">
        <f t="shared" ca="1" si="62"/>
        <v>44640</v>
      </c>
      <c r="AE395" s="46">
        <f t="shared" ca="1" si="63"/>
        <v>0</v>
      </c>
      <c r="AG395" s="72">
        <f t="shared" ref="AG395:AG458" ca="1" si="67">Q394+S395+T395+U395</f>
        <v>115.74738769971034</v>
      </c>
      <c r="AH395" s="72">
        <f t="shared" ref="AH395:AH458" ca="1" si="68">Q395+R395+X395</f>
        <v>115.74738769971034</v>
      </c>
      <c r="AI395" s="3">
        <f t="shared" ref="AI395:AI458" ca="1" si="69">AH395-AG395</f>
        <v>0</v>
      </c>
    </row>
    <row r="396" spans="7:35" x14ac:dyDescent="0.25">
      <c r="G396" s="3">
        <f t="shared" si="64"/>
        <v>299</v>
      </c>
      <c r="H396" s="104">
        <f t="shared" si="66"/>
        <v>44494</v>
      </c>
      <c r="I396" s="131">
        <f>HLOOKUP($H$4,'Met Data'!$A$2:$F$368,G396,FALSE)</f>
        <v>13.789655172413701</v>
      </c>
      <c r="J396" s="131">
        <f ca="1">HLOOKUP($H$4,'Met Data'!$H$2:$M$368,G396,FALSE)*L396</f>
        <v>1.8172413793103399</v>
      </c>
      <c r="K396" s="105">
        <f>HLOOKUP($H$4,'Met Data'!$O$2:$T$368,G396,FALSE)</f>
        <v>3.4101531049699898</v>
      </c>
      <c r="L396">
        <f t="shared" ca="1" si="60"/>
        <v>1</v>
      </c>
      <c r="N396" t="b">
        <f t="shared" ca="1" si="65"/>
        <v>0</v>
      </c>
      <c r="O396" t="b">
        <f t="shared" ca="1" si="61"/>
        <v>0</v>
      </c>
      <c r="P396" s="2">
        <f ca="1"/>
        <v>44641</v>
      </c>
      <c r="Q396">
        <f ca="1"/>
        <v>116.15935084164464</v>
      </c>
      <c r="R396">
        <f ca="1"/>
        <v>0</v>
      </c>
      <c r="S396">
        <f ca="1"/>
        <v>8.6096192762868131E-9</v>
      </c>
      <c r="T396">
        <f ca="1"/>
        <v>0.41196313332467982</v>
      </c>
      <c r="U396">
        <f ca="1"/>
        <v>0</v>
      </c>
      <c r="V396">
        <f ca="1"/>
        <v>0</v>
      </c>
      <c r="W396">
        <f ca="1"/>
        <v>0</v>
      </c>
      <c r="X396">
        <f ca="1"/>
        <v>0</v>
      </c>
      <c r="Y396">
        <f ca="1"/>
        <v>0.68204478575047356</v>
      </c>
      <c r="Z396">
        <f ca="1"/>
        <v>0</v>
      </c>
      <c r="AA396">
        <f ca="1"/>
        <v>0</v>
      </c>
      <c r="AB396">
        <f ca="1"/>
        <v>0</v>
      </c>
      <c r="AD396" s="2">
        <f t="shared" ca="1" si="62"/>
        <v>44641</v>
      </c>
      <c r="AE396" s="46">
        <f t="shared" ca="1" si="63"/>
        <v>0</v>
      </c>
      <c r="AG396" s="72">
        <f t="shared" ca="1" si="67"/>
        <v>116.15935084164464</v>
      </c>
      <c r="AH396" s="72">
        <f t="shared" ca="1" si="68"/>
        <v>116.15935084164464</v>
      </c>
      <c r="AI396" s="3">
        <f t="shared" ca="1" si="69"/>
        <v>0</v>
      </c>
    </row>
    <row r="397" spans="7:35" x14ac:dyDescent="0.25">
      <c r="G397" s="3">
        <f t="shared" si="64"/>
        <v>300</v>
      </c>
      <c r="H397" s="104">
        <f t="shared" si="66"/>
        <v>44495</v>
      </c>
      <c r="I397" s="131">
        <f>HLOOKUP($H$4,'Met Data'!$A$2:$F$368,G397,FALSE)</f>
        <v>14.0810344827586</v>
      </c>
      <c r="J397" s="131">
        <f ca="1">HLOOKUP($H$4,'Met Data'!$H$2:$M$368,G397,FALSE)*L397</f>
        <v>0.78965517241379302</v>
      </c>
      <c r="K397" s="105">
        <f>HLOOKUP($H$4,'Met Data'!$O$2:$T$368,G397,FALSE)</f>
        <v>3.2764418127891499</v>
      </c>
      <c r="L397">
        <f t="shared" ca="1" si="60"/>
        <v>1</v>
      </c>
      <c r="N397" t="b">
        <f t="shared" ca="1" si="65"/>
        <v>0</v>
      </c>
      <c r="O397" t="b">
        <f t="shared" ca="1" si="61"/>
        <v>0</v>
      </c>
      <c r="P397" s="2">
        <f ca="1"/>
        <v>44642</v>
      </c>
      <c r="Q397">
        <f ca="1"/>
        <v>116.57055981457657</v>
      </c>
      <c r="R397">
        <f ca="1"/>
        <v>0</v>
      </c>
      <c r="S397">
        <f ca="1"/>
        <v>7.3831357287138553E-9</v>
      </c>
      <c r="T397">
        <f ca="1"/>
        <v>0.41120896554878839</v>
      </c>
      <c r="U397">
        <f ca="1"/>
        <v>0</v>
      </c>
      <c r="V397">
        <f ca="1"/>
        <v>0</v>
      </c>
      <c r="W397">
        <f ca="1"/>
        <v>0</v>
      </c>
      <c r="X397">
        <f ca="1"/>
        <v>0</v>
      </c>
      <c r="Y397">
        <f ca="1"/>
        <v>0.68689029215936437</v>
      </c>
      <c r="Z397">
        <f ca="1"/>
        <v>0</v>
      </c>
      <c r="AA397">
        <f ca="1"/>
        <v>0</v>
      </c>
      <c r="AB397">
        <f ca="1"/>
        <v>0</v>
      </c>
      <c r="AD397" s="2">
        <f t="shared" ca="1" si="62"/>
        <v>44642</v>
      </c>
      <c r="AE397" s="46">
        <f t="shared" ca="1" si="63"/>
        <v>0</v>
      </c>
      <c r="AG397" s="72">
        <f t="shared" ca="1" si="67"/>
        <v>116.57055981457657</v>
      </c>
      <c r="AH397" s="72">
        <f t="shared" ca="1" si="68"/>
        <v>116.57055981457657</v>
      </c>
      <c r="AI397" s="3">
        <f t="shared" ca="1" si="69"/>
        <v>0</v>
      </c>
    </row>
    <row r="398" spans="7:35" x14ac:dyDescent="0.25">
      <c r="G398" s="3">
        <f t="shared" si="64"/>
        <v>301</v>
      </c>
      <c r="H398" s="104">
        <f t="shared" si="66"/>
        <v>44496</v>
      </c>
      <c r="I398" s="131">
        <f>HLOOKUP($H$4,'Met Data'!$A$2:$F$368,G398,FALSE)</f>
        <v>14.8396551724137</v>
      </c>
      <c r="J398" s="131">
        <f ca="1">HLOOKUP($H$4,'Met Data'!$H$2:$M$368,G398,FALSE)*L398</f>
        <v>3.4241379310344802</v>
      </c>
      <c r="K398" s="105">
        <f>HLOOKUP($H$4,'Met Data'!$O$2:$T$368,G398,FALSE)</f>
        <v>3.3023555527193</v>
      </c>
      <c r="L398">
        <f t="shared" ca="1" si="60"/>
        <v>1</v>
      </c>
      <c r="N398" t="b">
        <f t="shared" ca="1" si="65"/>
        <v>0</v>
      </c>
      <c r="O398" t="b">
        <f t="shared" ca="1" si="61"/>
        <v>0</v>
      </c>
      <c r="P398" s="2">
        <f ca="1"/>
        <v>44643</v>
      </c>
      <c r="Q398">
        <f ca="1"/>
        <v>116.97485875319474</v>
      </c>
      <c r="R398">
        <f ca="1"/>
        <v>0</v>
      </c>
      <c r="S398">
        <f ca="1"/>
        <v>6.2637657759577602E-9</v>
      </c>
      <c r="T398">
        <f ca="1"/>
        <v>0.40429893235440334</v>
      </c>
      <c r="U398">
        <f ca="1"/>
        <v>0</v>
      </c>
      <c r="V398">
        <f ca="1"/>
        <v>0</v>
      </c>
      <c r="W398">
        <f ca="1"/>
        <v>0</v>
      </c>
      <c r="X398">
        <f ca="1"/>
        <v>0</v>
      </c>
      <c r="Y398">
        <f ca="1"/>
        <v>0.69370270287312108</v>
      </c>
      <c r="Z398">
        <f ca="1"/>
        <v>0</v>
      </c>
      <c r="AA398">
        <f ca="1"/>
        <v>0</v>
      </c>
      <c r="AB398">
        <f ca="1"/>
        <v>0</v>
      </c>
      <c r="AD398" s="2">
        <f t="shared" ca="1" si="62"/>
        <v>44643</v>
      </c>
      <c r="AE398" s="46">
        <f t="shared" ca="1" si="63"/>
        <v>0</v>
      </c>
      <c r="AG398" s="72">
        <f t="shared" ca="1" si="67"/>
        <v>116.97485875319474</v>
      </c>
      <c r="AH398" s="72">
        <f t="shared" ca="1" si="68"/>
        <v>116.97485875319474</v>
      </c>
      <c r="AI398" s="3">
        <f t="shared" ca="1" si="69"/>
        <v>0</v>
      </c>
    </row>
    <row r="399" spans="7:35" x14ac:dyDescent="0.25">
      <c r="G399" s="3">
        <f t="shared" si="64"/>
        <v>302</v>
      </c>
      <c r="H399" s="104">
        <f t="shared" si="66"/>
        <v>44497</v>
      </c>
      <c r="I399" s="131">
        <f>HLOOKUP($H$4,'Met Data'!$A$2:$F$368,G399,FALSE)</f>
        <v>14.274137931034399</v>
      </c>
      <c r="J399" s="131">
        <f ca="1">HLOOKUP($H$4,'Met Data'!$H$2:$M$368,G399,FALSE)*L399</f>
        <v>4.16206896551724</v>
      </c>
      <c r="K399" s="105">
        <f>HLOOKUP($H$4,'Met Data'!$O$2:$T$368,G399,FALSE)</f>
        <v>2.9394492851949701</v>
      </c>
      <c r="L399">
        <f t="shared" ca="1" si="60"/>
        <v>1</v>
      </c>
      <c r="N399" t="b">
        <f t="shared" ca="1" si="65"/>
        <v>0</v>
      </c>
      <c r="O399" t="b">
        <f t="shared" ca="1" si="61"/>
        <v>0</v>
      </c>
      <c r="P399" s="2">
        <f ca="1"/>
        <v>44644</v>
      </c>
      <c r="Q399">
        <f ca="1"/>
        <v>117.37516567311854</v>
      </c>
      <c r="R399">
        <f ca="1"/>
        <v>0</v>
      </c>
      <c r="S399">
        <f ca="1"/>
        <v>5.3278154125852425E-9</v>
      </c>
      <c r="T399">
        <f ca="1"/>
        <v>0.40030691459598006</v>
      </c>
      <c r="U399">
        <f ca="1"/>
        <v>0</v>
      </c>
      <c r="V399">
        <f ca="1"/>
        <v>0</v>
      </c>
      <c r="W399">
        <f ca="1"/>
        <v>0</v>
      </c>
      <c r="X399">
        <f ca="1"/>
        <v>0</v>
      </c>
      <c r="Y399">
        <f ca="1"/>
        <v>0.69090973174584613</v>
      </c>
      <c r="Z399">
        <f ca="1"/>
        <v>0</v>
      </c>
      <c r="AA399">
        <f ca="1"/>
        <v>0</v>
      </c>
      <c r="AB399">
        <f ca="1"/>
        <v>0</v>
      </c>
      <c r="AD399" s="2">
        <f t="shared" ca="1" si="62"/>
        <v>44644</v>
      </c>
      <c r="AE399" s="46">
        <f t="shared" ca="1" si="63"/>
        <v>0</v>
      </c>
      <c r="AG399" s="72">
        <f t="shared" ca="1" si="67"/>
        <v>117.37516567311854</v>
      </c>
      <c r="AH399" s="72">
        <f t="shared" ca="1" si="68"/>
        <v>117.37516567311854</v>
      </c>
      <c r="AI399" s="3">
        <f t="shared" ca="1" si="69"/>
        <v>0</v>
      </c>
    </row>
    <row r="400" spans="7:35" x14ac:dyDescent="0.25">
      <c r="G400" s="3">
        <f t="shared" si="64"/>
        <v>303</v>
      </c>
      <c r="H400" s="104">
        <f t="shared" si="66"/>
        <v>44498</v>
      </c>
      <c r="I400" s="131">
        <f>HLOOKUP($H$4,'Met Data'!$A$2:$F$368,G400,FALSE)</f>
        <v>14.29</v>
      </c>
      <c r="J400" s="131">
        <f ca="1">HLOOKUP($H$4,'Met Data'!$H$2:$M$368,G400,FALSE)*L400</f>
        <v>2.4933333333333301</v>
      </c>
      <c r="K400" s="105">
        <f>HLOOKUP($H$4,'Met Data'!$O$2:$T$368,G400,FALSE)</f>
        <v>3.1793308523033601</v>
      </c>
      <c r="L400">
        <f t="shared" ca="1" si="60"/>
        <v>1</v>
      </c>
      <c r="N400" t="b">
        <f t="shared" ca="1" si="65"/>
        <v>0</v>
      </c>
      <c r="O400" t="b">
        <f t="shared" ca="1" si="61"/>
        <v>0</v>
      </c>
      <c r="P400" s="2">
        <f ca="1"/>
        <v>44645</v>
      </c>
      <c r="Q400">
        <f ca="1"/>
        <v>117.77448879900551</v>
      </c>
      <c r="R400">
        <f ca="1"/>
        <v>0</v>
      </c>
      <c r="S400">
        <f ca="1"/>
        <v>4.5644034834321058E-9</v>
      </c>
      <c r="T400">
        <f ca="1"/>
        <v>0.3993231213225647</v>
      </c>
      <c r="U400">
        <f ca="1"/>
        <v>0</v>
      </c>
      <c r="V400">
        <f ca="1"/>
        <v>0</v>
      </c>
      <c r="W400">
        <f ca="1"/>
        <v>0</v>
      </c>
      <c r="X400">
        <f ca="1"/>
        <v>0</v>
      </c>
      <c r="Y400">
        <f ca="1"/>
        <v>0.68837537350017541</v>
      </c>
      <c r="Z400">
        <f ca="1"/>
        <v>0</v>
      </c>
      <c r="AA400">
        <f ca="1"/>
        <v>0</v>
      </c>
      <c r="AB400">
        <f ca="1"/>
        <v>0</v>
      </c>
      <c r="AD400" s="2">
        <f t="shared" ca="1" si="62"/>
        <v>44645</v>
      </c>
      <c r="AE400" s="46">
        <f t="shared" ca="1" si="63"/>
        <v>0</v>
      </c>
      <c r="AG400" s="72">
        <f t="shared" ca="1" si="67"/>
        <v>117.77448879900551</v>
      </c>
      <c r="AH400" s="72">
        <f t="shared" ca="1" si="68"/>
        <v>117.77448879900551</v>
      </c>
      <c r="AI400" s="3">
        <f t="shared" ca="1" si="69"/>
        <v>0</v>
      </c>
    </row>
    <row r="401" spans="7:35" x14ac:dyDescent="0.25">
      <c r="G401" s="3">
        <f t="shared" si="64"/>
        <v>304</v>
      </c>
      <c r="H401" s="104">
        <f t="shared" si="66"/>
        <v>44499</v>
      </c>
      <c r="I401" s="131">
        <f>HLOOKUP($H$4,'Met Data'!$A$2:$F$368,G401,FALSE)</f>
        <v>14.715</v>
      </c>
      <c r="J401" s="131">
        <f ca="1">HLOOKUP($H$4,'Met Data'!$H$2:$M$368,G401,FALSE)*L401</f>
        <v>1.99</v>
      </c>
      <c r="K401" s="105">
        <f>HLOOKUP($H$4,'Met Data'!$O$2:$T$368,G401,FALSE)</f>
        <v>3.2908149619424898</v>
      </c>
      <c r="L401">
        <f t="shared" ca="1" si="60"/>
        <v>1</v>
      </c>
      <c r="N401" t="b">
        <f t="shared" ca="1" si="65"/>
        <v>0</v>
      </c>
      <c r="O401" t="b">
        <f t="shared" ca="1" si="61"/>
        <v>0</v>
      </c>
      <c r="P401" s="2">
        <f ca="1"/>
        <v>44646</v>
      </c>
      <c r="Q401">
        <f ca="1"/>
        <v>118.18198863833923</v>
      </c>
      <c r="R401">
        <f ca="1"/>
        <v>0</v>
      </c>
      <c r="S401">
        <f ca="1"/>
        <v>4.0031508871517026E-9</v>
      </c>
      <c r="T401">
        <f ca="1"/>
        <v>0.40749983533057349</v>
      </c>
      <c r="U401">
        <f ca="1"/>
        <v>0</v>
      </c>
      <c r="V401">
        <f ca="1"/>
        <v>0</v>
      </c>
      <c r="W401">
        <f ca="1"/>
        <v>0</v>
      </c>
      <c r="X401">
        <f ca="1"/>
        <v>0</v>
      </c>
      <c r="Y401">
        <f ca="1"/>
        <v>0.69898887171694379</v>
      </c>
      <c r="Z401">
        <f ca="1"/>
        <v>0</v>
      </c>
      <c r="AA401">
        <f ca="1"/>
        <v>0</v>
      </c>
      <c r="AB401">
        <f ca="1"/>
        <v>0</v>
      </c>
      <c r="AD401" s="2">
        <f t="shared" ca="1" si="62"/>
        <v>44646</v>
      </c>
      <c r="AE401" s="46">
        <f t="shared" ca="1" si="63"/>
        <v>0</v>
      </c>
      <c r="AG401" s="72">
        <f t="shared" ca="1" si="67"/>
        <v>118.18198863833923</v>
      </c>
      <c r="AH401" s="72">
        <f t="shared" ca="1" si="68"/>
        <v>118.18198863833923</v>
      </c>
      <c r="AI401" s="3">
        <f t="shared" ca="1" si="69"/>
        <v>0</v>
      </c>
    </row>
    <row r="402" spans="7:35" x14ac:dyDescent="0.25">
      <c r="G402" s="3">
        <f t="shared" si="64"/>
        <v>305</v>
      </c>
      <c r="H402" s="104">
        <f t="shared" si="66"/>
        <v>44500</v>
      </c>
      <c r="I402" s="131">
        <f>HLOOKUP($H$4,'Met Data'!$A$2:$F$368,G402,FALSE)</f>
        <v>14.5266666666666</v>
      </c>
      <c r="J402" s="131">
        <f ca="1">HLOOKUP($H$4,'Met Data'!$H$2:$M$368,G402,FALSE)*L402</f>
        <v>1.75</v>
      </c>
      <c r="K402" s="105">
        <f>HLOOKUP($H$4,'Met Data'!$O$2:$T$368,G402,FALSE)</f>
        <v>3.7910621493299299</v>
      </c>
      <c r="L402">
        <f t="shared" ca="1" si="60"/>
        <v>1</v>
      </c>
      <c r="N402" t="b">
        <f t="shared" ca="1" si="65"/>
        <v>0</v>
      </c>
      <c r="O402" t="b">
        <f t="shared" ca="1" si="61"/>
        <v>0</v>
      </c>
      <c r="P402" s="2">
        <f ca="1"/>
        <v>44647</v>
      </c>
      <c r="Q402">
        <f ca="1"/>
        <v>118.58854260660618</v>
      </c>
      <c r="R402">
        <f ca="1"/>
        <v>0</v>
      </c>
      <c r="S402">
        <f ca="1"/>
        <v>3.4089810190982933E-9</v>
      </c>
      <c r="T402">
        <f ca="1"/>
        <v>0.4065539648579683</v>
      </c>
      <c r="U402">
        <f ca="1"/>
        <v>0</v>
      </c>
      <c r="V402">
        <f ca="1"/>
        <v>0</v>
      </c>
      <c r="W402">
        <f ca="1"/>
        <v>0</v>
      </c>
      <c r="X402">
        <f ca="1"/>
        <v>0</v>
      </c>
      <c r="Y402">
        <f ca="1"/>
        <v>0.68887809319505788</v>
      </c>
      <c r="Z402">
        <f ca="1"/>
        <v>0</v>
      </c>
      <c r="AA402">
        <f ca="1"/>
        <v>0</v>
      </c>
      <c r="AB402">
        <f ca="1"/>
        <v>0</v>
      </c>
      <c r="AD402" s="2">
        <f t="shared" ca="1" si="62"/>
        <v>44647</v>
      </c>
      <c r="AE402" s="46">
        <f t="shared" ca="1" si="63"/>
        <v>0</v>
      </c>
      <c r="AG402" s="72">
        <f t="shared" ca="1" si="67"/>
        <v>118.58854260660618</v>
      </c>
      <c r="AH402" s="72">
        <f t="shared" ca="1" si="68"/>
        <v>118.58854260660618</v>
      </c>
      <c r="AI402" s="3">
        <f t="shared" ca="1" si="69"/>
        <v>0</v>
      </c>
    </row>
    <row r="403" spans="7:35" x14ac:dyDescent="0.25">
      <c r="G403" s="3">
        <f t="shared" si="64"/>
        <v>306</v>
      </c>
      <c r="H403" s="104">
        <f t="shared" si="66"/>
        <v>44501</v>
      </c>
      <c r="I403" s="131">
        <f>HLOOKUP($H$4,'Met Data'!$A$2:$F$368,G403,FALSE)</f>
        <v>14.0416666666666</v>
      </c>
      <c r="J403" s="131">
        <f ca="1">HLOOKUP($H$4,'Met Data'!$H$2:$M$368,G403,FALSE)*L403</f>
        <v>2.11666666666666</v>
      </c>
      <c r="K403" s="105">
        <f>HLOOKUP($H$4,'Met Data'!$O$2:$T$368,G403,FALSE)</f>
        <v>3.7273958064413302</v>
      </c>
      <c r="L403">
        <f t="shared" ca="1" si="60"/>
        <v>1</v>
      </c>
      <c r="N403" t="b">
        <f t="shared" ca="1" si="65"/>
        <v>0</v>
      </c>
      <c r="O403" t="b">
        <f t="shared" ca="1" si="61"/>
        <v>0</v>
      </c>
      <c r="P403" s="2">
        <f ca="1"/>
        <v>44648</v>
      </c>
      <c r="Q403">
        <f ca="1"/>
        <v>118.99571105283287</v>
      </c>
      <c r="R403">
        <f ca="1"/>
        <v>0</v>
      </c>
      <c r="S403">
        <f ca="1"/>
        <v>2.9339014475120289E-9</v>
      </c>
      <c r="T403">
        <f ca="1"/>
        <v>0.40716844329278384</v>
      </c>
      <c r="U403">
        <f ca="1"/>
        <v>0</v>
      </c>
      <c r="V403">
        <f ca="1"/>
        <v>0</v>
      </c>
      <c r="W403">
        <f ca="1"/>
        <v>0</v>
      </c>
      <c r="X403">
        <f ca="1"/>
        <v>0</v>
      </c>
      <c r="Y403">
        <f ca="1"/>
        <v>0.69387641284709001</v>
      </c>
      <c r="Z403">
        <f ca="1"/>
        <v>0</v>
      </c>
      <c r="AA403">
        <f ca="1"/>
        <v>0</v>
      </c>
      <c r="AB403">
        <f ca="1"/>
        <v>0</v>
      </c>
      <c r="AD403" s="2">
        <f t="shared" ca="1" si="62"/>
        <v>44648</v>
      </c>
      <c r="AE403" s="46">
        <f t="shared" ca="1" si="63"/>
        <v>0</v>
      </c>
      <c r="AG403" s="72">
        <f t="shared" ca="1" si="67"/>
        <v>118.99571105283287</v>
      </c>
      <c r="AH403" s="72">
        <f t="shared" ca="1" si="68"/>
        <v>118.99571105283287</v>
      </c>
      <c r="AI403" s="3">
        <f t="shared" ca="1" si="69"/>
        <v>0</v>
      </c>
    </row>
    <row r="404" spans="7:35" x14ac:dyDescent="0.25">
      <c r="G404" s="3">
        <f t="shared" si="64"/>
        <v>307</v>
      </c>
      <c r="H404" s="104">
        <f t="shared" si="66"/>
        <v>44502</v>
      </c>
      <c r="I404" s="131">
        <f>HLOOKUP($H$4,'Met Data'!$A$2:$F$368,G404,FALSE)</f>
        <v>14.098333333333301</v>
      </c>
      <c r="J404" s="131">
        <f ca="1">HLOOKUP($H$4,'Met Data'!$H$2:$M$368,G404,FALSE)*L404</f>
        <v>0.94</v>
      </c>
      <c r="K404" s="105">
        <f>HLOOKUP($H$4,'Met Data'!$O$2:$T$368,G404,FALSE)</f>
        <v>3.7508089301659</v>
      </c>
      <c r="L404">
        <f t="shared" ca="1" si="60"/>
        <v>1</v>
      </c>
      <c r="N404" t="b">
        <f t="shared" ca="1" si="65"/>
        <v>0</v>
      </c>
      <c r="O404" t="b">
        <f t="shared" ca="1" si="61"/>
        <v>0</v>
      </c>
      <c r="P404" s="2">
        <f ca="1"/>
        <v>44649</v>
      </c>
      <c r="Q404">
        <f ca="1"/>
        <v>119.41318778614007</v>
      </c>
      <c r="R404">
        <f ca="1"/>
        <v>0</v>
      </c>
      <c r="S404">
        <f ca="1"/>
        <v>2.5711703090809848E-9</v>
      </c>
      <c r="T404">
        <f ca="1"/>
        <v>0.41747673073602798</v>
      </c>
      <c r="U404">
        <f ca="1"/>
        <v>0</v>
      </c>
      <c r="V404">
        <f ca="1"/>
        <v>0</v>
      </c>
      <c r="W404">
        <f ca="1"/>
        <v>0</v>
      </c>
      <c r="X404">
        <f ca="1"/>
        <v>0</v>
      </c>
      <c r="Y404">
        <f ca="1"/>
        <v>0.70128687481004626</v>
      </c>
      <c r="Z404">
        <f ca="1"/>
        <v>0</v>
      </c>
      <c r="AA404">
        <f ca="1"/>
        <v>0</v>
      </c>
      <c r="AB404">
        <f ca="1"/>
        <v>0</v>
      </c>
      <c r="AD404" s="2">
        <f t="shared" ca="1" si="62"/>
        <v>44649</v>
      </c>
      <c r="AE404" s="46">
        <f t="shared" ca="1" si="63"/>
        <v>0</v>
      </c>
      <c r="AG404" s="72">
        <f t="shared" ca="1" si="67"/>
        <v>119.41318778614007</v>
      </c>
      <c r="AH404" s="72">
        <f t="shared" ca="1" si="68"/>
        <v>119.41318778614007</v>
      </c>
      <c r="AI404" s="3">
        <f t="shared" ca="1" si="69"/>
        <v>0</v>
      </c>
    </row>
    <row r="405" spans="7:35" x14ac:dyDescent="0.25">
      <c r="G405" s="3">
        <f t="shared" si="64"/>
        <v>308</v>
      </c>
      <c r="H405" s="104">
        <f t="shared" si="66"/>
        <v>44503</v>
      </c>
      <c r="I405" s="131">
        <f>HLOOKUP($H$4,'Met Data'!$A$2:$F$368,G405,FALSE)</f>
        <v>13.9933333333333</v>
      </c>
      <c r="J405" s="131">
        <f ca="1">HLOOKUP($H$4,'Met Data'!$H$2:$M$368,G405,FALSE)*L405</f>
        <v>2.42</v>
      </c>
      <c r="K405" s="105">
        <f>HLOOKUP($H$4,'Met Data'!$O$2:$T$368,G405,FALSE)</f>
        <v>3.2496546498492198</v>
      </c>
      <c r="L405">
        <f t="shared" ca="1" si="60"/>
        <v>1</v>
      </c>
      <c r="N405" t="b">
        <f t="shared" ca="1" si="65"/>
        <v>0</v>
      </c>
      <c r="O405" t="b">
        <f t="shared" ca="1" si="61"/>
        <v>0</v>
      </c>
      <c r="P405" s="2">
        <f ca="1"/>
        <v>44650</v>
      </c>
      <c r="Q405">
        <f ca="1"/>
        <v>119.81938621783704</v>
      </c>
      <c r="R405">
        <f ca="1"/>
        <v>0</v>
      </c>
      <c r="S405">
        <f ca="1"/>
        <v>2.14290275619687E-9</v>
      </c>
      <c r="T405">
        <f ca="1"/>
        <v>0.40619842955407054</v>
      </c>
      <c r="U405">
        <f ca="1"/>
        <v>0</v>
      </c>
      <c r="V405">
        <f ca="1"/>
        <v>0</v>
      </c>
      <c r="W405">
        <f ca="1"/>
        <v>0</v>
      </c>
      <c r="X405">
        <f ca="1"/>
        <v>0</v>
      </c>
      <c r="Y405">
        <f ca="1"/>
        <v>0.69239865459560879</v>
      </c>
      <c r="Z405">
        <f ca="1"/>
        <v>0</v>
      </c>
      <c r="AA405">
        <f ca="1"/>
        <v>0</v>
      </c>
      <c r="AB405">
        <f ca="1"/>
        <v>0</v>
      </c>
      <c r="AD405" s="2">
        <f t="shared" ca="1" si="62"/>
        <v>44650</v>
      </c>
      <c r="AE405" s="46">
        <f t="shared" ca="1" si="63"/>
        <v>0</v>
      </c>
      <c r="AG405" s="72">
        <f t="shared" ca="1" si="67"/>
        <v>119.81938621783704</v>
      </c>
      <c r="AH405" s="72">
        <f t="shared" ca="1" si="68"/>
        <v>119.81938621783704</v>
      </c>
      <c r="AI405" s="3">
        <f t="shared" ca="1" si="69"/>
        <v>0</v>
      </c>
    </row>
    <row r="406" spans="7:35" x14ac:dyDescent="0.25">
      <c r="G406" s="3">
        <f t="shared" si="64"/>
        <v>309</v>
      </c>
      <c r="H406" s="104">
        <f t="shared" si="66"/>
        <v>44504</v>
      </c>
      <c r="I406" s="131">
        <f>HLOOKUP($H$4,'Met Data'!$A$2:$F$368,G406,FALSE)</f>
        <v>14.2016666666666</v>
      </c>
      <c r="J406" s="131">
        <f ca="1">HLOOKUP($H$4,'Met Data'!$H$2:$M$368,G406,FALSE)*L406</f>
        <v>3.21999999999999</v>
      </c>
      <c r="K406" s="105">
        <f>HLOOKUP($H$4,'Met Data'!$O$2:$T$368,G406,FALSE)</f>
        <v>3.3917308243993398</v>
      </c>
      <c r="L406">
        <f t="shared" ca="1" si="60"/>
        <v>1</v>
      </c>
      <c r="N406" t="b">
        <f t="shared" ca="1" si="65"/>
        <v>0</v>
      </c>
      <c r="O406" t="b">
        <f t="shared" ca="1" si="61"/>
        <v>0</v>
      </c>
      <c r="P406" s="2">
        <f ca="1"/>
        <v>44651</v>
      </c>
      <c r="Q406">
        <f ca="1"/>
        <v>120.22336807295707</v>
      </c>
      <c r="R406">
        <f ca="1"/>
        <v>0</v>
      </c>
      <c r="S406">
        <f ca="1"/>
        <v>1.8368241174002193E-9</v>
      </c>
      <c r="T406">
        <f ca="1"/>
        <v>0.40398185328321468</v>
      </c>
      <c r="U406">
        <f ca="1"/>
        <v>0</v>
      </c>
      <c r="V406">
        <f ca="1"/>
        <v>0</v>
      </c>
      <c r="W406">
        <f ca="1"/>
        <v>0</v>
      </c>
      <c r="X406">
        <f ca="1"/>
        <v>0</v>
      </c>
      <c r="Y406">
        <f ca="1"/>
        <v>0.70077618983483914</v>
      </c>
      <c r="Z406">
        <f ca="1"/>
        <v>0</v>
      </c>
      <c r="AA406">
        <f ca="1"/>
        <v>0</v>
      </c>
      <c r="AB406">
        <f ca="1"/>
        <v>0</v>
      </c>
      <c r="AD406" s="2">
        <f t="shared" ca="1" si="62"/>
        <v>44651</v>
      </c>
      <c r="AE406" s="46">
        <f t="shared" ca="1" si="63"/>
        <v>0</v>
      </c>
      <c r="AG406" s="72">
        <f t="shared" ca="1" si="67"/>
        <v>120.22336807295707</v>
      </c>
      <c r="AH406" s="72">
        <f t="shared" ca="1" si="68"/>
        <v>120.22336807295707</v>
      </c>
      <c r="AI406" s="3">
        <f t="shared" ca="1" si="69"/>
        <v>0</v>
      </c>
    </row>
    <row r="407" spans="7:35" x14ac:dyDescent="0.25">
      <c r="G407" s="3">
        <f t="shared" si="64"/>
        <v>310</v>
      </c>
      <c r="H407" s="104">
        <f t="shared" si="66"/>
        <v>44505</v>
      </c>
      <c r="I407" s="131">
        <f>HLOOKUP($H$4,'Met Data'!$A$2:$F$368,G407,FALSE)</f>
        <v>14.5483333333333</v>
      </c>
      <c r="J407" s="131">
        <f ca="1">HLOOKUP($H$4,'Met Data'!$H$2:$M$368,G407,FALSE)*L407</f>
        <v>6.2166666666666597</v>
      </c>
      <c r="K407" s="105">
        <f>HLOOKUP($H$4,'Met Data'!$O$2:$T$368,G407,FALSE)</f>
        <v>3.4940085056696999</v>
      </c>
      <c r="L407">
        <f t="shared" ca="1" si="60"/>
        <v>1</v>
      </c>
      <c r="N407" t="b">
        <f t="shared" ca="1" si="65"/>
        <v>0</v>
      </c>
      <c r="O407" t="b">
        <f t="shared" ca="1" si="61"/>
        <v>0</v>
      </c>
      <c r="P407" s="2">
        <f ca="1"/>
        <v>44652</v>
      </c>
      <c r="Q407">
        <f ca="1"/>
        <v>120.61712053635961</v>
      </c>
      <c r="R407">
        <f ca="1"/>
        <v>0</v>
      </c>
      <c r="S407">
        <f ca="1"/>
        <v>1.5436049382534964E-9</v>
      </c>
      <c r="T407">
        <f ca="1"/>
        <v>0.39375246185892981</v>
      </c>
      <c r="U407">
        <f ca="1"/>
        <v>0</v>
      </c>
      <c r="V407">
        <f ca="1"/>
        <v>0</v>
      </c>
      <c r="W407">
        <f ca="1"/>
        <v>0</v>
      </c>
      <c r="X407">
        <f ca="1"/>
        <v>0</v>
      </c>
      <c r="Y407">
        <f ca="1"/>
        <v>0.69869166146040584</v>
      </c>
      <c r="Z407">
        <f ca="1"/>
        <v>0</v>
      </c>
      <c r="AA407">
        <f ca="1"/>
        <v>0</v>
      </c>
      <c r="AB407">
        <f ca="1"/>
        <v>0</v>
      </c>
      <c r="AD407" s="2">
        <f t="shared" ca="1" si="62"/>
        <v>44652</v>
      </c>
      <c r="AE407" s="46">
        <f t="shared" ca="1" si="63"/>
        <v>0</v>
      </c>
      <c r="AG407" s="72">
        <f t="shared" ca="1" si="67"/>
        <v>120.61712053635961</v>
      </c>
      <c r="AH407" s="72">
        <f t="shared" ca="1" si="68"/>
        <v>120.61712053635961</v>
      </c>
      <c r="AI407" s="3">
        <f t="shared" ca="1" si="69"/>
        <v>0</v>
      </c>
    </row>
    <row r="408" spans="7:35" x14ac:dyDescent="0.25">
      <c r="G408" s="3">
        <f t="shared" si="64"/>
        <v>311</v>
      </c>
      <c r="H408" s="104">
        <f t="shared" si="66"/>
        <v>44506</v>
      </c>
      <c r="I408" s="131">
        <f>HLOOKUP($H$4,'Met Data'!$A$2:$F$368,G408,FALSE)</f>
        <v>14.156666666666601</v>
      </c>
      <c r="J408" s="131">
        <f ca="1">HLOOKUP($H$4,'Met Data'!$H$2:$M$368,G408,FALSE)*L408</f>
        <v>4.1999999999999904</v>
      </c>
      <c r="K408" s="105">
        <f>HLOOKUP($H$4,'Met Data'!$O$2:$T$368,G408,FALSE)</f>
        <v>3.6290518837480299</v>
      </c>
      <c r="L408">
        <f t="shared" ca="1" si="60"/>
        <v>1</v>
      </c>
      <c r="N408" t="b">
        <f t="shared" ca="1" si="65"/>
        <v>0</v>
      </c>
      <c r="O408" t="b">
        <f t="shared" ca="1" si="61"/>
        <v>0</v>
      </c>
      <c r="P408" s="2">
        <f ca="1"/>
        <v>44653</v>
      </c>
      <c r="Q408">
        <f ca="1"/>
        <v>121.01475317369966</v>
      </c>
      <c r="R408">
        <f ca="1"/>
        <v>0</v>
      </c>
      <c r="S408">
        <f ca="1"/>
        <v>1.3453367895505812E-9</v>
      </c>
      <c r="T408">
        <f ca="1"/>
        <v>0.39763263599470877</v>
      </c>
      <c r="U408">
        <f ca="1"/>
        <v>0</v>
      </c>
      <c r="V408">
        <f ca="1"/>
        <v>0</v>
      </c>
      <c r="W408">
        <f ca="1"/>
        <v>0</v>
      </c>
      <c r="X408">
        <f ca="1"/>
        <v>0</v>
      </c>
      <c r="Y408">
        <f ca="1"/>
        <v>0.71155053273313429</v>
      </c>
      <c r="Z408">
        <f ca="1"/>
        <v>0</v>
      </c>
      <c r="AA408">
        <f ca="1"/>
        <v>0</v>
      </c>
      <c r="AB408">
        <f ca="1"/>
        <v>0</v>
      </c>
      <c r="AD408" s="2">
        <f t="shared" ca="1" si="62"/>
        <v>44653</v>
      </c>
      <c r="AE408" s="46">
        <f t="shared" ca="1" si="63"/>
        <v>0</v>
      </c>
      <c r="AG408" s="72">
        <f t="shared" ca="1" si="67"/>
        <v>121.01475317369966</v>
      </c>
      <c r="AH408" s="72">
        <f t="shared" ca="1" si="68"/>
        <v>121.01475317369966</v>
      </c>
      <c r="AI408" s="3">
        <f t="shared" ca="1" si="69"/>
        <v>0</v>
      </c>
    </row>
    <row r="409" spans="7:35" x14ac:dyDescent="0.25">
      <c r="G409" s="3">
        <f t="shared" si="64"/>
        <v>312</v>
      </c>
      <c r="H409" s="104">
        <f t="shared" si="66"/>
        <v>44507</v>
      </c>
      <c r="I409" s="131">
        <f>HLOOKUP($H$4,'Met Data'!$A$2:$F$368,G409,FALSE)</f>
        <v>14.466666666666599</v>
      </c>
      <c r="J409" s="131">
        <f ca="1">HLOOKUP($H$4,'Met Data'!$H$2:$M$368,G409,FALSE)*L409</f>
        <v>4.18333333333333</v>
      </c>
      <c r="K409" s="105">
        <f>HLOOKUP($H$4,'Met Data'!$O$2:$T$368,G409,FALSE)</f>
        <v>3.3196725038188899</v>
      </c>
      <c r="L409">
        <f t="shared" ca="1" si="60"/>
        <v>1</v>
      </c>
      <c r="N409" t="b">
        <f t="shared" ca="1" si="65"/>
        <v>0</v>
      </c>
      <c r="O409" t="b">
        <f t="shared" ca="1" si="61"/>
        <v>0</v>
      </c>
      <c r="P409" s="2">
        <f ca="1"/>
        <v>44654</v>
      </c>
      <c r="Q409">
        <f ca="1"/>
        <v>121.42074431461023</v>
      </c>
      <c r="R409">
        <f ca="1"/>
        <v>0</v>
      </c>
      <c r="S409">
        <f ca="1"/>
        <v>1.1768406636764606E-9</v>
      </c>
      <c r="T409">
        <f ca="1"/>
        <v>0.40599113973373413</v>
      </c>
      <c r="U409">
        <f ca="1"/>
        <v>0</v>
      </c>
      <c r="V409">
        <f ca="1"/>
        <v>0</v>
      </c>
      <c r="W409">
        <f ca="1"/>
        <v>0</v>
      </c>
      <c r="X409">
        <f ca="1"/>
        <v>0</v>
      </c>
      <c r="Y409">
        <f ca="1"/>
        <v>0.71804217830550521</v>
      </c>
      <c r="Z409">
        <f ca="1"/>
        <v>0</v>
      </c>
      <c r="AA409">
        <f ca="1"/>
        <v>0</v>
      </c>
      <c r="AB409">
        <f ca="1"/>
        <v>0</v>
      </c>
      <c r="AD409" s="2">
        <f t="shared" ca="1" si="62"/>
        <v>44654</v>
      </c>
      <c r="AE409" s="46">
        <f t="shared" ca="1" si="63"/>
        <v>0</v>
      </c>
      <c r="AG409" s="72">
        <f t="shared" ca="1" si="67"/>
        <v>121.42074431461023</v>
      </c>
      <c r="AH409" s="72">
        <f t="shared" ca="1" si="68"/>
        <v>121.42074431461023</v>
      </c>
      <c r="AI409" s="3">
        <f t="shared" ca="1" si="69"/>
        <v>0</v>
      </c>
    </row>
    <row r="410" spans="7:35" x14ac:dyDescent="0.25">
      <c r="G410" s="3">
        <f t="shared" si="64"/>
        <v>313</v>
      </c>
      <c r="H410" s="104">
        <f t="shared" si="66"/>
        <v>44508</v>
      </c>
      <c r="I410" s="131">
        <f>HLOOKUP($H$4,'Met Data'!$A$2:$F$368,G410,FALSE)</f>
        <v>14.7283333333333</v>
      </c>
      <c r="J410" s="131">
        <f ca="1">HLOOKUP($H$4,'Met Data'!$H$2:$M$368,G410,FALSE)*L410</f>
        <v>3.4833333333333298</v>
      </c>
      <c r="K410" s="105">
        <f>HLOOKUP($H$4,'Met Data'!$O$2:$T$368,G410,FALSE)</f>
        <v>3.5694722560107999</v>
      </c>
      <c r="L410">
        <f t="shared" ca="1" si="60"/>
        <v>1</v>
      </c>
      <c r="N410" t="b">
        <f t="shared" ca="1" si="65"/>
        <v>0</v>
      </c>
      <c r="O410" t="b">
        <f t="shared" ca="1" si="61"/>
        <v>0</v>
      </c>
      <c r="P410" s="2">
        <f ca="1"/>
        <v>44655</v>
      </c>
      <c r="Q410">
        <f ca="1"/>
        <v>121.81081471251159</v>
      </c>
      <c r="R410">
        <f ca="1"/>
        <v>0</v>
      </c>
      <c r="S410">
        <f ca="1"/>
        <v>9.747872405439027E-10</v>
      </c>
      <c r="T410">
        <f ca="1"/>
        <v>0.39007039692656387</v>
      </c>
      <c r="U410">
        <f ca="1"/>
        <v>0</v>
      </c>
      <c r="V410">
        <f ca="1"/>
        <v>0</v>
      </c>
      <c r="W410">
        <f ca="1"/>
        <v>0</v>
      </c>
      <c r="X410">
        <f ca="1"/>
        <v>0</v>
      </c>
      <c r="Y410">
        <f ca="1"/>
        <v>0.71187096365534119</v>
      </c>
      <c r="Z410">
        <f ca="1"/>
        <v>0</v>
      </c>
      <c r="AA410">
        <f ca="1"/>
        <v>0</v>
      </c>
      <c r="AB410">
        <f ca="1"/>
        <v>0</v>
      </c>
      <c r="AD410" s="2">
        <f t="shared" ca="1" si="62"/>
        <v>44655</v>
      </c>
      <c r="AE410" s="46">
        <f t="shared" ca="1" si="63"/>
        <v>0</v>
      </c>
      <c r="AG410" s="72">
        <f t="shared" ca="1" si="67"/>
        <v>121.81081471251159</v>
      </c>
      <c r="AH410" s="72">
        <f t="shared" ca="1" si="68"/>
        <v>121.81081471251159</v>
      </c>
      <c r="AI410" s="3">
        <f t="shared" ca="1" si="69"/>
        <v>0</v>
      </c>
    </row>
    <row r="411" spans="7:35" x14ac:dyDescent="0.25">
      <c r="G411" s="3">
        <f t="shared" si="64"/>
        <v>314</v>
      </c>
      <c r="H411" s="104">
        <f t="shared" si="66"/>
        <v>44509</v>
      </c>
      <c r="I411" s="131">
        <f>HLOOKUP($H$4,'Met Data'!$A$2:$F$368,G411,FALSE)</f>
        <v>14.37</v>
      </c>
      <c r="J411" s="131">
        <f ca="1">HLOOKUP($H$4,'Met Data'!$H$2:$M$368,G411,FALSE)*L411</f>
        <v>3.5433333333333299</v>
      </c>
      <c r="K411" s="105">
        <f>HLOOKUP($H$4,'Met Data'!$O$2:$T$368,G411,FALSE)</f>
        <v>3.5998767062500399</v>
      </c>
      <c r="L411">
        <f t="shared" ca="1" si="60"/>
        <v>1</v>
      </c>
      <c r="N411" t="b">
        <f t="shared" ca="1" si="65"/>
        <v>0</v>
      </c>
      <c r="O411" t="b">
        <f t="shared" ca="1" si="61"/>
        <v>0</v>
      </c>
      <c r="P411" s="2">
        <f ca="1"/>
        <v>44656</v>
      </c>
      <c r="Q411">
        <f ca="1"/>
        <v>122.19874771897796</v>
      </c>
      <c r="R411">
        <f ca="1"/>
        <v>0</v>
      </c>
      <c r="S411">
        <f ca="1"/>
        <v>8.3444691485615118E-10</v>
      </c>
      <c r="T411">
        <f ca="1"/>
        <v>0.38793300563192407</v>
      </c>
      <c r="U411">
        <f ca="1"/>
        <v>0</v>
      </c>
      <c r="V411">
        <f ca="1"/>
        <v>0</v>
      </c>
      <c r="W411">
        <f ca="1"/>
        <v>0</v>
      </c>
      <c r="X411">
        <f ca="1"/>
        <v>0</v>
      </c>
      <c r="Y411">
        <f ca="1"/>
        <v>0.70832513610598913</v>
      </c>
      <c r="Z411">
        <f ca="1"/>
        <v>0</v>
      </c>
      <c r="AA411">
        <f ca="1"/>
        <v>0</v>
      </c>
      <c r="AB411">
        <f ca="1"/>
        <v>0</v>
      </c>
      <c r="AD411" s="2">
        <f t="shared" ca="1" si="62"/>
        <v>44656</v>
      </c>
      <c r="AE411" s="46">
        <f t="shared" ca="1" si="63"/>
        <v>0</v>
      </c>
      <c r="AG411" s="72">
        <f t="shared" ca="1" si="67"/>
        <v>122.19874771897796</v>
      </c>
      <c r="AH411" s="72">
        <f t="shared" ca="1" si="68"/>
        <v>122.19874771897796</v>
      </c>
      <c r="AI411" s="3">
        <f t="shared" ca="1" si="69"/>
        <v>0</v>
      </c>
    </row>
    <row r="412" spans="7:35" x14ac:dyDescent="0.25">
      <c r="G412" s="3">
        <f t="shared" si="64"/>
        <v>315</v>
      </c>
      <c r="H412" s="104">
        <f t="shared" si="66"/>
        <v>44510</v>
      </c>
      <c r="I412" s="131">
        <f>HLOOKUP($H$4,'Met Data'!$A$2:$F$368,G412,FALSE)</f>
        <v>14.7216666666666</v>
      </c>
      <c r="J412" s="131">
        <f ca="1">HLOOKUP($H$4,'Met Data'!$H$2:$M$368,G412,FALSE)*L412</f>
        <v>2.9033333333333302</v>
      </c>
      <c r="K412" s="105">
        <f>HLOOKUP($H$4,'Met Data'!$O$2:$T$368,G412,FALSE)</f>
        <v>3.8854632375309301</v>
      </c>
      <c r="L412">
        <f t="shared" ca="1" si="60"/>
        <v>1</v>
      </c>
      <c r="N412" t="b">
        <f t="shared" ca="1" si="65"/>
        <v>0</v>
      </c>
      <c r="O412" t="b">
        <f t="shared" ca="1" si="61"/>
        <v>0</v>
      </c>
      <c r="P412" s="2">
        <f ca="1"/>
        <v>44657</v>
      </c>
      <c r="Q412">
        <f ca="1"/>
        <v>122.59167049390361</v>
      </c>
      <c r="R412">
        <f ca="1"/>
        <v>0</v>
      </c>
      <c r="S412">
        <f ca="1"/>
        <v>7.2863420497976904E-10</v>
      </c>
      <c r="T412">
        <f ca="1"/>
        <v>0.39292277419701216</v>
      </c>
      <c r="U412">
        <f ca="1"/>
        <v>0</v>
      </c>
      <c r="V412">
        <f ca="1"/>
        <v>0</v>
      </c>
      <c r="W412">
        <f ca="1"/>
        <v>0</v>
      </c>
      <c r="X412">
        <f ca="1"/>
        <v>0</v>
      </c>
      <c r="Y412">
        <f ca="1"/>
        <v>0.71747152424091121</v>
      </c>
      <c r="Z412">
        <f ca="1"/>
        <v>0</v>
      </c>
      <c r="AA412">
        <f ca="1"/>
        <v>0</v>
      </c>
      <c r="AB412">
        <f ca="1"/>
        <v>0</v>
      </c>
      <c r="AD412" s="2">
        <f t="shared" ca="1" si="62"/>
        <v>44657</v>
      </c>
      <c r="AE412" s="46">
        <f t="shared" ca="1" si="63"/>
        <v>0</v>
      </c>
      <c r="AG412" s="72">
        <f t="shared" ca="1" si="67"/>
        <v>122.59167049390361</v>
      </c>
      <c r="AH412" s="72">
        <f t="shared" ca="1" si="68"/>
        <v>122.59167049390361</v>
      </c>
      <c r="AI412" s="3">
        <f t="shared" ca="1" si="69"/>
        <v>0</v>
      </c>
    </row>
    <row r="413" spans="7:35" x14ac:dyDescent="0.25">
      <c r="G413" s="3">
        <f t="shared" si="64"/>
        <v>316</v>
      </c>
      <c r="H413" s="104">
        <f t="shared" si="66"/>
        <v>44511</v>
      </c>
      <c r="I413" s="131">
        <f>HLOOKUP($H$4,'Met Data'!$A$2:$F$368,G413,FALSE)</f>
        <v>14.816666666666601</v>
      </c>
      <c r="J413" s="131">
        <f ca="1">HLOOKUP($H$4,'Met Data'!$H$2:$M$368,G413,FALSE)*L413</f>
        <v>1.5433333333333299</v>
      </c>
      <c r="K413" s="105">
        <f>HLOOKUP($H$4,'Met Data'!$O$2:$T$368,G413,FALSE)</f>
        <v>3.4766729681443</v>
      </c>
      <c r="L413">
        <f t="shared" ca="1" si="60"/>
        <v>1</v>
      </c>
      <c r="N413" t="b">
        <f t="shared" ca="1" si="65"/>
        <v>0</v>
      </c>
      <c r="O413" t="b">
        <f t="shared" ca="1" si="61"/>
        <v>0</v>
      </c>
      <c r="P413" s="2">
        <f ca="1"/>
        <v>44658</v>
      </c>
      <c r="Q413">
        <f ca="1"/>
        <v>122.98467644621509</v>
      </c>
      <c r="R413">
        <f ca="1"/>
        <v>0</v>
      </c>
      <c r="S413">
        <f ca="1"/>
        <v>6.2715811726371345E-10</v>
      </c>
      <c r="T413">
        <f ca="1"/>
        <v>0.39300595168433683</v>
      </c>
      <c r="U413">
        <f ca="1"/>
        <v>0</v>
      </c>
      <c r="V413">
        <f ca="1"/>
        <v>0</v>
      </c>
      <c r="W413">
        <f ca="1"/>
        <v>0</v>
      </c>
      <c r="X413">
        <f ca="1"/>
        <v>0</v>
      </c>
      <c r="Y413">
        <f ca="1"/>
        <v>0.72008445525004816</v>
      </c>
      <c r="Z413">
        <f ca="1"/>
        <v>0</v>
      </c>
      <c r="AA413">
        <f ca="1"/>
        <v>0</v>
      </c>
      <c r="AB413">
        <f ca="1"/>
        <v>0</v>
      </c>
      <c r="AD413" s="2">
        <f t="shared" ca="1" si="62"/>
        <v>44658</v>
      </c>
      <c r="AE413" s="46">
        <f t="shared" ca="1" si="63"/>
        <v>0</v>
      </c>
      <c r="AG413" s="72">
        <f t="shared" ca="1" si="67"/>
        <v>122.98467644621509</v>
      </c>
      <c r="AH413" s="72">
        <f t="shared" ca="1" si="68"/>
        <v>122.98467644621509</v>
      </c>
      <c r="AI413" s="3">
        <f t="shared" ca="1" si="69"/>
        <v>0</v>
      </c>
    </row>
    <row r="414" spans="7:35" x14ac:dyDescent="0.25">
      <c r="G414" s="3">
        <f t="shared" si="64"/>
        <v>317</v>
      </c>
      <c r="H414" s="104">
        <f t="shared" si="66"/>
        <v>44512</v>
      </c>
      <c r="I414" s="131">
        <f>HLOOKUP($H$4,'Met Data'!$A$2:$F$368,G414,FALSE)</f>
        <v>14.7883333333333</v>
      </c>
      <c r="J414" s="131">
        <f ca="1">HLOOKUP($H$4,'Met Data'!$H$2:$M$368,G414,FALSE)*L414</f>
        <v>3.6066666666666598</v>
      </c>
      <c r="K414" s="105">
        <f>HLOOKUP($H$4,'Met Data'!$O$2:$T$368,G414,FALSE)</f>
        <v>3.49823939059966</v>
      </c>
      <c r="L414">
        <f t="shared" ca="1" si="60"/>
        <v>1</v>
      </c>
      <c r="N414" t="b">
        <f t="shared" ca="1" si="65"/>
        <v>0</v>
      </c>
      <c r="O414" t="b">
        <f t="shared" ca="1" si="61"/>
        <v>0</v>
      </c>
      <c r="P414" s="2">
        <f ca="1"/>
        <v>44659</v>
      </c>
      <c r="Q414">
        <f ca="1"/>
        <v>123.37505713852646</v>
      </c>
      <c r="R414">
        <f ca="1"/>
        <v>0</v>
      </c>
      <c r="S414">
        <f ca="1"/>
        <v>5.3827336485226321E-10</v>
      </c>
      <c r="T414">
        <f ca="1"/>
        <v>0.39038069177308937</v>
      </c>
      <c r="U414">
        <f ca="1"/>
        <v>0</v>
      </c>
      <c r="V414">
        <f ca="1"/>
        <v>0</v>
      </c>
      <c r="W414">
        <f ca="1"/>
        <v>0</v>
      </c>
      <c r="X414">
        <f ca="1"/>
        <v>0</v>
      </c>
      <c r="Y414">
        <f ca="1"/>
        <v>0.7304590520501878</v>
      </c>
      <c r="Z414">
        <f ca="1"/>
        <v>0</v>
      </c>
      <c r="AA414">
        <f ca="1"/>
        <v>0</v>
      </c>
      <c r="AB414">
        <f ca="1"/>
        <v>0</v>
      </c>
      <c r="AD414" s="2">
        <f t="shared" ca="1" si="62"/>
        <v>44659</v>
      </c>
      <c r="AE414" s="46">
        <f t="shared" ca="1" si="63"/>
        <v>0</v>
      </c>
      <c r="AG414" s="72">
        <f t="shared" ca="1" si="67"/>
        <v>123.37505713852646</v>
      </c>
      <c r="AH414" s="72">
        <f t="shared" ca="1" si="68"/>
        <v>123.37505713852646</v>
      </c>
      <c r="AI414" s="3">
        <f t="shared" ca="1" si="69"/>
        <v>0</v>
      </c>
    </row>
    <row r="415" spans="7:35" x14ac:dyDescent="0.25">
      <c r="G415" s="3">
        <f t="shared" si="64"/>
        <v>318</v>
      </c>
      <c r="H415" s="104">
        <f t="shared" si="66"/>
        <v>44513</v>
      </c>
      <c r="I415" s="131">
        <f>HLOOKUP($H$4,'Met Data'!$A$2:$F$368,G415,FALSE)</f>
        <v>14.5583333333333</v>
      </c>
      <c r="J415" s="131">
        <f ca="1">HLOOKUP($H$4,'Met Data'!$H$2:$M$368,G415,FALSE)*L415</f>
        <v>3.0633333333333299</v>
      </c>
      <c r="K415" s="105">
        <f>HLOOKUP($H$4,'Met Data'!$O$2:$T$368,G415,FALSE)</f>
        <v>3.8424324154218401</v>
      </c>
      <c r="L415">
        <f t="shared" ca="1" si="60"/>
        <v>1</v>
      </c>
      <c r="N415" t="b">
        <f t="shared" ca="1" si="65"/>
        <v>0</v>
      </c>
      <c r="O415" t="b">
        <f t="shared" ca="1" si="61"/>
        <v>0</v>
      </c>
      <c r="P415" s="2">
        <f ca="1"/>
        <v>44660</v>
      </c>
      <c r="Q415">
        <f ca="1"/>
        <v>123.76857374179072</v>
      </c>
      <c r="R415">
        <f ca="1"/>
        <v>0</v>
      </c>
      <c r="S415">
        <f ca="1"/>
        <v>4.6924650626039924E-10</v>
      </c>
      <c r="T415">
        <f ca="1"/>
        <v>0.39351660279501904</v>
      </c>
      <c r="U415">
        <f ca="1"/>
        <v>0</v>
      </c>
      <c r="V415">
        <f ca="1"/>
        <v>0</v>
      </c>
      <c r="W415">
        <f ca="1"/>
        <v>0</v>
      </c>
      <c r="X415">
        <f ca="1"/>
        <v>0</v>
      </c>
      <c r="Y415">
        <f ca="1"/>
        <v>0.75437376725260974</v>
      </c>
      <c r="Z415">
        <f ca="1"/>
        <v>0</v>
      </c>
      <c r="AA415">
        <f ca="1"/>
        <v>0</v>
      </c>
      <c r="AB415">
        <f ca="1"/>
        <v>0</v>
      </c>
      <c r="AD415" s="2">
        <f t="shared" ca="1" si="62"/>
        <v>44660</v>
      </c>
      <c r="AE415" s="46">
        <f t="shared" ca="1" si="63"/>
        <v>0</v>
      </c>
      <c r="AG415" s="72">
        <f t="shared" ca="1" si="67"/>
        <v>123.76857374179072</v>
      </c>
      <c r="AH415" s="72">
        <f t="shared" ca="1" si="68"/>
        <v>123.76857374179072</v>
      </c>
      <c r="AI415" s="3">
        <f t="shared" ca="1" si="69"/>
        <v>0</v>
      </c>
    </row>
    <row r="416" spans="7:35" x14ac:dyDescent="0.25">
      <c r="G416" s="3">
        <f t="shared" si="64"/>
        <v>319</v>
      </c>
      <c r="H416" s="104">
        <f t="shared" si="66"/>
        <v>44514</v>
      </c>
      <c r="I416" s="131">
        <f>HLOOKUP($H$4,'Met Data'!$A$2:$F$368,G416,FALSE)</f>
        <v>14.5066666666666</v>
      </c>
      <c r="J416" s="131">
        <f ca="1">HLOOKUP($H$4,'Met Data'!$H$2:$M$368,G416,FALSE)*L416</f>
        <v>3.2933333333333299</v>
      </c>
      <c r="K416" s="105">
        <f>HLOOKUP($H$4,'Met Data'!$O$2:$T$368,G416,FALSE)</f>
        <v>3.93837814578281</v>
      </c>
      <c r="L416">
        <f t="shared" ca="1" si="60"/>
        <v>1</v>
      </c>
      <c r="N416" t="b">
        <f t="shared" ca="1" si="65"/>
        <v>0</v>
      </c>
      <c r="O416" t="b">
        <f t="shared" ca="1" si="61"/>
        <v>0</v>
      </c>
      <c r="P416" s="2">
        <f ca="1"/>
        <v>44661</v>
      </c>
      <c r="Q416">
        <f ca="1"/>
        <v>124.16317513913798</v>
      </c>
      <c r="R416">
        <f ca="1"/>
        <v>0</v>
      </c>
      <c r="S416">
        <f ca="1"/>
        <v>4.0432722206339771E-10</v>
      </c>
      <c r="T416">
        <f ca="1"/>
        <v>0.3946013969429315</v>
      </c>
      <c r="U416">
        <f ca="1"/>
        <v>0</v>
      </c>
      <c r="V416">
        <f ca="1"/>
        <v>0</v>
      </c>
      <c r="W416">
        <f ca="1"/>
        <v>0</v>
      </c>
      <c r="X416">
        <f ca="1"/>
        <v>0</v>
      </c>
      <c r="Y416">
        <f ca="1"/>
        <v>0.76222554683459365</v>
      </c>
      <c r="Z416">
        <f ca="1"/>
        <v>0</v>
      </c>
      <c r="AA416">
        <f ca="1"/>
        <v>0</v>
      </c>
      <c r="AB416">
        <f ca="1"/>
        <v>0</v>
      </c>
      <c r="AD416" s="2">
        <f t="shared" ca="1" si="62"/>
        <v>44661</v>
      </c>
      <c r="AE416" s="46">
        <f t="shared" ca="1" si="63"/>
        <v>0</v>
      </c>
      <c r="AG416" s="72">
        <f t="shared" ca="1" si="67"/>
        <v>124.16317513913798</v>
      </c>
      <c r="AH416" s="72">
        <f t="shared" ca="1" si="68"/>
        <v>124.16317513913798</v>
      </c>
      <c r="AI416" s="3">
        <f t="shared" ca="1" si="69"/>
        <v>0</v>
      </c>
    </row>
    <row r="417" spans="7:35" x14ac:dyDescent="0.25">
      <c r="G417" s="3">
        <f t="shared" si="64"/>
        <v>320</v>
      </c>
      <c r="H417" s="104">
        <f t="shared" si="66"/>
        <v>44515</v>
      </c>
      <c r="I417" s="131">
        <f>HLOOKUP($H$4,'Met Data'!$A$2:$F$368,G417,FALSE)</f>
        <v>14.8633333333333</v>
      </c>
      <c r="J417" s="131">
        <f ca="1">HLOOKUP($H$4,'Met Data'!$H$2:$M$368,G417,FALSE)*L417</f>
        <v>2.0666666666666602</v>
      </c>
      <c r="K417" s="105">
        <f>HLOOKUP($H$4,'Met Data'!$O$2:$T$368,G417,FALSE)</f>
        <v>3.82063419166102</v>
      </c>
      <c r="L417">
        <f t="shared" ca="1" si="60"/>
        <v>1</v>
      </c>
      <c r="N417" t="b">
        <f t="shared" ca="1" si="65"/>
        <v>0</v>
      </c>
      <c r="O417" t="b">
        <f t="shared" ca="1" si="61"/>
        <v>0</v>
      </c>
      <c r="P417" s="2">
        <f ca="1"/>
        <v>44662</v>
      </c>
      <c r="Q417">
        <f ca="1"/>
        <v>124.55258102833315</v>
      </c>
      <c r="R417">
        <f ca="1"/>
        <v>0</v>
      </c>
      <c r="S417">
        <f ca="1"/>
        <v>3.4361015146627768E-10</v>
      </c>
      <c r="T417">
        <f ca="1"/>
        <v>0.38940588885156663</v>
      </c>
      <c r="U417">
        <f ca="1"/>
        <v>0</v>
      </c>
      <c r="V417">
        <f ca="1"/>
        <v>0</v>
      </c>
      <c r="W417">
        <f ca="1"/>
        <v>0</v>
      </c>
      <c r="X417">
        <f ca="1"/>
        <v>0</v>
      </c>
      <c r="Y417">
        <f ca="1"/>
        <v>0.76901565801550698</v>
      </c>
      <c r="Z417">
        <f ca="1"/>
        <v>0</v>
      </c>
      <c r="AA417">
        <f ca="1"/>
        <v>0</v>
      </c>
      <c r="AB417">
        <f ca="1"/>
        <v>0</v>
      </c>
      <c r="AD417" s="2">
        <f t="shared" ca="1" si="62"/>
        <v>44662</v>
      </c>
      <c r="AE417" s="46">
        <f t="shared" ca="1" si="63"/>
        <v>0</v>
      </c>
      <c r="AG417" s="72">
        <f t="shared" ca="1" si="67"/>
        <v>124.55258102833315</v>
      </c>
      <c r="AH417" s="72">
        <f t="shared" ca="1" si="68"/>
        <v>124.55258102833315</v>
      </c>
      <c r="AI417" s="3">
        <f t="shared" ca="1" si="69"/>
        <v>0</v>
      </c>
    </row>
    <row r="418" spans="7:35" x14ac:dyDescent="0.25">
      <c r="G418" s="3">
        <f t="shared" si="64"/>
        <v>321</v>
      </c>
      <c r="H418" s="104">
        <f t="shared" si="66"/>
        <v>44516</v>
      </c>
      <c r="I418" s="131">
        <f>HLOOKUP($H$4,'Met Data'!$A$2:$F$368,G418,FALSE)</f>
        <v>15.191666666666601</v>
      </c>
      <c r="J418" s="131">
        <f ca="1">HLOOKUP($H$4,'Met Data'!$H$2:$M$368,G418,FALSE)*L418</f>
        <v>4.1233333333333304</v>
      </c>
      <c r="K418" s="105">
        <f>HLOOKUP($H$4,'Met Data'!$O$2:$T$368,G418,FALSE)</f>
        <v>3.4660928584042798</v>
      </c>
      <c r="L418">
        <f t="shared" ca="1" si="60"/>
        <v>1</v>
      </c>
      <c r="N418" t="b">
        <f t="shared" ca="1" si="65"/>
        <v>0</v>
      </c>
      <c r="O418" t="b">
        <f t="shared" ca="1" si="61"/>
        <v>0</v>
      </c>
      <c r="P418" s="2">
        <f ca="1"/>
        <v>44663</v>
      </c>
      <c r="Q418">
        <f ca="1"/>
        <v>124.95293727341202</v>
      </c>
      <c r="R418">
        <f ca="1"/>
        <v>0</v>
      </c>
      <c r="S418">
        <f ca="1"/>
        <v>3.0286241713356182E-10</v>
      </c>
      <c r="T418">
        <f ca="1"/>
        <v>0.40035624477600201</v>
      </c>
      <c r="U418">
        <f ca="1"/>
        <v>0</v>
      </c>
      <c r="V418">
        <f ca="1"/>
        <v>0</v>
      </c>
      <c r="W418">
        <f ca="1"/>
        <v>0</v>
      </c>
      <c r="X418">
        <f ca="1"/>
        <v>0</v>
      </c>
      <c r="Y418">
        <f ca="1"/>
        <v>0.78664652181470163</v>
      </c>
      <c r="Z418">
        <f ca="1"/>
        <v>0</v>
      </c>
      <c r="AA418">
        <f ca="1"/>
        <v>0</v>
      </c>
      <c r="AB418">
        <f ca="1"/>
        <v>0</v>
      </c>
      <c r="AD418" s="2">
        <f t="shared" ca="1" si="62"/>
        <v>44663</v>
      </c>
      <c r="AE418" s="46">
        <f t="shared" ca="1" si="63"/>
        <v>0</v>
      </c>
      <c r="AG418" s="72">
        <f t="shared" ca="1" si="67"/>
        <v>124.95293727341202</v>
      </c>
      <c r="AH418" s="72">
        <f t="shared" ca="1" si="68"/>
        <v>124.95293727341202</v>
      </c>
      <c r="AI418" s="3">
        <f t="shared" ca="1" si="69"/>
        <v>0</v>
      </c>
    </row>
    <row r="419" spans="7:35" x14ac:dyDescent="0.25">
      <c r="G419" s="3">
        <f t="shared" si="64"/>
        <v>322</v>
      </c>
      <c r="H419" s="104">
        <f t="shared" si="66"/>
        <v>44517</v>
      </c>
      <c r="I419" s="131">
        <f>HLOOKUP($H$4,'Met Data'!$A$2:$F$368,G419,FALSE)</f>
        <v>14.805</v>
      </c>
      <c r="J419" s="131">
        <f ca="1">HLOOKUP($H$4,'Met Data'!$H$2:$M$368,G419,FALSE)*L419</f>
        <v>2.0999999999999899</v>
      </c>
      <c r="K419" s="105">
        <f>HLOOKUP($H$4,'Met Data'!$O$2:$T$368,G419,FALSE)</f>
        <v>3.7178898330930501</v>
      </c>
      <c r="L419">
        <f t="shared" ca="1" si="60"/>
        <v>1</v>
      </c>
      <c r="N419" t="b">
        <f t="shared" ca="1" si="65"/>
        <v>0</v>
      </c>
      <c r="O419" t="b">
        <f t="shared" ca="1" si="61"/>
        <v>0</v>
      </c>
      <c r="P419" s="2">
        <f ca="1"/>
        <v>44664</v>
      </c>
      <c r="Q419">
        <f ca="1"/>
        <v>125.36370487106666</v>
      </c>
      <c r="R419">
        <f ca="1"/>
        <v>0</v>
      </c>
      <c r="S419">
        <f ca="1"/>
        <v>2.6440623837814343E-10</v>
      </c>
      <c r="T419">
        <f ca="1"/>
        <v>0.41076759739022889</v>
      </c>
      <c r="U419">
        <f ca="1"/>
        <v>0</v>
      </c>
      <c r="V419">
        <f ca="1"/>
        <v>0</v>
      </c>
      <c r="W419">
        <f ca="1"/>
        <v>0</v>
      </c>
      <c r="X419">
        <f ca="1"/>
        <v>0</v>
      </c>
      <c r="Y419">
        <f ca="1"/>
        <v>0.79048675107178368</v>
      </c>
      <c r="Z419">
        <f ca="1"/>
        <v>0</v>
      </c>
      <c r="AA419">
        <f ca="1"/>
        <v>0</v>
      </c>
      <c r="AB419">
        <f ca="1"/>
        <v>0</v>
      </c>
      <c r="AD419" s="2">
        <f t="shared" ca="1" si="62"/>
        <v>44664</v>
      </c>
      <c r="AE419" s="46">
        <f t="shared" ca="1" si="63"/>
        <v>0</v>
      </c>
      <c r="AG419" s="72">
        <f t="shared" ca="1" si="67"/>
        <v>125.36370487106666</v>
      </c>
      <c r="AH419" s="72">
        <f t="shared" ca="1" si="68"/>
        <v>125.36370487106666</v>
      </c>
      <c r="AI419" s="3">
        <f t="shared" ca="1" si="69"/>
        <v>0</v>
      </c>
    </row>
    <row r="420" spans="7:35" x14ac:dyDescent="0.25">
      <c r="G420" s="3">
        <f t="shared" si="64"/>
        <v>323</v>
      </c>
      <c r="H420" s="104">
        <f t="shared" si="66"/>
        <v>44518</v>
      </c>
      <c r="I420" s="131">
        <f>HLOOKUP($H$4,'Met Data'!$A$2:$F$368,G420,FALSE)</f>
        <v>14.4366666666666</v>
      </c>
      <c r="J420" s="131">
        <f ca="1">HLOOKUP($H$4,'Met Data'!$H$2:$M$368,G420,FALSE)*L420</f>
        <v>2.25</v>
      </c>
      <c r="K420" s="105">
        <f>HLOOKUP($H$4,'Met Data'!$O$2:$T$368,G420,FALSE)</f>
        <v>3.8903759726723899</v>
      </c>
      <c r="L420">
        <f t="shared" ca="1" si="60"/>
        <v>1</v>
      </c>
      <c r="N420" t="b">
        <f t="shared" ca="1" si="65"/>
        <v>0</v>
      </c>
      <c r="O420" t="b">
        <f t="shared" ca="1" si="61"/>
        <v>0</v>
      </c>
      <c r="P420" s="2">
        <f ca="1"/>
        <v>44665</v>
      </c>
      <c r="Q420">
        <f ca="1"/>
        <v>125.77131164946736</v>
      </c>
      <c r="R420">
        <f ca="1"/>
        <v>0</v>
      </c>
      <c r="S420">
        <f ca="1"/>
        <v>2.2443874430904605E-10</v>
      </c>
      <c r="T420">
        <f ca="1"/>
        <v>0.40760677817626939</v>
      </c>
      <c r="U420">
        <f ca="1"/>
        <v>0</v>
      </c>
      <c r="V420">
        <f ca="1"/>
        <v>0</v>
      </c>
      <c r="W420">
        <f ca="1"/>
        <v>0</v>
      </c>
      <c r="X420">
        <f ca="1"/>
        <v>0</v>
      </c>
      <c r="Y420">
        <f ca="1"/>
        <v>0.80342093477026233</v>
      </c>
      <c r="Z420">
        <f ca="1"/>
        <v>0</v>
      </c>
      <c r="AA420">
        <f ca="1"/>
        <v>0</v>
      </c>
      <c r="AB420">
        <f ca="1"/>
        <v>0</v>
      </c>
      <c r="AD420" s="2">
        <f t="shared" ca="1" si="62"/>
        <v>44665</v>
      </c>
      <c r="AE420" s="46">
        <f t="shared" ca="1" si="63"/>
        <v>0</v>
      </c>
      <c r="AG420" s="72">
        <f t="shared" ca="1" si="67"/>
        <v>125.77131164946736</v>
      </c>
      <c r="AH420" s="72">
        <f t="shared" ca="1" si="68"/>
        <v>125.77131164946736</v>
      </c>
      <c r="AI420" s="3">
        <f t="shared" ca="1" si="69"/>
        <v>0</v>
      </c>
    </row>
    <row r="421" spans="7:35" x14ac:dyDescent="0.25">
      <c r="G421" s="3">
        <f t="shared" si="64"/>
        <v>324</v>
      </c>
      <c r="H421" s="104">
        <f t="shared" si="66"/>
        <v>44519</v>
      </c>
      <c r="I421" s="131">
        <f>HLOOKUP($H$4,'Met Data'!$A$2:$F$368,G421,FALSE)</f>
        <v>14.4133333333333</v>
      </c>
      <c r="J421" s="131">
        <f ca="1">HLOOKUP($H$4,'Met Data'!$H$2:$M$368,G421,FALSE)*L421</f>
        <v>1.6566666666666601</v>
      </c>
      <c r="K421" s="105">
        <f>HLOOKUP($H$4,'Met Data'!$O$2:$T$368,G421,FALSE)</f>
        <v>3.9105195639997401</v>
      </c>
      <c r="L421">
        <f t="shared" ca="1" si="60"/>
        <v>1</v>
      </c>
      <c r="N421" t="b">
        <f t="shared" ca="1" si="65"/>
        <v>0</v>
      </c>
      <c r="O421" t="b">
        <f t="shared" ca="1" si="61"/>
        <v>0</v>
      </c>
      <c r="P421" s="2">
        <f ca="1"/>
        <v>44666</v>
      </c>
      <c r="Q421">
        <f ca="1"/>
        <v>126.17697399987735</v>
      </c>
      <c r="R421">
        <f ca="1"/>
        <v>0</v>
      </c>
      <c r="S421">
        <f ca="1"/>
        <v>1.9080974836146389E-10</v>
      </c>
      <c r="T421">
        <f ca="1"/>
        <v>0.40566235021916924</v>
      </c>
      <c r="U421">
        <f ca="1"/>
        <v>0</v>
      </c>
      <c r="V421">
        <f ca="1"/>
        <v>0</v>
      </c>
      <c r="W421">
        <f ca="1"/>
        <v>0</v>
      </c>
      <c r="X421">
        <f ca="1"/>
        <v>0</v>
      </c>
      <c r="Y421">
        <f ca="1"/>
        <v>0.81125836669873552</v>
      </c>
      <c r="Z421">
        <f ca="1"/>
        <v>0</v>
      </c>
      <c r="AA421">
        <f ca="1"/>
        <v>0</v>
      </c>
      <c r="AB421">
        <f ca="1"/>
        <v>0</v>
      </c>
      <c r="AD421" s="2">
        <f t="shared" ca="1" si="62"/>
        <v>44666</v>
      </c>
      <c r="AE421" s="46">
        <f t="shared" ca="1" si="63"/>
        <v>0</v>
      </c>
      <c r="AG421" s="72">
        <f t="shared" ca="1" si="67"/>
        <v>126.17697399987735</v>
      </c>
      <c r="AH421" s="72">
        <f t="shared" ca="1" si="68"/>
        <v>126.17697399987735</v>
      </c>
      <c r="AI421" s="3">
        <f t="shared" ca="1" si="69"/>
        <v>0</v>
      </c>
    </row>
    <row r="422" spans="7:35" x14ac:dyDescent="0.25">
      <c r="G422" s="3">
        <f t="shared" si="64"/>
        <v>325</v>
      </c>
      <c r="H422" s="104">
        <f t="shared" si="66"/>
        <v>44520</v>
      </c>
      <c r="I422" s="131">
        <f>HLOOKUP($H$4,'Met Data'!$A$2:$F$368,G422,FALSE)</f>
        <v>14.8266666666666</v>
      </c>
      <c r="J422" s="131">
        <f ca="1">HLOOKUP($H$4,'Met Data'!$H$2:$M$368,G422,FALSE)*L422</f>
        <v>2.4166666666666599</v>
      </c>
      <c r="K422" s="105">
        <f>HLOOKUP($H$4,'Met Data'!$O$2:$T$368,G422,FALSE)</f>
        <v>3.75734672122165</v>
      </c>
      <c r="L422">
        <f t="shared" ca="1" si="60"/>
        <v>1</v>
      </c>
      <c r="N422" t="b">
        <f t="shared" ca="1" si="65"/>
        <v>0</v>
      </c>
      <c r="O422" t="b">
        <f t="shared" ca="1" si="61"/>
        <v>0</v>
      </c>
      <c r="P422" s="2">
        <f ca="1"/>
        <v>44667</v>
      </c>
      <c r="Q422">
        <f ca="1"/>
        <v>126.60806466231024</v>
      </c>
      <c r="R422">
        <f ca="1"/>
        <v>0</v>
      </c>
      <c r="S422">
        <f ca="1"/>
        <v>1.7119593182926407E-10</v>
      </c>
      <c r="T422">
        <f ca="1"/>
        <v>0.43109066226169351</v>
      </c>
      <c r="U422">
        <f ca="1"/>
        <v>0</v>
      </c>
      <c r="V422">
        <f ca="1"/>
        <v>0</v>
      </c>
      <c r="W422">
        <f ca="1"/>
        <v>0</v>
      </c>
      <c r="X422">
        <f ca="1"/>
        <v>0</v>
      </c>
      <c r="Y422">
        <f ca="1"/>
        <v>0.82680867638622602</v>
      </c>
      <c r="Z422">
        <f ca="1"/>
        <v>0</v>
      </c>
      <c r="AA422">
        <f ca="1"/>
        <v>0</v>
      </c>
      <c r="AB422">
        <f ca="1"/>
        <v>0</v>
      </c>
      <c r="AD422" s="2">
        <f t="shared" ca="1" si="62"/>
        <v>44667</v>
      </c>
      <c r="AE422" s="46">
        <f t="shared" ca="1" si="63"/>
        <v>0</v>
      </c>
      <c r="AG422" s="72">
        <f t="shared" ca="1" si="67"/>
        <v>126.60806466231024</v>
      </c>
      <c r="AH422" s="72">
        <f t="shared" ca="1" si="68"/>
        <v>126.60806466231024</v>
      </c>
      <c r="AI422" s="3">
        <f t="shared" ca="1" si="69"/>
        <v>0</v>
      </c>
    </row>
    <row r="423" spans="7:35" x14ac:dyDescent="0.25">
      <c r="G423" s="3">
        <f t="shared" si="64"/>
        <v>326</v>
      </c>
      <c r="H423" s="104">
        <f t="shared" si="66"/>
        <v>44521</v>
      </c>
      <c r="I423" s="131">
        <f>HLOOKUP($H$4,'Met Data'!$A$2:$F$368,G423,FALSE)</f>
        <v>14.899999999999901</v>
      </c>
      <c r="J423" s="131">
        <f ca="1">HLOOKUP($H$4,'Met Data'!$H$2:$M$368,G423,FALSE)*L423</f>
        <v>2.8366666666666598</v>
      </c>
      <c r="K423" s="105">
        <f>HLOOKUP($H$4,'Met Data'!$O$2:$T$368,G423,FALSE)</f>
        <v>3.5492721007612098</v>
      </c>
      <c r="L423">
        <f t="shared" ca="1" si="60"/>
        <v>1</v>
      </c>
      <c r="N423" t="b">
        <f t="shared" ca="1" si="65"/>
        <v>0</v>
      </c>
      <c r="O423" t="b">
        <f t="shared" ca="1" si="61"/>
        <v>0</v>
      </c>
      <c r="P423" s="2">
        <f ca="1"/>
        <v>44668</v>
      </c>
      <c r="Q423">
        <f ca="1"/>
        <v>127.0348679110582</v>
      </c>
      <c r="R423">
        <f ca="1"/>
        <v>0</v>
      </c>
      <c r="S423">
        <f ca="1"/>
        <v>1.4366996245292835E-10</v>
      </c>
      <c r="T423">
        <f ca="1"/>
        <v>0.42680324860428043</v>
      </c>
      <c r="U423">
        <f ca="1"/>
        <v>0</v>
      </c>
      <c r="V423">
        <f ca="1"/>
        <v>0</v>
      </c>
      <c r="W423">
        <f ca="1"/>
        <v>0</v>
      </c>
      <c r="X423">
        <f ca="1"/>
        <v>0</v>
      </c>
      <c r="Y423">
        <f ca="1"/>
        <v>0.83482063411720775</v>
      </c>
      <c r="Z423">
        <f ca="1"/>
        <v>0</v>
      </c>
      <c r="AA423">
        <f ca="1"/>
        <v>0</v>
      </c>
      <c r="AB423">
        <f ca="1"/>
        <v>0</v>
      </c>
      <c r="AD423" s="2">
        <f t="shared" ca="1" si="62"/>
        <v>44668</v>
      </c>
      <c r="AE423" s="46">
        <f t="shared" ca="1" si="63"/>
        <v>0</v>
      </c>
      <c r="AG423" s="72">
        <f t="shared" ca="1" si="67"/>
        <v>127.0348679110582</v>
      </c>
      <c r="AH423" s="72">
        <f t="shared" ca="1" si="68"/>
        <v>127.0348679110582</v>
      </c>
      <c r="AI423" s="3">
        <f t="shared" ca="1" si="69"/>
        <v>0</v>
      </c>
    </row>
    <row r="424" spans="7:35" x14ac:dyDescent="0.25">
      <c r="G424" s="3">
        <f t="shared" si="64"/>
        <v>327</v>
      </c>
      <c r="H424" s="104">
        <f t="shared" si="66"/>
        <v>44522</v>
      </c>
      <c r="I424" s="131">
        <f>HLOOKUP($H$4,'Met Data'!$A$2:$F$368,G424,FALSE)</f>
        <v>15.125</v>
      </c>
      <c r="J424" s="131">
        <f ca="1">HLOOKUP($H$4,'Met Data'!$H$2:$M$368,G424,FALSE)*L424</f>
        <v>4.0966666666666596</v>
      </c>
      <c r="K424" s="105">
        <f>HLOOKUP($H$4,'Met Data'!$O$2:$T$368,G424,FALSE)</f>
        <v>3.6984174874033999</v>
      </c>
      <c r="L424">
        <f t="shared" ca="1" si="60"/>
        <v>1</v>
      </c>
      <c r="N424" t="b">
        <f t="shared" ca="1" si="65"/>
        <v>0</v>
      </c>
      <c r="O424" t="b">
        <f t="shared" ca="1" si="61"/>
        <v>0</v>
      </c>
      <c r="P424" s="2">
        <f ca="1"/>
        <v>44669</v>
      </c>
      <c r="Q424">
        <f ca="1"/>
        <v>127.46692260604564</v>
      </c>
      <c r="R424">
        <f ca="1"/>
        <v>0</v>
      </c>
      <c r="S424">
        <f ca="1"/>
        <v>1.2285623138541512E-10</v>
      </c>
      <c r="T424">
        <f ca="1"/>
        <v>0.43205469486459497</v>
      </c>
      <c r="U424">
        <f ca="1"/>
        <v>0</v>
      </c>
      <c r="V424">
        <f ca="1"/>
        <v>0</v>
      </c>
      <c r="W424">
        <f ca="1"/>
        <v>0</v>
      </c>
      <c r="X424">
        <f ca="1"/>
        <v>0</v>
      </c>
      <c r="Y424">
        <f ca="1"/>
        <v>0.84347669928157609</v>
      </c>
      <c r="Z424">
        <f ca="1"/>
        <v>0</v>
      </c>
      <c r="AA424">
        <f ca="1"/>
        <v>0</v>
      </c>
      <c r="AB424">
        <f ca="1"/>
        <v>0</v>
      </c>
      <c r="AD424" s="2">
        <f t="shared" ca="1" si="62"/>
        <v>44669</v>
      </c>
      <c r="AE424" s="46">
        <f t="shared" ca="1" si="63"/>
        <v>0</v>
      </c>
      <c r="AG424" s="72">
        <f t="shared" ca="1" si="67"/>
        <v>127.46692260604564</v>
      </c>
      <c r="AH424" s="72">
        <f t="shared" ca="1" si="68"/>
        <v>127.46692260604564</v>
      </c>
      <c r="AI424" s="3">
        <f t="shared" ca="1" si="69"/>
        <v>0</v>
      </c>
    </row>
    <row r="425" spans="7:35" x14ac:dyDescent="0.25">
      <c r="G425" s="3">
        <f t="shared" si="64"/>
        <v>328</v>
      </c>
      <c r="H425" s="104">
        <f t="shared" si="66"/>
        <v>44523</v>
      </c>
      <c r="I425" s="131">
        <f>HLOOKUP($H$4,'Met Data'!$A$2:$F$368,G425,FALSE)</f>
        <v>15.358333333333301</v>
      </c>
      <c r="J425" s="131">
        <f ca="1">HLOOKUP($H$4,'Met Data'!$H$2:$M$368,G425,FALSE)*L425</f>
        <v>3.04</v>
      </c>
      <c r="K425" s="105">
        <f>HLOOKUP($H$4,'Met Data'!$O$2:$T$368,G425,FALSE)</f>
        <v>3.9426742076693699</v>
      </c>
      <c r="L425">
        <f t="shared" ca="1" si="60"/>
        <v>1</v>
      </c>
      <c r="N425" t="b">
        <f t="shared" ca="1" si="65"/>
        <v>0</v>
      </c>
      <c r="O425" t="b">
        <f t="shared" ca="1" si="61"/>
        <v>0</v>
      </c>
      <c r="P425" s="2">
        <f ca="1"/>
        <v>44670</v>
      </c>
      <c r="Q425">
        <f ca="1"/>
        <v>127.89321719706508</v>
      </c>
      <c r="R425">
        <f ca="1"/>
        <v>0</v>
      </c>
      <c r="S425">
        <f ca="1"/>
        <v>1.0264306077899631E-10</v>
      </c>
      <c r="T425">
        <f ca="1"/>
        <v>0.42629459091679234</v>
      </c>
      <c r="U425">
        <f ca="1"/>
        <v>0</v>
      </c>
      <c r="V425">
        <f ca="1"/>
        <v>0</v>
      </c>
      <c r="W425">
        <f ca="1"/>
        <v>0</v>
      </c>
      <c r="X425">
        <f ca="1"/>
        <v>0</v>
      </c>
      <c r="Y425">
        <f ca="1"/>
        <v>0.84753977919290613</v>
      </c>
      <c r="Z425">
        <f ca="1"/>
        <v>0</v>
      </c>
      <c r="AA425">
        <f ca="1"/>
        <v>0</v>
      </c>
      <c r="AB425">
        <f ca="1"/>
        <v>0</v>
      </c>
      <c r="AD425" s="2">
        <f t="shared" ca="1" si="62"/>
        <v>44670</v>
      </c>
      <c r="AE425" s="46">
        <f t="shared" ca="1" si="63"/>
        <v>0</v>
      </c>
      <c r="AG425" s="72">
        <f t="shared" ca="1" si="67"/>
        <v>127.89321719706508</v>
      </c>
      <c r="AH425" s="72">
        <f t="shared" ca="1" si="68"/>
        <v>127.89321719706508</v>
      </c>
      <c r="AI425" s="3">
        <f t="shared" ca="1" si="69"/>
        <v>0</v>
      </c>
    </row>
    <row r="426" spans="7:35" x14ac:dyDescent="0.25">
      <c r="G426" s="3">
        <f t="shared" si="64"/>
        <v>329</v>
      </c>
      <c r="H426" s="104">
        <f t="shared" si="66"/>
        <v>44524</v>
      </c>
      <c r="I426" s="131">
        <f>HLOOKUP($H$4,'Met Data'!$A$2:$F$368,G426,FALSE)</f>
        <v>15.2051724137931</v>
      </c>
      <c r="J426" s="131">
        <f ca="1">HLOOKUP($H$4,'Met Data'!$H$2:$M$368,G426,FALSE)*L426</f>
        <v>2.4655172413793101</v>
      </c>
      <c r="K426" s="105">
        <f>HLOOKUP($H$4,'Met Data'!$O$2:$T$368,G426,FALSE)</f>
        <v>3.7475647250722499</v>
      </c>
      <c r="L426">
        <f t="shared" ca="1" si="60"/>
        <v>1</v>
      </c>
      <c r="N426" t="b">
        <f t="shared" ca="1" si="65"/>
        <v>0</v>
      </c>
      <c r="O426" t="b">
        <f t="shared" ca="1" si="61"/>
        <v>0</v>
      </c>
      <c r="P426" s="2">
        <f ca="1"/>
        <v>44671</v>
      </c>
      <c r="Q426">
        <f ca="1"/>
        <v>128.32605264512188</v>
      </c>
      <c r="R426">
        <f ca="1"/>
        <v>0</v>
      </c>
      <c r="S426">
        <f ca="1"/>
        <v>8.7814413740672267E-11</v>
      </c>
      <c r="T426">
        <f ca="1"/>
        <v>0.43283544796897783</v>
      </c>
      <c r="U426">
        <f ca="1"/>
        <v>0</v>
      </c>
      <c r="V426">
        <f ca="1"/>
        <v>0</v>
      </c>
      <c r="W426">
        <f ca="1"/>
        <v>0</v>
      </c>
      <c r="X426">
        <f ca="1"/>
        <v>0</v>
      </c>
      <c r="Y426">
        <f ca="1"/>
        <v>0.84559328829276137</v>
      </c>
      <c r="Z426">
        <f ca="1"/>
        <v>0</v>
      </c>
      <c r="AA426">
        <f ca="1"/>
        <v>0</v>
      </c>
      <c r="AB426">
        <f ca="1"/>
        <v>0</v>
      </c>
      <c r="AD426" s="2">
        <f t="shared" ca="1" si="62"/>
        <v>44671</v>
      </c>
      <c r="AE426" s="46">
        <f t="shared" ca="1" si="63"/>
        <v>0</v>
      </c>
      <c r="AG426" s="72">
        <f t="shared" ca="1" si="67"/>
        <v>128.32605264512188</v>
      </c>
      <c r="AH426" s="72">
        <f t="shared" ca="1" si="68"/>
        <v>128.32605264512188</v>
      </c>
      <c r="AI426" s="3">
        <f t="shared" ca="1" si="69"/>
        <v>0</v>
      </c>
    </row>
    <row r="427" spans="7:35" x14ac:dyDescent="0.25">
      <c r="G427" s="3">
        <f t="shared" si="64"/>
        <v>330</v>
      </c>
      <c r="H427" s="104">
        <f t="shared" si="66"/>
        <v>44525</v>
      </c>
      <c r="I427" s="131">
        <f>HLOOKUP($H$4,'Met Data'!$A$2:$F$368,G427,FALSE)</f>
        <v>15.834482758620601</v>
      </c>
      <c r="J427" s="131">
        <f ca="1">HLOOKUP($H$4,'Met Data'!$H$2:$M$368,G427,FALSE)*L427</f>
        <v>2.7965517241379301</v>
      </c>
      <c r="K427" s="105">
        <f>HLOOKUP($H$4,'Met Data'!$O$2:$T$368,G427,FALSE)</f>
        <v>4.1132182691665697</v>
      </c>
      <c r="L427">
        <f t="shared" ca="1" si="60"/>
        <v>1</v>
      </c>
      <c r="N427" t="b">
        <f t="shared" ca="1" si="65"/>
        <v>0</v>
      </c>
      <c r="O427" t="b">
        <f t="shared" ca="1" si="61"/>
        <v>0</v>
      </c>
      <c r="P427" s="2">
        <f ca="1"/>
        <v>44672</v>
      </c>
      <c r="Q427">
        <f ca="1"/>
        <v>128.763137702297</v>
      </c>
      <c r="R427">
        <f ca="1"/>
        <v>0</v>
      </c>
      <c r="S427">
        <f ca="1"/>
        <v>7.4849885257099868E-11</v>
      </c>
      <c r="T427">
        <f ca="1"/>
        <v>0.43708505710028694</v>
      </c>
      <c r="U427">
        <f ca="1"/>
        <v>0</v>
      </c>
      <c r="V427">
        <f ca="1"/>
        <v>0</v>
      </c>
      <c r="W427">
        <f ca="1"/>
        <v>0</v>
      </c>
      <c r="X427">
        <f ca="1"/>
        <v>0</v>
      </c>
      <c r="Y427">
        <f ca="1"/>
        <v>0.86262741453157998</v>
      </c>
      <c r="Z427">
        <f ca="1"/>
        <v>0</v>
      </c>
      <c r="AA427">
        <f ca="1"/>
        <v>0</v>
      </c>
      <c r="AB427">
        <f ca="1"/>
        <v>0</v>
      </c>
      <c r="AD427" s="2">
        <f t="shared" ca="1" si="62"/>
        <v>44672</v>
      </c>
      <c r="AE427" s="46">
        <f t="shared" ca="1" si="63"/>
        <v>0</v>
      </c>
      <c r="AG427" s="72">
        <f t="shared" ca="1" si="67"/>
        <v>128.76313770229703</v>
      </c>
      <c r="AH427" s="72">
        <f t="shared" ca="1" si="68"/>
        <v>128.763137702297</v>
      </c>
      <c r="AI427" s="3">
        <f t="shared" ca="1" si="69"/>
        <v>0</v>
      </c>
    </row>
    <row r="428" spans="7:35" x14ac:dyDescent="0.25">
      <c r="G428" s="3">
        <f t="shared" si="64"/>
        <v>331</v>
      </c>
      <c r="H428" s="104">
        <f t="shared" si="66"/>
        <v>44526</v>
      </c>
      <c r="I428" s="131">
        <f>HLOOKUP($H$4,'Met Data'!$A$2:$F$368,G428,FALSE)</f>
        <v>15.876666666666599</v>
      </c>
      <c r="J428" s="131">
        <f ca="1">HLOOKUP($H$4,'Met Data'!$H$2:$M$368,G428,FALSE)*L428</f>
        <v>2.2666666666666599</v>
      </c>
      <c r="K428" s="105">
        <f>HLOOKUP($H$4,'Met Data'!$O$2:$T$368,G428,FALSE)</f>
        <v>4.0838977840275996</v>
      </c>
      <c r="L428">
        <f t="shared" ca="1" si="60"/>
        <v>1</v>
      </c>
      <c r="N428" t="b">
        <f t="shared" ca="1" si="65"/>
        <v>0</v>
      </c>
      <c r="O428" t="b">
        <f t="shared" ca="1" si="61"/>
        <v>0</v>
      </c>
      <c r="P428" s="2">
        <f ca="1"/>
        <v>44673</v>
      </c>
      <c r="Q428">
        <f ca="1"/>
        <v>129.18149913146718</v>
      </c>
      <c r="R428">
        <f ca="1"/>
        <v>0</v>
      </c>
      <c r="S428">
        <f ca="1"/>
        <v>6.0930954543015326E-11</v>
      </c>
      <c r="T428">
        <f ca="1"/>
        <v>0.41836142910923851</v>
      </c>
      <c r="U428">
        <f ca="1"/>
        <v>0</v>
      </c>
      <c r="V428">
        <f ca="1"/>
        <v>0</v>
      </c>
      <c r="W428">
        <f ca="1"/>
        <v>0</v>
      </c>
      <c r="X428">
        <f ca="1"/>
        <v>0</v>
      </c>
      <c r="Y428">
        <f ca="1"/>
        <v>0.87606166616624048</v>
      </c>
      <c r="Z428">
        <f ca="1"/>
        <v>0</v>
      </c>
      <c r="AA428">
        <f ca="1"/>
        <v>0</v>
      </c>
      <c r="AB428">
        <f ca="1"/>
        <v>0</v>
      </c>
      <c r="AD428" s="2">
        <f t="shared" ca="1" si="62"/>
        <v>44673</v>
      </c>
      <c r="AE428" s="46">
        <f t="shared" ca="1" si="63"/>
        <v>0</v>
      </c>
      <c r="AG428" s="72">
        <f t="shared" ca="1" si="67"/>
        <v>129.18149913146718</v>
      </c>
      <c r="AH428" s="72">
        <f t="shared" ca="1" si="68"/>
        <v>129.18149913146718</v>
      </c>
      <c r="AI428" s="3">
        <f t="shared" ca="1" si="69"/>
        <v>0</v>
      </c>
    </row>
    <row r="429" spans="7:35" x14ac:dyDescent="0.25">
      <c r="G429" s="3">
        <f t="shared" si="64"/>
        <v>332</v>
      </c>
      <c r="H429" s="104">
        <f t="shared" si="66"/>
        <v>44527</v>
      </c>
      <c r="I429" s="131">
        <f>HLOOKUP($H$4,'Met Data'!$A$2:$F$368,G429,FALSE)</f>
        <v>15.52</v>
      </c>
      <c r="J429" s="131">
        <f ca="1">HLOOKUP($H$4,'Met Data'!$H$2:$M$368,G429,FALSE)*L429</f>
        <v>3.6933333333333298</v>
      </c>
      <c r="K429" s="105">
        <f>HLOOKUP($H$4,'Met Data'!$O$2:$T$368,G429,FALSE)</f>
        <v>4.2967341086411999</v>
      </c>
      <c r="L429">
        <f t="shared" ca="1" si="60"/>
        <v>1</v>
      </c>
      <c r="N429" t="b">
        <f t="shared" ca="1" si="65"/>
        <v>0</v>
      </c>
      <c r="O429" t="b">
        <f t="shared" ca="1" si="61"/>
        <v>0</v>
      </c>
      <c r="P429" s="2">
        <f ca="1"/>
        <v>44674</v>
      </c>
      <c r="Q429">
        <f ca="1"/>
        <v>129.60663332326206</v>
      </c>
      <c r="R429">
        <f ca="1"/>
        <v>0</v>
      </c>
      <c r="S429">
        <f ca="1"/>
        <v>5.2318764922665487E-11</v>
      </c>
      <c r="T429">
        <f ca="1"/>
        <v>0.42513419174256145</v>
      </c>
      <c r="U429">
        <f ca="1"/>
        <v>0</v>
      </c>
      <c r="V429">
        <f ca="1"/>
        <v>0</v>
      </c>
      <c r="W429">
        <f ca="1"/>
        <v>0</v>
      </c>
      <c r="X429">
        <f ca="1"/>
        <v>0</v>
      </c>
      <c r="Y429">
        <f ca="1"/>
        <v>0.87866518214366007</v>
      </c>
      <c r="Z429">
        <f ca="1"/>
        <v>0</v>
      </c>
      <c r="AA429">
        <f ca="1"/>
        <v>0</v>
      </c>
      <c r="AB429">
        <f ca="1"/>
        <v>0</v>
      </c>
      <c r="AD429" s="2">
        <f t="shared" ca="1" si="62"/>
        <v>44674</v>
      </c>
      <c r="AE429" s="46">
        <f t="shared" ca="1" si="63"/>
        <v>0</v>
      </c>
      <c r="AG429" s="72">
        <f t="shared" ca="1" si="67"/>
        <v>129.60663332326206</v>
      </c>
      <c r="AH429" s="72">
        <f t="shared" ca="1" si="68"/>
        <v>129.60663332326206</v>
      </c>
      <c r="AI429" s="3">
        <f t="shared" ca="1" si="69"/>
        <v>0</v>
      </c>
    </row>
    <row r="430" spans="7:35" x14ac:dyDescent="0.25">
      <c r="G430" s="3">
        <f t="shared" si="64"/>
        <v>333</v>
      </c>
      <c r="H430" s="104">
        <f t="shared" si="66"/>
        <v>44528</v>
      </c>
      <c r="I430" s="131">
        <f>HLOOKUP($H$4,'Met Data'!$A$2:$F$368,G430,FALSE)</f>
        <v>15.438333333333301</v>
      </c>
      <c r="J430" s="131">
        <f ca="1">HLOOKUP($H$4,'Met Data'!$H$2:$M$368,G430,FALSE)*L430</f>
        <v>4.5933333333333302</v>
      </c>
      <c r="K430" s="105">
        <f>HLOOKUP($H$4,'Met Data'!$O$2:$T$368,G430,FALSE)</f>
        <v>3.7863185649490698</v>
      </c>
      <c r="L430">
        <f t="shared" ca="1" si="60"/>
        <v>1</v>
      </c>
      <c r="N430" t="b">
        <f t="shared" ca="1" si="65"/>
        <v>0</v>
      </c>
      <c r="O430" t="b">
        <f t="shared" ca="1" si="61"/>
        <v>0</v>
      </c>
      <c r="P430" s="2">
        <f ca="1"/>
        <v>44675</v>
      </c>
      <c r="Q430">
        <f ca="1"/>
        <v>130.0358152902931</v>
      </c>
      <c r="R430">
        <f ca="1"/>
        <v>0</v>
      </c>
      <c r="S430">
        <f ca="1"/>
        <v>4.4639933242875176E-11</v>
      </c>
      <c r="T430">
        <f ca="1"/>
        <v>0.42918196698640604</v>
      </c>
      <c r="U430">
        <f ca="1"/>
        <v>0</v>
      </c>
      <c r="V430">
        <f ca="1"/>
        <v>0</v>
      </c>
      <c r="W430">
        <f ca="1"/>
        <v>0</v>
      </c>
      <c r="X430">
        <f ca="1"/>
        <v>0</v>
      </c>
      <c r="Y430">
        <f ca="1"/>
        <v>0.89842202074714117</v>
      </c>
      <c r="Z430">
        <f ca="1"/>
        <v>0</v>
      </c>
      <c r="AA430">
        <f ca="1"/>
        <v>0</v>
      </c>
      <c r="AB430">
        <f ca="1"/>
        <v>0</v>
      </c>
      <c r="AD430" s="2">
        <f t="shared" ca="1" si="62"/>
        <v>44675</v>
      </c>
      <c r="AE430" s="46">
        <f t="shared" ca="1" si="63"/>
        <v>0</v>
      </c>
      <c r="AG430" s="72">
        <f t="shared" ca="1" si="67"/>
        <v>130.03581529029313</v>
      </c>
      <c r="AH430" s="72">
        <f t="shared" ca="1" si="68"/>
        <v>130.0358152902931</v>
      </c>
      <c r="AI430" s="3">
        <f t="shared" ca="1" si="69"/>
        <v>0</v>
      </c>
    </row>
    <row r="431" spans="7:35" x14ac:dyDescent="0.25">
      <c r="G431" s="3">
        <f t="shared" si="64"/>
        <v>334</v>
      </c>
      <c r="H431" s="104">
        <f t="shared" si="66"/>
        <v>44529</v>
      </c>
      <c r="I431" s="131">
        <f>HLOOKUP($H$4,'Met Data'!$A$2:$F$368,G431,FALSE)</f>
        <v>15.551724137931</v>
      </c>
      <c r="J431" s="131">
        <f ca="1">HLOOKUP($H$4,'Met Data'!$H$2:$M$368,G431,FALSE)*L431</f>
        <v>2.63448275862069</v>
      </c>
      <c r="K431" s="105">
        <f>HLOOKUP($H$4,'Met Data'!$O$2:$T$368,G431,FALSE)</f>
        <v>3.91369181219603</v>
      </c>
      <c r="L431">
        <f t="shared" ca="1" si="60"/>
        <v>1</v>
      </c>
      <c r="N431" t="b">
        <f t="shared" ca="1" si="65"/>
        <v>0</v>
      </c>
      <c r="O431" t="b">
        <f t="shared" ca="1" si="61"/>
        <v>0</v>
      </c>
      <c r="P431" s="2">
        <f ca="1"/>
        <v>44676</v>
      </c>
      <c r="Q431">
        <f ca="1"/>
        <v>130.49722539964321</v>
      </c>
      <c r="R431">
        <f ca="1"/>
        <v>0</v>
      </c>
      <c r="S431">
        <f ca="1"/>
        <v>4.0048821010165389E-11</v>
      </c>
      <c r="T431">
        <f ca="1"/>
        <v>0.46141010931004767</v>
      </c>
      <c r="U431">
        <f ca="1"/>
        <v>0</v>
      </c>
      <c r="V431">
        <f ca="1"/>
        <v>0</v>
      </c>
      <c r="W431">
        <f ca="1"/>
        <v>0</v>
      </c>
      <c r="X431">
        <f ca="1"/>
        <v>0</v>
      </c>
      <c r="Y431">
        <f ca="1"/>
        <v>0.93718303065343267</v>
      </c>
      <c r="Z431">
        <f ca="1"/>
        <v>0</v>
      </c>
      <c r="AA431">
        <f ca="1"/>
        <v>0</v>
      </c>
      <c r="AB431">
        <f ca="1"/>
        <v>0</v>
      </c>
      <c r="AD431" s="2">
        <f t="shared" ca="1" si="62"/>
        <v>44676</v>
      </c>
      <c r="AE431" s="46">
        <f t="shared" ca="1" si="63"/>
        <v>0</v>
      </c>
      <c r="AG431" s="72">
        <f t="shared" ca="1" si="67"/>
        <v>130.49722539964318</v>
      </c>
      <c r="AH431" s="72">
        <f t="shared" ca="1" si="68"/>
        <v>130.49722539964321</v>
      </c>
      <c r="AI431" s="3">
        <f t="shared" ca="1" si="69"/>
        <v>0</v>
      </c>
    </row>
    <row r="432" spans="7:35" x14ac:dyDescent="0.25">
      <c r="G432" s="3">
        <f t="shared" si="64"/>
        <v>335</v>
      </c>
      <c r="H432" s="104">
        <f t="shared" si="66"/>
        <v>44530</v>
      </c>
      <c r="I432" s="131">
        <f>HLOOKUP($H$4,'Met Data'!$A$2:$F$368,G432,FALSE)</f>
        <v>15.832758620689599</v>
      </c>
      <c r="J432" s="131">
        <f ca="1">HLOOKUP($H$4,'Met Data'!$H$2:$M$368,G432,FALSE)*L432</f>
        <v>2.4931034482758601</v>
      </c>
      <c r="K432" s="105">
        <f>HLOOKUP($H$4,'Met Data'!$O$2:$T$368,G432,FALSE)</f>
        <v>3.5204814386258598</v>
      </c>
      <c r="L432">
        <f t="shared" ca="1" si="60"/>
        <v>1</v>
      </c>
      <c r="N432" t="b">
        <f t="shared" ca="1" si="65"/>
        <v>0</v>
      </c>
      <c r="O432" t="b">
        <f t="shared" ca="1" si="61"/>
        <v>0</v>
      </c>
      <c r="P432" s="2">
        <f ca="1"/>
        <v>44677</v>
      </c>
      <c r="Q432">
        <f ca="1"/>
        <v>130.97325096054988</v>
      </c>
      <c r="R432">
        <f ca="1"/>
        <v>0</v>
      </c>
      <c r="S432">
        <f ca="1"/>
        <v>3.4263698817576802E-11</v>
      </c>
      <c r="T432">
        <f ca="1"/>
        <v>0.47602556087240416</v>
      </c>
      <c r="U432">
        <f ca="1"/>
        <v>0</v>
      </c>
      <c r="V432">
        <f ca="1"/>
        <v>0</v>
      </c>
      <c r="W432">
        <f ca="1"/>
        <v>0</v>
      </c>
      <c r="X432">
        <f ca="1"/>
        <v>0</v>
      </c>
      <c r="Y432">
        <f ca="1"/>
        <v>0.94713800182702235</v>
      </c>
      <c r="Z432">
        <f ca="1"/>
        <v>0</v>
      </c>
      <c r="AA432">
        <f ca="1"/>
        <v>0</v>
      </c>
      <c r="AB432">
        <f ca="1"/>
        <v>0</v>
      </c>
      <c r="AD432" s="2">
        <f t="shared" ca="1" si="62"/>
        <v>44677</v>
      </c>
      <c r="AE432" s="46">
        <f t="shared" ca="1" si="63"/>
        <v>0</v>
      </c>
      <c r="AG432" s="72">
        <f t="shared" ca="1" si="67"/>
        <v>130.9732509605499</v>
      </c>
      <c r="AH432" s="72">
        <f t="shared" ca="1" si="68"/>
        <v>130.97325096054988</v>
      </c>
      <c r="AI432" s="3">
        <f t="shared" ca="1" si="69"/>
        <v>0</v>
      </c>
    </row>
    <row r="433" spans="7:35" x14ac:dyDescent="0.25">
      <c r="G433" s="3">
        <f t="shared" si="64"/>
        <v>336</v>
      </c>
      <c r="H433" s="104">
        <f t="shared" si="66"/>
        <v>44531</v>
      </c>
      <c r="I433" s="131">
        <f>HLOOKUP($H$4,'Met Data'!$A$2:$F$368,G433,FALSE)</f>
        <v>16.082758620689599</v>
      </c>
      <c r="J433" s="131">
        <f ca="1">HLOOKUP($H$4,'Met Data'!$H$2:$M$368,G433,FALSE)*L433</f>
        <v>1.7689655172413701</v>
      </c>
      <c r="K433" s="105">
        <f>HLOOKUP($H$4,'Met Data'!$O$2:$T$368,G433,FALSE)</f>
        <v>4.0516623269738101</v>
      </c>
      <c r="L433">
        <f t="shared" ca="1" si="60"/>
        <v>1</v>
      </c>
      <c r="N433" t="b">
        <f t="shared" ca="1" si="65"/>
        <v>0</v>
      </c>
      <c r="O433" t="b">
        <f t="shared" ca="1" si="61"/>
        <v>0</v>
      </c>
      <c r="P433" s="2">
        <f ca="1"/>
        <v>44678</v>
      </c>
      <c r="Q433">
        <f ca="1"/>
        <v>131.46935230543477</v>
      </c>
      <c r="R433">
        <f ca="1"/>
        <v>0</v>
      </c>
      <c r="S433">
        <f ca="1"/>
        <v>2.9387870287365091E-11</v>
      </c>
      <c r="T433">
        <f ca="1"/>
        <v>0.49610134485551788</v>
      </c>
      <c r="U433">
        <f ca="1"/>
        <v>0</v>
      </c>
      <c r="V433">
        <f ca="1"/>
        <v>0</v>
      </c>
      <c r="W433">
        <f ca="1"/>
        <v>0</v>
      </c>
      <c r="X433">
        <f ca="1"/>
        <v>0</v>
      </c>
      <c r="Y433">
        <f ca="1"/>
        <v>0.9540611158888237</v>
      </c>
      <c r="Z433">
        <f ca="1"/>
        <v>0</v>
      </c>
      <c r="AA433">
        <f ca="1"/>
        <v>0</v>
      </c>
      <c r="AB433">
        <f ca="1"/>
        <v>0</v>
      </c>
      <c r="AD433" s="2">
        <f t="shared" ca="1" si="62"/>
        <v>44678</v>
      </c>
      <c r="AE433" s="46">
        <f t="shared" ca="1" si="63"/>
        <v>0</v>
      </c>
      <c r="AG433" s="72">
        <f t="shared" ca="1" si="67"/>
        <v>131.4693523054348</v>
      </c>
      <c r="AH433" s="72">
        <f t="shared" ca="1" si="68"/>
        <v>131.46935230543477</v>
      </c>
      <c r="AI433" s="3">
        <f t="shared" ca="1" si="69"/>
        <v>0</v>
      </c>
    </row>
    <row r="434" spans="7:35" x14ac:dyDescent="0.25">
      <c r="G434" s="3">
        <f t="shared" si="64"/>
        <v>337</v>
      </c>
      <c r="H434" s="104">
        <f t="shared" si="66"/>
        <v>44532</v>
      </c>
      <c r="I434" s="131">
        <f>HLOOKUP($H$4,'Met Data'!$A$2:$F$368,G434,FALSE)</f>
        <v>16.4931034482758</v>
      </c>
      <c r="J434" s="131">
        <f ca="1">HLOOKUP($H$4,'Met Data'!$H$2:$M$368,G434,FALSE)*L434</f>
        <v>5.1137931034482698</v>
      </c>
      <c r="K434" s="105">
        <f>HLOOKUP($H$4,'Met Data'!$O$2:$T$368,G434,FALSE)</f>
        <v>3.5036176940509298</v>
      </c>
      <c r="L434">
        <f t="shared" ca="1" si="60"/>
        <v>1</v>
      </c>
      <c r="N434" t="b">
        <f t="shared" ca="1" si="65"/>
        <v>0</v>
      </c>
      <c r="O434" t="b">
        <f t="shared" ca="1" si="61"/>
        <v>0</v>
      </c>
      <c r="P434" s="2">
        <f ca="1"/>
        <v>44679</v>
      </c>
      <c r="Q434">
        <f ca="1"/>
        <v>131.97962544242588</v>
      </c>
      <c r="R434">
        <f ca="1"/>
        <v>0</v>
      </c>
      <c r="S434">
        <f ca="1"/>
        <v>2.4982052042170652E-11</v>
      </c>
      <c r="T434">
        <f ca="1"/>
        <v>0.51027313696611887</v>
      </c>
      <c r="U434">
        <f ca="1"/>
        <v>0</v>
      </c>
      <c r="V434">
        <f ca="1"/>
        <v>0</v>
      </c>
      <c r="W434">
        <f ca="1"/>
        <v>0</v>
      </c>
      <c r="X434">
        <f ca="1"/>
        <v>0</v>
      </c>
      <c r="Y434">
        <f ca="1"/>
        <v>0.96905208826940026</v>
      </c>
      <c r="Z434">
        <f ca="1"/>
        <v>0</v>
      </c>
      <c r="AA434">
        <f ca="1"/>
        <v>0</v>
      </c>
      <c r="AB434">
        <f ca="1"/>
        <v>0</v>
      </c>
      <c r="AD434" s="2">
        <f t="shared" ca="1" si="62"/>
        <v>44679</v>
      </c>
      <c r="AE434" s="46">
        <f t="shared" ca="1" si="63"/>
        <v>0</v>
      </c>
      <c r="AG434" s="72">
        <f t="shared" ca="1" si="67"/>
        <v>131.97962544242586</v>
      </c>
      <c r="AH434" s="72">
        <f t="shared" ca="1" si="68"/>
        <v>131.97962544242588</v>
      </c>
      <c r="AI434" s="3">
        <f t="shared" ca="1" si="69"/>
        <v>0</v>
      </c>
    </row>
    <row r="435" spans="7:35" x14ac:dyDescent="0.25">
      <c r="G435" s="3">
        <f t="shared" si="64"/>
        <v>338</v>
      </c>
      <c r="H435" s="104">
        <f t="shared" si="66"/>
        <v>44533</v>
      </c>
      <c r="I435" s="131">
        <f>HLOOKUP($H$4,'Met Data'!$A$2:$F$368,G435,FALSE)</f>
        <v>16.78</v>
      </c>
      <c r="J435" s="131">
        <f ca="1">HLOOKUP($H$4,'Met Data'!$H$2:$M$368,G435,FALSE)*L435</f>
        <v>1.71</v>
      </c>
      <c r="K435" s="105">
        <f>HLOOKUP($H$4,'Met Data'!$O$2:$T$368,G435,FALSE)</f>
        <v>3.8786861346319301</v>
      </c>
      <c r="L435">
        <f t="shared" ca="1" si="60"/>
        <v>1</v>
      </c>
      <c r="N435" t="b">
        <f t="shared" ca="1" si="65"/>
        <v>0</v>
      </c>
      <c r="O435" t="b">
        <f t="shared" ca="1" si="61"/>
        <v>0</v>
      </c>
      <c r="P435" s="2">
        <f ca="1"/>
        <v>44680</v>
      </c>
      <c r="Q435">
        <f ca="1"/>
        <v>132.45310301883865</v>
      </c>
      <c r="R435">
        <f ca="1"/>
        <v>0</v>
      </c>
      <c r="S435">
        <f ca="1"/>
        <v>1.9459205582230148E-11</v>
      </c>
      <c r="T435">
        <f ca="1"/>
        <v>0.47347757639330645</v>
      </c>
      <c r="U435">
        <f ca="1"/>
        <v>0</v>
      </c>
      <c r="V435">
        <f ca="1"/>
        <v>0</v>
      </c>
      <c r="W435">
        <f ca="1"/>
        <v>0</v>
      </c>
      <c r="X435">
        <f ca="1"/>
        <v>0</v>
      </c>
      <c r="Y435">
        <f ca="1"/>
        <v>0.97954003420491864</v>
      </c>
      <c r="Z435">
        <f ca="1"/>
        <v>0</v>
      </c>
      <c r="AA435">
        <f ca="1"/>
        <v>0</v>
      </c>
      <c r="AB435">
        <f ca="1"/>
        <v>0</v>
      </c>
      <c r="AD435" s="2">
        <f t="shared" ca="1" si="62"/>
        <v>44680</v>
      </c>
      <c r="AE435" s="46">
        <f t="shared" ca="1" si="63"/>
        <v>0</v>
      </c>
      <c r="AG435" s="72">
        <f t="shared" ca="1" si="67"/>
        <v>132.45310301883865</v>
      </c>
      <c r="AH435" s="72">
        <f t="shared" ca="1" si="68"/>
        <v>132.45310301883865</v>
      </c>
      <c r="AI435" s="3">
        <f t="shared" ca="1" si="69"/>
        <v>0</v>
      </c>
    </row>
    <row r="436" spans="7:35" x14ac:dyDescent="0.25">
      <c r="G436" s="3">
        <f t="shared" si="64"/>
        <v>339</v>
      </c>
      <c r="H436" s="104">
        <f t="shared" si="66"/>
        <v>44534</v>
      </c>
      <c r="I436" s="131">
        <f>HLOOKUP($H$4,'Met Data'!$A$2:$F$368,G436,FALSE)</f>
        <v>16.8266666666666</v>
      </c>
      <c r="J436" s="131">
        <f ca="1">HLOOKUP($H$4,'Met Data'!$H$2:$M$368,G436,FALSE)*L436</f>
        <v>6.0433333333333303</v>
      </c>
      <c r="K436" s="105">
        <f>HLOOKUP($H$4,'Met Data'!$O$2:$T$368,G436,FALSE)</f>
        <v>3.6269671816345701</v>
      </c>
      <c r="L436">
        <f t="shared" ca="1" si="60"/>
        <v>1</v>
      </c>
      <c r="N436" t="b">
        <f t="shared" ca="1" si="65"/>
        <v>0</v>
      </c>
      <c r="O436" t="b">
        <f t="shared" ca="1" si="61"/>
        <v>0</v>
      </c>
      <c r="P436" s="2">
        <f ca="1"/>
        <v>44681</v>
      </c>
      <c r="Q436">
        <f ca="1"/>
        <v>132.91090778571052</v>
      </c>
      <c r="R436">
        <f ca="1"/>
        <v>0</v>
      </c>
      <c r="S436">
        <f ca="1"/>
        <v>1.5979446948136667E-11</v>
      </c>
      <c r="T436">
        <f ca="1"/>
        <v>0.45780476685591581</v>
      </c>
      <c r="U436">
        <f ca="1"/>
        <v>0</v>
      </c>
      <c r="V436">
        <f ca="1"/>
        <v>0</v>
      </c>
      <c r="W436">
        <f ca="1"/>
        <v>0</v>
      </c>
      <c r="X436">
        <f ca="1"/>
        <v>0</v>
      </c>
      <c r="Y436">
        <f ca="1"/>
        <v>1</v>
      </c>
      <c r="Z436">
        <f ca="1"/>
        <v>0.28538545227881684</v>
      </c>
      <c r="AA436">
        <f ca="1"/>
        <v>0</v>
      </c>
      <c r="AB436">
        <f ca="1"/>
        <v>0</v>
      </c>
      <c r="AD436" s="2">
        <f t="shared" ca="1" si="62"/>
        <v>44681</v>
      </c>
      <c r="AE436" s="46">
        <f t="shared" ca="1" si="63"/>
        <v>0</v>
      </c>
      <c r="AG436" s="72">
        <f t="shared" ca="1" si="67"/>
        <v>132.91090778571055</v>
      </c>
      <c r="AH436" s="72">
        <f t="shared" ca="1" si="68"/>
        <v>132.91090778571052</v>
      </c>
      <c r="AI436" s="3">
        <f t="shared" ca="1" si="69"/>
        <v>0</v>
      </c>
    </row>
    <row r="437" spans="7:35" x14ac:dyDescent="0.25">
      <c r="G437" s="3">
        <f t="shared" si="64"/>
        <v>340</v>
      </c>
      <c r="H437" s="104">
        <f t="shared" si="66"/>
        <v>44535</v>
      </c>
      <c r="I437" s="131">
        <f>HLOOKUP($H$4,'Met Data'!$A$2:$F$368,G437,FALSE)</f>
        <v>16.6516666666666</v>
      </c>
      <c r="J437" s="131">
        <f ca="1">HLOOKUP($H$4,'Met Data'!$H$2:$M$368,G437,FALSE)*L437</f>
        <v>4.9033333333333298</v>
      </c>
      <c r="K437" s="105">
        <f>HLOOKUP($H$4,'Met Data'!$O$2:$T$368,G437,FALSE)</f>
        <v>3.8159631078200702</v>
      </c>
      <c r="L437">
        <f t="shared" ca="1" si="60"/>
        <v>1</v>
      </c>
      <c r="N437" t="b">
        <f t="shared" ca="1" si="65"/>
        <v>0</v>
      </c>
      <c r="O437" t="b">
        <f t="shared" ca="1" si="61"/>
        <v>0</v>
      </c>
      <c r="P437" s="2">
        <f ca="1"/>
        <v>44682</v>
      </c>
      <c r="Q437">
        <f ca="1"/>
        <v>133.37125770927022</v>
      </c>
      <c r="R437">
        <f ca="1"/>
        <v>0</v>
      </c>
      <c r="S437">
        <f ca="1"/>
        <v>1.3291573631425658E-11</v>
      </c>
      <c r="T437">
        <f ca="1"/>
        <v>0.46034992354639576</v>
      </c>
      <c r="U437">
        <f ca="1"/>
        <v>0</v>
      </c>
      <c r="V437">
        <f ca="1"/>
        <v>0</v>
      </c>
      <c r="W437">
        <f ca="1"/>
        <v>0</v>
      </c>
      <c r="X437">
        <f ca="1"/>
        <v>0</v>
      </c>
      <c r="Y437">
        <f ca="1"/>
        <v>1</v>
      </c>
      <c r="Z437">
        <f ca="1"/>
        <v>1.2487651315055501</v>
      </c>
      <c r="AA437">
        <f ca="1"/>
        <v>0</v>
      </c>
      <c r="AB437">
        <f ca="1"/>
        <v>0</v>
      </c>
      <c r="AD437" s="2">
        <f t="shared" ca="1" si="62"/>
        <v>44682</v>
      </c>
      <c r="AE437" s="46">
        <f t="shared" ca="1" si="63"/>
        <v>0</v>
      </c>
      <c r="AG437" s="72">
        <f t="shared" ca="1" si="67"/>
        <v>133.37125770927022</v>
      </c>
      <c r="AH437" s="72">
        <f t="shared" ca="1" si="68"/>
        <v>133.37125770927022</v>
      </c>
      <c r="AI437" s="3">
        <f t="shared" ca="1" si="69"/>
        <v>0</v>
      </c>
    </row>
    <row r="438" spans="7:35" x14ac:dyDescent="0.25">
      <c r="G438" s="3">
        <f t="shared" si="64"/>
        <v>341</v>
      </c>
      <c r="H438" s="104">
        <f t="shared" si="66"/>
        <v>44536</v>
      </c>
      <c r="I438" s="131">
        <f>HLOOKUP($H$4,'Met Data'!$A$2:$F$368,G438,FALSE)</f>
        <v>16.68</v>
      </c>
      <c r="J438" s="131">
        <f ca="1">HLOOKUP($H$4,'Met Data'!$H$2:$M$368,G438,FALSE)*L438</f>
        <v>3.7299999999999902</v>
      </c>
      <c r="K438" s="105">
        <f>HLOOKUP($H$4,'Met Data'!$O$2:$T$368,G438,FALSE)</f>
        <v>3.9805130657979602</v>
      </c>
      <c r="L438">
        <f t="shared" ca="1" si="60"/>
        <v>1</v>
      </c>
      <c r="N438" t="b">
        <f t="shared" ca="1" si="65"/>
        <v>0</v>
      </c>
      <c r="O438" t="b">
        <f t="shared" ca="1" si="61"/>
        <v>0</v>
      </c>
      <c r="P438" s="2">
        <f ca="1"/>
        <v>44683</v>
      </c>
      <c r="Q438">
        <f ca="1"/>
        <v>133.82766407511076</v>
      </c>
      <c r="R438">
        <f ca="1"/>
        <v>0</v>
      </c>
      <c r="S438">
        <f ca="1"/>
        <v>1.091747210470441E-11</v>
      </c>
      <c r="T438">
        <f ca="1"/>
        <v>0.45640636582963062</v>
      </c>
      <c r="U438">
        <f ca="1"/>
        <v>0</v>
      </c>
      <c r="V438">
        <f ca="1"/>
        <v>0</v>
      </c>
      <c r="W438">
        <f ca="1"/>
        <v>0</v>
      </c>
      <c r="X438">
        <f ca="1"/>
        <v>0</v>
      </c>
      <c r="Y438">
        <f ca="1"/>
        <v>1</v>
      </c>
      <c r="Z438">
        <f ca="1"/>
        <v>4.6210254298632663</v>
      </c>
      <c r="AA438">
        <f ca="1"/>
        <v>0</v>
      </c>
      <c r="AB438">
        <f ca="1"/>
        <v>0</v>
      </c>
      <c r="AD438" s="2">
        <f t="shared" ca="1" si="62"/>
        <v>44683</v>
      </c>
      <c r="AE438" s="46">
        <f t="shared" ca="1" si="63"/>
        <v>0</v>
      </c>
      <c r="AG438" s="72">
        <f t="shared" ca="1" si="67"/>
        <v>133.82766407511076</v>
      </c>
      <c r="AH438" s="72">
        <f t="shared" ca="1" si="68"/>
        <v>133.82766407511076</v>
      </c>
      <c r="AI438" s="3">
        <f t="shared" ca="1" si="69"/>
        <v>0</v>
      </c>
    </row>
    <row r="439" spans="7:35" x14ac:dyDescent="0.25">
      <c r="G439" s="3">
        <f t="shared" si="64"/>
        <v>342</v>
      </c>
      <c r="H439" s="104">
        <f t="shared" si="66"/>
        <v>44537</v>
      </c>
      <c r="I439" s="131">
        <f>HLOOKUP($H$4,'Met Data'!$A$2:$F$368,G439,FALSE)</f>
        <v>16.158333333333299</v>
      </c>
      <c r="J439" s="131">
        <f ca="1">HLOOKUP($H$4,'Met Data'!$H$2:$M$368,G439,FALSE)*L439</f>
        <v>3.96999999999999</v>
      </c>
      <c r="K439" s="105">
        <f>HLOOKUP($H$4,'Met Data'!$O$2:$T$368,G439,FALSE)</f>
        <v>3.9985245379954399</v>
      </c>
      <c r="L439">
        <f t="shared" ca="1" si="60"/>
        <v>1</v>
      </c>
      <c r="N439" t="b">
        <f t="shared" ca="1" si="65"/>
        <v>0</v>
      </c>
      <c r="O439" t="b">
        <f t="shared" ca="1" si="61"/>
        <v>0</v>
      </c>
      <c r="P439" s="2">
        <f ca="1"/>
        <v>44684</v>
      </c>
      <c r="Q439">
        <f ca="1"/>
        <v>134.27982449857257</v>
      </c>
      <c r="R439">
        <f ca="1"/>
        <v>0</v>
      </c>
      <c r="S439">
        <f ca="1"/>
        <v>8.9748815184968953E-12</v>
      </c>
      <c r="T439">
        <f ca="1"/>
        <v>0.45216042345281465</v>
      </c>
      <c r="U439">
        <f ca="1"/>
        <v>0</v>
      </c>
      <c r="V439">
        <f ca="1"/>
        <v>0</v>
      </c>
      <c r="W439">
        <f ca="1"/>
        <v>0</v>
      </c>
      <c r="X439">
        <f ca="1"/>
        <v>0</v>
      </c>
      <c r="Y439">
        <f ca="1"/>
        <v>1</v>
      </c>
      <c r="Z439">
        <f ca="1"/>
        <v>0.72509663627467091</v>
      </c>
      <c r="AA439">
        <f ca="1"/>
        <v>0</v>
      </c>
      <c r="AB439">
        <f ca="1"/>
        <v>0</v>
      </c>
      <c r="AD439" s="2">
        <f t="shared" ca="1" si="62"/>
        <v>44684</v>
      </c>
      <c r="AE439" s="46">
        <f t="shared" ca="1" si="63"/>
        <v>0</v>
      </c>
      <c r="AG439" s="72">
        <f t="shared" ca="1" si="67"/>
        <v>134.27982449857257</v>
      </c>
      <c r="AH439" s="72">
        <f t="shared" ca="1" si="68"/>
        <v>134.27982449857257</v>
      </c>
      <c r="AI439" s="3">
        <f t="shared" ca="1" si="69"/>
        <v>0</v>
      </c>
    </row>
    <row r="440" spans="7:35" x14ac:dyDescent="0.25">
      <c r="G440" s="3">
        <f t="shared" si="64"/>
        <v>343</v>
      </c>
      <c r="H440" s="104">
        <f t="shared" si="66"/>
        <v>44538</v>
      </c>
      <c r="I440" s="131">
        <f>HLOOKUP($H$4,'Met Data'!$A$2:$F$368,G440,FALSE)</f>
        <v>16.105</v>
      </c>
      <c r="J440" s="131">
        <f ca="1">HLOOKUP($H$4,'Met Data'!$H$2:$M$368,G440,FALSE)*L440</f>
        <v>2.43333333333333</v>
      </c>
      <c r="K440" s="105">
        <f>HLOOKUP($H$4,'Met Data'!$O$2:$T$368,G440,FALSE)</f>
        <v>4.0668482894046898</v>
      </c>
      <c r="L440">
        <f t="shared" ca="1" si="60"/>
        <v>1</v>
      </c>
      <c r="N440" t="b">
        <f t="shared" ca="1" si="65"/>
        <v>0</v>
      </c>
      <c r="O440" t="b">
        <f t="shared" ca="1" si="61"/>
        <v>0</v>
      </c>
      <c r="P440" s="2">
        <f ca="1"/>
        <v>44685</v>
      </c>
      <c r="Q440">
        <f ca="1"/>
        <v>134.72146149781892</v>
      </c>
      <c r="R440">
        <f ca="1"/>
        <v>0</v>
      </c>
      <c r="S440">
        <f ca="1"/>
        <v>7.3024445639321166E-12</v>
      </c>
      <c r="T440">
        <f ca="1"/>
        <v>0.44163699923905753</v>
      </c>
      <c r="U440">
        <f ca="1"/>
        <v>0</v>
      </c>
      <c r="V440">
        <f ca="1"/>
        <v>0</v>
      </c>
      <c r="W440">
        <f ca="1"/>
        <v>0</v>
      </c>
      <c r="X440">
        <f ca="1"/>
        <v>0</v>
      </c>
      <c r="Y440">
        <f ca="1"/>
        <v>1</v>
      </c>
      <c r="Z440">
        <f ca="1"/>
        <v>0.39071867477541389</v>
      </c>
      <c r="AA440">
        <f ca="1"/>
        <v>0</v>
      </c>
      <c r="AB440">
        <f ca="1"/>
        <v>0</v>
      </c>
      <c r="AD440" s="2">
        <f t="shared" ca="1" si="62"/>
        <v>44685</v>
      </c>
      <c r="AE440" s="46">
        <f t="shared" ca="1" si="63"/>
        <v>0</v>
      </c>
      <c r="AG440" s="72">
        <f t="shared" ca="1" si="67"/>
        <v>134.72146149781892</v>
      </c>
      <c r="AH440" s="72">
        <f t="shared" ca="1" si="68"/>
        <v>134.72146149781892</v>
      </c>
      <c r="AI440" s="3">
        <f t="shared" ca="1" si="69"/>
        <v>0</v>
      </c>
    </row>
    <row r="441" spans="7:35" x14ac:dyDescent="0.25">
      <c r="G441" s="3">
        <f t="shared" si="64"/>
        <v>344</v>
      </c>
      <c r="H441" s="104">
        <f t="shared" si="66"/>
        <v>44539</v>
      </c>
      <c r="I441" s="131">
        <f>HLOOKUP($H$4,'Met Data'!$A$2:$F$368,G441,FALSE)</f>
        <v>16.565000000000001</v>
      </c>
      <c r="J441" s="131">
        <f ca="1">HLOOKUP($H$4,'Met Data'!$H$2:$M$368,G441,FALSE)*L441</f>
        <v>1.57666666666666</v>
      </c>
      <c r="K441" s="105">
        <f>HLOOKUP($H$4,'Met Data'!$O$2:$T$368,G441,FALSE)</f>
        <v>4.3303303245888296</v>
      </c>
      <c r="L441">
        <f t="shared" ca="1" si="60"/>
        <v>1</v>
      </c>
      <c r="N441" t="b">
        <f t="shared" ca="1" si="65"/>
        <v>0</v>
      </c>
      <c r="O441" t="b">
        <f t="shared" ca="1" si="61"/>
        <v>0</v>
      </c>
      <c r="P441" s="2">
        <f ca="1"/>
        <v>44686</v>
      </c>
      <c r="Q441">
        <f ca="1"/>
        <v>135.16634494543257</v>
      </c>
      <c r="R441">
        <f ca="1"/>
        <v>0</v>
      </c>
      <c r="S441">
        <f ca="1"/>
        <v>6.1207425236408327E-12</v>
      </c>
      <c r="T441">
        <f ca="1"/>
        <v>0.44488344760752091</v>
      </c>
      <c r="U441">
        <f ca="1"/>
        <v>0</v>
      </c>
      <c r="V441">
        <f ca="1"/>
        <v>0</v>
      </c>
      <c r="W441">
        <f ca="1"/>
        <v>0</v>
      </c>
      <c r="X441">
        <f ca="1"/>
        <v>0</v>
      </c>
      <c r="Y441">
        <f ca="1"/>
        <v>1</v>
      </c>
      <c r="Z441">
        <f ca="1"/>
        <v>1.2734649378683685</v>
      </c>
      <c r="AA441">
        <f ca="1"/>
        <v>0</v>
      </c>
      <c r="AB441">
        <f ca="1"/>
        <v>0</v>
      </c>
      <c r="AD441" s="2">
        <f t="shared" ca="1" si="62"/>
        <v>44686</v>
      </c>
      <c r="AE441" s="46">
        <f t="shared" ca="1" si="63"/>
        <v>0</v>
      </c>
      <c r="AG441" s="72">
        <f t="shared" ca="1" si="67"/>
        <v>135.16634494543254</v>
      </c>
      <c r="AH441" s="72">
        <f t="shared" ca="1" si="68"/>
        <v>135.16634494543257</v>
      </c>
      <c r="AI441" s="3">
        <f t="shared" ca="1" si="69"/>
        <v>0</v>
      </c>
    </row>
    <row r="442" spans="7:35" x14ac:dyDescent="0.25">
      <c r="G442" s="3">
        <f t="shared" si="64"/>
        <v>345</v>
      </c>
      <c r="H442" s="104">
        <f t="shared" si="66"/>
        <v>44540</v>
      </c>
      <c r="I442" s="131">
        <f>HLOOKUP($H$4,'Met Data'!$A$2:$F$368,G442,FALSE)</f>
        <v>16.483333333333299</v>
      </c>
      <c r="J442" s="131">
        <f ca="1">HLOOKUP($H$4,'Met Data'!$H$2:$M$368,G442,FALSE)*L442</f>
        <v>2.9733333333333301</v>
      </c>
      <c r="K442" s="105">
        <f>HLOOKUP($H$4,'Met Data'!$O$2:$T$368,G442,FALSE)</f>
        <v>4.0534379567104599</v>
      </c>
      <c r="L442">
        <f t="shared" ca="1" si="60"/>
        <v>1</v>
      </c>
      <c r="N442" t="b">
        <f t="shared" ca="1" si="65"/>
        <v>0</v>
      </c>
      <c r="O442" t="b">
        <f t="shared" ca="1" si="61"/>
        <v>0</v>
      </c>
      <c r="P442" s="2">
        <f ca="1"/>
        <v>44687</v>
      </c>
      <c r="Q442">
        <f ca="1"/>
        <v>135.61746729205618</v>
      </c>
      <c r="R442">
        <f ca="1"/>
        <v>0</v>
      </c>
      <c r="S442">
        <f ca="1"/>
        <v>5.1520142515875979E-12</v>
      </c>
      <c r="T442">
        <f ca="1"/>
        <v>0.45112234661844214</v>
      </c>
      <c r="U442">
        <f ca="1"/>
        <v>0</v>
      </c>
      <c r="V442">
        <f ca="1"/>
        <v>0</v>
      </c>
      <c r="W442">
        <f ca="1"/>
        <v>0</v>
      </c>
      <c r="X442">
        <f ca="1"/>
        <v>0</v>
      </c>
      <c r="Y442">
        <f ca="1"/>
        <v>1</v>
      </c>
      <c r="Z442">
        <f ca="1"/>
        <v>1.6606067766300754</v>
      </c>
      <c r="AA442">
        <f ca="1"/>
        <v>0</v>
      </c>
      <c r="AB442">
        <f ca="1"/>
        <v>0</v>
      </c>
      <c r="AD442" s="2">
        <f t="shared" ca="1" si="62"/>
        <v>44687</v>
      </c>
      <c r="AE442" s="46">
        <f t="shared" ca="1" si="63"/>
        <v>0</v>
      </c>
      <c r="AG442" s="72">
        <f t="shared" ca="1" si="67"/>
        <v>135.61746729205615</v>
      </c>
      <c r="AH442" s="72">
        <f t="shared" ca="1" si="68"/>
        <v>135.61746729205618</v>
      </c>
      <c r="AI442" s="3">
        <f t="shared" ca="1" si="69"/>
        <v>0</v>
      </c>
    </row>
    <row r="443" spans="7:35" x14ac:dyDescent="0.25">
      <c r="G443" s="3">
        <f t="shared" si="64"/>
        <v>346</v>
      </c>
      <c r="H443" s="104">
        <f t="shared" si="66"/>
        <v>44541</v>
      </c>
      <c r="I443" s="131">
        <f>HLOOKUP($H$4,'Met Data'!$A$2:$F$368,G443,FALSE)</f>
        <v>17.015000000000001</v>
      </c>
      <c r="J443" s="131">
        <f ca="1">HLOOKUP($H$4,'Met Data'!$H$2:$M$368,G443,FALSE)*L443</f>
        <v>1.12666666666666</v>
      </c>
      <c r="K443" s="105">
        <f>HLOOKUP($H$4,'Met Data'!$O$2:$T$368,G443,FALSE)</f>
        <v>4.1505313677650202</v>
      </c>
      <c r="L443">
        <f t="shared" ca="1" si="60"/>
        <v>1</v>
      </c>
      <c r="N443" t="b">
        <f t="shared" ca="1" si="65"/>
        <v>0</v>
      </c>
      <c r="O443" t="b">
        <f t="shared" ca="1" si="61"/>
        <v>0</v>
      </c>
      <c r="P443" s="2">
        <f ca="1"/>
        <v>44688</v>
      </c>
      <c r="Q443">
        <f ca="1"/>
        <v>136.05641679045294</v>
      </c>
      <c r="R443">
        <f ca="1"/>
        <v>0</v>
      </c>
      <c r="S443">
        <f ca="1"/>
        <v>4.1787877734109838E-12</v>
      </c>
      <c r="T443">
        <f ca="1"/>
        <v>0.43894949839259739</v>
      </c>
      <c r="U443">
        <f ca="1"/>
        <v>0</v>
      </c>
      <c r="V443">
        <f ca="1"/>
        <v>0</v>
      </c>
      <c r="W443">
        <f ca="1"/>
        <v>0</v>
      </c>
      <c r="X443">
        <f ca="1"/>
        <v>0</v>
      </c>
      <c r="Y443">
        <f ca="1"/>
        <v>0.99967407927385499</v>
      </c>
      <c r="Z443">
        <f ca="1"/>
        <v>0</v>
      </c>
      <c r="AA443">
        <f ca="1"/>
        <v>0</v>
      </c>
      <c r="AB443">
        <f ca="1"/>
        <v>0</v>
      </c>
      <c r="AD443" s="2">
        <f t="shared" ca="1" si="62"/>
        <v>44688</v>
      </c>
      <c r="AE443" s="46">
        <f t="shared" ca="1" si="63"/>
        <v>0</v>
      </c>
      <c r="AG443" s="72">
        <f t="shared" ca="1" si="67"/>
        <v>136.05641679045294</v>
      </c>
      <c r="AH443" s="72">
        <f t="shared" ca="1" si="68"/>
        <v>136.05641679045294</v>
      </c>
      <c r="AI443" s="3">
        <f t="shared" ca="1" si="69"/>
        <v>0</v>
      </c>
    </row>
    <row r="444" spans="7:35" x14ac:dyDescent="0.25">
      <c r="G444" s="3">
        <f t="shared" si="64"/>
        <v>347</v>
      </c>
      <c r="H444" s="104">
        <f t="shared" si="66"/>
        <v>44542</v>
      </c>
      <c r="I444" s="131">
        <f>HLOOKUP($H$4,'Met Data'!$A$2:$F$368,G444,FALSE)</f>
        <v>17.483333333333299</v>
      </c>
      <c r="J444" s="131">
        <f ca="1">HLOOKUP($H$4,'Met Data'!$H$2:$M$368,G444,FALSE)*L444</f>
        <v>1.9166666666666601</v>
      </c>
      <c r="K444" s="105">
        <f>HLOOKUP($H$4,'Met Data'!$O$2:$T$368,G444,FALSE)</f>
        <v>3.8850422651579102</v>
      </c>
      <c r="L444">
        <f t="shared" ca="1" si="60"/>
        <v>1</v>
      </c>
      <c r="N444" t="b">
        <f t="shared" ca="1" si="65"/>
        <v>0</v>
      </c>
      <c r="O444" t="b">
        <f t="shared" ca="1" si="61"/>
        <v>0</v>
      </c>
      <c r="P444" s="2">
        <f ca="1"/>
        <v>44689</v>
      </c>
      <c r="Q444">
        <f ca="1"/>
        <v>136.48549769530578</v>
      </c>
      <c r="R444">
        <f ca="1"/>
        <v>0</v>
      </c>
      <c r="S444">
        <f ca="1"/>
        <v>3.41990046827595E-12</v>
      </c>
      <c r="T444">
        <f ca="1"/>
        <v>0.42908090484939621</v>
      </c>
      <c r="U444">
        <f ca="1"/>
        <v>0</v>
      </c>
      <c r="V444">
        <f ca="1"/>
        <v>0</v>
      </c>
      <c r="W444">
        <f ca="1"/>
        <v>0</v>
      </c>
      <c r="X444">
        <f ca="1"/>
        <v>0</v>
      </c>
      <c r="Y444">
        <f ca="1"/>
        <v>1</v>
      </c>
      <c r="Z444">
        <f ca="1"/>
        <v>1.5181762538733921</v>
      </c>
      <c r="AA444">
        <f ca="1"/>
        <v>0</v>
      </c>
      <c r="AB444">
        <f ca="1"/>
        <v>0</v>
      </c>
      <c r="AD444" s="2">
        <f t="shared" ca="1" si="62"/>
        <v>44689</v>
      </c>
      <c r="AE444" s="46">
        <f t="shared" ca="1" si="63"/>
        <v>0</v>
      </c>
      <c r="AG444" s="72">
        <f t="shared" ca="1" si="67"/>
        <v>136.48549769530575</v>
      </c>
      <c r="AH444" s="72">
        <f t="shared" ca="1" si="68"/>
        <v>136.48549769530578</v>
      </c>
      <c r="AI444" s="3">
        <f t="shared" ca="1" si="69"/>
        <v>0</v>
      </c>
    </row>
    <row r="445" spans="7:35" x14ac:dyDescent="0.25">
      <c r="G445" s="3">
        <f t="shared" si="64"/>
        <v>348</v>
      </c>
      <c r="H445" s="104">
        <f t="shared" si="66"/>
        <v>44543</v>
      </c>
      <c r="I445" s="131">
        <f>HLOOKUP($H$4,'Met Data'!$A$2:$F$368,G445,FALSE)</f>
        <v>17.251666666666601</v>
      </c>
      <c r="J445" s="131">
        <f ca="1">HLOOKUP($H$4,'Met Data'!$H$2:$M$368,G445,FALSE)*L445</f>
        <v>1.93333333333333</v>
      </c>
      <c r="K445" s="105">
        <f>HLOOKUP($H$4,'Met Data'!$O$2:$T$368,G445,FALSE)</f>
        <v>4.3816384015384404</v>
      </c>
      <c r="L445">
        <f t="shared" ca="1" si="60"/>
        <v>1</v>
      </c>
      <c r="N445" t="b">
        <f t="shared" ca="1" si="65"/>
        <v>0</v>
      </c>
      <c r="O445" t="b">
        <f t="shared" ca="1" si="61"/>
        <v>0</v>
      </c>
      <c r="P445" s="2">
        <f ca="1"/>
        <v>44690</v>
      </c>
      <c r="Q445">
        <f ca="1"/>
        <v>136.89923900922963</v>
      </c>
      <c r="R445">
        <f ca="1"/>
        <v>0</v>
      </c>
      <c r="S445">
        <f ca="1"/>
        <v>2.7749616369228386E-12</v>
      </c>
      <c r="T445">
        <f ca="1"/>
        <v>0.41374131392107882</v>
      </c>
      <c r="U445">
        <f ca="1"/>
        <v>0</v>
      </c>
      <c r="V445">
        <f ca="1"/>
        <v>0</v>
      </c>
      <c r="W445">
        <f ca="1"/>
        <v>0</v>
      </c>
      <c r="X445">
        <f ca="1"/>
        <v>0</v>
      </c>
      <c r="Y445">
        <f ca="1"/>
        <v>1</v>
      </c>
      <c r="Z445">
        <f ca="1"/>
        <v>0.59397336932762812</v>
      </c>
      <c r="AA445">
        <f ca="1"/>
        <v>0</v>
      </c>
      <c r="AB445">
        <f ca="1"/>
        <v>0</v>
      </c>
      <c r="AD445" s="2">
        <f t="shared" ca="1" si="62"/>
        <v>44690</v>
      </c>
      <c r="AE445" s="46">
        <f t="shared" ca="1" si="63"/>
        <v>0</v>
      </c>
      <c r="AG445" s="72">
        <f t="shared" ca="1" si="67"/>
        <v>136.89923900922963</v>
      </c>
      <c r="AH445" s="72">
        <f t="shared" ca="1" si="68"/>
        <v>136.89923900922963</v>
      </c>
      <c r="AI445" s="3">
        <f t="shared" ca="1" si="69"/>
        <v>0</v>
      </c>
    </row>
    <row r="446" spans="7:35" x14ac:dyDescent="0.25">
      <c r="G446" s="3">
        <f t="shared" si="64"/>
        <v>349</v>
      </c>
      <c r="H446" s="104">
        <f t="shared" si="66"/>
        <v>44544</v>
      </c>
      <c r="I446" s="131">
        <f>HLOOKUP($H$4,'Met Data'!$A$2:$F$368,G446,FALSE)</f>
        <v>17.1733333333333</v>
      </c>
      <c r="J446" s="131">
        <f ca="1">HLOOKUP($H$4,'Met Data'!$H$2:$M$368,G446,FALSE)*L446</f>
        <v>4.1233333333333304</v>
      </c>
      <c r="K446" s="105">
        <f>HLOOKUP($H$4,'Met Data'!$O$2:$T$368,G446,FALSE)</f>
        <v>4.03321434314394</v>
      </c>
      <c r="L446">
        <f t="shared" ca="1" si="60"/>
        <v>1</v>
      </c>
      <c r="N446" t="b">
        <f t="shared" ca="1" si="65"/>
        <v>0</v>
      </c>
      <c r="O446" t="b">
        <f t="shared" ca="1" si="61"/>
        <v>0</v>
      </c>
      <c r="P446" s="2">
        <f ca="1"/>
        <v>44691</v>
      </c>
      <c r="Q446">
        <f ca="1"/>
        <v>137.31775926229602</v>
      </c>
      <c r="R446">
        <f ca="1"/>
        <v>0</v>
      </c>
      <c r="S446">
        <f ca="1"/>
        <v>2.3598918794168878E-12</v>
      </c>
      <c r="T446">
        <f ca="1"/>
        <v>0.41852025306403401</v>
      </c>
      <c r="U446">
        <f ca="1"/>
        <v>0</v>
      </c>
      <c r="V446">
        <f ca="1"/>
        <v>0</v>
      </c>
      <c r="W446">
        <f ca="1"/>
        <v>0</v>
      </c>
      <c r="X446">
        <f ca="1"/>
        <v>0</v>
      </c>
      <c r="Y446">
        <f ca="1"/>
        <v>1</v>
      </c>
      <c r="Z446">
        <f ca="1"/>
        <v>1.5077961298284777</v>
      </c>
      <c r="AA446">
        <f ca="1"/>
        <v>0</v>
      </c>
      <c r="AB446">
        <f ca="1"/>
        <v>0</v>
      </c>
      <c r="AD446" s="2">
        <f t="shared" ca="1" si="62"/>
        <v>44691</v>
      </c>
      <c r="AE446" s="46">
        <f t="shared" ca="1" si="63"/>
        <v>0</v>
      </c>
      <c r="AG446" s="72">
        <f t="shared" ca="1" si="67"/>
        <v>137.31775926229602</v>
      </c>
      <c r="AH446" s="72">
        <f t="shared" ca="1" si="68"/>
        <v>137.31775926229602</v>
      </c>
      <c r="AI446" s="3">
        <f t="shared" ca="1" si="69"/>
        <v>0</v>
      </c>
    </row>
    <row r="447" spans="7:35" x14ac:dyDescent="0.25">
      <c r="G447" s="3">
        <f t="shared" si="64"/>
        <v>350</v>
      </c>
      <c r="H447" s="104">
        <f t="shared" si="66"/>
        <v>44545</v>
      </c>
      <c r="I447" s="131">
        <f>HLOOKUP($H$4,'Met Data'!$A$2:$F$368,G447,FALSE)</f>
        <v>17.0068965517241</v>
      </c>
      <c r="J447" s="131">
        <f ca="1">HLOOKUP($H$4,'Met Data'!$H$2:$M$368,G447,FALSE)*L447</f>
        <v>2.5793103448275798</v>
      </c>
      <c r="K447" s="105">
        <f>HLOOKUP($H$4,'Met Data'!$O$2:$T$368,G447,FALSE)</f>
        <v>4.1838965938969297</v>
      </c>
      <c r="L447">
        <f t="shared" ca="1" si="60"/>
        <v>1</v>
      </c>
      <c r="N447" t="b">
        <f t="shared" ca="1" si="65"/>
        <v>0</v>
      </c>
      <c r="O447" t="b">
        <f t="shared" ca="1" si="61"/>
        <v>0</v>
      </c>
      <c r="P447" s="2">
        <f ca="1"/>
        <v>44692</v>
      </c>
      <c r="Q447">
        <f ca="1"/>
        <v>137.74684016714744</v>
      </c>
      <c r="R447">
        <f ca="1"/>
        <v>0</v>
      </c>
      <c r="S447">
        <f ca="1"/>
        <v>2.0260826803566974E-12</v>
      </c>
      <c r="T447">
        <f ca="1"/>
        <v>0.42908090484939621</v>
      </c>
      <c r="U447">
        <f ca="1"/>
        <v>0</v>
      </c>
      <c r="V447">
        <f ca="1"/>
        <v>0</v>
      </c>
      <c r="W447">
        <f ca="1"/>
        <v>0</v>
      </c>
      <c r="X447">
        <f ca="1"/>
        <v>0</v>
      </c>
      <c r="Y447">
        <f ca="1"/>
        <v>1</v>
      </c>
      <c r="Z447">
        <f ca="1"/>
        <v>0.59917358401661147</v>
      </c>
      <c r="AA447">
        <f ca="1"/>
        <v>0</v>
      </c>
      <c r="AB447">
        <f ca="1"/>
        <v>0</v>
      </c>
      <c r="AD447" s="2">
        <f t="shared" ca="1" si="62"/>
        <v>44692</v>
      </c>
      <c r="AE447" s="46">
        <f t="shared" ca="1" si="63"/>
        <v>0</v>
      </c>
      <c r="AG447" s="72">
        <f t="shared" ca="1" si="67"/>
        <v>137.74684016714744</v>
      </c>
      <c r="AH447" s="72">
        <f t="shared" ca="1" si="68"/>
        <v>137.74684016714744</v>
      </c>
      <c r="AI447" s="3">
        <f t="shared" ca="1" si="69"/>
        <v>0</v>
      </c>
    </row>
    <row r="448" spans="7:35" x14ac:dyDescent="0.25">
      <c r="G448" s="3">
        <f t="shared" si="64"/>
        <v>351</v>
      </c>
      <c r="H448" s="104">
        <f t="shared" si="66"/>
        <v>44546</v>
      </c>
      <c r="I448" s="131">
        <f>HLOOKUP($H$4,'Met Data'!$A$2:$F$368,G448,FALSE)</f>
        <v>17.105172413793099</v>
      </c>
      <c r="J448" s="131">
        <f ca="1">HLOOKUP($H$4,'Met Data'!$H$2:$M$368,G448,FALSE)*L448</f>
        <v>5.3551724137930998</v>
      </c>
      <c r="K448" s="105">
        <f>HLOOKUP($H$4,'Met Data'!$O$2:$T$368,G448,FALSE)</f>
        <v>3.9954599380242</v>
      </c>
      <c r="L448">
        <f t="shared" ca="1" si="60"/>
        <v>1</v>
      </c>
      <c r="N448" t="b">
        <f t="shared" ca="1" si="65"/>
        <v>0</v>
      </c>
      <c r="O448" t="b">
        <f t="shared" ca="1" si="61"/>
        <v>0</v>
      </c>
      <c r="P448" s="2">
        <f ca="1"/>
        <v>44693</v>
      </c>
      <c r="Q448">
        <f ca="1"/>
        <v>138.18798778336827</v>
      </c>
      <c r="R448">
        <f ca="1"/>
        <v>0</v>
      </c>
      <c r="S448">
        <f ca="1"/>
        <v>1.736067532499772E-12</v>
      </c>
      <c r="T448">
        <f ca="1"/>
        <v>0.44114761621908605</v>
      </c>
      <c r="U448">
        <f ca="1"/>
        <v>0</v>
      </c>
      <c r="V448">
        <f ca="1"/>
        <v>0</v>
      </c>
      <c r="W448">
        <f ca="1"/>
        <v>0</v>
      </c>
      <c r="X448">
        <f ca="1"/>
        <v>0</v>
      </c>
      <c r="Y448">
        <f ca="1"/>
        <v>1</v>
      </c>
      <c r="Z448">
        <f ca="1"/>
        <v>1.9788298361560948</v>
      </c>
      <c r="AA448">
        <f ca="1"/>
        <v>0</v>
      </c>
      <c r="AB448">
        <f ca="1"/>
        <v>0</v>
      </c>
      <c r="AD448" s="2">
        <f t="shared" ca="1" si="62"/>
        <v>44693</v>
      </c>
      <c r="AE448" s="46">
        <f t="shared" ca="1" si="63"/>
        <v>0</v>
      </c>
      <c r="AG448" s="72">
        <f t="shared" ca="1" si="67"/>
        <v>138.18798778336827</v>
      </c>
      <c r="AH448" s="72">
        <f t="shared" ca="1" si="68"/>
        <v>138.18798778336827</v>
      </c>
      <c r="AI448" s="3">
        <f t="shared" ca="1" si="69"/>
        <v>0</v>
      </c>
    </row>
    <row r="449" spans="7:35" x14ac:dyDescent="0.25">
      <c r="G449" s="3">
        <f t="shared" si="64"/>
        <v>352</v>
      </c>
      <c r="H449" s="104">
        <f t="shared" si="66"/>
        <v>44547</v>
      </c>
      <c r="I449" s="131">
        <f>HLOOKUP($H$4,'Met Data'!$A$2:$F$368,G449,FALSE)</f>
        <v>17.153448275862001</v>
      </c>
      <c r="J449" s="131">
        <f ca="1">HLOOKUP($H$4,'Met Data'!$H$2:$M$368,G449,FALSE)*L449</f>
        <v>4.6827586206896497</v>
      </c>
      <c r="K449" s="105">
        <f>HLOOKUP($H$4,'Met Data'!$O$2:$T$368,G449,FALSE)</f>
        <v>4.0087446707632299</v>
      </c>
      <c r="L449">
        <f t="shared" ca="1" si="60"/>
        <v>1</v>
      </c>
      <c r="N449" t="b">
        <f t="shared" ca="1" si="65"/>
        <v>0</v>
      </c>
      <c r="O449" t="b">
        <f t="shared" ca="1" si="61"/>
        <v>0</v>
      </c>
      <c r="P449" s="2">
        <f ca="1"/>
        <v>44694</v>
      </c>
      <c r="Q449">
        <f ca="1"/>
        <v>138.62614516767235</v>
      </c>
      <c r="R449">
        <f ca="1"/>
        <v>0</v>
      </c>
      <c r="S449">
        <f ca="1"/>
        <v>1.4382995003479566E-12</v>
      </c>
      <c r="T449">
        <f ca="1"/>
        <v>0.43815738430264134</v>
      </c>
      <c r="U449">
        <f ca="1"/>
        <v>0</v>
      </c>
      <c r="V449">
        <f ca="1"/>
        <v>0</v>
      </c>
      <c r="W449">
        <f ca="1"/>
        <v>0</v>
      </c>
      <c r="X449">
        <f ca="1"/>
        <v>0</v>
      </c>
      <c r="Y449">
        <f ca="1"/>
        <v>1</v>
      </c>
      <c r="Z449">
        <f ca="1"/>
        <v>1.6257506441505427</v>
      </c>
      <c r="AA449">
        <f ca="1"/>
        <v>0</v>
      </c>
      <c r="AB449">
        <f ca="1"/>
        <v>0</v>
      </c>
      <c r="AD449" s="2">
        <f t="shared" ca="1" si="62"/>
        <v>44694</v>
      </c>
      <c r="AE449" s="46">
        <f t="shared" ca="1" si="63"/>
        <v>0</v>
      </c>
      <c r="AG449" s="72">
        <f t="shared" ca="1" si="67"/>
        <v>138.62614516767235</v>
      </c>
      <c r="AH449" s="72">
        <f t="shared" ca="1" si="68"/>
        <v>138.62614516767235</v>
      </c>
      <c r="AI449" s="3">
        <f t="shared" ca="1" si="69"/>
        <v>0</v>
      </c>
    </row>
    <row r="450" spans="7:35" x14ac:dyDescent="0.25">
      <c r="G450" s="3">
        <f t="shared" si="64"/>
        <v>353</v>
      </c>
      <c r="H450" s="104">
        <f t="shared" si="66"/>
        <v>44548</v>
      </c>
      <c r="I450" s="131">
        <f>HLOOKUP($H$4,'Met Data'!$A$2:$F$368,G450,FALSE)</f>
        <v>16.853448275862</v>
      </c>
      <c r="J450" s="131">
        <f ca="1">HLOOKUP($H$4,'Met Data'!$H$2:$M$368,G450,FALSE)*L450</f>
        <v>4.4103448275861998</v>
      </c>
      <c r="K450" s="105">
        <f>HLOOKUP($H$4,'Met Data'!$O$2:$T$368,G450,FALSE)</f>
        <v>3.8624789224218001</v>
      </c>
      <c r="L450">
        <f t="shared" ca="1" si="60"/>
        <v>1</v>
      </c>
      <c r="N450" t="b">
        <f t="shared" ca="1" si="65"/>
        <v>0</v>
      </c>
      <c r="O450" t="b">
        <f t="shared" ca="1" si="61"/>
        <v>0</v>
      </c>
      <c r="P450" s="2">
        <f ca="1"/>
        <v>44695</v>
      </c>
      <c r="Q450">
        <f ca="1"/>
        <v>139.05197506083101</v>
      </c>
      <c r="R450">
        <f ca="1"/>
        <v>0</v>
      </c>
      <c r="S450">
        <f ca="1"/>
        <v>1.1711887772817011E-12</v>
      </c>
      <c r="T450">
        <f ca="1"/>
        <v>0.42582989315749437</v>
      </c>
      <c r="U450">
        <f ca="1"/>
        <v>0</v>
      </c>
      <c r="V450">
        <f ca="1"/>
        <v>0</v>
      </c>
      <c r="W450">
        <f ca="1"/>
        <v>0</v>
      </c>
      <c r="X450">
        <f ca="1"/>
        <v>0</v>
      </c>
      <c r="Y450">
        <f ca="1"/>
        <v>1</v>
      </c>
      <c r="Z450">
        <f ca="1"/>
        <v>1.2119786820522194</v>
      </c>
      <c r="AA450">
        <f ca="1"/>
        <v>0</v>
      </c>
      <c r="AB450">
        <f ca="1"/>
        <v>0</v>
      </c>
      <c r="AD450" s="2">
        <f t="shared" ca="1" si="62"/>
        <v>44695</v>
      </c>
      <c r="AE450" s="46">
        <f t="shared" ca="1" si="63"/>
        <v>0</v>
      </c>
      <c r="AG450" s="72">
        <f t="shared" ca="1" si="67"/>
        <v>139.05197506083101</v>
      </c>
      <c r="AH450" s="72">
        <f t="shared" ca="1" si="68"/>
        <v>139.05197506083101</v>
      </c>
      <c r="AI450" s="3">
        <f t="shared" ca="1" si="69"/>
        <v>0</v>
      </c>
    </row>
    <row r="451" spans="7:35" x14ac:dyDescent="0.25">
      <c r="G451" s="3">
        <f t="shared" si="64"/>
        <v>354</v>
      </c>
      <c r="H451" s="104">
        <f t="shared" si="66"/>
        <v>44549</v>
      </c>
      <c r="I451" s="131">
        <f>HLOOKUP($H$4,'Met Data'!$A$2:$F$368,G451,FALSE)</f>
        <v>17.030357142857099</v>
      </c>
      <c r="J451" s="131">
        <f ca="1">HLOOKUP($H$4,'Met Data'!$H$2:$M$368,G451,FALSE)*L451</f>
        <v>4.3285714285714203</v>
      </c>
      <c r="K451" s="105">
        <f>HLOOKUP($H$4,'Met Data'!$O$2:$T$368,G451,FALSE)</f>
        <v>4.1713118658622399</v>
      </c>
      <c r="L451">
        <f t="shared" ca="1" si="60"/>
        <v>1</v>
      </c>
      <c r="N451" t="b">
        <f t="shared" ca="1" si="65"/>
        <v>0</v>
      </c>
      <c r="O451" t="b">
        <f t="shared" ca="1" si="61"/>
        <v>0</v>
      </c>
      <c r="P451" s="2">
        <f ca="1"/>
        <v>44696</v>
      </c>
      <c r="Q451">
        <f ca="1"/>
        <v>139.47477165757897</v>
      </c>
      <c r="R451">
        <f ca="1"/>
        <v>0</v>
      </c>
      <c r="S451">
        <f ca="1"/>
        <v>9.7563472143302035E-13</v>
      </c>
      <c r="T451">
        <f ca="1"/>
        <v>0.42279659674699144</v>
      </c>
      <c r="U451">
        <f ca="1"/>
        <v>0</v>
      </c>
      <c r="V451">
        <f ca="1"/>
        <v>0</v>
      </c>
      <c r="W451">
        <f ca="1"/>
        <v>0</v>
      </c>
      <c r="X451">
        <f ca="1"/>
        <v>0</v>
      </c>
      <c r="Y451">
        <f ca="1"/>
        <v>1</v>
      </c>
      <c r="Z451">
        <f ca="1"/>
        <v>2.3369812874923213</v>
      </c>
      <c r="AA451">
        <f ca="1"/>
        <v>0</v>
      </c>
      <c r="AB451">
        <f ca="1"/>
        <v>0</v>
      </c>
      <c r="AD451" s="2">
        <f t="shared" ca="1" si="62"/>
        <v>44696</v>
      </c>
      <c r="AE451" s="46">
        <f t="shared" ca="1" si="63"/>
        <v>0</v>
      </c>
      <c r="AG451" s="72">
        <f t="shared" ca="1" si="67"/>
        <v>139.47477165757897</v>
      </c>
      <c r="AH451" s="72">
        <f t="shared" ca="1" si="68"/>
        <v>139.47477165757897</v>
      </c>
      <c r="AI451" s="3">
        <f t="shared" ca="1" si="69"/>
        <v>0</v>
      </c>
    </row>
    <row r="452" spans="7:35" x14ac:dyDescent="0.25">
      <c r="G452" s="3">
        <f t="shared" si="64"/>
        <v>355</v>
      </c>
      <c r="H452" s="104">
        <f t="shared" si="66"/>
        <v>44550</v>
      </c>
      <c r="I452" s="131">
        <f>HLOOKUP($H$4,'Met Data'!$A$2:$F$368,G452,FALSE)</f>
        <v>17.3086206896551</v>
      </c>
      <c r="J452" s="131">
        <f ca="1">HLOOKUP($H$4,'Met Data'!$H$2:$M$368,G452,FALSE)*L452</f>
        <v>1.38620689655172</v>
      </c>
      <c r="K452" s="105">
        <f>HLOOKUP($H$4,'Met Data'!$O$2:$T$368,G452,FALSE)</f>
        <v>4.2492728260034598</v>
      </c>
      <c r="L452">
        <f t="shared" ca="1" si="60"/>
        <v>1</v>
      </c>
      <c r="N452" t="b">
        <f t="shared" ca="1" si="65"/>
        <v>0</v>
      </c>
      <c r="O452" t="b">
        <f t="shared" ca="1" si="61"/>
        <v>0</v>
      </c>
      <c r="P452" s="2">
        <f ca="1"/>
        <v>44697</v>
      </c>
      <c r="Q452">
        <f ca="1"/>
        <v>139.89798543671114</v>
      </c>
      <c r="R452">
        <f ca="1"/>
        <v>0</v>
      </c>
      <c r="S452">
        <f ca="1"/>
        <v>8.1934759691254924E-13</v>
      </c>
      <c r="T452">
        <f ca="1"/>
        <v>0.42321377913132752</v>
      </c>
      <c r="U452">
        <f ca="1"/>
        <v>0</v>
      </c>
      <c r="V452">
        <f ca="1"/>
        <v>0</v>
      </c>
      <c r="W452">
        <f ca="1"/>
        <v>0</v>
      </c>
      <c r="X452">
        <f ca="1"/>
        <v>0</v>
      </c>
      <c r="Y452">
        <f ca="1"/>
        <v>1</v>
      </c>
      <c r="Z452">
        <f ca="1"/>
        <v>2.3412689420328974</v>
      </c>
      <c r="AA452">
        <f ca="1"/>
        <v>0</v>
      </c>
      <c r="AB452">
        <f ca="1"/>
        <v>0</v>
      </c>
      <c r="AD452" s="2">
        <f t="shared" ca="1" si="62"/>
        <v>44697</v>
      </c>
      <c r="AE452" s="46">
        <f t="shared" ca="1" si="63"/>
        <v>0</v>
      </c>
      <c r="AG452" s="72">
        <f t="shared" ca="1" si="67"/>
        <v>139.89798543671111</v>
      </c>
      <c r="AH452" s="72">
        <f t="shared" ca="1" si="68"/>
        <v>139.89798543671114</v>
      </c>
      <c r="AI452" s="3">
        <f t="shared" ca="1" si="69"/>
        <v>0</v>
      </c>
    </row>
    <row r="453" spans="7:35" x14ac:dyDescent="0.25">
      <c r="G453" s="3">
        <f t="shared" si="64"/>
        <v>356</v>
      </c>
      <c r="H453" s="104">
        <f t="shared" si="66"/>
        <v>44551</v>
      </c>
      <c r="I453" s="131">
        <f>HLOOKUP($H$4,'Met Data'!$A$2:$F$368,G453,FALSE)</f>
        <v>17.3086206896551</v>
      </c>
      <c r="J453" s="131">
        <f ca="1">HLOOKUP($H$4,'Met Data'!$H$2:$M$368,G453,FALSE)*L453</f>
        <v>3.66206896551724</v>
      </c>
      <c r="K453" s="105">
        <f>HLOOKUP($H$4,'Met Data'!$O$2:$T$368,G453,FALSE)</f>
        <v>3.9108587200843599</v>
      </c>
      <c r="L453">
        <f t="shared" ca="1" si="60"/>
        <v>1</v>
      </c>
      <c r="N453" t="b">
        <f t="shared" ca="1" si="65"/>
        <v>0</v>
      </c>
      <c r="O453" t="b">
        <f t="shared" ca="1" si="61"/>
        <v>0</v>
      </c>
      <c r="P453" s="2">
        <f ca="1"/>
        <v>44698</v>
      </c>
      <c r="Q453">
        <f ca="1"/>
        <v>140.30651477051165</v>
      </c>
      <c r="R453">
        <f ca="1"/>
        <v>0</v>
      </c>
      <c r="S453">
        <f ca="1"/>
        <v>6.6683358970746167E-13</v>
      </c>
      <c r="T453">
        <f ca="1"/>
        <v>0.40852933379986422</v>
      </c>
      <c r="U453">
        <f ca="1"/>
        <v>0</v>
      </c>
      <c r="V453">
        <f ca="1"/>
        <v>0</v>
      </c>
      <c r="W453">
        <f ca="1"/>
        <v>0</v>
      </c>
      <c r="X453">
        <f ca="1"/>
        <v>0</v>
      </c>
      <c r="Y453">
        <f ca="1"/>
        <v>1</v>
      </c>
      <c r="Z453">
        <f ca="1"/>
        <v>2.1851901968618677</v>
      </c>
      <c r="AA453">
        <f ca="1"/>
        <v>0</v>
      </c>
      <c r="AB453">
        <f ca="1"/>
        <v>0</v>
      </c>
      <c r="AD453" s="2">
        <f t="shared" ca="1" si="62"/>
        <v>44698</v>
      </c>
      <c r="AE453" s="46">
        <f t="shared" ca="1" si="63"/>
        <v>0</v>
      </c>
      <c r="AG453" s="72">
        <f t="shared" ca="1" si="67"/>
        <v>140.30651477051165</v>
      </c>
      <c r="AH453" s="72">
        <f t="shared" ca="1" si="68"/>
        <v>140.30651477051165</v>
      </c>
      <c r="AI453" s="3">
        <f t="shared" ca="1" si="69"/>
        <v>0</v>
      </c>
    </row>
    <row r="454" spans="7:35" x14ac:dyDescent="0.25">
      <c r="G454" s="3">
        <f t="shared" si="64"/>
        <v>357</v>
      </c>
      <c r="H454" s="104">
        <f t="shared" si="66"/>
        <v>44552</v>
      </c>
      <c r="I454" s="131">
        <f>HLOOKUP($H$4,'Met Data'!$A$2:$F$368,G454,FALSE)</f>
        <v>17.474137931034399</v>
      </c>
      <c r="J454" s="131">
        <f ca="1">HLOOKUP($H$4,'Met Data'!$H$2:$M$368,G454,FALSE)*L454</f>
        <v>1.82758620689655</v>
      </c>
      <c r="K454" s="105">
        <f>HLOOKUP($H$4,'Met Data'!$O$2:$T$368,G454,FALSE)</f>
        <v>4.3560784704810001</v>
      </c>
      <c r="L454">
        <f t="shared" ref="L454:L495" ca="1" si="70">IF(H454&lt;$B$31,$J$3,$J$4)</f>
        <v>1</v>
      </c>
      <c r="N454" t="b">
        <f t="shared" ca="1" si="65"/>
        <v>0</v>
      </c>
      <c r="O454" t="b">
        <f t="shared" ref="O454:O495" ca="1" si="71">AND(IF(P454&gt;($P$2-1),TRUE,FALSE),IF(P454&lt;($P$3+1),TRUE,FALSE))</f>
        <v>0</v>
      </c>
      <c r="P454" s="2">
        <f ca="1"/>
        <v>44699</v>
      </c>
      <c r="Q454">
        <f ca="1"/>
        <v>140.70998861372939</v>
      </c>
      <c r="R454">
        <f ca="1"/>
        <v>0</v>
      </c>
      <c r="S454">
        <f ca="1"/>
        <v>5.5660041881639903E-13</v>
      </c>
      <c r="T454">
        <f ca="1"/>
        <v>0.40347384321718172</v>
      </c>
      <c r="U454">
        <f ca="1"/>
        <v>0</v>
      </c>
      <c r="V454">
        <f ca="1"/>
        <v>0</v>
      </c>
      <c r="W454">
        <f ca="1"/>
        <v>0</v>
      </c>
      <c r="X454">
        <f ca="1"/>
        <v>0</v>
      </c>
      <c r="Y454">
        <f ca="1"/>
        <v>1</v>
      </c>
      <c r="Z454">
        <f ca="1"/>
        <v>2.032063936865498</v>
      </c>
      <c r="AA454">
        <f ca="1"/>
        <v>0</v>
      </c>
      <c r="AB454">
        <f ca="1"/>
        <v>0</v>
      </c>
      <c r="AD454" s="2">
        <f t="shared" ref="AD454:AD495" ca="1" si="72">IFERROR(P454,$AD$4)</f>
        <v>44699</v>
      </c>
      <c r="AE454" s="46">
        <f t="shared" ref="AE454:AE495" ca="1" si="73">IFERROR(U454,0)</f>
        <v>0</v>
      </c>
      <c r="AG454" s="72">
        <f t="shared" ca="1" si="67"/>
        <v>140.70998861372939</v>
      </c>
      <c r="AH454" s="72">
        <f t="shared" ca="1" si="68"/>
        <v>140.70998861372939</v>
      </c>
      <c r="AI454" s="3">
        <f t="shared" ca="1" si="69"/>
        <v>0</v>
      </c>
    </row>
    <row r="455" spans="7:35" x14ac:dyDescent="0.25">
      <c r="G455" s="3">
        <f t="shared" ref="G455:G495" si="74">H455-DATE(YEAR(H455),1,0)+1</f>
        <v>358</v>
      </c>
      <c r="H455" s="104">
        <f t="shared" si="66"/>
        <v>44553</v>
      </c>
      <c r="I455" s="131">
        <f>HLOOKUP($H$4,'Met Data'!$A$2:$F$368,G455,FALSE)</f>
        <v>17.091379310344799</v>
      </c>
      <c r="J455" s="131">
        <f ca="1">HLOOKUP($H$4,'Met Data'!$H$2:$M$368,G455,FALSE)*L455</f>
        <v>2.22413793103448</v>
      </c>
      <c r="K455" s="105">
        <f>HLOOKUP($H$4,'Met Data'!$O$2:$T$368,G455,FALSE)</f>
        <v>4.1386344294122503</v>
      </c>
      <c r="L455">
        <f t="shared" ca="1" si="70"/>
        <v>1</v>
      </c>
      <c r="N455" t="b">
        <f t="shared" ref="N455:N495" ca="1" si="75">IF(P455&lt;$P$3,TRUE,FALSE)</f>
        <v>0</v>
      </c>
      <c r="O455" t="b">
        <f t="shared" ca="1" si="71"/>
        <v>0</v>
      </c>
      <c r="P455" s="2">
        <f ca="1"/>
        <v>44700</v>
      </c>
      <c r="Q455">
        <f ca="1"/>
        <v>141.13111900992814</v>
      </c>
      <c r="R455">
        <f ca="1"/>
        <v>0</v>
      </c>
      <c r="S455">
        <f ca="1"/>
        <v>4.8681371364106591E-13</v>
      </c>
      <c r="T455">
        <f ca="1"/>
        <v>0.42113039619826553</v>
      </c>
      <c r="U455">
        <f ca="1"/>
        <v>0</v>
      </c>
      <c r="V455">
        <f ca="1"/>
        <v>0</v>
      </c>
      <c r="W455">
        <f ca="1"/>
        <v>0</v>
      </c>
      <c r="X455">
        <f ca="1"/>
        <v>0</v>
      </c>
      <c r="Y455">
        <f ca="1"/>
        <v>0.99689310333770564</v>
      </c>
      <c r="Z455">
        <f ca="1"/>
        <v>0</v>
      </c>
      <c r="AA455">
        <f ca="1"/>
        <v>0</v>
      </c>
      <c r="AB455">
        <f ca="1"/>
        <v>0</v>
      </c>
      <c r="AD455" s="2">
        <f t="shared" ca="1" si="72"/>
        <v>44700</v>
      </c>
      <c r="AE455" s="46">
        <f t="shared" ca="1" si="73"/>
        <v>0</v>
      </c>
      <c r="AG455" s="72">
        <f t="shared" ca="1" si="67"/>
        <v>141.13111900992814</v>
      </c>
      <c r="AH455" s="72">
        <f t="shared" ca="1" si="68"/>
        <v>141.13111900992814</v>
      </c>
      <c r="AI455" s="3">
        <f t="shared" ca="1" si="69"/>
        <v>0</v>
      </c>
    </row>
    <row r="456" spans="7:35" x14ac:dyDescent="0.25">
      <c r="G456" s="3">
        <f t="shared" si="74"/>
        <v>359</v>
      </c>
      <c r="H456" s="104">
        <f t="shared" ref="H456:H519" si="76">H455+1</f>
        <v>44554</v>
      </c>
      <c r="I456" s="131">
        <f>HLOOKUP($H$4,'Met Data'!$A$2:$F$368,G456,FALSE)</f>
        <v>17.2275862068965</v>
      </c>
      <c r="J456" s="131">
        <f ca="1">HLOOKUP($H$4,'Met Data'!$H$2:$M$368,G456,FALSE)*L456</f>
        <v>3.0655172413793101</v>
      </c>
      <c r="K456" s="105">
        <f>HLOOKUP($H$4,'Met Data'!$O$2:$T$368,G456,FALSE)</f>
        <v>3.7757934515094398</v>
      </c>
      <c r="L456">
        <f t="shared" ca="1" si="70"/>
        <v>1</v>
      </c>
      <c r="N456" t="b">
        <f t="shared" ca="1" si="75"/>
        <v>0</v>
      </c>
      <c r="O456" t="b">
        <f t="shared" ca="1" si="71"/>
        <v>0</v>
      </c>
      <c r="P456" s="2">
        <f ca="1"/>
        <v>44701</v>
      </c>
      <c r="Q456">
        <f ca="1"/>
        <v>141.5504686799955</v>
      </c>
      <c r="R456">
        <f ca="1"/>
        <v>0</v>
      </c>
      <c r="S456">
        <f ca="1"/>
        <v>4.0878239170229427E-13</v>
      </c>
      <c r="T456">
        <f ca="1"/>
        <v>0.41934967006693774</v>
      </c>
      <c r="U456">
        <f ca="1"/>
        <v>0</v>
      </c>
      <c r="V456">
        <f ca="1"/>
        <v>0</v>
      </c>
      <c r="W456">
        <f ca="1"/>
        <v>0</v>
      </c>
      <c r="X456">
        <f ca="1"/>
        <v>0</v>
      </c>
      <c r="Y456">
        <f ca="1"/>
        <v>1</v>
      </c>
      <c r="Z456">
        <f ca="1"/>
        <v>3.3911533706145605</v>
      </c>
      <c r="AA456">
        <f ca="1"/>
        <v>0</v>
      </c>
      <c r="AB456">
        <f ca="1"/>
        <v>0</v>
      </c>
      <c r="AD456" s="2">
        <f t="shared" ca="1" si="72"/>
        <v>44701</v>
      </c>
      <c r="AE456" s="46">
        <f t="shared" ca="1" si="73"/>
        <v>0</v>
      </c>
      <c r="AG456" s="72">
        <f t="shared" ca="1" si="67"/>
        <v>141.55046867999548</v>
      </c>
      <c r="AH456" s="72">
        <f t="shared" ca="1" si="68"/>
        <v>141.5504686799955</v>
      </c>
      <c r="AI456" s="3">
        <f t="shared" ca="1" si="69"/>
        <v>0</v>
      </c>
    </row>
    <row r="457" spans="7:35" x14ac:dyDescent="0.25">
      <c r="G457" s="3">
        <f t="shared" si="74"/>
        <v>360</v>
      </c>
      <c r="H457" s="104">
        <f t="shared" si="76"/>
        <v>44555</v>
      </c>
      <c r="I457" s="131">
        <f>HLOOKUP($H$4,'Met Data'!$A$2:$F$368,G457,FALSE)</f>
        <v>17.475862068965501</v>
      </c>
      <c r="J457" s="131">
        <f ca="1">HLOOKUP($H$4,'Met Data'!$H$2:$M$368,G457,FALSE)*L457</f>
        <v>4.4724137931034402</v>
      </c>
      <c r="K457" s="105">
        <f>HLOOKUP($H$4,'Met Data'!$O$2:$T$368,G457,FALSE)</f>
        <v>3.82075028631309</v>
      </c>
      <c r="L457">
        <f t="shared" ca="1" si="70"/>
        <v>1</v>
      </c>
      <c r="N457" t="b">
        <f t="shared" ca="1" si="75"/>
        <v>0</v>
      </c>
      <c r="O457" t="b">
        <f t="shared" ca="1" si="71"/>
        <v>0</v>
      </c>
      <c r="P457" s="2">
        <f ca="1"/>
        <v>44702</v>
      </c>
      <c r="Q457">
        <f ca="1"/>
        <v>141.98033160556594</v>
      </c>
      <c r="R457">
        <f ca="1"/>
        <v>0</v>
      </c>
      <c r="S457">
        <f ca="1"/>
        <v>3.5079242625068583E-13</v>
      </c>
      <c r="T457">
        <f ca="1"/>
        <v>0.42986292557008438</v>
      </c>
      <c r="U457">
        <f ca="1"/>
        <v>0</v>
      </c>
      <c r="V457">
        <f ca="1"/>
        <v>0</v>
      </c>
      <c r="W457">
        <f ca="1"/>
        <v>0</v>
      </c>
      <c r="X457">
        <f ca="1"/>
        <v>0</v>
      </c>
      <c r="Y457">
        <f ca="1"/>
        <v>1</v>
      </c>
      <c r="Z457">
        <f ca="1"/>
        <v>3.6573517089451997</v>
      </c>
      <c r="AA457">
        <f ca="1"/>
        <v>0</v>
      </c>
      <c r="AB457">
        <f ca="1"/>
        <v>0</v>
      </c>
      <c r="AD457" s="2">
        <f t="shared" ca="1" si="72"/>
        <v>44702</v>
      </c>
      <c r="AE457" s="46">
        <f t="shared" ca="1" si="73"/>
        <v>0</v>
      </c>
      <c r="AG457" s="72">
        <f t="shared" ca="1" si="67"/>
        <v>141.98033160556594</v>
      </c>
      <c r="AH457" s="72">
        <f t="shared" ca="1" si="68"/>
        <v>141.98033160556594</v>
      </c>
      <c r="AI457" s="3">
        <f t="shared" ca="1" si="69"/>
        <v>0</v>
      </c>
    </row>
    <row r="458" spans="7:35" x14ac:dyDescent="0.25">
      <c r="G458" s="3">
        <f t="shared" si="74"/>
        <v>361</v>
      </c>
      <c r="H458" s="104">
        <f t="shared" si="76"/>
        <v>44556</v>
      </c>
      <c r="I458" s="131">
        <f>HLOOKUP($H$4,'Met Data'!$A$2:$F$368,G458,FALSE)</f>
        <v>17.193103448275799</v>
      </c>
      <c r="J458" s="131">
        <f ca="1">HLOOKUP($H$4,'Met Data'!$H$2:$M$368,G458,FALSE)*L458</f>
        <v>1.2034482758620599</v>
      </c>
      <c r="K458" s="105">
        <f>HLOOKUP($H$4,'Met Data'!$O$2:$T$368,G458,FALSE)</f>
        <v>4.4822943456663404</v>
      </c>
      <c r="L458">
        <f t="shared" ca="1" si="70"/>
        <v>1</v>
      </c>
      <c r="N458" t="b">
        <f t="shared" ca="1" si="75"/>
        <v>0</v>
      </c>
      <c r="O458" t="b">
        <f t="shared" ca="1" si="71"/>
        <v>0</v>
      </c>
      <c r="P458" s="2">
        <f ca="1"/>
        <v>44703</v>
      </c>
      <c r="Q458">
        <f ca="1"/>
        <v>142.39090573210802</v>
      </c>
      <c r="R458">
        <f ca="1"/>
        <v>0</v>
      </c>
      <c r="S458">
        <f ca="1"/>
        <v>2.8223406749755467E-13</v>
      </c>
      <c r="T458">
        <f ca="1"/>
        <v>0.41057412654180919</v>
      </c>
      <c r="U458">
        <f ca="1"/>
        <v>0</v>
      </c>
      <c r="V458">
        <f ca="1"/>
        <v>0</v>
      </c>
      <c r="W458">
        <f ca="1"/>
        <v>0</v>
      </c>
      <c r="X458">
        <f ca="1"/>
        <v>0</v>
      </c>
      <c r="Y458">
        <f ca="1"/>
        <v>1</v>
      </c>
      <c r="Z458">
        <f ca="1"/>
        <v>3.3251396957355013</v>
      </c>
      <c r="AA458">
        <f ca="1"/>
        <v>0</v>
      </c>
      <c r="AB458">
        <f ca="1"/>
        <v>0</v>
      </c>
      <c r="AD458" s="2">
        <f t="shared" ca="1" si="72"/>
        <v>44703</v>
      </c>
      <c r="AE458" s="46">
        <f t="shared" ca="1" si="73"/>
        <v>0</v>
      </c>
      <c r="AG458" s="72">
        <f t="shared" ca="1" si="67"/>
        <v>142.39090573210802</v>
      </c>
      <c r="AH458" s="72">
        <f t="shared" ca="1" si="68"/>
        <v>142.39090573210802</v>
      </c>
      <c r="AI458" s="3">
        <f t="shared" ca="1" si="69"/>
        <v>0</v>
      </c>
    </row>
    <row r="459" spans="7:35" x14ac:dyDescent="0.25">
      <c r="G459" s="3">
        <f t="shared" si="74"/>
        <v>362</v>
      </c>
      <c r="H459" s="104">
        <f t="shared" si="76"/>
        <v>44557</v>
      </c>
      <c r="I459" s="131">
        <f>HLOOKUP($H$4,'Met Data'!$A$2:$F$368,G459,FALSE)</f>
        <v>17.263793103448201</v>
      </c>
      <c r="J459" s="131">
        <f ca="1">HLOOKUP($H$4,'Met Data'!$H$2:$M$368,G459,FALSE)*L459</f>
        <v>1.9379310344827501</v>
      </c>
      <c r="K459" s="105">
        <f>HLOOKUP($H$4,'Met Data'!$O$2:$T$368,G459,FALSE)</f>
        <v>4.2854150969519402</v>
      </c>
      <c r="L459">
        <f t="shared" ca="1" si="70"/>
        <v>1</v>
      </c>
      <c r="N459" t="b">
        <f t="shared" ca="1" si="75"/>
        <v>0</v>
      </c>
      <c r="O459" t="b">
        <f t="shared" ca="1" si="71"/>
        <v>0</v>
      </c>
      <c r="P459" s="2">
        <f ca="1"/>
        <v>44704</v>
      </c>
      <c r="Q459">
        <f ca="1"/>
        <v>142.79281853441026</v>
      </c>
      <c r="R459">
        <f ca="1"/>
        <v>0</v>
      </c>
      <c r="S459">
        <f ca="1"/>
        <v>2.3358033001134206E-13</v>
      </c>
      <c r="T459">
        <f ca="1"/>
        <v>0.40191280230202797</v>
      </c>
      <c r="U459">
        <f ca="1"/>
        <v>0</v>
      </c>
      <c r="V459">
        <f ca="1"/>
        <v>0</v>
      </c>
      <c r="W459">
        <f ca="1"/>
        <v>0</v>
      </c>
      <c r="X459">
        <f ca="1"/>
        <v>0</v>
      </c>
      <c r="Y459">
        <f ca="1"/>
        <v>1</v>
      </c>
      <c r="Z459">
        <f ca="1"/>
        <v>6.3600079202861934</v>
      </c>
      <c r="AA459">
        <f ca="1"/>
        <v>0</v>
      </c>
      <c r="AB459">
        <f ca="1"/>
        <v>0</v>
      </c>
      <c r="AD459" s="2">
        <f t="shared" ca="1" si="72"/>
        <v>44704</v>
      </c>
      <c r="AE459" s="46">
        <f t="shared" ca="1" si="73"/>
        <v>0</v>
      </c>
      <c r="AG459" s="72">
        <f t="shared" ref="AG459:AG495" ca="1" si="77">Q458+S459+T459+U459</f>
        <v>142.79281853441029</v>
      </c>
      <c r="AH459" s="72">
        <f t="shared" ref="AH459:AH495" ca="1" si="78">Q459+R459+X459</f>
        <v>142.79281853441026</v>
      </c>
      <c r="AI459" s="3">
        <f t="shared" ref="AI459:AI495" ca="1" si="79">AH459-AG459</f>
        <v>0</v>
      </c>
    </row>
    <row r="460" spans="7:35" x14ac:dyDescent="0.25">
      <c r="G460" s="3">
        <f t="shared" si="74"/>
        <v>363</v>
      </c>
      <c r="H460" s="104">
        <f t="shared" si="76"/>
        <v>44558</v>
      </c>
      <c r="I460" s="131">
        <f>HLOOKUP($H$4,'Met Data'!$A$2:$F$368,G460,FALSE)</f>
        <v>18.060344827586199</v>
      </c>
      <c r="J460" s="131">
        <f ca="1">HLOOKUP($H$4,'Met Data'!$H$2:$M$368,G460,FALSE)*L460</f>
        <v>0.81379310344827505</v>
      </c>
      <c r="K460" s="105">
        <f>HLOOKUP($H$4,'Met Data'!$O$2:$T$368,G460,FALSE)</f>
        <v>4.2768570571644897</v>
      </c>
      <c r="L460">
        <f t="shared" ca="1" si="70"/>
        <v>1</v>
      </c>
      <c r="N460" t="b">
        <f t="shared" ca="1" si="75"/>
        <v>0</v>
      </c>
      <c r="O460" t="b">
        <f t="shared" ca="1" si="71"/>
        <v>0</v>
      </c>
      <c r="P460" s="2">
        <f ca="1"/>
        <v>44705</v>
      </c>
      <c r="Q460">
        <f ca="1"/>
        <v>143.19213791480627</v>
      </c>
      <c r="R460">
        <f ca="1"/>
        <v>0</v>
      </c>
      <c r="S460">
        <f ca="1"/>
        <v>1.9648990347649345E-13</v>
      </c>
      <c r="T460">
        <f ca="1"/>
        <v>0.3993193803957939</v>
      </c>
      <c r="U460">
        <f ca="1"/>
        <v>0</v>
      </c>
      <c r="V460">
        <f ca="1"/>
        <v>0</v>
      </c>
      <c r="W460">
        <f ca="1"/>
        <v>0</v>
      </c>
      <c r="X460">
        <f ca="1"/>
        <v>0</v>
      </c>
      <c r="Y460">
        <f ca="1"/>
        <v>1</v>
      </c>
      <c r="Z460">
        <f ca="1"/>
        <v>3.8288114340229527</v>
      </c>
      <c r="AA460">
        <f ca="1"/>
        <v>0</v>
      </c>
      <c r="AB460">
        <f ca="1"/>
        <v>0</v>
      </c>
      <c r="AD460" s="2">
        <f t="shared" ca="1" si="72"/>
        <v>44705</v>
      </c>
      <c r="AE460" s="46">
        <f t="shared" ca="1" si="73"/>
        <v>0</v>
      </c>
      <c r="AG460" s="72">
        <f t="shared" ca="1" si="77"/>
        <v>143.19213791480624</v>
      </c>
      <c r="AH460" s="72">
        <f t="shared" ca="1" si="78"/>
        <v>143.19213791480627</v>
      </c>
      <c r="AI460" s="3">
        <f t="shared" ca="1" si="79"/>
        <v>0</v>
      </c>
    </row>
    <row r="461" spans="7:35" x14ac:dyDescent="0.25">
      <c r="G461" s="3">
        <f t="shared" si="74"/>
        <v>364</v>
      </c>
      <c r="H461" s="104">
        <f t="shared" si="76"/>
        <v>44559</v>
      </c>
      <c r="I461" s="131">
        <f>HLOOKUP($H$4,'Met Data'!$A$2:$F$368,G461,FALSE)</f>
        <v>18.386206896551698</v>
      </c>
      <c r="J461" s="131">
        <f ca="1">HLOOKUP($H$4,'Met Data'!$H$2:$M$368,G461,FALSE)*L461</f>
        <v>3.0068965517241302</v>
      </c>
      <c r="K461" s="105">
        <f>HLOOKUP($H$4,'Met Data'!$O$2:$T$368,G461,FALSE)</f>
        <v>4.2622812571545499</v>
      </c>
      <c r="L461">
        <f t="shared" ca="1" si="70"/>
        <v>1</v>
      </c>
      <c r="N461" t="b">
        <f t="shared" ca="1" si="75"/>
        <v>0</v>
      </c>
      <c r="O461" t="b">
        <f t="shared" ca="1" si="71"/>
        <v>0</v>
      </c>
      <c r="P461" s="2">
        <f ca="1"/>
        <v>44706</v>
      </c>
      <c r="Q461">
        <f ca="1"/>
        <v>143.60147272881972</v>
      </c>
      <c r="R461">
        <f ca="1"/>
        <v>0</v>
      </c>
      <c r="S461">
        <f ca="1"/>
        <v>1.700345505544988E-13</v>
      </c>
      <c r="T461">
        <f ca="1"/>
        <v>0.40933481401326877</v>
      </c>
      <c r="U461">
        <f ca="1"/>
        <v>0</v>
      </c>
      <c r="V461">
        <f ca="1"/>
        <v>0</v>
      </c>
      <c r="W461">
        <f ca="1"/>
        <v>0</v>
      </c>
      <c r="X461">
        <f ca="1"/>
        <v>0</v>
      </c>
      <c r="Y461">
        <f ca="1"/>
        <v>1</v>
      </c>
      <c r="Z461">
        <f ca="1"/>
        <v>4.4719561770488241</v>
      </c>
      <c r="AA461">
        <f ca="1"/>
        <v>0</v>
      </c>
      <c r="AB461">
        <f ca="1"/>
        <v>0</v>
      </c>
      <c r="AD461" s="2">
        <f t="shared" ca="1" si="72"/>
        <v>44706</v>
      </c>
      <c r="AE461" s="46">
        <f t="shared" ca="1" si="73"/>
        <v>0</v>
      </c>
      <c r="AG461" s="72">
        <f t="shared" ca="1" si="77"/>
        <v>143.60147272881972</v>
      </c>
      <c r="AH461" s="72">
        <f t="shared" ca="1" si="78"/>
        <v>143.60147272881972</v>
      </c>
      <c r="AI461" s="3">
        <f t="shared" ca="1" si="79"/>
        <v>0</v>
      </c>
    </row>
    <row r="462" spans="7:35" x14ac:dyDescent="0.25">
      <c r="G462" s="3">
        <f t="shared" si="74"/>
        <v>365</v>
      </c>
      <c r="H462" s="104">
        <f t="shared" si="76"/>
        <v>44560</v>
      </c>
      <c r="I462" s="131">
        <f>HLOOKUP($H$4,'Met Data'!$A$2:$F$368,G462,FALSE)</f>
        <v>18.156896551724099</v>
      </c>
      <c r="J462" s="131">
        <f ca="1">HLOOKUP($H$4,'Met Data'!$H$2:$M$368,G462,FALSE)*L462</f>
        <v>4.4172413793103402</v>
      </c>
      <c r="K462" s="105">
        <f>HLOOKUP($H$4,'Met Data'!$O$2:$T$368,G462,FALSE)</f>
        <v>3.8040621578745699</v>
      </c>
      <c r="L462">
        <f t="shared" ca="1" si="70"/>
        <v>1</v>
      </c>
      <c r="N462" t="b">
        <f t="shared" ca="1" si="75"/>
        <v>0</v>
      </c>
      <c r="O462" t="b">
        <f t="shared" ca="1" si="71"/>
        <v>0</v>
      </c>
      <c r="P462" s="2">
        <f ca="1"/>
        <v>44707</v>
      </c>
      <c r="Q462">
        <f ca="1"/>
        <v>144.02545000992711</v>
      </c>
      <c r="R462">
        <f ca="1"/>
        <v>0</v>
      </c>
      <c r="S462">
        <f ca="1"/>
        <v>1.4782716200040968E-13</v>
      </c>
      <c r="T462">
        <f ca="1"/>
        <v>0.42397728110726923</v>
      </c>
      <c r="U462">
        <f ca="1"/>
        <v>0</v>
      </c>
      <c r="V462">
        <f ca="1"/>
        <v>0</v>
      </c>
      <c r="W462">
        <f ca="1"/>
        <v>0</v>
      </c>
      <c r="X462">
        <f ca="1"/>
        <v>0</v>
      </c>
      <c r="Y462">
        <f ca="1"/>
        <v>1</v>
      </c>
      <c r="Z462">
        <f ca="1"/>
        <v>5.4574478820009773</v>
      </c>
      <c r="AA462">
        <f ca="1"/>
        <v>0</v>
      </c>
      <c r="AB462">
        <f ca="1"/>
        <v>0</v>
      </c>
      <c r="AD462" s="2">
        <f t="shared" ca="1" si="72"/>
        <v>44707</v>
      </c>
      <c r="AE462" s="46">
        <f t="shared" ca="1" si="73"/>
        <v>0</v>
      </c>
      <c r="AG462" s="72">
        <f t="shared" ca="1" si="77"/>
        <v>144.02545000992711</v>
      </c>
      <c r="AH462" s="72">
        <f t="shared" ca="1" si="78"/>
        <v>144.02545000992711</v>
      </c>
      <c r="AI462" s="3">
        <f t="shared" ca="1" si="79"/>
        <v>0</v>
      </c>
    </row>
    <row r="463" spans="7:35" x14ac:dyDescent="0.25">
      <c r="G463" s="3">
        <f t="shared" si="74"/>
        <v>366</v>
      </c>
      <c r="H463" s="104">
        <f t="shared" si="76"/>
        <v>44561</v>
      </c>
      <c r="I463" s="131">
        <f>HLOOKUP($H$4,'Met Data'!$A$2:$F$368,G463,FALSE)</f>
        <v>17.8086206896551</v>
      </c>
      <c r="J463" s="131">
        <f ca="1">HLOOKUP($H$4,'Met Data'!$H$2:$M$368,G463,FALSE)*L463</f>
        <v>8.7896551724137897</v>
      </c>
      <c r="K463" s="105">
        <f>HLOOKUP($H$4,'Met Data'!$O$2:$T$368,G463,FALSE)</f>
        <v>3.8298931146257198</v>
      </c>
      <c r="L463">
        <f t="shared" ca="1" si="70"/>
        <v>1</v>
      </c>
      <c r="N463" t="b">
        <f t="shared" ca="1" si="75"/>
        <v>0</v>
      </c>
      <c r="O463" t="b">
        <f t="shared" ca="1" si="71"/>
        <v>0</v>
      </c>
      <c r="P463" s="2">
        <f ca="1"/>
        <v>44708</v>
      </c>
      <c r="Q463">
        <f ca="1"/>
        <v>144.4268067538795</v>
      </c>
      <c r="R463">
        <f ca="1"/>
        <v>0</v>
      </c>
      <c r="S463">
        <f ca="1"/>
        <v>1.1825064842933462E-13</v>
      </c>
      <c r="T463">
        <f ca="1"/>
        <v>0.40135674395227777</v>
      </c>
      <c r="U463">
        <f ca="1"/>
        <v>0</v>
      </c>
      <c r="V463">
        <f ca="1"/>
        <v>0</v>
      </c>
      <c r="W463">
        <f ca="1"/>
        <v>0</v>
      </c>
      <c r="X463">
        <f ca="1"/>
        <v>0</v>
      </c>
      <c r="Y463">
        <f ca="1"/>
        <v>1</v>
      </c>
      <c r="Z463">
        <f ca="1"/>
        <v>2.8269550753199724</v>
      </c>
      <c r="AA463">
        <f ca="1"/>
        <v>0</v>
      </c>
      <c r="AB463">
        <f ca="1"/>
        <v>0</v>
      </c>
      <c r="AD463" s="2">
        <f t="shared" ca="1" si="72"/>
        <v>44708</v>
      </c>
      <c r="AE463" s="46">
        <f t="shared" ca="1" si="73"/>
        <v>0</v>
      </c>
      <c r="AG463" s="72">
        <f t="shared" ca="1" si="77"/>
        <v>144.4268067538795</v>
      </c>
      <c r="AH463" s="72">
        <f t="shared" ca="1" si="78"/>
        <v>144.4268067538795</v>
      </c>
      <c r="AI463" s="3">
        <f t="shared" ca="1" si="79"/>
        <v>0</v>
      </c>
    </row>
    <row r="464" spans="7:35" x14ac:dyDescent="0.25">
      <c r="G464" s="3">
        <f t="shared" si="74"/>
        <v>2</v>
      </c>
      <c r="H464" s="104">
        <f t="shared" si="76"/>
        <v>44562</v>
      </c>
      <c r="I464" s="131">
        <f>HLOOKUP($H$4,'Met Data'!$A$2:$F$368,G464,FALSE)</f>
        <v>17.639655172413701</v>
      </c>
      <c r="J464" s="131">
        <f ca="1">HLOOKUP($H$4,'Met Data'!$H$2:$M$368,G464,FALSE)*L464</f>
        <v>2.9862068965517201</v>
      </c>
      <c r="K464" s="105">
        <f>HLOOKUP($H$4,'Met Data'!$O$2:$T$368,G464,FALSE)</f>
        <v>4.7314305048111098</v>
      </c>
      <c r="L464">
        <f t="shared" ca="1" si="70"/>
        <v>1</v>
      </c>
      <c r="N464" t="b">
        <f t="shared" ca="1" si="75"/>
        <v>0</v>
      </c>
      <c r="O464" t="b">
        <f t="shared" ca="1" si="71"/>
        <v>0</v>
      </c>
      <c r="P464" s="2">
        <f ca="1"/>
        <v>44709</v>
      </c>
      <c r="Q464">
        <f ca="1"/>
        <v>144.80257370235961</v>
      </c>
      <c r="R464">
        <f ca="1"/>
        <v>0</v>
      </c>
      <c r="S464">
        <f ca="1"/>
        <v>9.4362872609360063E-14</v>
      </c>
      <c r="T464">
        <f ca="1"/>
        <v>0.37576694848002623</v>
      </c>
      <c r="U464">
        <f ca="1"/>
        <v>0</v>
      </c>
      <c r="V464">
        <f ca="1"/>
        <v>0</v>
      </c>
      <c r="W464">
        <f ca="1"/>
        <v>0</v>
      </c>
      <c r="X464">
        <f ca="1"/>
        <v>0</v>
      </c>
      <c r="Y464">
        <f ca="1"/>
        <v>1</v>
      </c>
      <c r="Z464">
        <f ca="1"/>
        <v>2.3249823549977293</v>
      </c>
      <c r="AA464">
        <f ca="1"/>
        <v>0</v>
      </c>
      <c r="AB464">
        <f ca="1"/>
        <v>0</v>
      </c>
      <c r="AD464" s="2">
        <f t="shared" ca="1" si="72"/>
        <v>44709</v>
      </c>
      <c r="AE464" s="46">
        <f t="shared" ca="1" si="73"/>
        <v>0</v>
      </c>
      <c r="AG464" s="72">
        <f t="shared" ca="1" si="77"/>
        <v>144.80257370235961</v>
      </c>
      <c r="AH464" s="72">
        <f t="shared" ca="1" si="78"/>
        <v>144.80257370235961</v>
      </c>
      <c r="AI464" s="3">
        <f t="shared" ca="1" si="79"/>
        <v>0</v>
      </c>
    </row>
    <row r="465" spans="7:35" x14ac:dyDescent="0.25">
      <c r="G465" s="3">
        <f t="shared" si="74"/>
        <v>3</v>
      </c>
      <c r="H465" s="104">
        <f t="shared" si="76"/>
        <v>44563</v>
      </c>
      <c r="I465" s="131">
        <f>HLOOKUP($H$4,'Met Data'!$A$2:$F$368,G465,FALSE)</f>
        <v>18.013793103448201</v>
      </c>
      <c r="J465" s="131">
        <f ca="1">HLOOKUP($H$4,'Met Data'!$H$2:$M$368,G465,FALSE)*L465</f>
        <v>1.4517241379310299</v>
      </c>
      <c r="K465" s="105">
        <f>HLOOKUP($H$4,'Met Data'!$O$2:$T$368,G465,FALSE)</f>
        <v>4.7184733001505199</v>
      </c>
      <c r="L465">
        <f t="shared" ca="1" si="70"/>
        <v>1</v>
      </c>
      <c r="N465" t="b">
        <f t="shared" ca="1" si="75"/>
        <v>0</v>
      </c>
      <c r="O465" t="b">
        <f t="shared" ca="1" si="71"/>
        <v>0</v>
      </c>
      <c r="P465" s="2">
        <f ca="1"/>
        <v>44710</v>
      </c>
      <c r="Q465">
        <f ca="1"/>
        <v>145.16580343349568</v>
      </c>
      <c r="R465">
        <f ca="1"/>
        <v>0</v>
      </c>
      <c r="S465">
        <f ca="1"/>
        <v>7.8212121646654167E-14</v>
      </c>
      <c r="T465">
        <f ca="1"/>
        <v>0.36322973113599416</v>
      </c>
      <c r="U465">
        <f ca="1"/>
        <v>0</v>
      </c>
      <c r="V465">
        <f ca="1"/>
        <v>0</v>
      </c>
      <c r="W465">
        <f ca="1"/>
        <v>0</v>
      </c>
      <c r="X465">
        <f ca="1"/>
        <v>0</v>
      </c>
      <c r="Y465">
        <f ca="1"/>
        <v>1</v>
      </c>
      <c r="Z465">
        <f ca="1"/>
        <v>3.5117886968939303</v>
      </c>
      <c r="AA465">
        <f ca="1"/>
        <v>0</v>
      </c>
      <c r="AB465">
        <f ca="1"/>
        <v>0</v>
      </c>
      <c r="AD465" s="2">
        <f t="shared" ca="1" si="72"/>
        <v>44710</v>
      </c>
      <c r="AE465" s="46">
        <f t="shared" ca="1" si="73"/>
        <v>0</v>
      </c>
      <c r="AG465" s="72">
        <f t="shared" ca="1" si="77"/>
        <v>145.16580343349568</v>
      </c>
      <c r="AH465" s="72">
        <f t="shared" ca="1" si="78"/>
        <v>145.16580343349568</v>
      </c>
      <c r="AI465" s="3">
        <f t="shared" ca="1" si="79"/>
        <v>0</v>
      </c>
    </row>
    <row r="466" spans="7:35" x14ac:dyDescent="0.25">
      <c r="G466" s="3">
        <f t="shared" si="74"/>
        <v>4</v>
      </c>
      <c r="H466" s="104">
        <f t="shared" si="76"/>
        <v>44564</v>
      </c>
      <c r="I466" s="131">
        <f>HLOOKUP($H$4,'Met Data'!$A$2:$F$368,G466,FALSE)</f>
        <v>17.827586206896498</v>
      </c>
      <c r="J466" s="131">
        <f ca="1">HLOOKUP($H$4,'Met Data'!$H$2:$M$368,G466,FALSE)*L466</f>
        <v>1.27241379310344</v>
      </c>
      <c r="K466" s="105">
        <f>HLOOKUP($H$4,'Met Data'!$O$2:$T$368,G466,FALSE)</f>
        <v>4.5153833563593304</v>
      </c>
      <c r="L466">
        <f t="shared" ca="1" si="70"/>
        <v>1</v>
      </c>
      <c r="N466" t="b">
        <f t="shared" ca="1" si="75"/>
        <v>0</v>
      </c>
      <c r="O466" t="b">
        <f t="shared" ca="1" si="71"/>
        <v>0</v>
      </c>
      <c r="P466" s="2">
        <f ca="1"/>
        <v>44711</v>
      </c>
      <c r="Q466">
        <f ca="1"/>
        <v>145.53937194021688</v>
      </c>
      <c r="R466">
        <f ca="1"/>
        <v>0</v>
      </c>
      <c r="S466">
        <f ca="1"/>
        <v>6.8961288733732174E-14</v>
      </c>
      <c r="T466">
        <f ca="1"/>
        <v>0.37356850672112318</v>
      </c>
      <c r="U466">
        <f ca="1"/>
        <v>0</v>
      </c>
      <c r="V466">
        <f ca="1"/>
        <v>0</v>
      </c>
      <c r="W466">
        <f ca="1"/>
        <v>0</v>
      </c>
      <c r="X466">
        <f ca="1"/>
        <v>0</v>
      </c>
      <c r="Y466">
        <f ca="1"/>
        <v>1</v>
      </c>
      <c r="Z466">
        <f ca="1"/>
        <v>4.0741996988564608</v>
      </c>
      <c r="AA466">
        <f ca="1"/>
        <v>0</v>
      </c>
      <c r="AB466">
        <f ca="1"/>
        <v>0</v>
      </c>
      <c r="AD466" s="2">
        <f t="shared" ca="1" si="72"/>
        <v>44711</v>
      </c>
      <c r="AE466" s="46">
        <f t="shared" ca="1" si="73"/>
        <v>0</v>
      </c>
      <c r="AG466" s="72">
        <f t="shared" ca="1" si="77"/>
        <v>145.53937194021685</v>
      </c>
      <c r="AH466" s="72">
        <f t="shared" ca="1" si="78"/>
        <v>145.53937194021688</v>
      </c>
      <c r="AI466" s="3">
        <f t="shared" ca="1" si="79"/>
        <v>0</v>
      </c>
    </row>
    <row r="467" spans="7:35" x14ac:dyDescent="0.25">
      <c r="G467" s="3">
        <f t="shared" si="74"/>
        <v>5</v>
      </c>
      <c r="H467" s="104">
        <f t="shared" si="76"/>
        <v>44565</v>
      </c>
      <c r="I467" s="131">
        <f>HLOOKUP($H$4,'Met Data'!$A$2:$F$368,G467,FALSE)</f>
        <v>18.068965517241299</v>
      </c>
      <c r="J467" s="131">
        <f ca="1">HLOOKUP($H$4,'Met Data'!$H$2:$M$368,G467,FALSE)*L467</f>
        <v>1.3206896551724101</v>
      </c>
      <c r="K467" s="105">
        <f>HLOOKUP($H$4,'Met Data'!$O$2:$T$368,G467,FALSE)</f>
        <v>4.6266971172714904</v>
      </c>
      <c r="L467">
        <f t="shared" ca="1" si="70"/>
        <v>1</v>
      </c>
      <c r="N467" t="b">
        <f t="shared" ca="1" si="75"/>
        <v>0</v>
      </c>
      <c r="O467" t="b">
        <f t="shared" ca="1" si="71"/>
        <v>0</v>
      </c>
      <c r="P467" s="2">
        <f ca="1"/>
        <v>44712</v>
      </c>
      <c r="Q467">
        <f ca="1"/>
        <v>145.90281860483876</v>
      </c>
      <c r="R467">
        <f ca="1"/>
        <v>0</v>
      </c>
      <c r="S467">
        <f ca="1"/>
        <v>5.754645504148692E-14</v>
      </c>
      <c r="T467">
        <f ca="1"/>
        <v>0.36344666462180952</v>
      </c>
      <c r="U467">
        <f ca="1"/>
        <v>0</v>
      </c>
      <c r="V467">
        <f ca="1"/>
        <v>0</v>
      </c>
      <c r="W467">
        <f ca="1"/>
        <v>0</v>
      </c>
      <c r="X467">
        <f ca="1"/>
        <v>0</v>
      </c>
      <c r="Y467">
        <f ca="1"/>
        <v>1</v>
      </c>
      <c r="Z467">
        <f ca="1"/>
        <v>4.2376404405262917</v>
      </c>
      <c r="AA467">
        <f ca="1"/>
        <v>0</v>
      </c>
      <c r="AB467">
        <f ca="1"/>
        <v>0</v>
      </c>
      <c r="AD467" s="2">
        <f t="shared" ca="1" si="72"/>
        <v>44712</v>
      </c>
      <c r="AE467" s="46">
        <f t="shared" ca="1" si="73"/>
        <v>0</v>
      </c>
      <c r="AG467" s="72">
        <f t="shared" ca="1" si="77"/>
        <v>145.90281860483876</v>
      </c>
      <c r="AH467" s="72">
        <f t="shared" ca="1" si="78"/>
        <v>145.90281860483876</v>
      </c>
      <c r="AI467" s="3">
        <f t="shared" ca="1" si="79"/>
        <v>0</v>
      </c>
    </row>
    <row r="468" spans="7:35" x14ac:dyDescent="0.25">
      <c r="G468" s="3">
        <f t="shared" si="74"/>
        <v>6</v>
      </c>
      <c r="H468" s="104">
        <f t="shared" si="76"/>
        <v>44566</v>
      </c>
      <c r="I468" s="131">
        <f>HLOOKUP($H$4,'Met Data'!$A$2:$F$368,G468,FALSE)</f>
        <v>17.658620689655098</v>
      </c>
      <c r="J468" s="131">
        <f ca="1">HLOOKUP($H$4,'Met Data'!$H$2:$M$368,G468,FALSE)*L468</f>
        <v>1.64137931034482</v>
      </c>
      <c r="K468" s="105">
        <f>HLOOKUP($H$4,'Met Data'!$O$2:$T$368,G468,FALSE)</f>
        <v>4.7524735832446101</v>
      </c>
      <c r="L468">
        <f t="shared" ca="1" si="70"/>
        <v>1</v>
      </c>
      <c r="N468" t="b">
        <f t="shared" ca="1" si="75"/>
        <v>0</v>
      </c>
      <c r="O468" t="b">
        <f t="shared" ca="1" si="71"/>
        <v>0</v>
      </c>
      <c r="P468" s="2">
        <f ca="1"/>
        <v>44713</v>
      </c>
      <c r="Q468">
        <f ca="1"/>
        <v>146.26729681045515</v>
      </c>
      <c r="R468">
        <f ca="1"/>
        <v>0</v>
      </c>
      <c r="S468">
        <f ca="1"/>
        <v>4.9578346183702673E-14</v>
      </c>
      <c r="T468">
        <f ca="1"/>
        <v>0.36447820561635824</v>
      </c>
      <c r="U468">
        <f ca="1"/>
        <v>0</v>
      </c>
      <c r="V468">
        <f ca="1"/>
        <v>0</v>
      </c>
      <c r="W468">
        <f ca="1"/>
        <v>0</v>
      </c>
      <c r="X468">
        <f ca="1"/>
        <v>0</v>
      </c>
      <c r="Y468">
        <f ca="1"/>
        <v>1</v>
      </c>
      <c r="Z468">
        <f ca="1"/>
        <v>2.8738966075927124</v>
      </c>
      <c r="AA468">
        <f ca="1"/>
        <v>0</v>
      </c>
      <c r="AB468">
        <f ca="1"/>
        <v>0</v>
      </c>
      <c r="AD468" s="2">
        <f t="shared" ca="1" si="72"/>
        <v>44713</v>
      </c>
      <c r="AE468" s="46">
        <f t="shared" ca="1" si="73"/>
        <v>0</v>
      </c>
      <c r="AG468" s="72">
        <f t="shared" ca="1" si="77"/>
        <v>146.26729681045518</v>
      </c>
      <c r="AH468" s="72">
        <f t="shared" ca="1" si="78"/>
        <v>146.26729681045515</v>
      </c>
      <c r="AI468" s="3">
        <f t="shared" ca="1" si="79"/>
        <v>0</v>
      </c>
    </row>
    <row r="469" spans="7:35" x14ac:dyDescent="0.25">
      <c r="G469" s="3">
        <f t="shared" si="74"/>
        <v>7</v>
      </c>
      <c r="H469" s="104">
        <f t="shared" si="76"/>
        <v>44567</v>
      </c>
      <c r="I469" s="131">
        <f>HLOOKUP($H$4,'Met Data'!$A$2:$F$368,G469,FALSE)</f>
        <v>17.7431034482758</v>
      </c>
      <c r="J469" s="131">
        <f ca="1">HLOOKUP($H$4,'Met Data'!$H$2:$M$368,G469,FALSE)*L469</f>
        <v>1.8206896551724101</v>
      </c>
      <c r="K469" s="105">
        <f>HLOOKUP($H$4,'Met Data'!$O$2:$T$368,G469,FALSE)</f>
        <v>4.5675277776113097</v>
      </c>
      <c r="L469">
        <f t="shared" ca="1" si="70"/>
        <v>1</v>
      </c>
      <c r="N469" t="b">
        <f t="shared" ca="1" si="75"/>
        <v>0</v>
      </c>
      <c r="O469" t="b">
        <f t="shared" ca="1" si="71"/>
        <v>0</v>
      </c>
      <c r="P469" s="2">
        <f ca="1"/>
        <v>44714</v>
      </c>
      <c r="Q469">
        <f ca="1"/>
        <v>146.62663918105278</v>
      </c>
      <c r="R469">
        <f ca="1"/>
        <v>0</v>
      </c>
      <c r="S469">
        <f ca="1"/>
        <v>4.2029339376000514E-14</v>
      </c>
      <c r="T469">
        <f ca="1"/>
        <v>0.35934237059757429</v>
      </c>
      <c r="U469">
        <f ca="1"/>
        <v>0</v>
      </c>
      <c r="V469">
        <f ca="1"/>
        <v>0</v>
      </c>
      <c r="W469">
        <f ca="1"/>
        <v>0</v>
      </c>
      <c r="X469">
        <f ca="1"/>
        <v>0</v>
      </c>
      <c r="Y469">
        <f ca="1"/>
        <v>1</v>
      </c>
      <c r="Z469">
        <f ca="1"/>
        <v>3.8128294277752417</v>
      </c>
      <c r="AA469">
        <f ca="1"/>
        <v>0</v>
      </c>
      <c r="AB469">
        <f ca="1"/>
        <v>0</v>
      </c>
      <c r="AD469" s="2">
        <f t="shared" ca="1" si="72"/>
        <v>44714</v>
      </c>
      <c r="AE469" s="46">
        <f t="shared" ca="1" si="73"/>
        <v>0</v>
      </c>
      <c r="AG469" s="72">
        <f t="shared" ca="1" si="77"/>
        <v>146.62663918105275</v>
      </c>
      <c r="AH469" s="72">
        <f t="shared" ca="1" si="78"/>
        <v>146.62663918105278</v>
      </c>
      <c r="AI469" s="3">
        <f t="shared" ca="1" si="79"/>
        <v>0</v>
      </c>
    </row>
    <row r="470" spans="7:35" x14ac:dyDescent="0.25">
      <c r="G470" s="3">
        <f t="shared" si="74"/>
        <v>8</v>
      </c>
      <c r="H470" s="104">
        <f t="shared" si="76"/>
        <v>44568</v>
      </c>
      <c r="I470" s="131">
        <f>HLOOKUP($H$4,'Met Data'!$A$2:$F$368,G470,FALSE)</f>
        <v>18.181034482758601</v>
      </c>
      <c r="J470" s="131">
        <f ca="1">HLOOKUP($H$4,'Met Data'!$H$2:$M$368,G470,FALSE)*L470</f>
        <v>1.4896551724137901</v>
      </c>
      <c r="K470" s="105">
        <f>HLOOKUP($H$4,'Met Data'!$O$2:$T$368,G470,FALSE)</f>
        <v>4.0945523595888398</v>
      </c>
      <c r="L470">
        <f t="shared" ca="1" si="70"/>
        <v>1</v>
      </c>
      <c r="N470" t="b">
        <f t="shared" ca="1" si="75"/>
        <v>0</v>
      </c>
      <c r="O470" t="b">
        <f t="shared" ca="1" si="71"/>
        <v>0</v>
      </c>
      <c r="P470" s="2">
        <f ca="1"/>
        <v>44715</v>
      </c>
      <c r="Q470">
        <f ca="1"/>
        <v>146.96801666476449</v>
      </c>
      <c r="R470">
        <f ca="1"/>
        <v>0</v>
      </c>
      <c r="S470">
        <f ca="1"/>
        <v>3.4472762623667334E-14</v>
      </c>
      <c r="T470">
        <f ca="1"/>
        <v>0.3413774837116898</v>
      </c>
      <c r="U470">
        <f ca="1"/>
        <v>0</v>
      </c>
      <c r="V470">
        <f ca="1"/>
        <v>0</v>
      </c>
      <c r="W470">
        <f ca="1"/>
        <v>0</v>
      </c>
      <c r="X470">
        <f ca="1"/>
        <v>0</v>
      </c>
      <c r="Y470">
        <f ca="1"/>
        <v>1</v>
      </c>
      <c r="Z470">
        <f ca="1"/>
        <v>1.2925659807430492</v>
      </c>
      <c r="AA470">
        <f ca="1"/>
        <v>0</v>
      </c>
      <c r="AB470">
        <f ca="1"/>
        <v>0</v>
      </c>
      <c r="AD470" s="2">
        <f t="shared" ca="1" si="72"/>
        <v>44715</v>
      </c>
      <c r="AE470" s="46">
        <f t="shared" ca="1" si="73"/>
        <v>0</v>
      </c>
      <c r="AG470" s="72">
        <f t="shared" ca="1" si="77"/>
        <v>146.96801666476449</v>
      </c>
      <c r="AH470" s="72">
        <f t="shared" ca="1" si="78"/>
        <v>146.96801666476449</v>
      </c>
      <c r="AI470" s="3">
        <f t="shared" ca="1" si="79"/>
        <v>0</v>
      </c>
    </row>
    <row r="471" spans="7:35" x14ac:dyDescent="0.25">
      <c r="G471" s="3">
        <f t="shared" si="74"/>
        <v>9</v>
      </c>
      <c r="H471" s="104">
        <f t="shared" si="76"/>
        <v>44569</v>
      </c>
      <c r="I471" s="131">
        <f>HLOOKUP($H$4,'Met Data'!$A$2:$F$368,G471,FALSE)</f>
        <v>18.393103448275799</v>
      </c>
      <c r="J471" s="131">
        <f ca="1">HLOOKUP($H$4,'Met Data'!$H$2:$M$368,G471,FALSE)*L471</f>
        <v>2.69655172413793</v>
      </c>
      <c r="K471" s="105">
        <f>HLOOKUP($H$4,'Met Data'!$O$2:$T$368,G471,FALSE)</f>
        <v>4.0360392602952304</v>
      </c>
      <c r="L471">
        <f t="shared" ca="1" si="70"/>
        <v>1</v>
      </c>
      <c r="N471" t="b">
        <f t="shared" ca="1" si="75"/>
        <v>0</v>
      </c>
      <c r="O471" t="b">
        <f t="shared" ca="1" si="71"/>
        <v>0</v>
      </c>
      <c r="P471" s="2">
        <f ca="1"/>
        <v>44716</v>
      </c>
      <c r="Q471">
        <f ca="1"/>
        <v>147.31317956870726</v>
      </c>
      <c r="R471">
        <f ca="1"/>
        <v>0</v>
      </c>
      <c r="S471">
        <f ca="1"/>
        <v>3.0214400975821856E-14</v>
      </c>
      <c r="T471">
        <f ca="1"/>
        <v>0.34516290394273952</v>
      </c>
      <c r="U471">
        <f ca="1"/>
        <v>0</v>
      </c>
      <c r="V471">
        <f ca="1"/>
        <v>0</v>
      </c>
      <c r="W471">
        <f ca="1"/>
        <v>0</v>
      </c>
      <c r="X471">
        <f ca="1"/>
        <v>0</v>
      </c>
      <c r="Y471">
        <f ca="1"/>
        <v>1</v>
      </c>
      <c r="Z471">
        <f ca="1"/>
        <v>3.0354514425049928</v>
      </c>
      <c r="AA471">
        <f ca="1"/>
        <v>0</v>
      </c>
      <c r="AB471">
        <f ca="1"/>
        <v>0</v>
      </c>
      <c r="AD471" s="2">
        <f t="shared" ca="1" si="72"/>
        <v>44716</v>
      </c>
      <c r="AE471" s="46">
        <f t="shared" ca="1" si="73"/>
        <v>0</v>
      </c>
      <c r="AG471" s="72">
        <f t="shared" ca="1" si="77"/>
        <v>147.31317956870726</v>
      </c>
      <c r="AH471" s="72">
        <f t="shared" ca="1" si="78"/>
        <v>147.31317956870726</v>
      </c>
      <c r="AI471" s="3">
        <f t="shared" ca="1" si="79"/>
        <v>0</v>
      </c>
    </row>
    <row r="472" spans="7:35" x14ac:dyDescent="0.25">
      <c r="G472" s="3">
        <f t="shared" si="74"/>
        <v>10</v>
      </c>
      <c r="H472" s="104">
        <f t="shared" si="76"/>
        <v>44570</v>
      </c>
      <c r="I472" s="131">
        <f>HLOOKUP($H$4,'Met Data'!$A$2:$F$368,G472,FALSE)</f>
        <v>18.6103448275862</v>
      </c>
      <c r="J472" s="131">
        <f ca="1">HLOOKUP($H$4,'Met Data'!$H$2:$M$368,G472,FALSE)*L472</f>
        <v>3.0103448275861999</v>
      </c>
      <c r="K472" s="105">
        <f>HLOOKUP($H$4,'Met Data'!$O$2:$T$368,G472,FALSE)</f>
        <v>4.1608753956650997</v>
      </c>
      <c r="L472">
        <f t="shared" ca="1" si="70"/>
        <v>1</v>
      </c>
      <c r="N472" t="b">
        <f t="shared" ca="1" si="75"/>
        <v>0</v>
      </c>
      <c r="O472" t="b">
        <f t="shared" ca="1" si="71"/>
        <v>0</v>
      </c>
      <c r="P472" s="2">
        <f ca="1"/>
        <v>44717</v>
      </c>
      <c r="Q472">
        <f ca="1"/>
        <v>147.66253682065479</v>
      </c>
      <c r="R472">
        <f ca="1"/>
        <v>0</v>
      </c>
      <c r="S472">
        <f ca="1"/>
        <v>2.6463756862249665E-14</v>
      </c>
      <c r="T472">
        <f ca="1"/>
        <v>0.34935725194750145</v>
      </c>
      <c r="U472">
        <f ca="1"/>
        <v>0</v>
      </c>
      <c r="V472">
        <f ca="1"/>
        <v>0</v>
      </c>
      <c r="W472">
        <f ca="1"/>
        <v>0</v>
      </c>
      <c r="X472">
        <f ca="1"/>
        <v>0</v>
      </c>
      <c r="Y472">
        <f ca="1"/>
        <v>1</v>
      </c>
      <c r="Z472">
        <f ca="1"/>
        <v>2.0399880849679874</v>
      </c>
      <c r="AA472">
        <f ca="1"/>
        <v>0</v>
      </c>
      <c r="AB472">
        <f ca="1"/>
        <v>0</v>
      </c>
      <c r="AD472" s="2">
        <f t="shared" ca="1" si="72"/>
        <v>44717</v>
      </c>
      <c r="AE472" s="46">
        <f t="shared" ca="1" si="73"/>
        <v>0</v>
      </c>
      <c r="AG472" s="72">
        <f t="shared" ca="1" si="77"/>
        <v>147.66253682065479</v>
      </c>
      <c r="AH472" s="72">
        <f t="shared" ca="1" si="78"/>
        <v>147.66253682065479</v>
      </c>
      <c r="AI472" s="3">
        <f t="shared" ca="1" si="79"/>
        <v>0</v>
      </c>
    </row>
    <row r="473" spans="7:35" x14ac:dyDescent="0.25">
      <c r="G473" s="3">
        <f t="shared" si="74"/>
        <v>11</v>
      </c>
      <c r="H473" s="104">
        <f t="shared" si="76"/>
        <v>44571</v>
      </c>
      <c r="I473" s="131">
        <f>HLOOKUP($H$4,'Met Data'!$A$2:$F$368,G473,FALSE)</f>
        <v>18.453448275862002</v>
      </c>
      <c r="J473" s="131">
        <f ca="1">HLOOKUP($H$4,'Met Data'!$H$2:$M$368,G473,FALSE)*L473</f>
        <v>1.2689655172413701</v>
      </c>
      <c r="K473" s="105">
        <f>HLOOKUP($H$4,'Met Data'!$O$2:$T$368,G473,FALSE)</f>
        <v>4.5179186785714496</v>
      </c>
      <c r="L473">
        <f t="shared" ca="1" si="70"/>
        <v>1</v>
      </c>
      <c r="N473" t="b">
        <f t="shared" ca="1" si="75"/>
        <v>0</v>
      </c>
      <c r="O473" t="b">
        <f t="shared" ca="1" si="71"/>
        <v>0</v>
      </c>
      <c r="P473" s="2">
        <f ca="1"/>
        <v>44718</v>
      </c>
      <c r="Q473">
        <f ca="1"/>
        <v>148.00992911298835</v>
      </c>
      <c r="R473">
        <f ca="1"/>
        <v>0</v>
      </c>
      <c r="S473">
        <f ca="1"/>
        <v>2.2753301260316895E-14</v>
      </c>
      <c r="T473">
        <f ca="1"/>
        <v>0.34739229233353985</v>
      </c>
      <c r="U473">
        <f ca="1"/>
        <v>0</v>
      </c>
      <c r="V473">
        <f ca="1"/>
        <v>0</v>
      </c>
      <c r="W473">
        <f ca="1"/>
        <v>0</v>
      </c>
      <c r="X473">
        <f ca="1"/>
        <v>0</v>
      </c>
      <c r="Y473">
        <f ca="1"/>
        <v>1</v>
      </c>
      <c r="Z473">
        <f ca="1"/>
        <v>2.1549764906942386</v>
      </c>
      <c r="AA473">
        <f ca="1"/>
        <v>0</v>
      </c>
      <c r="AB473">
        <f ca="1"/>
        <v>0</v>
      </c>
      <c r="AD473" s="2">
        <f t="shared" ca="1" si="72"/>
        <v>44718</v>
      </c>
      <c r="AE473" s="46">
        <f t="shared" ca="1" si="73"/>
        <v>0</v>
      </c>
      <c r="AG473" s="72">
        <f t="shared" ca="1" si="77"/>
        <v>148.00992911298837</v>
      </c>
      <c r="AH473" s="72">
        <f t="shared" ca="1" si="78"/>
        <v>148.00992911298835</v>
      </c>
      <c r="AI473" s="3">
        <f t="shared" ca="1" si="79"/>
        <v>0</v>
      </c>
    </row>
    <row r="474" spans="7:35" x14ac:dyDescent="0.25">
      <c r="G474" s="3">
        <f t="shared" si="74"/>
        <v>12</v>
      </c>
      <c r="H474" s="104">
        <f t="shared" si="76"/>
        <v>44572</v>
      </c>
      <c r="I474" s="131">
        <f>HLOOKUP($H$4,'Met Data'!$A$2:$F$368,G474,FALSE)</f>
        <v>18.186206896551699</v>
      </c>
      <c r="J474" s="131">
        <f ca="1">HLOOKUP($H$4,'Met Data'!$H$2:$M$368,G474,FALSE)*L474</f>
        <v>1.3413793103448199</v>
      </c>
      <c r="K474" s="105">
        <f>HLOOKUP($H$4,'Met Data'!$O$2:$T$368,G474,FALSE)</f>
        <v>4.5303746944186001</v>
      </c>
      <c r="L474">
        <f t="shared" ca="1" si="70"/>
        <v>1</v>
      </c>
      <c r="N474" t="b">
        <f t="shared" ca="1" si="75"/>
        <v>0</v>
      </c>
      <c r="O474" t="b">
        <f t="shared" ca="1" si="71"/>
        <v>0</v>
      </c>
      <c r="P474" s="2">
        <f ca="1"/>
        <v>44719</v>
      </c>
      <c r="Q474">
        <f ca="1"/>
        <v>148.36098399866239</v>
      </c>
      <c r="R474">
        <f ca="1"/>
        <v>0</v>
      </c>
      <c r="S474">
        <f ca="1"/>
        <v>1.9879406498011139E-14</v>
      </c>
      <c r="T474">
        <f ca="1"/>
        <v>0.35105488567399673</v>
      </c>
      <c r="U474">
        <f ca="1"/>
        <v>0</v>
      </c>
      <c r="V474">
        <f ca="1"/>
        <v>0</v>
      </c>
      <c r="W474">
        <f ca="1"/>
        <v>0</v>
      </c>
      <c r="X474">
        <f ca="1"/>
        <v>0</v>
      </c>
      <c r="Y474">
        <f ca="1"/>
        <v>1</v>
      </c>
      <c r="Z474">
        <f ca="1"/>
        <v>1.7458837896239885</v>
      </c>
      <c r="AA474">
        <f ca="1"/>
        <v>0</v>
      </c>
      <c r="AB474">
        <f ca="1"/>
        <v>0</v>
      </c>
      <c r="AD474" s="2">
        <f t="shared" ca="1" si="72"/>
        <v>44719</v>
      </c>
      <c r="AE474" s="46">
        <f t="shared" ca="1" si="73"/>
        <v>0</v>
      </c>
      <c r="AG474" s="72">
        <f t="shared" ca="1" si="77"/>
        <v>148.36098399866236</v>
      </c>
      <c r="AH474" s="72">
        <f t="shared" ca="1" si="78"/>
        <v>148.36098399866239</v>
      </c>
      <c r="AI474" s="3">
        <f t="shared" ca="1" si="79"/>
        <v>0</v>
      </c>
    </row>
    <row r="475" spans="7:35" x14ac:dyDescent="0.25">
      <c r="G475" s="3">
        <f t="shared" si="74"/>
        <v>13</v>
      </c>
      <c r="H475" s="104">
        <f t="shared" si="76"/>
        <v>44573</v>
      </c>
      <c r="I475" s="131">
        <f>HLOOKUP($H$4,'Met Data'!$A$2:$F$368,G475,FALSE)</f>
        <v>18.314999999999898</v>
      </c>
      <c r="J475" s="131">
        <f ca="1">HLOOKUP($H$4,'Met Data'!$H$2:$M$368,G475,FALSE)*L475</f>
        <v>0.95</v>
      </c>
      <c r="K475" s="105">
        <f>HLOOKUP($H$4,'Met Data'!$O$2:$T$368,G475,FALSE)</f>
        <v>4.1021279144140701</v>
      </c>
      <c r="L475">
        <f t="shared" ca="1" si="70"/>
        <v>1</v>
      </c>
      <c r="N475" t="b">
        <f t="shared" ca="1" si="75"/>
        <v>0</v>
      </c>
      <c r="O475" t="b">
        <f t="shared" ca="1" si="71"/>
        <v>0</v>
      </c>
      <c r="P475" s="2">
        <f ca="1"/>
        <v>44720</v>
      </c>
      <c r="Q475">
        <f ca="1"/>
        <v>148.72149630406275</v>
      </c>
      <c r="R475">
        <f ca="1"/>
        <v>0</v>
      </c>
      <c r="S475">
        <f ca="1"/>
        <v>1.7602076553492441E-14</v>
      </c>
      <c r="T475">
        <f ca="1"/>
        <v>0.36051230540036217</v>
      </c>
      <c r="U475">
        <f ca="1"/>
        <v>0</v>
      </c>
      <c r="V475">
        <f ca="1"/>
        <v>0</v>
      </c>
      <c r="W475">
        <f ca="1"/>
        <v>0</v>
      </c>
      <c r="X475">
        <f ca="1"/>
        <v>0</v>
      </c>
      <c r="Y475">
        <f ca="1"/>
        <v>1</v>
      </c>
      <c r="Z475">
        <f ca="1"/>
        <v>1.4248539259446318</v>
      </c>
      <c r="AA475">
        <f ca="1"/>
        <v>0</v>
      </c>
      <c r="AB475">
        <f ca="1"/>
        <v>0</v>
      </c>
      <c r="AD475" s="2">
        <f t="shared" ca="1" si="72"/>
        <v>44720</v>
      </c>
      <c r="AE475" s="46">
        <f t="shared" ca="1" si="73"/>
        <v>0</v>
      </c>
      <c r="AG475" s="72">
        <f t="shared" ca="1" si="77"/>
        <v>148.72149630406278</v>
      </c>
      <c r="AH475" s="72">
        <f t="shared" ca="1" si="78"/>
        <v>148.72149630406275</v>
      </c>
      <c r="AI475" s="3">
        <f t="shared" ca="1" si="79"/>
        <v>0</v>
      </c>
    </row>
    <row r="476" spans="7:35" x14ac:dyDescent="0.25">
      <c r="G476" s="3">
        <f t="shared" si="74"/>
        <v>14</v>
      </c>
      <c r="H476" s="104">
        <f t="shared" si="76"/>
        <v>44574</v>
      </c>
      <c r="I476" s="131">
        <f>HLOOKUP($H$4,'Met Data'!$A$2:$F$368,G476,FALSE)</f>
        <v>18.473333333333301</v>
      </c>
      <c r="J476" s="131">
        <f ca="1">HLOOKUP($H$4,'Met Data'!$H$2:$M$368,G476,FALSE)*L476</f>
        <v>3.7233333333333301</v>
      </c>
      <c r="K476" s="105">
        <f>HLOOKUP($H$4,'Met Data'!$O$2:$T$368,G476,FALSE)</f>
        <v>4.3613860913388498</v>
      </c>
      <c r="L476">
        <f t="shared" ca="1" si="70"/>
        <v>1</v>
      </c>
      <c r="N476" t="b">
        <f t="shared" ca="1" si="75"/>
        <v>0</v>
      </c>
      <c r="O476" t="b">
        <f t="shared" ca="1" si="71"/>
        <v>0</v>
      </c>
      <c r="P476" s="2">
        <f ca="1"/>
        <v>44721</v>
      </c>
      <c r="Q476">
        <f ca="1"/>
        <v>149.09537759272206</v>
      </c>
      <c r="R476">
        <f ca="1"/>
        <v>0</v>
      </c>
      <c r="S476">
        <f ca="1"/>
        <v>1.5657743564867368E-14</v>
      </c>
      <c r="T476">
        <f ca="1"/>
        <v>0.37388128865928388</v>
      </c>
      <c r="U476">
        <f ca="1"/>
        <v>0</v>
      </c>
      <c r="V476">
        <f ca="1"/>
        <v>0</v>
      </c>
      <c r="W476">
        <f ca="1"/>
        <v>0</v>
      </c>
      <c r="X476">
        <f ca="1"/>
        <v>0</v>
      </c>
      <c r="Y476">
        <f ca="1"/>
        <v>1</v>
      </c>
      <c r="Z476">
        <f ca="1"/>
        <v>3.8126277964546205</v>
      </c>
      <c r="AA476">
        <f ca="1"/>
        <v>0</v>
      </c>
      <c r="AB476">
        <f ca="1"/>
        <v>0</v>
      </c>
      <c r="AD476" s="2">
        <f t="shared" ca="1" si="72"/>
        <v>44721</v>
      </c>
      <c r="AE476" s="46">
        <f t="shared" ca="1" si="73"/>
        <v>0</v>
      </c>
      <c r="AG476" s="72">
        <f t="shared" ca="1" si="77"/>
        <v>149.09537759272206</v>
      </c>
      <c r="AH476" s="72">
        <f t="shared" ca="1" si="78"/>
        <v>149.09537759272206</v>
      </c>
      <c r="AI476" s="3">
        <f t="shared" ca="1" si="79"/>
        <v>0</v>
      </c>
    </row>
    <row r="477" spans="7:35" x14ac:dyDescent="0.25">
      <c r="G477" s="3">
        <f t="shared" si="74"/>
        <v>15</v>
      </c>
      <c r="H477" s="104">
        <f t="shared" si="76"/>
        <v>44575</v>
      </c>
      <c r="I477" s="131">
        <f>HLOOKUP($H$4,'Met Data'!$A$2:$F$368,G477,FALSE)</f>
        <v>18.684999999999999</v>
      </c>
      <c r="J477" s="131">
        <f ca="1">HLOOKUP($H$4,'Met Data'!$H$2:$M$368,G477,FALSE)*L477</f>
        <v>2.2466666666666599</v>
      </c>
      <c r="K477" s="105">
        <f>HLOOKUP($H$4,'Met Data'!$O$2:$T$368,G477,FALSE)</f>
        <v>4.5029029229169799</v>
      </c>
      <c r="L477">
        <f t="shared" ca="1" si="70"/>
        <v>1</v>
      </c>
      <c r="N477" t="b">
        <f t="shared" ca="1" si="75"/>
        <v>0</v>
      </c>
      <c r="O477" t="b">
        <f t="shared" ca="1" si="71"/>
        <v>0</v>
      </c>
      <c r="P477" s="2">
        <f ca="1"/>
        <v>44722</v>
      </c>
      <c r="Q477">
        <f ca="1"/>
        <v>149.4697725656506</v>
      </c>
      <c r="R477">
        <f ca="1"/>
        <v>0</v>
      </c>
      <c r="S477">
        <f ca="1"/>
        <v>1.3413464963151345E-14</v>
      </c>
      <c r="T477">
        <f ca="1"/>
        <v>0.37439497292854218</v>
      </c>
      <c r="U477">
        <f ca="1"/>
        <v>0</v>
      </c>
      <c r="V477">
        <f ca="1"/>
        <v>0</v>
      </c>
      <c r="W477">
        <f ca="1"/>
        <v>0</v>
      </c>
      <c r="X477">
        <f ca="1"/>
        <v>0</v>
      </c>
      <c r="Y477">
        <f ca="1"/>
        <v>1</v>
      </c>
      <c r="Z477">
        <f ca="1"/>
        <v>5.886262792865864</v>
      </c>
      <c r="AA477">
        <f ca="1"/>
        <v>0</v>
      </c>
      <c r="AB477">
        <f ca="1"/>
        <v>0</v>
      </c>
      <c r="AD477" s="2">
        <f t="shared" ca="1" si="72"/>
        <v>44722</v>
      </c>
      <c r="AE477" s="46">
        <f t="shared" ca="1" si="73"/>
        <v>0</v>
      </c>
      <c r="AG477" s="72">
        <f t="shared" ca="1" si="77"/>
        <v>149.4697725656506</v>
      </c>
      <c r="AH477" s="72">
        <f t="shared" ca="1" si="78"/>
        <v>149.4697725656506</v>
      </c>
      <c r="AI477" s="3">
        <f t="shared" ca="1" si="79"/>
        <v>0</v>
      </c>
    </row>
    <row r="478" spans="7:35" x14ac:dyDescent="0.25">
      <c r="G478" s="3">
        <f t="shared" si="74"/>
        <v>16</v>
      </c>
      <c r="H478" s="104">
        <f t="shared" si="76"/>
        <v>44576</v>
      </c>
      <c r="I478" s="131">
        <f>HLOOKUP($H$4,'Met Data'!$A$2:$F$368,G478,FALSE)</f>
        <v>18.661666666666601</v>
      </c>
      <c r="J478" s="131">
        <f ca="1">HLOOKUP($H$4,'Met Data'!$H$2:$M$368,G478,FALSE)*L478</f>
        <v>1.3333333333333299</v>
      </c>
      <c r="K478" s="105">
        <f>HLOOKUP($H$4,'Met Data'!$O$2:$T$368,G478,FALSE)</f>
        <v>4.6368762557636201</v>
      </c>
      <c r="L478">
        <f t="shared" ca="1" si="70"/>
        <v>1</v>
      </c>
      <c r="N478" t="b">
        <f t="shared" ca="1" si="75"/>
        <v>0</v>
      </c>
      <c r="O478" t="b">
        <f t="shared" ca="1" si="71"/>
        <v>0</v>
      </c>
      <c r="P478" s="2">
        <f ca="1"/>
        <v>44723</v>
      </c>
      <c r="Q478">
        <f ca="1"/>
        <v>149.84611209421689</v>
      </c>
      <c r="R478">
        <f ca="1"/>
        <v>0</v>
      </c>
      <c r="S478">
        <f ca="1"/>
        <v>1.1528112303462664E-14</v>
      </c>
      <c r="T478">
        <f ca="1"/>
        <v>0.37633952856628472</v>
      </c>
      <c r="U478">
        <f ca="1"/>
        <v>0</v>
      </c>
      <c r="V478">
        <f ca="1"/>
        <v>0</v>
      </c>
      <c r="W478">
        <f ca="1"/>
        <v>0</v>
      </c>
      <c r="X478">
        <f ca="1"/>
        <v>0</v>
      </c>
      <c r="Y478">
        <f ca="1"/>
        <v>1</v>
      </c>
      <c r="Z478">
        <f ca="1"/>
        <v>3.535106808798858</v>
      </c>
      <c r="AA478">
        <f ca="1"/>
        <v>0</v>
      </c>
      <c r="AB478">
        <f ca="1"/>
        <v>0</v>
      </c>
      <c r="AD478" s="2">
        <f t="shared" ca="1" si="72"/>
        <v>44723</v>
      </c>
      <c r="AE478" s="46">
        <f t="shared" ca="1" si="73"/>
        <v>0</v>
      </c>
      <c r="AG478" s="72">
        <f t="shared" ca="1" si="77"/>
        <v>149.84611209421689</v>
      </c>
      <c r="AH478" s="72">
        <f t="shared" ca="1" si="78"/>
        <v>149.84611209421689</v>
      </c>
      <c r="AI478" s="3">
        <f t="shared" ca="1" si="79"/>
        <v>0</v>
      </c>
    </row>
    <row r="479" spans="7:35" x14ac:dyDescent="0.25">
      <c r="G479" s="3">
        <f t="shared" si="74"/>
        <v>17</v>
      </c>
      <c r="H479" s="104">
        <f t="shared" si="76"/>
        <v>44577</v>
      </c>
      <c r="I479" s="131">
        <f>HLOOKUP($H$4,'Met Data'!$A$2:$F$368,G479,FALSE)</f>
        <v>18.636666666666599</v>
      </c>
      <c r="J479" s="131">
        <f ca="1">HLOOKUP($H$4,'Met Data'!$H$2:$M$368,G479,FALSE)*L479</f>
        <v>3.0133333333333301</v>
      </c>
      <c r="K479" s="105">
        <f>HLOOKUP($H$4,'Met Data'!$O$2:$T$368,G479,FALSE)</f>
        <v>4.4386060395545801</v>
      </c>
      <c r="L479">
        <f t="shared" ca="1" si="70"/>
        <v>1</v>
      </c>
      <c r="N479" t="b">
        <f t="shared" ca="1" si="75"/>
        <v>0</v>
      </c>
      <c r="O479" t="b">
        <f t="shared" ca="1" si="71"/>
        <v>0</v>
      </c>
      <c r="P479" s="2">
        <f ca="1"/>
        <v>44724</v>
      </c>
      <c r="Q479">
        <f ca="1"/>
        <v>150.21646661578347</v>
      </c>
      <c r="R479">
        <f ca="1"/>
        <v>0</v>
      </c>
      <c r="S479">
        <f ca="1"/>
        <v>9.7110877169286902E-15</v>
      </c>
      <c r="T479">
        <f ca="1"/>
        <v>0.37035452156653448</v>
      </c>
      <c r="U479">
        <f ca="1"/>
        <v>0</v>
      </c>
      <c r="V479">
        <f ca="1"/>
        <v>0</v>
      </c>
      <c r="W479">
        <f ca="1"/>
        <v>0</v>
      </c>
      <c r="X479">
        <f ca="1"/>
        <v>0</v>
      </c>
      <c r="Y479">
        <f ca="1"/>
        <v>1</v>
      </c>
      <c r="Z479">
        <f ca="1"/>
        <v>2.8386679200156522</v>
      </c>
      <c r="AA479">
        <f ca="1"/>
        <v>0</v>
      </c>
      <c r="AB479">
        <f ca="1"/>
        <v>0</v>
      </c>
      <c r="AD479" s="2">
        <f t="shared" ca="1" si="72"/>
        <v>44724</v>
      </c>
      <c r="AE479" s="46">
        <f t="shared" ca="1" si="73"/>
        <v>0</v>
      </c>
      <c r="AG479" s="72">
        <f t="shared" ca="1" si="77"/>
        <v>150.21646661578342</v>
      </c>
      <c r="AH479" s="72">
        <f t="shared" ca="1" si="78"/>
        <v>150.21646661578347</v>
      </c>
      <c r="AI479" s="3">
        <f t="shared" ca="1" si="79"/>
        <v>0</v>
      </c>
    </row>
    <row r="480" spans="7:35" x14ac:dyDescent="0.25">
      <c r="G480" s="3">
        <f t="shared" si="74"/>
        <v>18</v>
      </c>
      <c r="H480" s="104">
        <f t="shared" si="76"/>
        <v>44578</v>
      </c>
      <c r="I480" s="131">
        <f>HLOOKUP($H$4,'Met Data'!$A$2:$F$368,G480,FALSE)</f>
        <v>18.4233333333333</v>
      </c>
      <c r="J480" s="131">
        <f ca="1">HLOOKUP($H$4,'Met Data'!$H$2:$M$368,G480,FALSE)*L480</f>
        <v>2.7833333333333301</v>
      </c>
      <c r="K480" s="105">
        <f>HLOOKUP($H$4,'Met Data'!$O$2:$T$368,G480,FALSE)</f>
        <v>4.10260332014568</v>
      </c>
      <c r="L480">
        <f t="shared" ca="1" si="70"/>
        <v>1</v>
      </c>
      <c r="N480" t="b">
        <f t="shared" ca="1" si="75"/>
        <v>0</v>
      </c>
      <c r="O480" t="b">
        <f t="shared" ca="1" si="71"/>
        <v>0</v>
      </c>
      <c r="P480" s="2">
        <f ca="1"/>
        <v>44725</v>
      </c>
      <c r="Q480">
        <f ca="1"/>
        <v>150.58022255066123</v>
      </c>
      <c r="R480">
        <f ca="1"/>
        <v>0</v>
      </c>
      <c r="S480">
        <f ca="1"/>
        <v>8.1848412377740385E-15</v>
      </c>
      <c r="T480">
        <f ca="1"/>
        <v>0.36375593487777164</v>
      </c>
      <c r="U480">
        <f ca="1"/>
        <v>0</v>
      </c>
      <c r="V480">
        <f ca="1"/>
        <v>0</v>
      </c>
      <c r="W480">
        <f ca="1"/>
        <v>0</v>
      </c>
      <c r="X480">
        <f ca="1"/>
        <v>0</v>
      </c>
      <c r="Y480">
        <f ca="1"/>
        <v>1</v>
      </c>
      <c r="Z480">
        <f ca="1"/>
        <v>2.1265795288742737</v>
      </c>
      <c r="AA480">
        <f ca="1"/>
        <v>0</v>
      </c>
      <c r="AB480">
        <f ca="1"/>
        <v>0</v>
      </c>
      <c r="AD480" s="2">
        <f t="shared" ca="1" si="72"/>
        <v>44725</v>
      </c>
      <c r="AE480" s="46">
        <f t="shared" ca="1" si="73"/>
        <v>0</v>
      </c>
      <c r="AG480" s="72">
        <f t="shared" ca="1" si="77"/>
        <v>150.58022255066123</v>
      </c>
      <c r="AH480" s="72">
        <f t="shared" ca="1" si="78"/>
        <v>150.58022255066123</v>
      </c>
      <c r="AI480" s="3">
        <f t="shared" ca="1" si="79"/>
        <v>0</v>
      </c>
    </row>
    <row r="481" spans="7:35" x14ac:dyDescent="0.25">
      <c r="G481" s="3">
        <f t="shared" si="74"/>
        <v>19</v>
      </c>
      <c r="H481" s="104">
        <f t="shared" si="76"/>
        <v>44579</v>
      </c>
      <c r="I481" s="131">
        <f>HLOOKUP($H$4,'Met Data'!$A$2:$F$368,G481,FALSE)</f>
        <v>18.466666666666601</v>
      </c>
      <c r="J481" s="131">
        <f ca="1">HLOOKUP($H$4,'Met Data'!$H$2:$M$368,G481,FALSE)*L481</f>
        <v>2.1566666666666601</v>
      </c>
      <c r="K481" s="105">
        <f>HLOOKUP($H$4,'Met Data'!$O$2:$T$368,G481,FALSE)</f>
        <v>4.3976375931712202</v>
      </c>
      <c r="L481">
        <f t="shared" ca="1" si="70"/>
        <v>1</v>
      </c>
      <c r="N481" t="b">
        <f t="shared" ca="1" si="75"/>
        <v>0</v>
      </c>
      <c r="O481" t="b">
        <f t="shared" ca="1" si="71"/>
        <v>0</v>
      </c>
      <c r="P481" s="2">
        <f ca="1"/>
        <v>44726</v>
      </c>
      <c r="Q481">
        <f ca="1"/>
        <v>150.92516843662025</v>
      </c>
      <c r="R481">
        <f ca="1"/>
        <v>0</v>
      </c>
      <c r="S481">
        <f ca="1"/>
        <v>6.6916755708412719E-15</v>
      </c>
      <c r="T481">
        <f ca="1"/>
        <v>0.34494588595899794</v>
      </c>
      <c r="U481">
        <f ca="1"/>
        <v>0</v>
      </c>
      <c r="V481">
        <f ca="1"/>
        <v>0</v>
      </c>
      <c r="W481">
        <f ca="1"/>
        <v>0</v>
      </c>
      <c r="X481">
        <f ca="1"/>
        <v>0</v>
      </c>
      <c r="Y481">
        <f ca="1"/>
        <v>1</v>
      </c>
      <c r="Z481">
        <f ca="1"/>
        <v>1.9520786116335529</v>
      </c>
      <c r="AA481">
        <f ca="1"/>
        <v>0</v>
      </c>
      <c r="AB481">
        <f ca="1"/>
        <v>0</v>
      </c>
      <c r="AD481" s="2">
        <f t="shared" ca="1" si="72"/>
        <v>44726</v>
      </c>
      <c r="AE481" s="46">
        <f t="shared" ca="1" si="73"/>
        <v>0</v>
      </c>
      <c r="AG481" s="72">
        <f t="shared" ca="1" si="77"/>
        <v>150.92516843662023</v>
      </c>
      <c r="AH481" s="72">
        <f t="shared" ca="1" si="78"/>
        <v>150.92516843662025</v>
      </c>
      <c r="AI481" s="3">
        <f t="shared" ca="1" si="79"/>
        <v>0</v>
      </c>
    </row>
    <row r="482" spans="7:35" x14ac:dyDescent="0.25">
      <c r="G482" s="3">
        <f t="shared" si="74"/>
        <v>20</v>
      </c>
      <c r="H482" s="104">
        <f t="shared" si="76"/>
        <v>44580</v>
      </c>
      <c r="I482" s="131">
        <f>HLOOKUP($H$4,'Met Data'!$A$2:$F$368,G482,FALSE)</f>
        <v>18.754999999999999</v>
      </c>
      <c r="J482" s="131">
        <f ca="1">HLOOKUP($H$4,'Met Data'!$H$2:$M$368,G482,FALSE)*L482</f>
        <v>2.2333333333333298</v>
      </c>
      <c r="K482" s="105">
        <f>HLOOKUP($H$4,'Met Data'!$O$2:$T$368,G482,FALSE)</f>
        <v>4.5811789756342201</v>
      </c>
      <c r="L482">
        <f t="shared" ca="1" si="70"/>
        <v>1</v>
      </c>
      <c r="N482" t="b">
        <f t="shared" ca="1" si="75"/>
        <v>0</v>
      </c>
      <c r="O482" t="b">
        <f t="shared" ca="1" si="71"/>
        <v>0</v>
      </c>
      <c r="P482" s="2">
        <f ca="1"/>
        <v>44727</v>
      </c>
      <c r="Q482">
        <f ca="1"/>
        <v>151.27212501726325</v>
      </c>
      <c r="R482">
        <f ca="1"/>
        <v>0</v>
      </c>
      <c r="S482">
        <f ca="1"/>
        <v>5.826993233697951E-15</v>
      </c>
      <c r="T482">
        <f ca="1"/>
        <v>0.34695658064301083</v>
      </c>
      <c r="U482">
        <f ca="1"/>
        <v>0</v>
      </c>
      <c r="V482">
        <f ca="1"/>
        <v>0</v>
      </c>
      <c r="W482">
        <f ca="1"/>
        <v>0</v>
      </c>
      <c r="X482">
        <f ca="1"/>
        <v>0</v>
      </c>
      <c r="Y482">
        <f ca="1"/>
        <v>1</v>
      </c>
      <c r="Z482">
        <f ca="1"/>
        <v>5.0924752060055738</v>
      </c>
      <c r="AA482">
        <f ca="1"/>
        <v>0</v>
      </c>
      <c r="AB482">
        <f ca="1"/>
        <v>0</v>
      </c>
      <c r="AD482" s="2">
        <f t="shared" ca="1" si="72"/>
        <v>44727</v>
      </c>
      <c r="AE482" s="46">
        <f t="shared" ca="1" si="73"/>
        <v>0</v>
      </c>
      <c r="AG482" s="72">
        <f t="shared" ca="1" si="77"/>
        <v>151.27212501726328</v>
      </c>
      <c r="AH482" s="72">
        <f t="shared" ca="1" si="78"/>
        <v>151.27212501726325</v>
      </c>
      <c r="AI482" s="3">
        <f t="shared" ca="1" si="79"/>
        <v>0</v>
      </c>
    </row>
    <row r="483" spans="7:35" x14ac:dyDescent="0.25">
      <c r="G483" s="3">
        <f t="shared" si="74"/>
        <v>21</v>
      </c>
      <c r="H483" s="104">
        <f t="shared" si="76"/>
        <v>44581</v>
      </c>
      <c r="I483" s="131">
        <f>HLOOKUP($H$4,'Met Data'!$A$2:$F$368,G483,FALSE)</f>
        <v>18.6933333333333</v>
      </c>
      <c r="J483" s="131">
        <f ca="1">HLOOKUP($H$4,'Met Data'!$H$2:$M$368,G483,FALSE)*L483</f>
        <v>1.02666666666666</v>
      </c>
      <c r="K483" s="105">
        <f>HLOOKUP($H$4,'Met Data'!$O$2:$T$368,G483,FALSE)</f>
        <v>4.23484882575071</v>
      </c>
      <c r="L483">
        <f t="shared" ca="1" si="70"/>
        <v>1</v>
      </c>
      <c r="N483" t="b">
        <f t="shared" ca="1" si="75"/>
        <v>0</v>
      </c>
      <c r="O483" t="b">
        <f t="shared" ca="1" si="71"/>
        <v>0</v>
      </c>
      <c r="P483" s="2">
        <f ca="1"/>
        <v>44728</v>
      </c>
      <c r="Q483">
        <f ca="1"/>
        <v>151.60078470859025</v>
      </c>
      <c r="R483">
        <f ca="1"/>
        <v>0</v>
      </c>
      <c r="S483">
        <f ca="1"/>
        <v>4.7860458103890075E-15</v>
      </c>
      <c r="T483">
        <f ca="1"/>
        <v>0.328659691327021</v>
      </c>
      <c r="U483">
        <f ca="1"/>
        <v>0</v>
      </c>
      <c r="V483">
        <f ca="1"/>
        <v>0</v>
      </c>
      <c r="W483">
        <f ca="1"/>
        <v>0</v>
      </c>
      <c r="X483">
        <f ca="1"/>
        <v>0</v>
      </c>
      <c r="Y483">
        <f ca="1"/>
        <v>1</v>
      </c>
      <c r="Z483">
        <f ca="1"/>
        <v>2.8917065829311781</v>
      </c>
      <c r="AA483">
        <f ca="1"/>
        <v>0</v>
      </c>
      <c r="AB483">
        <f ca="1"/>
        <v>0</v>
      </c>
      <c r="AD483" s="2">
        <f t="shared" ca="1" si="72"/>
        <v>44728</v>
      </c>
      <c r="AE483" s="46">
        <f t="shared" ca="1" si="73"/>
        <v>0</v>
      </c>
      <c r="AG483" s="72">
        <f t="shared" ca="1" si="77"/>
        <v>151.60078470859028</v>
      </c>
      <c r="AH483" s="72">
        <f t="shared" ca="1" si="78"/>
        <v>151.60078470859025</v>
      </c>
      <c r="AI483" s="3">
        <f t="shared" ca="1" si="79"/>
        <v>0</v>
      </c>
    </row>
    <row r="484" spans="7:35" x14ac:dyDescent="0.25">
      <c r="G484" s="3">
        <f t="shared" si="74"/>
        <v>22</v>
      </c>
      <c r="H484" s="104">
        <f t="shared" si="76"/>
        <v>44582</v>
      </c>
      <c r="I484" s="131">
        <f>HLOOKUP($H$4,'Met Data'!$A$2:$F$368,G484,FALSE)</f>
        <v>18.914999999999999</v>
      </c>
      <c r="J484" s="131">
        <f ca="1">HLOOKUP($H$4,'Met Data'!$H$2:$M$368,G484,FALSE)*L484</f>
        <v>8.4066666666666592</v>
      </c>
      <c r="K484" s="105">
        <f>HLOOKUP($H$4,'Met Data'!$O$2:$T$368,G484,FALSE)</f>
        <v>4.2358684276247196</v>
      </c>
      <c r="L484">
        <f t="shared" ca="1" si="70"/>
        <v>1</v>
      </c>
      <c r="N484" t="b">
        <f t="shared" ca="1" si="75"/>
        <v>0</v>
      </c>
      <c r="O484" t="b">
        <f t="shared" ca="1" si="71"/>
        <v>0</v>
      </c>
      <c r="P484" s="2">
        <f ca="1"/>
        <v>44729</v>
      </c>
      <c r="Q484">
        <f ca="1"/>
        <v>151.93173539207865</v>
      </c>
      <c r="R484">
        <f ca="1"/>
        <v>0</v>
      </c>
      <c r="S484">
        <f ca="1"/>
        <v>4.2022511408078667E-15</v>
      </c>
      <c r="T484">
        <f ca="1"/>
        <v>0.33095068348837497</v>
      </c>
      <c r="U484">
        <f ca="1"/>
        <v>0</v>
      </c>
      <c r="V484">
        <f ca="1"/>
        <v>0</v>
      </c>
      <c r="W484">
        <f ca="1"/>
        <v>0</v>
      </c>
      <c r="X484">
        <f ca="1"/>
        <v>0</v>
      </c>
      <c r="Y484">
        <f ca="1"/>
        <v>1</v>
      </c>
      <c r="Z484">
        <f ca="1"/>
        <v>3.3935156791244054</v>
      </c>
      <c r="AA484">
        <f ca="1"/>
        <v>0</v>
      </c>
      <c r="AB484">
        <f ca="1"/>
        <v>0</v>
      </c>
      <c r="AD484" s="2">
        <f t="shared" ca="1" si="72"/>
        <v>44729</v>
      </c>
      <c r="AE484" s="46">
        <f t="shared" ca="1" si="73"/>
        <v>0</v>
      </c>
      <c r="AG484" s="72">
        <f t="shared" ca="1" si="77"/>
        <v>151.93173539207862</v>
      </c>
      <c r="AH484" s="72">
        <f t="shared" ca="1" si="78"/>
        <v>151.93173539207865</v>
      </c>
      <c r="AI484" s="3">
        <f t="shared" ca="1" si="79"/>
        <v>0</v>
      </c>
    </row>
    <row r="485" spans="7:35" x14ac:dyDescent="0.25">
      <c r="G485" s="3">
        <f t="shared" si="74"/>
        <v>23</v>
      </c>
      <c r="H485" s="104">
        <f t="shared" si="76"/>
        <v>44583</v>
      </c>
      <c r="I485" s="131">
        <f>HLOOKUP($H$4,'Met Data'!$A$2:$F$368,G485,FALSE)</f>
        <v>19.0133333333333</v>
      </c>
      <c r="J485" s="131">
        <f ca="1">HLOOKUP($H$4,'Met Data'!$H$2:$M$368,G485,FALSE)*L485</f>
        <v>3.7366666666666601</v>
      </c>
      <c r="K485" s="105">
        <f>HLOOKUP($H$4,'Met Data'!$O$2:$T$368,G485,FALSE)</f>
        <v>4.0376213451036698</v>
      </c>
      <c r="L485">
        <f t="shared" ca="1" si="70"/>
        <v>1</v>
      </c>
      <c r="N485" t="b">
        <f t="shared" ca="1" si="75"/>
        <v>0</v>
      </c>
      <c r="O485" t="b">
        <f t="shared" ca="1" si="71"/>
        <v>0</v>
      </c>
      <c r="P485" s="2">
        <f ca="1"/>
        <v>44730</v>
      </c>
      <c r="Q485">
        <f ca="1"/>
        <v>152.27973863476612</v>
      </c>
      <c r="R485">
        <f ca="1"/>
        <v>0</v>
      </c>
      <c r="S485">
        <f ca="1"/>
        <v>3.8417024257595141E-15</v>
      </c>
      <c r="T485">
        <f ca="1"/>
        <v>0.34800324268746513</v>
      </c>
      <c r="U485">
        <f ca="1"/>
        <v>0</v>
      </c>
      <c r="V485">
        <f ca="1"/>
        <v>0</v>
      </c>
      <c r="W485">
        <f ca="1"/>
        <v>0</v>
      </c>
      <c r="X485">
        <f ca="1"/>
        <v>0</v>
      </c>
      <c r="Y485">
        <f ca="1"/>
        <v>1</v>
      </c>
      <c r="Z485">
        <f ca="1"/>
        <v>3.6185163900303792</v>
      </c>
      <c r="AA485">
        <f ca="1"/>
        <v>0</v>
      </c>
      <c r="AB485">
        <f ca="1"/>
        <v>0</v>
      </c>
      <c r="AD485" s="2">
        <f t="shared" ca="1" si="72"/>
        <v>44730</v>
      </c>
      <c r="AE485" s="46">
        <f t="shared" ca="1" si="73"/>
        <v>0</v>
      </c>
      <c r="AG485" s="72">
        <f t="shared" ca="1" si="77"/>
        <v>152.27973863476612</v>
      </c>
      <c r="AH485" s="72">
        <f t="shared" ca="1" si="78"/>
        <v>152.27973863476612</v>
      </c>
      <c r="AI485" s="3">
        <f t="shared" ca="1" si="79"/>
        <v>0</v>
      </c>
    </row>
    <row r="486" spans="7:35" x14ac:dyDescent="0.25">
      <c r="G486" s="3">
        <f t="shared" si="74"/>
        <v>24</v>
      </c>
      <c r="H486" s="104">
        <f t="shared" si="76"/>
        <v>44584</v>
      </c>
      <c r="I486" s="131">
        <f>HLOOKUP($H$4,'Met Data'!$A$2:$F$368,G486,FALSE)</f>
        <v>19.03</v>
      </c>
      <c r="J486" s="131">
        <f ca="1">HLOOKUP($H$4,'Met Data'!$H$2:$M$368,G486,FALSE)*L486</f>
        <v>2.4266666666666601</v>
      </c>
      <c r="K486" s="105">
        <f>HLOOKUP($H$4,'Met Data'!$O$2:$T$368,G486,FALSE)</f>
        <v>4.3725520099572401</v>
      </c>
      <c r="L486">
        <f t="shared" ca="1" si="70"/>
        <v>1</v>
      </c>
      <c r="N486" t="b">
        <f t="shared" ca="1" si="75"/>
        <v>0</v>
      </c>
      <c r="O486" t="b">
        <f t="shared" ca="1" si="71"/>
        <v>0</v>
      </c>
      <c r="P486" s="2">
        <f ca="1"/>
        <v>44731</v>
      </c>
      <c r="Q486">
        <f ca="1"/>
        <v>152.6162951005669</v>
      </c>
      <c r="R486">
        <f ca="1"/>
        <v>0</v>
      </c>
      <c r="S486">
        <f ca="1"/>
        <v>3.2183035340780965E-15</v>
      </c>
      <c r="T486">
        <f ca="1"/>
        <v>0.3365564658007868</v>
      </c>
      <c r="U486">
        <f ca="1"/>
        <v>0</v>
      </c>
      <c r="V486">
        <f ca="1"/>
        <v>0</v>
      </c>
      <c r="W486">
        <f ca="1"/>
        <v>0</v>
      </c>
      <c r="X486">
        <f ca="1"/>
        <v>0</v>
      </c>
      <c r="Y486">
        <f ca="1"/>
        <v>1</v>
      </c>
      <c r="Z486">
        <f ca="1"/>
        <v>2.9352850631103706</v>
      </c>
      <c r="AA486">
        <f ca="1"/>
        <v>0</v>
      </c>
      <c r="AB486">
        <f ca="1"/>
        <v>0</v>
      </c>
      <c r="AD486" s="2">
        <f t="shared" ca="1" si="72"/>
        <v>44731</v>
      </c>
      <c r="AE486" s="46">
        <f t="shared" ca="1" si="73"/>
        <v>0</v>
      </c>
      <c r="AG486" s="72">
        <f t="shared" ca="1" si="77"/>
        <v>152.6162951005669</v>
      </c>
      <c r="AH486" s="72">
        <f t="shared" ca="1" si="78"/>
        <v>152.6162951005669</v>
      </c>
      <c r="AI486" s="3">
        <f t="shared" ca="1" si="79"/>
        <v>0</v>
      </c>
    </row>
    <row r="487" spans="7:35" x14ac:dyDescent="0.25">
      <c r="G487" s="3">
        <f t="shared" si="74"/>
        <v>25</v>
      </c>
      <c r="H487" s="104">
        <f t="shared" si="76"/>
        <v>44585</v>
      </c>
      <c r="I487" s="131">
        <f>HLOOKUP($H$4,'Met Data'!$A$2:$F$368,G487,FALSE)</f>
        <v>19.07</v>
      </c>
      <c r="J487" s="131">
        <f ca="1">HLOOKUP($H$4,'Met Data'!$H$2:$M$368,G487,FALSE)*L487</f>
        <v>3.4166666666666599</v>
      </c>
      <c r="K487" s="105">
        <f>HLOOKUP($H$4,'Met Data'!$O$2:$T$368,G487,FALSE)</f>
        <v>4.19340465226154</v>
      </c>
      <c r="L487">
        <f t="shared" ca="1" si="70"/>
        <v>1</v>
      </c>
      <c r="N487" t="b">
        <f t="shared" ca="1" si="75"/>
        <v>0</v>
      </c>
      <c r="O487" t="b">
        <f t="shared" ca="1" si="71"/>
        <v>0</v>
      </c>
      <c r="P487" s="2">
        <f ca="1"/>
        <v>44732</v>
      </c>
      <c r="Q487">
        <f ca="1"/>
        <v>152.9581819886094</v>
      </c>
      <c r="R487">
        <f ca="1"/>
        <v>0</v>
      </c>
      <c r="S487">
        <f ca="1"/>
        <v>2.8395301297039577E-15</v>
      </c>
      <c r="T487">
        <f ca="1"/>
        <v>0.34188688804250833</v>
      </c>
      <c r="U487">
        <f ca="1"/>
        <v>0</v>
      </c>
      <c r="V487">
        <f ca="1"/>
        <v>0</v>
      </c>
      <c r="W487">
        <f ca="1"/>
        <v>0</v>
      </c>
      <c r="X487">
        <f ca="1"/>
        <v>0</v>
      </c>
      <c r="Y487">
        <f ca="1"/>
        <v>1</v>
      </c>
      <c r="Z487">
        <f ca="1"/>
        <v>4.6366178696521985</v>
      </c>
      <c r="AA487">
        <f ca="1"/>
        <v>0</v>
      </c>
      <c r="AB487">
        <f ca="1"/>
        <v>0</v>
      </c>
      <c r="AD487" s="2">
        <f t="shared" ca="1" si="72"/>
        <v>44732</v>
      </c>
      <c r="AE487" s="46">
        <f t="shared" ca="1" si="73"/>
        <v>0</v>
      </c>
      <c r="AG487" s="72">
        <f t="shared" ca="1" si="77"/>
        <v>152.9581819886094</v>
      </c>
      <c r="AH487" s="72">
        <f t="shared" ca="1" si="78"/>
        <v>152.9581819886094</v>
      </c>
      <c r="AI487" s="3">
        <f t="shared" ca="1" si="79"/>
        <v>0</v>
      </c>
    </row>
    <row r="488" spans="7:35" x14ac:dyDescent="0.25">
      <c r="G488" s="3">
        <f t="shared" si="74"/>
        <v>26</v>
      </c>
      <c r="H488" s="104">
        <f t="shared" si="76"/>
        <v>44586</v>
      </c>
      <c r="I488" s="131">
        <f>HLOOKUP($H$4,'Met Data'!$A$2:$F$368,G488,FALSE)</f>
        <v>19.3</v>
      </c>
      <c r="J488" s="131">
        <f ca="1">HLOOKUP($H$4,'Met Data'!$H$2:$M$368,G488,FALSE)*L488</f>
        <v>3.70333333333333</v>
      </c>
      <c r="K488" s="105">
        <f>HLOOKUP($H$4,'Met Data'!$O$2:$T$368,G488,FALSE)</f>
        <v>4.6119458181628401</v>
      </c>
      <c r="L488">
        <f t="shared" ca="1" si="70"/>
        <v>1</v>
      </c>
      <c r="N488" t="b">
        <f t="shared" ca="1" si="75"/>
        <v>0</v>
      </c>
      <c r="O488" t="b">
        <f t="shared" ca="1" si="71"/>
        <v>0</v>
      </c>
      <c r="P488" s="2">
        <f ca="1"/>
        <v>44733</v>
      </c>
      <c r="Q488">
        <f ca="1"/>
        <v>153.30370802838371</v>
      </c>
      <c r="R488">
        <f ca="1"/>
        <v>0</v>
      </c>
      <c r="S488">
        <f ca="1"/>
        <v>2.4871662038638837E-15</v>
      </c>
      <c r="T488">
        <f ca="1"/>
        <v>0.34552603977431851</v>
      </c>
      <c r="U488">
        <f ca="1"/>
        <v>0</v>
      </c>
      <c r="V488">
        <f ca="1"/>
        <v>0</v>
      </c>
      <c r="W488">
        <f ca="1"/>
        <v>0</v>
      </c>
      <c r="X488">
        <f ca="1"/>
        <v>0</v>
      </c>
      <c r="Y488">
        <f ca="1"/>
        <v>1</v>
      </c>
      <c r="Z488">
        <f ca="1"/>
        <v>0.910938976899061</v>
      </c>
      <c r="AA488">
        <f ca="1"/>
        <v>0</v>
      </c>
      <c r="AB488">
        <f ca="1"/>
        <v>0</v>
      </c>
      <c r="AD488" s="2">
        <f t="shared" ca="1" si="72"/>
        <v>44733</v>
      </c>
      <c r="AE488" s="46">
        <f t="shared" ca="1" si="73"/>
        <v>0</v>
      </c>
      <c r="AG488" s="72">
        <f t="shared" ca="1" si="77"/>
        <v>153.30370802838371</v>
      </c>
      <c r="AH488" s="72">
        <f t="shared" ca="1" si="78"/>
        <v>153.30370802838371</v>
      </c>
      <c r="AI488" s="3">
        <f t="shared" ca="1" si="79"/>
        <v>0</v>
      </c>
    </row>
    <row r="489" spans="7:35" x14ac:dyDescent="0.25">
      <c r="G489" s="3">
        <f t="shared" si="74"/>
        <v>27</v>
      </c>
      <c r="H489" s="104">
        <f t="shared" si="76"/>
        <v>44587</v>
      </c>
      <c r="I489" s="131">
        <f>HLOOKUP($H$4,'Met Data'!$A$2:$F$368,G489,FALSE)</f>
        <v>19.418333333333301</v>
      </c>
      <c r="J489" s="131">
        <f ca="1">HLOOKUP($H$4,'Met Data'!$H$2:$M$368,G489,FALSE)*L489</f>
        <v>1.2566666666666599</v>
      </c>
      <c r="K489" s="105">
        <f>HLOOKUP($H$4,'Met Data'!$O$2:$T$368,G489,FALSE)</f>
        <v>4.4486726941054897</v>
      </c>
      <c r="L489">
        <f t="shared" ca="1" si="70"/>
        <v>1</v>
      </c>
      <c r="N489" t="b">
        <f t="shared" ca="1" si="75"/>
        <v>0</v>
      </c>
      <c r="O489" t="b">
        <f t="shared" ca="1" si="71"/>
        <v>0</v>
      </c>
      <c r="P489" s="2">
        <f ca="1"/>
        <v>44734</v>
      </c>
      <c r="Q489">
        <f ca="1"/>
        <v>153.6381250896477</v>
      </c>
      <c r="R489">
        <f ca="1"/>
        <v>0</v>
      </c>
      <c r="S489">
        <f ca="1"/>
        <v>2.087030751623173E-15</v>
      </c>
      <c r="T489">
        <f ca="1"/>
        <v>0.33441706126396004</v>
      </c>
      <c r="U489">
        <f ca="1"/>
        <v>0</v>
      </c>
      <c r="V489">
        <f ca="1"/>
        <v>0</v>
      </c>
      <c r="W489">
        <f ca="1"/>
        <v>0</v>
      </c>
      <c r="X489">
        <f ca="1"/>
        <v>0</v>
      </c>
      <c r="Y489">
        <f ca="1"/>
        <v>1</v>
      </c>
      <c r="Z489">
        <f ca="1"/>
        <v>0.88626849670143315</v>
      </c>
      <c r="AA489">
        <f ca="1"/>
        <v>0</v>
      </c>
      <c r="AB489">
        <f ca="1"/>
        <v>0</v>
      </c>
      <c r="AD489" s="2">
        <f t="shared" ca="1" si="72"/>
        <v>44734</v>
      </c>
      <c r="AE489" s="46">
        <f t="shared" ca="1" si="73"/>
        <v>0</v>
      </c>
      <c r="AG489" s="72">
        <f t="shared" ca="1" si="77"/>
        <v>153.63812508964767</v>
      </c>
      <c r="AH489" s="72">
        <f t="shared" ca="1" si="78"/>
        <v>153.6381250896477</v>
      </c>
      <c r="AI489" s="3">
        <f t="shared" ca="1" si="79"/>
        <v>0</v>
      </c>
    </row>
    <row r="490" spans="7:35" x14ac:dyDescent="0.25">
      <c r="G490" s="3">
        <f t="shared" si="74"/>
        <v>28</v>
      </c>
      <c r="H490" s="104">
        <f t="shared" si="76"/>
        <v>44588</v>
      </c>
      <c r="I490" s="131">
        <f>HLOOKUP($H$4,'Met Data'!$A$2:$F$368,G490,FALSE)</f>
        <v>19.086666666666599</v>
      </c>
      <c r="J490" s="131">
        <f ca="1">HLOOKUP($H$4,'Met Data'!$H$2:$M$368,G490,FALSE)*L490</f>
        <v>2.65</v>
      </c>
      <c r="K490" s="105">
        <f>HLOOKUP($H$4,'Met Data'!$O$2:$T$368,G490,FALSE)</f>
        <v>4.6925683722845504</v>
      </c>
      <c r="L490">
        <f t="shared" ca="1" si="70"/>
        <v>1</v>
      </c>
      <c r="N490" t="b">
        <f t="shared" ca="1" si="75"/>
        <v>0</v>
      </c>
      <c r="O490" t="b">
        <f t="shared" ca="1" si="71"/>
        <v>0</v>
      </c>
      <c r="P490" s="2">
        <f ca="1"/>
        <v>44735</v>
      </c>
      <c r="Q490">
        <f ca="1"/>
        <v>153.96425644695728</v>
      </c>
      <c r="R490">
        <f ca="1"/>
        <v>0</v>
      </c>
      <c r="S490">
        <f ca="1"/>
        <v>1.7717242506682046E-15</v>
      </c>
      <c r="T490">
        <f ca="1"/>
        <v>0.32613135730960169</v>
      </c>
      <c r="U490">
        <f ca="1"/>
        <v>0</v>
      </c>
      <c r="V490">
        <f ca="1"/>
        <v>0</v>
      </c>
      <c r="W490">
        <f ca="1"/>
        <v>0</v>
      </c>
      <c r="X490">
        <f ca="1"/>
        <v>0</v>
      </c>
      <c r="Y490">
        <f ca="1"/>
        <v>1</v>
      </c>
      <c r="Z490">
        <f ca="1"/>
        <v>3.7000421070327576</v>
      </c>
      <c r="AA490">
        <f ca="1"/>
        <v>0</v>
      </c>
      <c r="AB490">
        <f ca="1"/>
        <v>0</v>
      </c>
      <c r="AD490" s="2">
        <f t="shared" ca="1" si="72"/>
        <v>44735</v>
      </c>
      <c r="AE490" s="46">
        <f t="shared" ca="1" si="73"/>
        <v>0</v>
      </c>
      <c r="AG490" s="72">
        <f t="shared" ca="1" si="77"/>
        <v>153.96425644695731</v>
      </c>
      <c r="AH490" s="72">
        <f t="shared" ca="1" si="78"/>
        <v>153.96425644695728</v>
      </c>
      <c r="AI490" s="3">
        <f t="shared" ca="1" si="79"/>
        <v>0</v>
      </c>
    </row>
    <row r="491" spans="7:35" x14ac:dyDescent="0.25">
      <c r="G491" s="3">
        <f t="shared" si="74"/>
        <v>29</v>
      </c>
      <c r="H491" s="104">
        <f t="shared" si="76"/>
        <v>44589</v>
      </c>
      <c r="I491" s="131">
        <f>HLOOKUP($H$4,'Met Data'!$A$2:$F$368,G491,FALSE)</f>
        <v>19.248333333333299</v>
      </c>
      <c r="J491" s="131">
        <f ca="1">HLOOKUP($H$4,'Met Data'!$H$2:$M$368,G491,FALSE)*L491</f>
        <v>1.81</v>
      </c>
      <c r="K491" s="105">
        <f>HLOOKUP($H$4,'Met Data'!$O$2:$T$368,G491,FALSE)</f>
        <v>4.8021312602016</v>
      </c>
      <c r="L491">
        <f t="shared" ca="1" si="70"/>
        <v>1</v>
      </c>
      <c r="N491" t="b">
        <f t="shared" ca="1" si="75"/>
        <v>0</v>
      </c>
      <c r="O491" t="b">
        <f t="shared" ca="1" si="71"/>
        <v>0</v>
      </c>
      <c r="P491" s="2">
        <f ca="1"/>
        <v>44736</v>
      </c>
      <c r="Q491">
        <f ca="1"/>
        <v>154.29399804016418</v>
      </c>
      <c r="R491">
        <f ca="1"/>
        <v>0</v>
      </c>
      <c r="S491">
        <f ca="1"/>
        <v>1.5635678701139179E-15</v>
      </c>
      <c r="T491">
        <f ca="1"/>
        <v>0.32974159320690566</v>
      </c>
      <c r="U491">
        <f ca="1"/>
        <v>0</v>
      </c>
      <c r="V491">
        <f ca="1"/>
        <v>0</v>
      </c>
      <c r="W491">
        <f ca="1"/>
        <v>0</v>
      </c>
      <c r="X491">
        <f ca="1"/>
        <v>0</v>
      </c>
      <c r="Y491">
        <f ca="1"/>
        <v>1</v>
      </c>
      <c r="Z491">
        <f ca="1"/>
        <v>5.2835566899925368</v>
      </c>
      <c r="AA491">
        <f ca="1"/>
        <v>0</v>
      </c>
      <c r="AB491">
        <f ca="1"/>
        <v>0</v>
      </c>
      <c r="AD491" s="2">
        <f t="shared" ca="1" si="72"/>
        <v>44736</v>
      </c>
      <c r="AE491" s="46">
        <f t="shared" ca="1" si="73"/>
        <v>0</v>
      </c>
      <c r="AG491" s="72">
        <f t="shared" ca="1" si="77"/>
        <v>154.29399804016418</v>
      </c>
      <c r="AH491" s="72">
        <f t="shared" ca="1" si="78"/>
        <v>154.29399804016418</v>
      </c>
      <c r="AI491" s="3">
        <f t="shared" ca="1" si="79"/>
        <v>0</v>
      </c>
    </row>
    <row r="492" spans="7:35" x14ac:dyDescent="0.25">
      <c r="G492" s="3">
        <f t="shared" si="74"/>
        <v>30</v>
      </c>
      <c r="H492" s="104">
        <f t="shared" si="76"/>
        <v>44590</v>
      </c>
      <c r="I492" s="131">
        <f>HLOOKUP($H$4,'Met Data'!$A$2:$F$368,G492,FALSE)</f>
        <v>19.486666666666601</v>
      </c>
      <c r="J492" s="131">
        <f ca="1">HLOOKUP($H$4,'Met Data'!$H$2:$M$368,G492,FALSE)*L492</f>
        <v>2.1066666666666598</v>
      </c>
      <c r="K492" s="105">
        <f>HLOOKUP($H$4,'Met Data'!$O$2:$T$368,G492,FALSE)</f>
        <v>4.81456570354226</v>
      </c>
      <c r="L492">
        <f t="shared" ca="1" si="70"/>
        <v>1</v>
      </c>
      <c r="N492" t="b">
        <f t="shared" ca="1" si="75"/>
        <v>0</v>
      </c>
      <c r="O492" t="b">
        <f t="shared" ca="1" si="71"/>
        <v>0</v>
      </c>
      <c r="P492" s="2">
        <f ca="1"/>
        <v>44737</v>
      </c>
      <c r="Q492">
        <f ca="1"/>
        <v>154.62919078207506</v>
      </c>
      <c r="R492">
        <f ca="1"/>
        <v>0</v>
      </c>
      <c r="S492">
        <f ca="1"/>
        <v>1.3847905135813327E-15</v>
      </c>
      <c r="T492">
        <f ca="1"/>
        <v>0.33519274191085519</v>
      </c>
      <c r="U492">
        <f ca="1"/>
        <v>0</v>
      </c>
      <c r="V492">
        <f ca="1"/>
        <v>0</v>
      </c>
      <c r="W492">
        <f ca="1"/>
        <v>0</v>
      </c>
      <c r="X492">
        <f ca="1"/>
        <v>0</v>
      </c>
      <c r="Y492">
        <f ca="1"/>
        <v>1</v>
      </c>
      <c r="Z492">
        <f ca="1"/>
        <v>7.426594985383602</v>
      </c>
      <c r="AA492">
        <f ca="1"/>
        <v>0</v>
      </c>
      <c r="AB492">
        <f ca="1"/>
        <v>0</v>
      </c>
      <c r="AD492" s="2">
        <f t="shared" ca="1" si="72"/>
        <v>44737</v>
      </c>
      <c r="AE492" s="46">
        <f t="shared" ca="1" si="73"/>
        <v>0</v>
      </c>
      <c r="AG492" s="72">
        <f t="shared" ca="1" si="77"/>
        <v>154.62919078207503</v>
      </c>
      <c r="AH492" s="72">
        <f t="shared" ca="1" si="78"/>
        <v>154.62919078207506</v>
      </c>
      <c r="AI492" s="3">
        <f t="shared" ca="1" si="79"/>
        <v>0</v>
      </c>
    </row>
    <row r="493" spans="7:35" x14ac:dyDescent="0.25">
      <c r="G493" s="3">
        <f t="shared" si="74"/>
        <v>31</v>
      </c>
      <c r="H493" s="104">
        <f t="shared" si="76"/>
        <v>44591</v>
      </c>
      <c r="I493" s="131">
        <f>HLOOKUP($H$4,'Met Data'!$A$2:$F$368,G493,FALSE)</f>
        <v>19.725000000000001</v>
      </c>
      <c r="J493" s="131">
        <f ca="1">HLOOKUP($H$4,'Met Data'!$H$2:$M$368,G493,FALSE)*L493</f>
        <v>3.1033333333333299</v>
      </c>
      <c r="K493" s="105">
        <f>HLOOKUP($H$4,'Met Data'!$O$2:$T$368,G493,FALSE)</f>
        <v>4.4640725934925003</v>
      </c>
      <c r="L493">
        <f t="shared" ca="1" si="70"/>
        <v>1</v>
      </c>
      <c r="N493" t="b">
        <f t="shared" ca="1" si="75"/>
        <v>0</v>
      </c>
      <c r="O493" t="b">
        <f t="shared" ca="1" si="71"/>
        <v>0</v>
      </c>
      <c r="P493" s="2">
        <f ca="1"/>
        <v>44738</v>
      </c>
      <c r="Q493">
        <f ca="1"/>
        <v>154.9526439757546</v>
      </c>
      <c r="R493">
        <f ca="1"/>
        <v>0</v>
      </c>
      <c r="S493">
        <f ca="1"/>
        <v>1.1630823397782332E-15</v>
      </c>
      <c r="T493">
        <f ca="1"/>
        <v>0.32345319367955644</v>
      </c>
      <c r="U493">
        <f ca="1"/>
        <v>0</v>
      </c>
      <c r="V493">
        <f ca="1"/>
        <v>0</v>
      </c>
      <c r="W493">
        <f ca="1"/>
        <v>0</v>
      </c>
      <c r="X493">
        <f ca="1"/>
        <v>0</v>
      </c>
      <c r="Y493">
        <f ca="1"/>
        <v>1</v>
      </c>
      <c r="Z493">
        <f ca="1"/>
        <v>2.4560773675205496</v>
      </c>
      <c r="AA493">
        <f ca="1"/>
        <v>0</v>
      </c>
      <c r="AB493">
        <f ca="1"/>
        <v>0</v>
      </c>
      <c r="AD493" s="2">
        <f t="shared" ca="1" si="72"/>
        <v>44738</v>
      </c>
      <c r="AE493" s="46">
        <f t="shared" ca="1" si="73"/>
        <v>0</v>
      </c>
      <c r="AG493" s="72">
        <f t="shared" ca="1" si="77"/>
        <v>154.95264397575463</v>
      </c>
      <c r="AH493" s="72">
        <f t="shared" ca="1" si="78"/>
        <v>154.9526439757546</v>
      </c>
      <c r="AI493" s="3">
        <f t="shared" ca="1" si="79"/>
        <v>0</v>
      </c>
    </row>
    <row r="494" spans="7:35" x14ac:dyDescent="0.25">
      <c r="G494" s="3">
        <f t="shared" si="74"/>
        <v>32</v>
      </c>
      <c r="H494" s="104">
        <f t="shared" si="76"/>
        <v>44592</v>
      </c>
      <c r="I494" s="131">
        <f>HLOOKUP($H$4,'Met Data'!$A$2:$F$368,G494,FALSE)</f>
        <v>19.670000000000002</v>
      </c>
      <c r="J494" s="131">
        <f ca="1">HLOOKUP($H$4,'Met Data'!$H$2:$M$368,G494,FALSE)*L494</f>
        <v>2.7466666666666599</v>
      </c>
      <c r="K494" s="105">
        <f>HLOOKUP($H$4,'Met Data'!$O$2:$T$368,G494,FALSE)</f>
        <v>4.1799437739427896</v>
      </c>
      <c r="L494">
        <f t="shared" ca="1" si="70"/>
        <v>1</v>
      </c>
      <c r="N494" t="b">
        <f t="shared" ca="1" si="75"/>
        <v>0</v>
      </c>
      <c r="O494" t="b">
        <f t="shared" ca="1" si="71"/>
        <v>0</v>
      </c>
      <c r="P494" s="2">
        <f ca="1"/>
        <v>44739</v>
      </c>
      <c r="Q494">
        <f ca="1"/>
        <v>155.27923178784008</v>
      </c>
      <c r="R494">
        <f ca="1"/>
        <v>0</v>
      </c>
      <c r="S494">
        <f ca="1"/>
        <v>1.0263224740814756E-15</v>
      </c>
      <c r="T494">
        <f ca="1"/>
        <v>0.32658781208546628</v>
      </c>
      <c r="U494">
        <f ca="1"/>
        <v>0</v>
      </c>
      <c r="V494">
        <f ca="1"/>
        <v>0</v>
      </c>
      <c r="W494">
        <f ca="1"/>
        <v>0</v>
      </c>
      <c r="X494">
        <f ca="1"/>
        <v>0</v>
      </c>
      <c r="Y494">
        <f ca="1"/>
        <v>1</v>
      </c>
      <c r="Z494">
        <f ca="1"/>
        <v>1.3387337995774971</v>
      </c>
      <c r="AA494">
        <f ca="1"/>
        <v>0</v>
      </c>
      <c r="AB494">
        <f ca="1"/>
        <v>0</v>
      </c>
      <c r="AD494" s="2">
        <f t="shared" ca="1" si="72"/>
        <v>44739</v>
      </c>
      <c r="AE494" s="46">
        <f t="shared" ca="1" si="73"/>
        <v>0</v>
      </c>
      <c r="AG494" s="72">
        <f t="shared" ca="1" si="77"/>
        <v>155.27923178784008</v>
      </c>
      <c r="AH494" s="72">
        <f t="shared" ca="1" si="78"/>
        <v>155.27923178784008</v>
      </c>
      <c r="AI494" s="3">
        <f t="shared" ca="1" si="79"/>
        <v>0</v>
      </c>
    </row>
    <row r="495" spans="7:35" ht="15.75" thickBot="1" x14ac:dyDescent="0.3">
      <c r="G495" s="3">
        <f t="shared" si="74"/>
        <v>33</v>
      </c>
      <c r="H495" s="106">
        <f t="shared" si="76"/>
        <v>44593</v>
      </c>
      <c r="I495" s="133">
        <f>HLOOKUP($H$4,'Met Data'!$A$2:$F$368,G495,FALSE)</f>
        <v>19.770689655172401</v>
      </c>
      <c r="J495" s="131">
        <f ca="1">HLOOKUP($H$4,'Met Data'!$H$2:$M$368,G495,FALSE)*L495</f>
        <v>1.1103448275862</v>
      </c>
      <c r="K495" s="107">
        <f>HLOOKUP($H$4,'Met Data'!$O$2:$T$368,G495,FALSE)</f>
        <v>4.5867414057587403</v>
      </c>
      <c r="L495">
        <f t="shared" ca="1" si="70"/>
        <v>1</v>
      </c>
      <c r="N495" t="b">
        <f t="shared" ca="1" si="75"/>
        <v>0</v>
      </c>
      <c r="O495" t="b">
        <f t="shared" ca="1" si="71"/>
        <v>0</v>
      </c>
      <c r="P495" s="2">
        <f ca="1"/>
        <v>44740</v>
      </c>
      <c r="Q495">
        <f ca="1"/>
        <v>155.60183131174347</v>
      </c>
      <c r="R495">
        <f ca="1"/>
        <v>0</v>
      </c>
      <c r="S495">
        <f ca="1"/>
        <v>8.8509279832295256E-16</v>
      </c>
      <c r="T495">
        <f ca="1"/>
        <v>0.32259952390338142</v>
      </c>
      <c r="U495">
        <f ca="1"/>
        <v>0</v>
      </c>
      <c r="V495">
        <f ca="1"/>
        <v>0</v>
      </c>
      <c r="W495">
        <f ca="1"/>
        <v>0</v>
      </c>
      <c r="X495">
        <f ca="1"/>
        <v>0</v>
      </c>
      <c r="Y495">
        <f ca="1"/>
        <v>1</v>
      </c>
      <c r="Z495">
        <f ca="1"/>
        <v>4.3526820529290262</v>
      </c>
      <c r="AA495">
        <f ca="1"/>
        <v>0</v>
      </c>
      <c r="AB495">
        <f ca="1"/>
        <v>0</v>
      </c>
      <c r="AD495" s="2">
        <f t="shared" ca="1" si="72"/>
        <v>44740</v>
      </c>
      <c r="AE495" s="46">
        <f t="shared" ca="1" si="73"/>
        <v>0</v>
      </c>
      <c r="AG495" s="72">
        <f t="shared" ca="1" si="77"/>
        <v>155.60183131174347</v>
      </c>
      <c r="AH495" s="72">
        <f t="shared" ca="1" si="78"/>
        <v>155.60183131174347</v>
      </c>
      <c r="AI495" s="3">
        <f t="shared" ca="1" si="79"/>
        <v>0</v>
      </c>
    </row>
    <row r="496" spans="7:35" ht="15.75" thickBot="1" x14ac:dyDescent="0.3">
      <c r="G496" s="3">
        <f t="shared" ref="G496:G559" si="80">H496-DATE(YEAR(H496),1,0)+1</f>
        <v>34</v>
      </c>
      <c r="H496" s="106">
        <f t="shared" si="76"/>
        <v>44594</v>
      </c>
      <c r="I496" s="133">
        <f>HLOOKUP($H$4,'Met Data'!$A$2:$F$368,G496,FALSE)</f>
        <v>19.548275862068898</v>
      </c>
      <c r="J496" s="131">
        <f ca="1">HLOOKUP($H$4,'Met Data'!$H$2:$M$368,G496,FALSE)*L496</f>
        <v>4.0620689655172404</v>
      </c>
      <c r="K496" s="107">
        <f>HLOOKUP($H$4,'Met Data'!$O$2:$T$368,G496,FALSE)</f>
        <v>4.65070177511826</v>
      </c>
      <c r="L496">
        <f t="shared" ref="L496:L559" ca="1" si="81">IF(H496&lt;$B$31,$J$3,$J$4)</f>
        <v>1</v>
      </c>
      <c r="N496" t="b">
        <f t="shared" ref="N496:N559" ca="1" si="82">IF(P496&lt;$P$3,TRUE,FALSE)</f>
        <v>0</v>
      </c>
      <c r="O496" t="b">
        <f t="shared" ref="O496:O559" ca="1" si="83">AND(IF(P496&gt;($P$2-1),TRUE,FALSE),IF(P496&lt;($P$3+1),TRUE,FALSE))</f>
        <v>0</v>
      </c>
      <c r="P496">
        <f ca="1"/>
        <v>44741</v>
      </c>
      <c r="Q496">
        <f ca="1"/>
        <v>155.92777674547136</v>
      </c>
      <c r="R496">
        <f ca="1"/>
        <v>0</v>
      </c>
      <c r="S496">
        <f ca="1"/>
        <v>7.8184247718561265E-16</v>
      </c>
      <c r="T496">
        <f ca="1"/>
        <v>0.32594543372789686</v>
      </c>
      <c r="U496">
        <f ca="1"/>
        <v>0</v>
      </c>
      <c r="V496">
        <f ca="1"/>
        <v>0</v>
      </c>
      <c r="W496">
        <f ca="1"/>
        <v>0</v>
      </c>
      <c r="X496">
        <f ca="1"/>
        <v>0</v>
      </c>
      <c r="Y496">
        <f ca="1"/>
        <v>1</v>
      </c>
      <c r="Z496">
        <f ca="1"/>
        <v>3.9677727339223594</v>
      </c>
      <c r="AA496">
        <f ca="1"/>
        <v>0</v>
      </c>
      <c r="AB496">
        <f ca="1"/>
        <v>0</v>
      </c>
      <c r="AD496" s="2">
        <f t="shared" ref="AD496:AD559" ca="1" si="84">IFERROR(P496,$AD$4)</f>
        <v>44741</v>
      </c>
      <c r="AE496" s="46">
        <f t="shared" ref="AE496:AE559" ca="1" si="85">IFERROR(U496,0)</f>
        <v>0</v>
      </c>
      <c r="AG496" s="72">
        <f t="shared" ref="AG496:AG559" ca="1" si="86">Q495+S496+T496+U496</f>
        <v>155.92777674547136</v>
      </c>
      <c r="AH496" s="72">
        <f t="shared" ref="AH496:AH559" ca="1" si="87">Q496+R496+X496</f>
        <v>155.92777674547136</v>
      </c>
      <c r="AI496" s="3">
        <f t="shared" ref="AI496:AI559" ca="1" si="88">AH496-AG496</f>
        <v>0</v>
      </c>
    </row>
    <row r="497" spans="7:35" ht="15.75" thickBot="1" x14ac:dyDescent="0.3">
      <c r="G497" s="3">
        <f t="shared" si="80"/>
        <v>35</v>
      </c>
      <c r="H497" s="106">
        <f t="shared" si="76"/>
        <v>44595</v>
      </c>
      <c r="I497" s="133">
        <f>HLOOKUP($H$4,'Met Data'!$A$2:$F$368,G497,FALSE)</f>
        <v>19.325862068965499</v>
      </c>
      <c r="J497" s="131">
        <f ca="1">HLOOKUP($H$4,'Met Data'!$H$2:$M$368,G497,FALSE)*L497</f>
        <v>1.00344827586206</v>
      </c>
      <c r="K497" s="107">
        <f>HLOOKUP($H$4,'Met Data'!$O$2:$T$368,G497,FALSE)</f>
        <v>4.2568283320677196</v>
      </c>
      <c r="L497">
        <f t="shared" ca="1" si="81"/>
        <v>1</v>
      </c>
      <c r="N497" t="b">
        <f t="shared" ca="1" si="82"/>
        <v>0</v>
      </c>
      <c r="O497" t="b">
        <f t="shared" ca="1" si="83"/>
        <v>0</v>
      </c>
      <c r="P497">
        <f ca="1"/>
        <v>44742</v>
      </c>
      <c r="Q497">
        <f ca="1"/>
        <v>156.25633342326003</v>
      </c>
      <c r="R497">
        <f ca="1"/>
        <v>0</v>
      </c>
      <c r="S497">
        <f ca="1"/>
        <v>6.8800650590025571E-16</v>
      </c>
      <c r="T497">
        <f ca="1"/>
        <v>0.32855667778868802</v>
      </c>
      <c r="U497">
        <f ca="1"/>
        <v>0</v>
      </c>
      <c r="V497">
        <f ca="1"/>
        <v>0</v>
      </c>
      <c r="W497">
        <f ca="1"/>
        <v>0</v>
      </c>
      <c r="X497">
        <f ca="1"/>
        <v>0</v>
      </c>
      <c r="Y497">
        <f ca="1"/>
        <v>1</v>
      </c>
      <c r="Z497">
        <f ca="1"/>
        <v>6.1631023076017186</v>
      </c>
      <c r="AA497">
        <f ca="1"/>
        <v>0</v>
      </c>
      <c r="AB497">
        <f ca="1"/>
        <v>0</v>
      </c>
      <c r="AD497" s="2">
        <f t="shared" ca="1" si="84"/>
        <v>44742</v>
      </c>
      <c r="AE497" s="46">
        <f t="shared" ca="1" si="85"/>
        <v>0</v>
      </c>
      <c r="AG497" s="72">
        <f t="shared" ca="1" si="86"/>
        <v>156.25633342326006</v>
      </c>
      <c r="AH497" s="72">
        <f t="shared" ca="1" si="87"/>
        <v>156.25633342326003</v>
      </c>
      <c r="AI497" s="3">
        <f t="shared" ca="1" si="88"/>
        <v>0</v>
      </c>
    </row>
    <row r="498" spans="7:35" ht="15.75" thickBot="1" x14ac:dyDescent="0.3">
      <c r="G498" s="3">
        <f t="shared" si="80"/>
        <v>36</v>
      </c>
      <c r="H498" s="106">
        <f t="shared" si="76"/>
        <v>44596</v>
      </c>
      <c r="I498" s="133">
        <f>HLOOKUP($H$4,'Met Data'!$A$2:$F$368,G498,FALSE)</f>
        <v>18.712068965517201</v>
      </c>
      <c r="J498" s="131">
        <f ca="1">HLOOKUP($H$4,'Met Data'!$H$2:$M$368,G498,FALSE)*L498</f>
        <v>4.7586206896551699</v>
      </c>
      <c r="K498" s="107">
        <f>HLOOKUP($H$4,'Met Data'!$O$2:$T$368,G498,FALSE)</f>
        <v>3.6726350990735899</v>
      </c>
      <c r="L498">
        <f t="shared" ca="1" si="81"/>
        <v>1</v>
      </c>
      <c r="N498" t="b">
        <f t="shared" ca="1" si="82"/>
        <v>0</v>
      </c>
      <c r="O498" t="b">
        <f t="shared" ca="1" si="83"/>
        <v>0</v>
      </c>
      <c r="P498">
        <f ca="1"/>
        <v>44743</v>
      </c>
      <c r="Q498">
        <f ca="1"/>
        <v>156.56618860607227</v>
      </c>
      <c r="R498">
        <f ca="1"/>
        <v>0</v>
      </c>
      <c r="S498">
        <f ca="1"/>
        <v>5.6604613220627839E-16</v>
      </c>
      <c r="T498">
        <f ca="1"/>
        <v>0.30985518281224483</v>
      </c>
      <c r="U498">
        <f ca="1"/>
        <v>0</v>
      </c>
      <c r="V498">
        <f ca="1"/>
        <v>0</v>
      </c>
      <c r="W498">
        <f ca="1"/>
        <v>0</v>
      </c>
      <c r="X498">
        <f ca="1"/>
        <v>0</v>
      </c>
      <c r="Y498">
        <f ca="1"/>
        <v>1</v>
      </c>
      <c r="Z498">
        <f ca="1"/>
        <v>2.091080662276056</v>
      </c>
      <c r="AA498">
        <f ca="1"/>
        <v>0</v>
      </c>
      <c r="AB498">
        <f ca="1"/>
        <v>0</v>
      </c>
      <c r="AD498" s="2">
        <f t="shared" ca="1" si="84"/>
        <v>44743</v>
      </c>
      <c r="AE498" s="46">
        <f t="shared" ca="1" si="85"/>
        <v>0</v>
      </c>
      <c r="AG498" s="72">
        <f t="shared" ca="1" si="86"/>
        <v>156.56618860607227</v>
      </c>
      <c r="AH498" s="72">
        <f t="shared" ca="1" si="87"/>
        <v>156.56618860607227</v>
      </c>
      <c r="AI498" s="3">
        <f t="shared" ca="1" si="88"/>
        <v>0</v>
      </c>
    </row>
    <row r="499" spans="7:35" ht="15.75" thickBot="1" x14ac:dyDescent="0.3">
      <c r="G499" s="3">
        <f t="shared" si="80"/>
        <v>37</v>
      </c>
      <c r="H499" s="106">
        <f t="shared" si="76"/>
        <v>44597</v>
      </c>
      <c r="I499" s="133">
        <f>HLOOKUP($H$4,'Met Data'!$A$2:$F$368,G499,FALSE)</f>
        <v>19.178333333333299</v>
      </c>
      <c r="J499" s="131">
        <f ca="1">HLOOKUP($H$4,'Met Data'!$H$2:$M$368,G499,FALSE)*L499</f>
        <v>2.2833333333333301</v>
      </c>
      <c r="K499" s="107">
        <f>HLOOKUP($H$4,'Met Data'!$O$2:$T$368,G499,FALSE)</f>
        <v>4.0355922642947899</v>
      </c>
      <c r="L499">
        <f t="shared" ca="1" si="81"/>
        <v>1</v>
      </c>
      <c r="N499" t="b">
        <f t="shared" ca="1" si="82"/>
        <v>0</v>
      </c>
      <c r="O499" t="b">
        <f t="shared" ca="1" si="83"/>
        <v>0</v>
      </c>
      <c r="P499">
        <f ca="1"/>
        <v>44744</v>
      </c>
      <c r="Q499">
        <f ca="1"/>
        <v>156.86154959558581</v>
      </c>
      <c r="R499">
        <f ca="1"/>
        <v>0</v>
      </c>
      <c r="S499">
        <f ca="1"/>
        <v>4.7380448390650686E-16</v>
      </c>
      <c r="T499">
        <f ca="1"/>
        <v>0.29536098951352446</v>
      </c>
      <c r="U499">
        <f ca="1"/>
        <v>0</v>
      </c>
      <c r="V499">
        <f ca="1"/>
        <v>0</v>
      </c>
      <c r="W499">
        <f ca="1"/>
        <v>0</v>
      </c>
      <c r="X499">
        <f ca="1"/>
        <v>0</v>
      </c>
      <c r="Y499">
        <f ca="1"/>
        <v>1</v>
      </c>
      <c r="Z499">
        <f ca="1"/>
        <v>2.9428486715873277</v>
      </c>
      <c r="AA499">
        <f ca="1"/>
        <v>0</v>
      </c>
      <c r="AB499">
        <f ca="1"/>
        <v>0</v>
      </c>
      <c r="AD499" s="2">
        <f t="shared" ca="1" si="84"/>
        <v>44744</v>
      </c>
      <c r="AE499" s="46">
        <f t="shared" ca="1" si="85"/>
        <v>0</v>
      </c>
      <c r="AG499" s="72">
        <f t="shared" ca="1" si="86"/>
        <v>156.86154959558579</v>
      </c>
      <c r="AH499" s="72">
        <f t="shared" ca="1" si="87"/>
        <v>156.86154959558581</v>
      </c>
      <c r="AI499" s="3">
        <f t="shared" ca="1" si="88"/>
        <v>0</v>
      </c>
    </row>
    <row r="500" spans="7:35" ht="15.75" thickBot="1" x14ac:dyDescent="0.3">
      <c r="G500" s="3">
        <f t="shared" si="80"/>
        <v>38</v>
      </c>
      <c r="H500" s="106">
        <f t="shared" si="76"/>
        <v>44598</v>
      </c>
      <c r="I500" s="133">
        <f>HLOOKUP($H$4,'Met Data'!$A$2:$F$368,G500,FALSE)</f>
        <v>19.063333333333301</v>
      </c>
      <c r="J500" s="131">
        <f ca="1">HLOOKUP($H$4,'Met Data'!$H$2:$M$368,G500,FALSE)*L500</f>
        <v>0.35</v>
      </c>
      <c r="K500" s="107">
        <f>HLOOKUP($H$4,'Met Data'!$O$2:$T$368,G500,FALSE)</f>
        <v>4.5836031413853302</v>
      </c>
      <c r="L500">
        <f t="shared" ca="1" si="81"/>
        <v>1</v>
      </c>
      <c r="N500" t="b">
        <f t="shared" ca="1" si="82"/>
        <v>0</v>
      </c>
      <c r="O500" t="b">
        <f t="shared" ca="1" si="83"/>
        <v>0</v>
      </c>
      <c r="P500">
        <f ca="1"/>
        <v>44745</v>
      </c>
      <c r="Q500">
        <f ca="1"/>
        <v>157.16093069922138</v>
      </c>
      <c r="R500">
        <f ca="1"/>
        <v>0</v>
      </c>
      <c r="S500">
        <f ca="1"/>
        <v>4.2535396705073373E-16</v>
      </c>
      <c r="T500">
        <f ca="1"/>
        <v>0.29938110363558312</v>
      </c>
      <c r="U500">
        <f ca="1"/>
        <v>0</v>
      </c>
      <c r="V500">
        <f ca="1"/>
        <v>0</v>
      </c>
      <c r="W500">
        <f ca="1"/>
        <v>0</v>
      </c>
      <c r="X500">
        <f ca="1"/>
        <v>0</v>
      </c>
      <c r="Y500">
        <f ca="1"/>
        <v>1</v>
      </c>
      <c r="Z500">
        <f ca="1"/>
        <v>1.99358417607597</v>
      </c>
      <c r="AA500">
        <f ca="1"/>
        <v>0</v>
      </c>
      <c r="AB500">
        <f ca="1"/>
        <v>0</v>
      </c>
      <c r="AD500" s="2">
        <f t="shared" ca="1" si="84"/>
        <v>44745</v>
      </c>
      <c r="AE500" s="46">
        <f t="shared" ca="1" si="85"/>
        <v>0</v>
      </c>
      <c r="AG500" s="72">
        <f t="shared" ca="1" si="86"/>
        <v>157.16093069922141</v>
      </c>
      <c r="AH500" s="72">
        <f t="shared" ca="1" si="87"/>
        <v>157.16093069922138</v>
      </c>
      <c r="AI500" s="3">
        <f t="shared" ca="1" si="88"/>
        <v>0</v>
      </c>
    </row>
    <row r="501" spans="7:35" ht="15.75" thickBot="1" x14ac:dyDescent="0.3">
      <c r="G501" s="3">
        <f t="shared" si="80"/>
        <v>39</v>
      </c>
      <c r="H501" s="106">
        <f t="shared" si="76"/>
        <v>44599</v>
      </c>
      <c r="I501" s="133">
        <f>HLOOKUP($H$4,'Met Data'!$A$2:$F$368,G501,FALSE)</f>
        <v>19.164999999999999</v>
      </c>
      <c r="J501" s="131">
        <f ca="1">HLOOKUP($H$4,'Met Data'!$H$2:$M$368,G501,FALSE)*L501</f>
        <v>0.80666666666666598</v>
      </c>
      <c r="K501" s="107">
        <f>HLOOKUP($H$4,'Met Data'!$O$2:$T$368,G501,FALSE)</f>
        <v>4.2844164584952198</v>
      </c>
      <c r="L501">
        <f t="shared" ca="1" si="81"/>
        <v>1</v>
      </c>
      <c r="N501" t="b">
        <f t="shared" ca="1" si="82"/>
        <v>0</v>
      </c>
      <c r="O501" t="b">
        <f t="shared" ca="1" si="83"/>
        <v>0</v>
      </c>
      <c r="P501">
        <f ca="1"/>
        <v>44746</v>
      </c>
      <c r="Q501">
        <f ca="1"/>
        <v>157.47465665483944</v>
      </c>
      <c r="R501">
        <f ca="1"/>
        <v>0</v>
      </c>
      <c r="S501">
        <f ca="1"/>
        <v>3.9422154108073061E-16</v>
      </c>
      <c r="T501">
        <f ca="1"/>
        <v>0.31372595561805383</v>
      </c>
      <c r="U501">
        <f ca="1"/>
        <v>0</v>
      </c>
      <c r="V501">
        <f ca="1"/>
        <v>2.08795730046899</v>
      </c>
      <c r="W501">
        <f ca="1"/>
        <v>1.4435260348921399</v>
      </c>
      <c r="X501">
        <f ca="1"/>
        <v>0</v>
      </c>
      <c r="Y501">
        <f ca="1"/>
        <v>1</v>
      </c>
      <c r="Z501">
        <f ca="1"/>
        <v>3.9658666090143839</v>
      </c>
      <c r="AA501">
        <f ca="1"/>
        <v>0</v>
      </c>
      <c r="AB501">
        <f ca="1"/>
        <v>5.7186552476489001E-3</v>
      </c>
      <c r="AD501" s="2">
        <f t="shared" ca="1" si="84"/>
        <v>44746</v>
      </c>
      <c r="AE501" s="46">
        <f t="shared" ca="1" si="85"/>
        <v>0</v>
      </c>
      <c r="AG501" s="72">
        <f t="shared" ca="1" si="86"/>
        <v>157.47465665483944</v>
      </c>
      <c r="AH501" s="72">
        <f t="shared" ca="1" si="87"/>
        <v>157.47465665483944</v>
      </c>
      <c r="AI501" s="3">
        <f t="shared" ca="1" si="88"/>
        <v>0</v>
      </c>
    </row>
    <row r="502" spans="7:35" ht="15.75" thickBot="1" x14ac:dyDescent="0.3">
      <c r="G502" s="3">
        <f t="shared" si="80"/>
        <v>40</v>
      </c>
      <c r="H502" s="106">
        <f t="shared" si="76"/>
        <v>44600</v>
      </c>
      <c r="I502" s="133">
        <f>HLOOKUP($H$4,'Met Data'!$A$2:$F$368,G502,FALSE)</f>
        <v>19.145</v>
      </c>
      <c r="J502" s="131">
        <f ca="1">HLOOKUP($H$4,'Met Data'!$H$2:$M$368,G502,FALSE)*L502</f>
        <v>2.1066666666666598</v>
      </c>
      <c r="K502" s="107">
        <f>HLOOKUP($H$4,'Met Data'!$O$2:$T$368,G502,FALSE)</f>
        <v>4.0819751344129296</v>
      </c>
      <c r="L502">
        <f t="shared" ca="1" si="81"/>
        <v>1</v>
      </c>
      <c r="N502" t="b">
        <f t="shared" ca="1" si="82"/>
        <v>0</v>
      </c>
      <c r="O502" t="b">
        <f t="shared" ca="1" si="83"/>
        <v>0</v>
      </c>
      <c r="P502">
        <f ca="1"/>
        <v>44747</v>
      </c>
      <c r="Q502">
        <f ca="1"/>
        <v>157.72647718767439</v>
      </c>
      <c r="R502">
        <f ca="1"/>
        <v>7.7356478434132694E-2</v>
      </c>
      <c r="S502">
        <f ca="1"/>
        <v>3.6294870700521002E-16</v>
      </c>
      <c r="T502">
        <f ca="1"/>
        <v>0.32917701126907151</v>
      </c>
      <c r="U502">
        <f ca="1"/>
        <v>0</v>
      </c>
      <c r="V502">
        <f ca="1"/>
        <v>2.16531377890312</v>
      </c>
      <c r="W502">
        <f ca="1"/>
        <v>1.49700705701944</v>
      </c>
      <c r="X502">
        <f ca="1"/>
        <v>0</v>
      </c>
      <c r="Y502">
        <f ca="1"/>
        <v>1</v>
      </c>
      <c r="Z502">
        <f ca="1"/>
        <v>1.523266523281336</v>
      </c>
      <c r="AA502">
        <f ca="1"/>
        <v>0</v>
      </c>
      <c r="AB502">
        <f ca="1"/>
        <v>6.1272646997608902E-3</v>
      </c>
      <c r="AD502" s="2">
        <f t="shared" ca="1" si="84"/>
        <v>44747</v>
      </c>
      <c r="AE502" s="46">
        <f t="shared" ca="1" si="85"/>
        <v>0</v>
      </c>
      <c r="AG502" s="72">
        <f t="shared" ca="1" si="86"/>
        <v>157.80383366610852</v>
      </c>
      <c r="AH502" s="72">
        <f t="shared" ca="1" si="87"/>
        <v>157.80383366610852</v>
      </c>
      <c r="AI502" s="3">
        <f t="shared" ca="1" si="88"/>
        <v>0</v>
      </c>
    </row>
    <row r="503" spans="7:35" ht="15.75" thickBot="1" x14ac:dyDescent="0.3">
      <c r="G503" s="3">
        <f t="shared" si="80"/>
        <v>41</v>
      </c>
      <c r="H503" s="106">
        <f t="shared" si="76"/>
        <v>44601</v>
      </c>
      <c r="I503" s="133">
        <f>HLOOKUP($H$4,'Met Data'!$A$2:$F$368,G503,FALSE)</f>
        <v>19.28</v>
      </c>
      <c r="J503" s="131">
        <f ca="1">HLOOKUP($H$4,'Met Data'!$H$2:$M$368,G503,FALSE)*L503</f>
        <v>1.1200000000000001</v>
      </c>
      <c r="K503" s="107">
        <f>HLOOKUP($H$4,'Met Data'!$O$2:$T$368,G503,FALSE)</f>
        <v>4.260490854165</v>
      </c>
      <c r="L503">
        <f t="shared" ca="1" si="81"/>
        <v>1</v>
      </c>
      <c r="N503" t="b">
        <f t="shared" ca="1" si="82"/>
        <v>0</v>
      </c>
      <c r="O503" t="b">
        <f t="shared" ca="1" si="83"/>
        <v>0</v>
      </c>
      <c r="P503">
        <f ca="1"/>
        <v>44748</v>
      </c>
      <c r="Q503">
        <f ca="1"/>
        <v>157.97442268079075</v>
      </c>
      <c r="R503">
        <f ca="1"/>
        <v>7.9822739677875496E-2</v>
      </c>
      <c r="S503">
        <f ca="1"/>
        <v>3.1513156270961348E-16</v>
      </c>
      <c r="T503">
        <f ca="1"/>
        <v>0.32776823279425221</v>
      </c>
      <c r="U503">
        <f ca="1"/>
        <v>0</v>
      </c>
      <c r="V503">
        <f ca="1"/>
        <v>2.2451365185809999</v>
      </c>
      <c r="W503">
        <f ca="1"/>
        <v>1.55219314864859</v>
      </c>
      <c r="X503">
        <f ca="1"/>
        <v>0</v>
      </c>
      <c r="Y503">
        <f ca="1"/>
        <v>1</v>
      </c>
      <c r="Z503">
        <f ca="1"/>
        <v>3.1344891447679544</v>
      </c>
      <c r="AA503">
        <f ca="1"/>
        <v>0</v>
      </c>
      <c r="AB503">
        <f ca="1"/>
        <v>6.5629358818675302E-3</v>
      </c>
      <c r="AD503" s="2">
        <f t="shared" ca="1" si="84"/>
        <v>44748</v>
      </c>
      <c r="AE503" s="46">
        <f t="shared" ca="1" si="85"/>
        <v>0</v>
      </c>
      <c r="AG503" s="72">
        <f t="shared" ca="1" si="86"/>
        <v>158.05424542046865</v>
      </c>
      <c r="AH503" s="72">
        <f t="shared" ca="1" si="87"/>
        <v>158.05424542046862</v>
      </c>
      <c r="AI503" s="3">
        <f t="shared" ca="1" si="88"/>
        <v>0</v>
      </c>
    </row>
    <row r="504" spans="7:35" ht="15.75" thickBot="1" x14ac:dyDescent="0.3">
      <c r="G504" s="3">
        <f t="shared" si="80"/>
        <v>42</v>
      </c>
      <c r="H504" s="106">
        <f t="shared" si="76"/>
        <v>44602</v>
      </c>
      <c r="I504" s="133">
        <f>HLOOKUP($H$4,'Met Data'!$A$2:$F$368,G504,FALSE)</f>
        <v>19.6533333333333</v>
      </c>
      <c r="J504" s="131">
        <f ca="1">HLOOKUP($H$4,'Met Data'!$H$2:$M$368,G504,FALSE)*L504</f>
        <v>1.4866666666666599</v>
      </c>
      <c r="K504" s="107">
        <f>HLOOKUP($H$4,'Met Data'!$O$2:$T$368,G504,FALSE)</f>
        <v>3.7833097987788902</v>
      </c>
      <c r="L504">
        <f t="shared" ca="1" si="81"/>
        <v>1</v>
      </c>
      <c r="N504" t="b">
        <f t="shared" ca="1" si="82"/>
        <v>0</v>
      </c>
      <c r="O504" t="b">
        <f t="shared" ca="1" si="83"/>
        <v>0</v>
      </c>
      <c r="P504">
        <f ca="1"/>
        <v>44749</v>
      </c>
      <c r="Q504">
        <f ca="1"/>
        <v>158.21810070082626</v>
      </c>
      <c r="R504">
        <f ca="1"/>
        <v>8.2236475923029406E-2</v>
      </c>
      <c r="S504">
        <f ca="1"/>
        <v>2.7340796533490405E-16</v>
      </c>
      <c r="T504">
        <f ca="1"/>
        <v>0.3259144959585073</v>
      </c>
      <c r="U504">
        <f ca="1"/>
        <v>0</v>
      </c>
      <c r="V504">
        <f ca="1"/>
        <v>2.3273729945040298</v>
      </c>
      <c r="W504">
        <f ca="1"/>
        <v>1.6090479962003199</v>
      </c>
      <c r="X504">
        <f ca="1"/>
        <v>0</v>
      </c>
      <c r="Y504">
        <f ca="1"/>
        <v>1</v>
      </c>
      <c r="Z504">
        <f ca="1"/>
        <v>1.4591720273170381</v>
      </c>
      <c r="AA504">
        <f ca="1"/>
        <v>0</v>
      </c>
      <c r="AB504">
        <f ca="1"/>
        <v>7.0266368345271403E-3</v>
      </c>
      <c r="AD504" s="2">
        <f t="shared" ca="1" si="84"/>
        <v>44749</v>
      </c>
      <c r="AE504" s="46">
        <f t="shared" ca="1" si="85"/>
        <v>0</v>
      </c>
      <c r="AG504" s="72">
        <f t="shared" ca="1" si="86"/>
        <v>158.30033717674925</v>
      </c>
      <c r="AH504" s="72">
        <f t="shared" ca="1" si="87"/>
        <v>158.30033717674928</v>
      </c>
      <c r="AI504" s="3">
        <f t="shared" ca="1" si="88"/>
        <v>0</v>
      </c>
    </row>
    <row r="505" spans="7:35" ht="15.75" thickBot="1" x14ac:dyDescent="0.3">
      <c r="G505" s="3">
        <f t="shared" si="80"/>
        <v>43</v>
      </c>
      <c r="H505" s="106">
        <f t="shared" si="76"/>
        <v>44603</v>
      </c>
      <c r="I505" s="133">
        <f>HLOOKUP($H$4,'Met Data'!$A$2:$F$368,G505,FALSE)</f>
        <v>19.843333333333302</v>
      </c>
      <c r="J505" s="131">
        <f ca="1">HLOOKUP($H$4,'Met Data'!$H$2:$M$368,G505,FALSE)*L505</f>
        <v>2.3199999999999998</v>
      </c>
      <c r="K505" s="107">
        <f>HLOOKUP($H$4,'Met Data'!$O$2:$T$368,G505,FALSE)</f>
        <v>3.6396000191553801</v>
      </c>
      <c r="L505">
        <f t="shared" ca="1" si="81"/>
        <v>1</v>
      </c>
      <c r="N505" t="b">
        <f t="shared" ca="1" si="82"/>
        <v>0</v>
      </c>
      <c r="O505" t="b">
        <f t="shared" ca="1" si="83"/>
        <v>0</v>
      </c>
      <c r="P505">
        <f ca="1"/>
        <v>44750</v>
      </c>
      <c r="Q505">
        <f ca="1"/>
        <v>158.45189144363593</v>
      </c>
      <c r="R505">
        <f ca="1"/>
        <v>8.2699853349539304E-2</v>
      </c>
      <c r="S505">
        <f ca="1"/>
        <v>2.3188389112822578E-16</v>
      </c>
      <c r="T505">
        <f ca="1"/>
        <v>0.31649059615922809</v>
      </c>
      <c r="U505">
        <f ca="1"/>
        <v>0</v>
      </c>
      <c r="V505">
        <f ca="1"/>
        <v>2.41007284785357</v>
      </c>
      <c r="W505">
        <f ca="1"/>
        <v>1.6662232034543201</v>
      </c>
      <c r="X505">
        <f ca="1"/>
        <v>0</v>
      </c>
      <c r="Y505">
        <f ca="1"/>
        <v>1</v>
      </c>
      <c r="Z505">
        <f ca="1"/>
        <v>2.452277580557606</v>
      </c>
      <c r="AA505">
        <f ca="1"/>
        <v>0</v>
      </c>
      <c r="AB505">
        <f ca="1"/>
        <v>7.50810149318274E-3</v>
      </c>
      <c r="AD505" s="2">
        <f t="shared" ca="1" si="84"/>
        <v>44750</v>
      </c>
      <c r="AE505" s="46">
        <f t="shared" ca="1" si="85"/>
        <v>0</v>
      </c>
      <c r="AG505" s="72">
        <f t="shared" ca="1" si="86"/>
        <v>158.5345912969855</v>
      </c>
      <c r="AH505" s="72">
        <f t="shared" ca="1" si="87"/>
        <v>158.53459129698547</v>
      </c>
      <c r="AI505" s="3">
        <f t="shared" ca="1" si="88"/>
        <v>0</v>
      </c>
    </row>
    <row r="506" spans="7:35" ht="15.75" thickBot="1" x14ac:dyDescent="0.3">
      <c r="G506" s="3">
        <f t="shared" si="80"/>
        <v>44</v>
      </c>
      <c r="H506" s="106">
        <f t="shared" si="76"/>
        <v>44604</v>
      </c>
      <c r="I506" s="133">
        <f>HLOOKUP($H$4,'Met Data'!$A$2:$F$368,G506,FALSE)</f>
        <v>19.767241379310299</v>
      </c>
      <c r="J506" s="131">
        <f ca="1">HLOOKUP($H$4,'Met Data'!$H$2:$M$368,G506,FALSE)*L506</f>
        <v>2.6066666666666598</v>
      </c>
      <c r="K506" s="107">
        <f>HLOOKUP($H$4,'Met Data'!$O$2:$T$368,G506,FALSE)</f>
        <v>3.70262305339519</v>
      </c>
      <c r="L506">
        <f t="shared" ca="1" si="81"/>
        <v>1</v>
      </c>
      <c r="N506" t="b">
        <f t="shared" ca="1" si="82"/>
        <v>0</v>
      </c>
      <c r="O506" t="b">
        <f t="shared" ca="1" si="83"/>
        <v>0</v>
      </c>
      <c r="P506">
        <f ca="1"/>
        <v>44751</v>
      </c>
      <c r="Q506">
        <f ca="1"/>
        <v>158.68614146290969</v>
      </c>
      <c r="R506">
        <f ca="1"/>
        <v>8.68277374477118E-2</v>
      </c>
      <c r="S506">
        <f ca="1"/>
        <v>2.0624388918990324E-16</v>
      </c>
      <c r="T506">
        <f ca="1"/>
        <v>0.32107775672147737</v>
      </c>
      <c r="U506">
        <f ca="1"/>
        <v>0</v>
      </c>
      <c r="V506">
        <f ca="1"/>
        <v>2.49690058530128</v>
      </c>
      <c r="W506">
        <f ca="1"/>
        <v>1.7262522565045899</v>
      </c>
      <c r="X506">
        <f ca="1"/>
        <v>0</v>
      </c>
      <c r="Y506">
        <f ca="1"/>
        <v>1</v>
      </c>
      <c r="Z506">
        <f ca="1"/>
        <v>3.1491752207258372</v>
      </c>
      <c r="AA506">
        <f ca="1"/>
        <v>0</v>
      </c>
      <c r="AB506">
        <f ca="1"/>
        <v>8.0298892222174199E-3</v>
      </c>
      <c r="AD506" s="2">
        <f t="shared" ca="1" si="84"/>
        <v>44751</v>
      </c>
      <c r="AE506" s="46">
        <f t="shared" ca="1" si="85"/>
        <v>0</v>
      </c>
      <c r="AG506" s="72">
        <f t="shared" ca="1" si="86"/>
        <v>158.77296920035741</v>
      </c>
      <c r="AH506" s="72">
        <f t="shared" ca="1" si="87"/>
        <v>158.77296920035741</v>
      </c>
      <c r="AI506" s="3">
        <f t="shared" ca="1" si="88"/>
        <v>0</v>
      </c>
    </row>
    <row r="507" spans="7:35" ht="15.75" thickBot="1" x14ac:dyDescent="0.3">
      <c r="G507" s="3">
        <f t="shared" si="80"/>
        <v>45</v>
      </c>
      <c r="H507" s="106">
        <f t="shared" si="76"/>
        <v>44605</v>
      </c>
      <c r="I507" s="133">
        <f>HLOOKUP($H$4,'Met Data'!$A$2:$F$368,G507,FALSE)</f>
        <v>19.5672413793103</v>
      </c>
      <c r="J507" s="131">
        <f ca="1">HLOOKUP($H$4,'Met Data'!$H$2:$M$368,G507,FALSE)*L507</f>
        <v>0.59</v>
      </c>
      <c r="K507" s="107">
        <f>HLOOKUP($H$4,'Met Data'!$O$2:$T$368,G507,FALSE)</f>
        <v>4.0784584132757997</v>
      </c>
      <c r="L507">
        <f t="shared" ca="1" si="81"/>
        <v>1</v>
      </c>
      <c r="N507" t="b">
        <f t="shared" ca="1" si="82"/>
        <v>0</v>
      </c>
      <c r="O507" t="b">
        <f t="shared" ca="1" si="83"/>
        <v>0</v>
      </c>
      <c r="P507">
        <f ca="1"/>
        <v>44752</v>
      </c>
      <c r="Q507">
        <f ca="1"/>
        <v>158.90329938179826</v>
      </c>
      <c r="R507">
        <f ca="1"/>
        <v>8.4214664424415706E-2</v>
      </c>
      <c r="S507">
        <f ca="1"/>
        <v>1.6926665145692361E-16</v>
      </c>
      <c r="T507">
        <f ca="1"/>
        <v>0.30137258331299649</v>
      </c>
      <c r="U507">
        <f ca="1"/>
        <v>0</v>
      </c>
      <c r="V507">
        <f ca="1"/>
        <v>2.58111524972569</v>
      </c>
      <c r="W507">
        <f ca="1"/>
        <v>1.7844747405510999</v>
      </c>
      <c r="X507">
        <f ca="1"/>
        <v>0</v>
      </c>
      <c r="Y507">
        <f ca="1"/>
        <v>1</v>
      </c>
      <c r="Z507">
        <f ca="1"/>
        <v>0.84825171510779285</v>
      </c>
      <c r="AA507">
        <f ca="1"/>
        <v>0</v>
      </c>
      <c r="AB507">
        <f ca="1"/>
        <v>8.5518587067436504E-3</v>
      </c>
      <c r="AD507" s="2">
        <f t="shared" ca="1" si="84"/>
        <v>44752</v>
      </c>
      <c r="AE507" s="46">
        <f t="shared" ca="1" si="85"/>
        <v>0</v>
      </c>
      <c r="AG507" s="72">
        <f t="shared" ca="1" si="86"/>
        <v>158.98751404622269</v>
      </c>
      <c r="AH507" s="72">
        <f t="shared" ca="1" si="87"/>
        <v>158.98751404622269</v>
      </c>
      <c r="AI507" s="3">
        <f t="shared" ca="1" si="88"/>
        <v>0</v>
      </c>
    </row>
    <row r="508" spans="7:35" ht="15.75" thickBot="1" x14ac:dyDescent="0.3">
      <c r="G508" s="3">
        <f t="shared" si="80"/>
        <v>46</v>
      </c>
      <c r="H508" s="106">
        <f t="shared" si="76"/>
        <v>44606</v>
      </c>
      <c r="I508" s="133">
        <f>HLOOKUP($H$4,'Met Data'!$A$2:$F$368,G508,FALSE)</f>
        <v>19.5910714285714</v>
      </c>
      <c r="J508" s="131">
        <f ca="1">HLOOKUP($H$4,'Met Data'!$H$2:$M$368,G508,FALSE)*L508</f>
        <v>1.8724137931034399</v>
      </c>
      <c r="K508" s="107">
        <f>HLOOKUP($H$4,'Met Data'!$O$2:$T$368,G508,FALSE)</f>
        <v>4.0775156504528702</v>
      </c>
      <c r="L508">
        <f t="shared" ca="1" si="81"/>
        <v>1</v>
      </c>
      <c r="N508" t="b">
        <f t="shared" ca="1" si="82"/>
        <v>0</v>
      </c>
      <c r="O508" t="b">
        <f t="shared" ca="1" si="83"/>
        <v>0</v>
      </c>
      <c r="P508">
        <f ca="1"/>
        <v>44753</v>
      </c>
      <c r="Q508">
        <f ca="1"/>
        <v>159.11021542315652</v>
      </c>
      <c r="R508">
        <f ca="1"/>
        <v>8.3689060960498995E-2</v>
      </c>
      <c r="S508">
        <f ca="1"/>
        <v>1.4384512712120664E-16</v>
      </c>
      <c r="T508">
        <f ca="1"/>
        <v>0.29060510231873282</v>
      </c>
      <c r="U508">
        <f ca="1"/>
        <v>0</v>
      </c>
      <c r="V508">
        <f ca="1"/>
        <v>2.6648043106861898</v>
      </c>
      <c r="W508">
        <f ca="1"/>
        <v>1.8423338444250199</v>
      </c>
      <c r="X508">
        <f ca="1"/>
        <v>0</v>
      </c>
      <c r="Y508">
        <f ca="1"/>
        <v>1</v>
      </c>
      <c r="Z508">
        <f ca="1"/>
        <v>2.7076512592171156</v>
      </c>
      <c r="AA508">
        <f ca="1"/>
        <v>0</v>
      </c>
      <c r="AB508">
        <f ca="1"/>
        <v>9.0860110339920797E-3</v>
      </c>
      <c r="AD508" s="2">
        <f t="shared" ca="1" si="84"/>
        <v>44753</v>
      </c>
      <c r="AE508" s="46">
        <f t="shared" ca="1" si="85"/>
        <v>0</v>
      </c>
      <c r="AG508" s="72">
        <f t="shared" ca="1" si="86"/>
        <v>159.19390448411698</v>
      </c>
      <c r="AH508" s="72">
        <f t="shared" ca="1" si="87"/>
        <v>159.19390448411701</v>
      </c>
      <c r="AI508" s="3">
        <f t="shared" ca="1" si="88"/>
        <v>0</v>
      </c>
    </row>
    <row r="509" spans="7:35" ht="15.75" thickBot="1" x14ac:dyDescent="0.3">
      <c r="G509" s="3">
        <f t="shared" si="80"/>
        <v>47</v>
      </c>
      <c r="H509" s="106">
        <f t="shared" si="76"/>
        <v>44607</v>
      </c>
      <c r="I509" s="133">
        <f>HLOOKUP($H$4,'Met Data'!$A$2:$F$368,G509,FALSE)</f>
        <v>19.355357142857098</v>
      </c>
      <c r="J509" s="131">
        <f ca="1">HLOOKUP($H$4,'Met Data'!$H$2:$M$368,G509,FALSE)*L509</f>
        <v>2.8206896551724099</v>
      </c>
      <c r="K509" s="107">
        <f>HLOOKUP($H$4,'Met Data'!$O$2:$T$368,G509,FALSE)</f>
        <v>4.1796467400508099</v>
      </c>
      <c r="L509">
        <f t="shared" ca="1" si="81"/>
        <v>1</v>
      </c>
      <c r="N509" t="b">
        <f t="shared" ca="1" si="82"/>
        <v>0</v>
      </c>
      <c r="O509" t="b">
        <f t="shared" ca="1" si="83"/>
        <v>0</v>
      </c>
      <c r="P509">
        <f ca="1"/>
        <v>44754</v>
      </c>
      <c r="Q509">
        <f ca="1"/>
        <v>159.32048724900974</v>
      </c>
      <c r="R509">
        <f ca="1"/>
        <v>8.9113212976406994E-2</v>
      </c>
      <c r="S509">
        <f ca="1"/>
        <v>1.316515585719178E-16</v>
      </c>
      <c r="T509">
        <f ca="1"/>
        <v>0.29938503882962442</v>
      </c>
      <c r="U509">
        <f ca="1"/>
        <v>0</v>
      </c>
      <c r="V509">
        <f ca="1"/>
        <v>2.7539175236625999</v>
      </c>
      <c r="W509">
        <f ca="1"/>
        <v>1.90394297932229</v>
      </c>
      <c r="X509">
        <f ca="1"/>
        <v>0</v>
      </c>
      <c r="Y509">
        <f ca="1"/>
        <v>1</v>
      </c>
      <c r="Z509">
        <f ca="1"/>
        <v>5.8032694220133294</v>
      </c>
      <c r="AA509">
        <f ca="1"/>
        <v>0</v>
      </c>
      <c r="AB509">
        <f ca="1"/>
        <v>9.6716434864973794E-3</v>
      </c>
      <c r="AD509" s="2">
        <f t="shared" ca="1" si="84"/>
        <v>44754</v>
      </c>
      <c r="AE509" s="46">
        <f t="shared" ca="1" si="85"/>
        <v>0</v>
      </c>
      <c r="AG509" s="72">
        <f t="shared" ca="1" si="86"/>
        <v>159.40960046198614</v>
      </c>
      <c r="AH509" s="72">
        <f t="shared" ca="1" si="87"/>
        <v>159.40960046198614</v>
      </c>
      <c r="AI509" s="3">
        <f t="shared" ca="1" si="88"/>
        <v>0</v>
      </c>
    </row>
    <row r="510" spans="7:35" ht="15.75" thickBot="1" x14ac:dyDescent="0.3">
      <c r="G510" s="3">
        <f t="shared" si="80"/>
        <v>48</v>
      </c>
      <c r="H510" s="106">
        <f t="shared" si="76"/>
        <v>44608</v>
      </c>
      <c r="I510" s="133">
        <f>HLOOKUP($H$4,'Met Data'!$A$2:$F$368,G510,FALSE)</f>
        <v>19.258928571428498</v>
      </c>
      <c r="J510" s="131">
        <f ca="1">HLOOKUP($H$4,'Met Data'!$H$2:$M$368,G510,FALSE)*L510</f>
        <v>1.80344827586206</v>
      </c>
      <c r="K510" s="107">
        <f>HLOOKUP($H$4,'Met Data'!$O$2:$T$368,G510,FALSE)</f>
        <v>3.8490703816040499</v>
      </c>
      <c r="L510">
        <f t="shared" ca="1" si="81"/>
        <v>1</v>
      </c>
      <c r="N510" t="b">
        <f t="shared" ca="1" si="82"/>
        <v>0</v>
      </c>
      <c r="O510" t="b">
        <f t="shared" ca="1" si="83"/>
        <v>0</v>
      </c>
      <c r="P510">
        <f ca="1"/>
        <v>44755</v>
      </c>
      <c r="Q510">
        <f ca="1"/>
        <v>159.53132943706191</v>
      </c>
      <c r="R510">
        <f ca="1"/>
        <v>9.3666682949959501E-2</v>
      </c>
      <c r="S510">
        <f ca="1"/>
        <v>1.183748506307453E-16</v>
      </c>
      <c r="T510">
        <f ca="1"/>
        <v>0.3045088710021403</v>
      </c>
      <c r="U510">
        <f ca="1"/>
        <v>0</v>
      </c>
      <c r="V510">
        <f ca="1"/>
        <v>2.8475842066125598</v>
      </c>
      <c r="W510">
        <f ca="1"/>
        <v>1.9687001922259699</v>
      </c>
      <c r="X510">
        <f ca="1"/>
        <v>0</v>
      </c>
      <c r="Y510">
        <f ca="1"/>
        <v>1</v>
      </c>
      <c r="Z510">
        <f ca="1"/>
        <v>1.2124719706635574</v>
      </c>
      <c r="AA510">
        <f ca="1"/>
        <v>0</v>
      </c>
      <c r="AB510">
        <f ca="1"/>
        <v>1.03058751498642E-2</v>
      </c>
      <c r="AD510" s="2">
        <f t="shared" ca="1" si="84"/>
        <v>44755</v>
      </c>
      <c r="AE510" s="46">
        <f t="shared" ca="1" si="85"/>
        <v>0</v>
      </c>
      <c r="AG510" s="72">
        <f t="shared" ca="1" si="86"/>
        <v>159.62499612001187</v>
      </c>
      <c r="AH510" s="72">
        <f t="shared" ca="1" si="87"/>
        <v>159.62499612001187</v>
      </c>
      <c r="AI510" s="3">
        <f t="shared" ca="1" si="88"/>
        <v>0</v>
      </c>
    </row>
    <row r="511" spans="7:35" ht="15.75" thickBot="1" x14ac:dyDescent="0.3">
      <c r="G511" s="3">
        <f t="shared" si="80"/>
        <v>49</v>
      </c>
      <c r="H511" s="106">
        <f t="shared" si="76"/>
        <v>44609</v>
      </c>
      <c r="I511" s="133">
        <f>HLOOKUP($H$4,'Met Data'!$A$2:$F$368,G511,FALSE)</f>
        <v>19.284482758620602</v>
      </c>
      <c r="J511" s="131">
        <f ca="1">HLOOKUP($H$4,'Met Data'!$H$2:$M$368,G511,FALSE)*L511</f>
        <v>4.5</v>
      </c>
      <c r="K511" s="107">
        <f>HLOOKUP($H$4,'Met Data'!$O$2:$T$368,G511,FALSE)</f>
        <v>3.7481412243719401</v>
      </c>
      <c r="L511">
        <f t="shared" ca="1" si="81"/>
        <v>1</v>
      </c>
      <c r="N511" t="b">
        <f t="shared" ca="1" si="82"/>
        <v>0</v>
      </c>
      <c r="O511" t="b">
        <f t="shared" ca="1" si="83"/>
        <v>0</v>
      </c>
      <c r="P511">
        <f ca="1"/>
        <v>44756</v>
      </c>
      <c r="Q511">
        <f ca="1"/>
        <v>159.73113962946206</v>
      </c>
      <c r="R511">
        <f ca="1"/>
        <v>9.2767838803668998E-2</v>
      </c>
      <c r="S511">
        <f ca="1"/>
        <v>1.0010183011907145E-16</v>
      </c>
      <c r="T511">
        <f ca="1"/>
        <v>0.2925780312037885</v>
      </c>
      <c r="U511">
        <f ca="1"/>
        <v>0</v>
      </c>
      <c r="V511">
        <f ca="1"/>
        <v>2.9403520454162302</v>
      </c>
      <c r="W511">
        <f ca="1"/>
        <v>2.0328359820161599</v>
      </c>
      <c r="X511">
        <f ca="1"/>
        <v>0</v>
      </c>
      <c r="Y511">
        <f ca="1"/>
        <v>1</v>
      </c>
      <c r="Z511">
        <f ca="1"/>
        <v>3.2773413906915749</v>
      </c>
      <c r="AA511">
        <f ca="1"/>
        <v>0</v>
      </c>
      <c r="AB511">
        <f ca="1"/>
        <v>1.09528130783917E-2</v>
      </c>
      <c r="AD511" s="2">
        <f t="shared" ca="1" si="84"/>
        <v>44756</v>
      </c>
      <c r="AE511" s="46">
        <f t="shared" ca="1" si="85"/>
        <v>0</v>
      </c>
      <c r="AG511" s="72">
        <f t="shared" ca="1" si="86"/>
        <v>159.8239074682657</v>
      </c>
      <c r="AH511" s="72">
        <f t="shared" ca="1" si="87"/>
        <v>159.82390746826573</v>
      </c>
      <c r="AI511" s="3">
        <f t="shared" ca="1" si="88"/>
        <v>0</v>
      </c>
    </row>
    <row r="512" spans="7:35" ht="15.75" thickBot="1" x14ac:dyDescent="0.3">
      <c r="G512" s="3">
        <f t="shared" si="80"/>
        <v>50</v>
      </c>
      <c r="H512" s="106">
        <f t="shared" si="76"/>
        <v>44610</v>
      </c>
      <c r="I512" s="133">
        <f>HLOOKUP($H$4,'Met Data'!$A$2:$F$368,G512,FALSE)</f>
        <v>19.415517241379298</v>
      </c>
      <c r="J512" s="131">
        <f ca="1">HLOOKUP($H$4,'Met Data'!$H$2:$M$368,G512,FALSE)*L512</f>
        <v>1.4</v>
      </c>
      <c r="K512" s="107">
        <f>HLOOKUP($H$4,'Met Data'!$O$2:$T$368,G512,FALSE)</f>
        <v>3.8682529987421499</v>
      </c>
      <c r="L512">
        <f t="shared" ca="1" si="81"/>
        <v>1</v>
      </c>
      <c r="N512" t="b">
        <f t="shared" ca="1" si="82"/>
        <v>0</v>
      </c>
      <c r="O512" t="b">
        <f t="shared" ca="1" si="83"/>
        <v>0</v>
      </c>
      <c r="P512">
        <f ca="1"/>
        <v>44757</v>
      </c>
      <c r="Q512">
        <f ca="1"/>
        <v>159.94591305550574</v>
      </c>
      <c r="R512">
        <f ca="1"/>
        <v>0.104954557618108</v>
      </c>
      <c r="S512">
        <f ca="1"/>
        <v>9.7151442903187398E-17</v>
      </c>
      <c r="T512">
        <f ca="1"/>
        <v>0.3197279836618086</v>
      </c>
      <c r="U512">
        <f ca="1"/>
        <v>0</v>
      </c>
      <c r="V512">
        <f ca="1"/>
        <v>3.0453066030343399</v>
      </c>
      <c r="W512">
        <f ca="1"/>
        <v>2.1053971576533699</v>
      </c>
      <c r="X512">
        <f ca="1"/>
        <v>0</v>
      </c>
      <c r="Y512">
        <f ca="1"/>
        <v>1</v>
      </c>
      <c r="Z512">
        <f ca="1"/>
        <v>5.0815731312560644</v>
      </c>
      <c r="AA512">
        <f ca="1"/>
        <v>0</v>
      </c>
      <c r="AB512">
        <f ca="1"/>
        <v>1.17071938448353E-2</v>
      </c>
      <c r="AD512" s="2">
        <f t="shared" ca="1" si="84"/>
        <v>44757</v>
      </c>
      <c r="AE512" s="46">
        <f t="shared" ca="1" si="85"/>
        <v>0</v>
      </c>
      <c r="AG512" s="72">
        <f t="shared" ca="1" si="86"/>
        <v>160.05086761312387</v>
      </c>
      <c r="AH512" s="72">
        <f t="shared" ca="1" si="87"/>
        <v>160.05086761312384</v>
      </c>
      <c r="AI512" s="3">
        <f t="shared" ca="1" si="88"/>
        <v>0</v>
      </c>
    </row>
    <row r="513" spans="7:35" ht="15.75" thickBot="1" x14ac:dyDescent="0.3">
      <c r="G513" s="3">
        <f t="shared" si="80"/>
        <v>51</v>
      </c>
      <c r="H513" s="106">
        <f t="shared" si="76"/>
        <v>44611</v>
      </c>
      <c r="I513" s="133">
        <f>HLOOKUP($H$4,'Met Data'!$A$2:$F$368,G513,FALSE)</f>
        <v>19.4189655172413</v>
      </c>
      <c r="J513" s="131">
        <f ca="1">HLOOKUP($H$4,'Met Data'!$H$2:$M$368,G513,FALSE)*L513</f>
        <v>1.4655172413793101</v>
      </c>
      <c r="K513" s="107">
        <f>HLOOKUP($H$4,'Met Data'!$O$2:$T$368,G513,FALSE)</f>
        <v>3.6105345286952</v>
      </c>
      <c r="L513">
        <f t="shared" ca="1" si="81"/>
        <v>1</v>
      </c>
      <c r="N513" t="b">
        <f t="shared" ca="1" si="82"/>
        <v>0</v>
      </c>
      <c r="O513" t="b">
        <f t="shared" ca="1" si="83"/>
        <v>0</v>
      </c>
      <c r="P513">
        <f ca="1"/>
        <v>44758</v>
      </c>
      <c r="Q513">
        <f ca="1"/>
        <v>160.16895942849425</v>
      </c>
      <c r="R513">
        <f ca="1"/>
        <v>0.114663701091961</v>
      </c>
      <c r="S513">
        <f ca="1"/>
        <v>8.9729121404765022E-17</v>
      </c>
      <c r="T513">
        <f ca="1"/>
        <v>0.33771007408048165</v>
      </c>
      <c r="U513">
        <f ca="1"/>
        <v>0</v>
      </c>
      <c r="V513">
        <f ca="1"/>
        <v>3.1599703041263001</v>
      </c>
      <c r="W513">
        <f ca="1"/>
        <v>2.1846708275441098</v>
      </c>
      <c r="X513">
        <f ca="1"/>
        <v>0</v>
      </c>
      <c r="Y513">
        <f ca="1"/>
        <v>1</v>
      </c>
      <c r="Z513">
        <f ca="1"/>
        <v>3.9107611882139537</v>
      </c>
      <c r="AA513">
        <f ca="1"/>
        <v>0</v>
      </c>
      <c r="AB513">
        <f ca="1"/>
        <v>1.2558490354180701E-2</v>
      </c>
      <c r="AD513" s="2">
        <f t="shared" ca="1" si="84"/>
        <v>44758</v>
      </c>
      <c r="AE513" s="46">
        <f t="shared" ca="1" si="85"/>
        <v>0</v>
      </c>
      <c r="AG513" s="72">
        <f t="shared" ca="1" si="86"/>
        <v>160.28362312958623</v>
      </c>
      <c r="AH513" s="72">
        <f t="shared" ca="1" si="87"/>
        <v>160.2836231295862</v>
      </c>
      <c r="AI513" s="3">
        <f t="shared" ca="1" si="88"/>
        <v>0</v>
      </c>
    </row>
    <row r="514" spans="7:35" ht="15.75" thickBot="1" x14ac:dyDescent="0.3">
      <c r="G514" s="3">
        <f t="shared" si="80"/>
        <v>52</v>
      </c>
      <c r="H514" s="106">
        <f t="shared" si="76"/>
        <v>44612</v>
      </c>
      <c r="I514" s="133">
        <f>HLOOKUP($H$4,'Met Data'!$A$2:$F$368,G514,FALSE)</f>
        <v>19.5068965517241</v>
      </c>
      <c r="J514" s="131">
        <f ca="1">HLOOKUP($H$4,'Met Data'!$H$2:$M$368,G514,FALSE)*L514</f>
        <v>3.8517241379310301</v>
      </c>
      <c r="K514" s="107">
        <f>HLOOKUP($H$4,'Met Data'!$O$2:$T$368,G514,FALSE)</f>
        <v>3.6240453059598501</v>
      </c>
      <c r="L514">
        <f t="shared" ca="1" si="81"/>
        <v>1</v>
      </c>
      <c r="N514" t="b">
        <f t="shared" ca="1" si="82"/>
        <v>0</v>
      </c>
      <c r="O514" t="b">
        <f t="shared" ca="1" si="83"/>
        <v>0</v>
      </c>
      <c r="P514">
        <f ca="1"/>
        <v>44759</v>
      </c>
      <c r="Q514">
        <f ca="1"/>
        <v>160.38254686095831</v>
      </c>
      <c r="R514">
        <f ca="1"/>
        <v>0.116052880336006</v>
      </c>
      <c r="S514">
        <f ca="1"/>
        <v>7.6142838230759325E-17</v>
      </c>
      <c r="T514">
        <f ca="1"/>
        <v>0.32964031280003725</v>
      </c>
      <c r="U514">
        <f ca="1"/>
        <v>0</v>
      </c>
      <c r="V514">
        <f ca="1"/>
        <v>3.2760231844623</v>
      </c>
      <c r="W514">
        <f ca="1"/>
        <v>2.2649049176529501</v>
      </c>
      <c r="X514">
        <f ca="1"/>
        <v>0</v>
      </c>
      <c r="Y514">
        <f ca="1"/>
        <v>1</v>
      </c>
      <c r="Z514">
        <f ca="1"/>
        <v>6.4249547530061761</v>
      </c>
      <c r="AA514">
        <f ca="1"/>
        <v>0</v>
      </c>
      <c r="AB514">
        <f ca="1"/>
        <v>1.3448807662290001E-2</v>
      </c>
      <c r="AD514" s="2">
        <f t="shared" ca="1" si="84"/>
        <v>44759</v>
      </c>
      <c r="AE514" s="46">
        <f t="shared" ca="1" si="85"/>
        <v>0</v>
      </c>
      <c r="AG514" s="72">
        <f t="shared" ca="1" si="86"/>
        <v>160.49859974129427</v>
      </c>
      <c r="AH514" s="72">
        <f t="shared" ca="1" si="87"/>
        <v>160.49859974129433</v>
      </c>
      <c r="AI514" s="3">
        <f t="shared" ca="1" si="88"/>
        <v>0</v>
      </c>
    </row>
    <row r="515" spans="7:35" ht="15.75" thickBot="1" x14ac:dyDescent="0.3">
      <c r="G515" s="3">
        <f t="shared" si="80"/>
        <v>53</v>
      </c>
      <c r="H515" s="106">
        <f t="shared" si="76"/>
        <v>44613</v>
      </c>
      <c r="I515" s="133">
        <f>HLOOKUP($H$4,'Met Data'!$A$2:$F$368,G515,FALSE)</f>
        <v>19.441666666666599</v>
      </c>
      <c r="J515" s="131">
        <f ca="1">HLOOKUP($H$4,'Met Data'!$H$2:$M$368,G515,FALSE)*L515</f>
        <v>3</v>
      </c>
      <c r="K515" s="107">
        <f>HLOOKUP($H$4,'Met Data'!$O$2:$T$368,G515,FALSE)</f>
        <v>3.73403385362748</v>
      </c>
      <c r="L515">
        <f t="shared" ca="1" si="81"/>
        <v>1</v>
      </c>
      <c r="N515" t="b">
        <f t="shared" ca="1" si="82"/>
        <v>0</v>
      </c>
      <c r="O515" t="b">
        <f t="shared" ca="1" si="83"/>
        <v>0</v>
      </c>
      <c r="P515">
        <f ca="1"/>
        <v>44760</v>
      </c>
      <c r="Q515">
        <f ca="1"/>
        <v>160.58471800837049</v>
      </c>
      <c r="R515">
        <f ca="1"/>
        <v>0.115983378559818</v>
      </c>
      <c r="S515">
        <f ca="1"/>
        <v>6.4095228701254059E-17</v>
      </c>
      <c r="T515">
        <f ca="1"/>
        <v>0.31815452597200644</v>
      </c>
      <c r="U515">
        <f ca="1"/>
        <v>0</v>
      </c>
      <c r="V515">
        <f ca="1"/>
        <v>3.3920065630221199</v>
      </c>
      <c r="W515">
        <f ca="1"/>
        <v>2.3450909571511001</v>
      </c>
      <c r="X515">
        <f ca="1"/>
        <v>0</v>
      </c>
      <c r="Y515">
        <f ca="1"/>
        <v>1</v>
      </c>
      <c r="Z515">
        <f ca="1"/>
        <v>6.517568866056024</v>
      </c>
      <c r="AA515">
        <f ca="1"/>
        <v>0</v>
      </c>
      <c r="AB515">
        <f ca="1"/>
        <v>1.4367300893955E-2</v>
      </c>
      <c r="AD515" s="2">
        <f t="shared" ca="1" si="84"/>
        <v>44760</v>
      </c>
      <c r="AE515" s="46">
        <f t="shared" ca="1" si="85"/>
        <v>0</v>
      </c>
      <c r="AG515" s="72">
        <f t="shared" ca="1" si="86"/>
        <v>160.70070138693032</v>
      </c>
      <c r="AH515" s="72">
        <f t="shared" ca="1" si="87"/>
        <v>160.70070138693029</v>
      </c>
      <c r="AI515" s="3">
        <f t="shared" ca="1" si="88"/>
        <v>0</v>
      </c>
    </row>
    <row r="516" spans="7:35" ht="15.75" thickBot="1" x14ac:dyDescent="0.3">
      <c r="G516" s="3">
        <f t="shared" si="80"/>
        <v>54</v>
      </c>
      <c r="H516" s="106">
        <f t="shared" si="76"/>
        <v>44614</v>
      </c>
      <c r="I516" s="133">
        <f>HLOOKUP($H$4,'Met Data'!$A$2:$F$368,G516,FALSE)</f>
        <v>19.231666666666602</v>
      </c>
      <c r="J516" s="131">
        <f ca="1">HLOOKUP($H$4,'Met Data'!$H$2:$M$368,G516,FALSE)*L516</f>
        <v>1.5333333333333301</v>
      </c>
      <c r="K516" s="107">
        <f>HLOOKUP($H$4,'Met Data'!$O$2:$T$368,G516,FALSE)</f>
        <v>3.6261565374234999</v>
      </c>
      <c r="L516">
        <f t="shared" ca="1" si="81"/>
        <v>1</v>
      </c>
      <c r="N516" t="b">
        <f t="shared" ca="1" si="82"/>
        <v>0</v>
      </c>
      <c r="O516" t="b">
        <f t="shared" ca="1" si="83"/>
        <v>0</v>
      </c>
      <c r="P516">
        <f ca="1"/>
        <v>44761</v>
      </c>
      <c r="Q516">
        <f ca="1"/>
        <v>160.78039521521498</v>
      </c>
      <c r="R516">
        <f ca="1"/>
        <v>0.118388589541627</v>
      </c>
      <c r="S516">
        <f ca="1"/>
        <v>5.5433587849033168E-17</v>
      </c>
      <c r="T516">
        <f ca="1"/>
        <v>0.31406579638611615</v>
      </c>
      <c r="U516">
        <f ca="1"/>
        <v>0</v>
      </c>
      <c r="V516">
        <f ca="1"/>
        <v>3.51039515256375</v>
      </c>
      <c r="W516">
        <f ca="1"/>
        <v>2.4269398585625899</v>
      </c>
      <c r="X516">
        <f ca="1"/>
        <v>0</v>
      </c>
      <c r="Y516">
        <f ca="1"/>
        <v>1</v>
      </c>
      <c r="Z516">
        <f ca="1"/>
        <v>2.9629385852994403</v>
      </c>
      <c r="AA516">
        <f ca="1"/>
        <v>0</v>
      </c>
      <c r="AB516">
        <f ca="1"/>
        <v>1.53342883836375E-2</v>
      </c>
      <c r="AD516" s="2">
        <f t="shared" ca="1" si="84"/>
        <v>44761</v>
      </c>
      <c r="AE516" s="46">
        <f t="shared" ca="1" si="85"/>
        <v>0</v>
      </c>
      <c r="AG516" s="72">
        <f t="shared" ca="1" si="86"/>
        <v>160.89878380475659</v>
      </c>
      <c r="AH516" s="72">
        <f t="shared" ca="1" si="87"/>
        <v>160.89878380475662</v>
      </c>
      <c r="AI516" s="3">
        <f t="shared" ca="1" si="88"/>
        <v>0</v>
      </c>
    </row>
    <row r="517" spans="7:35" ht="15.75" thickBot="1" x14ac:dyDescent="0.3">
      <c r="G517" s="3">
        <f t="shared" si="80"/>
        <v>55</v>
      </c>
      <c r="H517" s="106">
        <f t="shared" si="76"/>
        <v>44615</v>
      </c>
      <c r="I517" s="133">
        <f>HLOOKUP($H$4,'Met Data'!$A$2:$F$368,G517,FALSE)</f>
        <v>19.22</v>
      </c>
      <c r="J517" s="131">
        <f ca="1">HLOOKUP($H$4,'Met Data'!$H$2:$M$368,G517,FALSE)*L517</f>
        <v>3.06</v>
      </c>
      <c r="K517" s="107">
        <f>HLOOKUP($H$4,'Met Data'!$O$2:$T$368,G517,FALSE)</f>
        <v>3.6095974227769201</v>
      </c>
      <c r="L517">
        <f t="shared" ca="1" si="81"/>
        <v>1</v>
      </c>
      <c r="N517" t="b">
        <f t="shared" ca="1" si="82"/>
        <v>0</v>
      </c>
      <c r="O517" t="b">
        <f t="shared" ca="1" si="83"/>
        <v>0</v>
      </c>
      <c r="P517">
        <f ca="1"/>
        <v>44762</v>
      </c>
      <c r="Q517">
        <f ca="1"/>
        <v>160.98112958676262</v>
      </c>
      <c r="R517">
        <f ca="1"/>
        <v>0.128232019318198</v>
      </c>
      <c r="S517">
        <f ca="1"/>
        <v>5.0941076679326749E-17</v>
      </c>
      <c r="T517">
        <f ca="1"/>
        <v>0.32896639086585366</v>
      </c>
      <c r="U517">
        <f ca="1"/>
        <v>0</v>
      </c>
      <c r="V517">
        <f ca="1"/>
        <v>3.6386271718819501</v>
      </c>
      <c r="W517">
        <f ca="1"/>
        <v>2.5155940941406101</v>
      </c>
      <c r="X517">
        <f ca="1"/>
        <v>0</v>
      </c>
      <c r="Y517">
        <f ca="1"/>
        <v>1</v>
      </c>
      <c r="Z517">
        <f ca="1"/>
        <v>1.4520368602671283</v>
      </c>
      <c r="AA517">
        <f ca="1"/>
        <v>0</v>
      </c>
      <c r="AB517">
        <f ca="1"/>
        <v>1.6415056365922501E-2</v>
      </c>
      <c r="AD517" s="2">
        <f t="shared" ca="1" si="84"/>
        <v>44762</v>
      </c>
      <c r="AE517" s="46">
        <f t="shared" ca="1" si="85"/>
        <v>0</v>
      </c>
      <c r="AG517" s="72">
        <f t="shared" ca="1" si="86"/>
        <v>161.10936160608082</v>
      </c>
      <c r="AH517" s="72">
        <f t="shared" ca="1" si="87"/>
        <v>161.10936160608082</v>
      </c>
      <c r="AI517" s="3">
        <f t="shared" ca="1" si="88"/>
        <v>0</v>
      </c>
    </row>
    <row r="518" spans="7:35" ht="15.75" thickBot="1" x14ac:dyDescent="0.3">
      <c r="G518" s="3">
        <f t="shared" si="80"/>
        <v>56</v>
      </c>
      <c r="H518" s="106">
        <f t="shared" si="76"/>
        <v>44616</v>
      </c>
      <c r="I518" s="133">
        <f>HLOOKUP($H$4,'Met Data'!$A$2:$F$368,G518,FALSE)</f>
        <v>18.793333333333301</v>
      </c>
      <c r="J518" s="131">
        <f ca="1">HLOOKUP($H$4,'Met Data'!$H$2:$M$368,G518,FALSE)*L518</f>
        <v>1.73</v>
      </c>
      <c r="K518" s="107">
        <f>HLOOKUP($H$4,'Met Data'!$O$2:$T$368,G518,FALSE)</f>
        <v>3.9865323105658801</v>
      </c>
      <c r="L518">
        <f t="shared" ca="1" si="81"/>
        <v>1</v>
      </c>
      <c r="N518" t="b">
        <f t="shared" ca="1" si="82"/>
        <v>0</v>
      </c>
      <c r="O518" t="b">
        <f t="shared" ca="1" si="83"/>
        <v>0</v>
      </c>
      <c r="P518">
        <f ca="1"/>
        <v>44763</v>
      </c>
      <c r="Q518">
        <f ca="1"/>
        <v>161.16835327232491</v>
      </c>
      <c r="R518">
        <f ca="1"/>
        <v>0.12659715019895601</v>
      </c>
      <c r="S518">
        <f ca="1"/>
        <v>4.239327240457814E-17</v>
      </c>
      <c r="T518">
        <f ca="1"/>
        <v>0.31382083576124625</v>
      </c>
      <c r="U518">
        <f ca="1"/>
        <v>0</v>
      </c>
      <c r="V518">
        <f ca="1"/>
        <v>3.7652243220809001</v>
      </c>
      <c r="W518">
        <f ca="1"/>
        <v>2.6031180498337099</v>
      </c>
      <c r="X518">
        <f ca="1"/>
        <v>0</v>
      </c>
      <c r="Y518">
        <f ca="1"/>
        <v>1</v>
      </c>
      <c r="Z518">
        <f ca="1"/>
        <v>3.4108161088605158</v>
      </c>
      <c r="AA518">
        <f ca="1"/>
        <v>0</v>
      </c>
      <c r="AB518">
        <f ca="1"/>
        <v>1.7515903091983202E-2</v>
      </c>
      <c r="AD518" s="2">
        <f t="shared" ca="1" si="84"/>
        <v>44763</v>
      </c>
      <c r="AE518" s="46">
        <f t="shared" ca="1" si="85"/>
        <v>0</v>
      </c>
      <c r="AG518" s="72">
        <f t="shared" ca="1" si="86"/>
        <v>161.29495042252387</v>
      </c>
      <c r="AH518" s="72">
        <f t="shared" ca="1" si="87"/>
        <v>161.29495042252387</v>
      </c>
      <c r="AI518" s="3">
        <f t="shared" ca="1" si="88"/>
        <v>0</v>
      </c>
    </row>
    <row r="519" spans="7:35" ht="15.75" thickBot="1" x14ac:dyDescent="0.3">
      <c r="G519" s="3">
        <f t="shared" si="80"/>
        <v>57</v>
      </c>
      <c r="H519" s="106">
        <f t="shared" si="76"/>
        <v>44617</v>
      </c>
      <c r="I519" s="133">
        <f>HLOOKUP($H$4,'Met Data'!$A$2:$F$368,G519,FALSE)</f>
        <v>18.3</v>
      </c>
      <c r="J519" s="131">
        <f ca="1">HLOOKUP($H$4,'Met Data'!$H$2:$M$368,G519,FALSE)*L519</f>
        <v>1.1766666666666601</v>
      </c>
      <c r="K519" s="107">
        <f>HLOOKUP($H$4,'Met Data'!$O$2:$T$368,G519,FALSE)</f>
        <v>3.88204927928038</v>
      </c>
      <c r="L519">
        <f t="shared" ca="1" si="81"/>
        <v>1</v>
      </c>
      <c r="N519" t="b">
        <f t="shared" ca="1" si="82"/>
        <v>0</v>
      </c>
      <c r="O519" t="b">
        <f t="shared" ca="1" si="83"/>
        <v>0</v>
      </c>
      <c r="P519">
        <f ca="1"/>
        <v>44764</v>
      </c>
      <c r="Q519">
        <f ca="1"/>
        <v>161.3618484474872</v>
      </c>
      <c r="R519">
        <f ca="1"/>
        <v>0.13842766448917901</v>
      </c>
      <c r="S519">
        <f ca="1"/>
        <v>3.9333543624452509E-17</v>
      </c>
      <c r="T519">
        <f ca="1"/>
        <v>0.33192283965147928</v>
      </c>
      <c r="U519">
        <f ca="1"/>
        <v>0</v>
      </c>
      <c r="V519">
        <f ca="1"/>
        <v>3.9036519865700798</v>
      </c>
      <c r="W519">
        <f ca="1"/>
        <v>2.6988211265175899</v>
      </c>
      <c r="X519">
        <f ca="1"/>
        <v>0</v>
      </c>
      <c r="Y519">
        <f ca="1"/>
        <v>1</v>
      </c>
      <c r="Z519">
        <f ca="1"/>
        <v>4.1760795592317947</v>
      </c>
      <c r="AA519">
        <f ca="1"/>
        <v>0</v>
      </c>
      <c r="AB519">
        <f ca="1"/>
        <v>1.8757891202338301E-2</v>
      </c>
      <c r="AD519" s="2">
        <f t="shared" ca="1" si="84"/>
        <v>44764</v>
      </c>
      <c r="AE519" s="46">
        <f t="shared" ca="1" si="85"/>
        <v>0</v>
      </c>
      <c r="AG519" s="72">
        <f t="shared" ca="1" si="86"/>
        <v>161.50027611197638</v>
      </c>
      <c r="AH519" s="72">
        <f t="shared" ca="1" si="87"/>
        <v>161.50027611197638</v>
      </c>
      <c r="AI519" s="3">
        <f t="shared" ca="1" si="88"/>
        <v>0</v>
      </c>
    </row>
    <row r="520" spans="7:35" ht="15.75" thickBot="1" x14ac:dyDescent="0.3">
      <c r="G520" s="3">
        <f t="shared" si="80"/>
        <v>58</v>
      </c>
      <c r="H520" s="106">
        <f t="shared" ref="H520:H583" si="89">H519+1</f>
        <v>44618</v>
      </c>
      <c r="I520" s="133">
        <f>HLOOKUP($H$4,'Met Data'!$A$2:$F$368,G520,FALSE)</f>
        <v>18.41</v>
      </c>
      <c r="J520" s="131">
        <f ca="1">HLOOKUP($H$4,'Met Data'!$H$2:$M$368,G520,FALSE)*L520</f>
        <v>2.0233333333333299</v>
      </c>
      <c r="K520" s="107">
        <f>HLOOKUP($H$4,'Met Data'!$O$2:$T$368,G520,FALSE)</f>
        <v>4.05937925457948</v>
      </c>
      <c r="L520">
        <f t="shared" ca="1" si="81"/>
        <v>1</v>
      </c>
      <c r="N520" t="b">
        <f t="shared" ca="1" si="82"/>
        <v>0</v>
      </c>
      <c r="O520" t="b">
        <f t="shared" ca="1" si="83"/>
        <v>0</v>
      </c>
      <c r="P520">
        <f ca="1"/>
        <v>44765</v>
      </c>
      <c r="Q520">
        <f ca="1"/>
        <v>161.54794263158274</v>
      </c>
      <c r="R520">
        <f ca="1"/>
        <v>0.141452748857049</v>
      </c>
      <c r="S520">
        <f ca="1"/>
        <v>3.3813699623701547E-17</v>
      </c>
      <c r="T520">
        <f ca="1"/>
        <v>0.32754693295256765</v>
      </c>
      <c r="U520">
        <f ca="1"/>
        <v>0</v>
      </c>
      <c r="V520">
        <f ca="1"/>
        <v>4.0451047354271301</v>
      </c>
      <c r="W520">
        <f ca="1"/>
        <v>2.7966156195545602</v>
      </c>
      <c r="X520">
        <f ca="1"/>
        <v>0</v>
      </c>
      <c r="Y520">
        <f ca="1"/>
        <v>1</v>
      </c>
      <c r="Z520">
        <f ca="1"/>
        <v>6.7281127951907536</v>
      </c>
      <c r="AA520">
        <f ca="1"/>
        <v>0</v>
      </c>
      <c r="AB520">
        <f ca="1"/>
        <v>2.0068048189922E-2</v>
      </c>
      <c r="AD520" s="2">
        <f t="shared" ca="1" si="84"/>
        <v>44765</v>
      </c>
      <c r="AE520" s="46">
        <f t="shared" ca="1" si="85"/>
        <v>0</v>
      </c>
      <c r="AG520" s="72">
        <f t="shared" ca="1" si="86"/>
        <v>161.68939538043978</v>
      </c>
      <c r="AH520" s="72">
        <f t="shared" ca="1" si="87"/>
        <v>161.68939538043981</v>
      </c>
      <c r="AI520" s="3">
        <f t="shared" ca="1" si="88"/>
        <v>0</v>
      </c>
    </row>
    <row r="521" spans="7:35" ht="15.75" thickBot="1" x14ac:dyDescent="0.3">
      <c r="G521" s="3">
        <f t="shared" si="80"/>
        <v>59</v>
      </c>
      <c r="H521" s="106">
        <f t="shared" si="89"/>
        <v>44619</v>
      </c>
      <c r="I521" s="133">
        <f>HLOOKUP($H$4,'Met Data'!$A$2:$F$368,G521,FALSE)</f>
        <v>18.516666666666602</v>
      </c>
      <c r="J521" s="131">
        <f ca="1">HLOOKUP($H$4,'Met Data'!$H$2:$M$368,G521,FALSE)*L521</f>
        <v>1.5499999999999901</v>
      </c>
      <c r="K521" s="107">
        <f>HLOOKUP($H$4,'Met Data'!$O$2:$T$368,G521,FALSE)</f>
        <v>3.8269283002116601</v>
      </c>
      <c r="L521">
        <f t="shared" ca="1" si="81"/>
        <v>1</v>
      </c>
      <c r="N521" t="b">
        <f t="shared" ca="1" si="82"/>
        <v>0</v>
      </c>
      <c r="O521" t="b">
        <f t="shared" ca="1" si="83"/>
        <v>0</v>
      </c>
      <c r="P521">
        <f ca="1"/>
        <v>44766</v>
      </c>
      <c r="Q521">
        <f ca="1"/>
        <v>161.72966426578313</v>
      </c>
      <c r="R521">
        <f ca="1"/>
        <v>0.14682377164879201</v>
      </c>
      <c r="S521">
        <f ca="1"/>
        <v>2.9591073885775375E-17</v>
      </c>
      <c r="T521">
        <f ca="1"/>
        <v>0.32854540584919673</v>
      </c>
      <c r="U521">
        <f ca="1"/>
        <v>0</v>
      </c>
      <c r="V521">
        <f ca="1"/>
        <v>4.1919285070759198</v>
      </c>
      <c r="W521">
        <f ca="1"/>
        <v>2.8981234122994</v>
      </c>
      <c r="X521">
        <f ca="1"/>
        <v>0</v>
      </c>
      <c r="Y521">
        <f ca="1"/>
        <v>1</v>
      </c>
      <c r="Z521">
        <f ca="1"/>
        <v>2.8707394853059611</v>
      </c>
      <c r="AA521">
        <f ca="1"/>
        <v>0</v>
      </c>
      <c r="AB521">
        <f ca="1"/>
        <v>2.14715087358665E-2</v>
      </c>
      <c r="AD521" s="2">
        <f t="shared" ca="1" si="84"/>
        <v>44766</v>
      </c>
      <c r="AE521" s="46">
        <f t="shared" ca="1" si="85"/>
        <v>0</v>
      </c>
      <c r="AG521" s="72">
        <f t="shared" ca="1" si="86"/>
        <v>161.87648803743193</v>
      </c>
      <c r="AH521" s="72">
        <f t="shared" ca="1" si="87"/>
        <v>161.87648803743193</v>
      </c>
      <c r="AI521" s="3">
        <f t="shared" ca="1" si="88"/>
        <v>0</v>
      </c>
    </row>
    <row r="522" spans="7:35" ht="15.75" thickBot="1" x14ac:dyDescent="0.3">
      <c r="G522" s="3">
        <f t="shared" si="80"/>
        <v>60</v>
      </c>
      <c r="H522" s="106">
        <f t="shared" si="89"/>
        <v>44620</v>
      </c>
      <c r="I522" s="133">
        <f>HLOOKUP($H$4,'Met Data'!$A$2:$F$368,G522,FALSE)</f>
        <v>18.253571428571401</v>
      </c>
      <c r="J522" s="131">
        <f ca="1">HLOOKUP($H$4,'Met Data'!$H$2:$M$368,G522,FALSE)*L522</f>
        <v>3.4793103448275802</v>
      </c>
      <c r="K522" s="107">
        <f>HLOOKUP($H$4,'Met Data'!$O$2:$T$368,G522,FALSE)</f>
        <v>3.4828962462929298</v>
      </c>
      <c r="L522">
        <f t="shared" ca="1" si="81"/>
        <v>1</v>
      </c>
      <c r="N522" t="b">
        <f t="shared" ca="1" si="82"/>
        <v>0</v>
      </c>
      <c r="O522" t="b">
        <f t="shared" ca="1" si="83"/>
        <v>0</v>
      </c>
      <c r="P522">
        <f ca="1"/>
        <v>44767</v>
      </c>
      <c r="Q522">
        <f ca="1"/>
        <v>161.8968519971578</v>
      </c>
      <c r="R522">
        <f ca="1"/>
        <v>0.14367853013144799</v>
      </c>
      <c r="S522">
        <f ca="1"/>
        <v>2.4426957702261316E-17</v>
      </c>
      <c r="T522">
        <f ca="1"/>
        <v>0.31086626150610147</v>
      </c>
      <c r="U522">
        <f ca="1"/>
        <v>0</v>
      </c>
      <c r="V522">
        <f ca="1"/>
        <v>4.3356070372073701</v>
      </c>
      <c r="W522">
        <f ca="1"/>
        <v>2.99745671708164</v>
      </c>
      <c r="X522">
        <f ca="1"/>
        <v>0</v>
      </c>
      <c r="Y522">
        <f ca="1"/>
        <v>1</v>
      </c>
      <c r="Z522">
        <f ca="1"/>
        <v>3.5243759965217833</v>
      </c>
      <c r="AA522">
        <f ca="1"/>
        <v>0</v>
      </c>
      <c r="AB522">
        <f ca="1"/>
        <v>2.2887544405277301E-2</v>
      </c>
      <c r="AD522" s="2">
        <f t="shared" ca="1" si="84"/>
        <v>44767</v>
      </c>
      <c r="AE522" s="46">
        <f t="shared" ca="1" si="85"/>
        <v>0</v>
      </c>
      <c r="AG522" s="72">
        <f t="shared" ca="1" si="86"/>
        <v>162.04053052728923</v>
      </c>
      <c r="AH522" s="72">
        <f t="shared" ca="1" si="87"/>
        <v>162.04053052728923</v>
      </c>
      <c r="AI522" s="3">
        <f t="shared" ca="1" si="88"/>
        <v>0</v>
      </c>
    </row>
    <row r="523" spans="7:35" ht="15.75" thickBot="1" x14ac:dyDescent="0.3">
      <c r="G523" s="3">
        <f t="shared" si="80"/>
        <v>61</v>
      </c>
      <c r="H523" s="106">
        <f t="shared" si="89"/>
        <v>44621</v>
      </c>
      <c r="I523" s="133">
        <f>HLOOKUP($H$4,'Met Data'!$A$2:$F$368,G523,FALSE)</f>
        <v>18.313793103448202</v>
      </c>
      <c r="J523" s="131">
        <f ca="1">HLOOKUP($H$4,'Met Data'!$H$2:$M$368,G523,FALSE)*L523</f>
        <v>4.1758620689655102</v>
      </c>
      <c r="K523" s="107">
        <f>HLOOKUP($H$4,'Met Data'!$O$2:$T$368,G523,FALSE)</f>
        <v>3.6905226687271502</v>
      </c>
      <c r="L523">
        <f t="shared" ca="1" si="81"/>
        <v>1</v>
      </c>
      <c r="N523" t="b">
        <f t="shared" ca="1" si="82"/>
        <v>0</v>
      </c>
      <c r="O523" t="b">
        <f t="shared" ca="1" si="83"/>
        <v>0</v>
      </c>
      <c r="P523">
        <f ca="1"/>
        <v>44768</v>
      </c>
      <c r="Q523">
        <f ca="1"/>
        <v>162.05785375805957</v>
      </c>
      <c r="R523">
        <f ca="1"/>
        <v>0.146978172673525</v>
      </c>
      <c r="S523">
        <f ca="1"/>
        <v>2.1268553766834421E-17</v>
      </c>
      <c r="T523">
        <f ca="1"/>
        <v>0.3079799335752903</v>
      </c>
      <c r="U523">
        <f ca="1"/>
        <v>0</v>
      </c>
      <c r="V523">
        <f ca="1"/>
        <v>4.4825852098808996</v>
      </c>
      <c r="W523">
        <f ca="1"/>
        <v>3.09907125621395</v>
      </c>
      <c r="X523">
        <f ca="1"/>
        <v>0</v>
      </c>
      <c r="Y523">
        <f ca="1"/>
        <v>1</v>
      </c>
      <c r="Z523">
        <f ca="1"/>
        <v>2.1473612043870673</v>
      </c>
      <c r="AA523">
        <f ca="1"/>
        <v>0</v>
      </c>
      <c r="AB523">
        <f ca="1"/>
        <v>2.4379411205403601E-2</v>
      </c>
      <c r="AD523" s="2">
        <f t="shared" ca="1" si="84"/>
        <v>44768</v>
      </c>
      <c r="AE523" s="46">
        <f t="shared" ca="1" si="85"/>
        <v>0</v>
      </c>
      <c r="AG523" s="72">
        <f t="shared" ca="1" si="86"/>
        <v>162.20483193073309</v>
      </c>
      <c r="AH523" s="72">
        <f t="shared" ca="1" si="87"/>
        <v>162.20483193073309</v>
      </c>
      <c r="AI523" s="3">
        <f t="shared" ca="1" si="88"/>
        <v>0</v>
      </c>
    </row>
    <row r="524" spans="7:35" ht="15.75" thickBot="1" x14ac:dyDescent="0.3">
      <c r="G524" s="3">
        <f t="shared" si="80"/>
        <v>62</v>
      </c>
      <c r="H524" s="106">
        <f t="shared" si="89"/>
        <v>44622</v>
      </c>
      <c r="I524" s="133">
        <f>HLOOKUP($H$4,'Met Data'!$A$2:$F$368,G524,FALSE)</f>
        <v>18.701724137930999</v>
      </c>
      <c r="J524" s="131">
        <f ca="1">HLOOKUP($H$4,'Met Data'!$H$2:$M$368,G524,FALSE)*L524</f>
        <v>2.4379310344827498</v>
      </c>
      <c r="K524" s="107">
        <f>HLOOKUP($H$4,'Met Data'!$O$2:$T$368,G524,FALSE)</f>
        <v>3.7650592582328399</v>
      </c>
      <c r="L524">
        <f t="shared" ca="1" si="81"/>
        <v>1</v>
      </c>
      <c r="N524" t="b">
        <f t="shared" ca="1" si="82"/>
        <v>0</v>
      </c>
      <c r="O524" t="b">
        <f t="shared" ca="1" si="83"/>
        <v>0</v>
      </c>
      <c r="P524">
        <f ca="1"/>
        <v>44769</v>
      </c>
      <c r="Q524">
        <f ca="1"/>
        <v>162.22051744828784</v>
      </c>
      <c r="R524">
        <f ca="1"/>
        <v>0.158258566479655</v>
      </c>
      <c r="S524">
        <f ca="1"/>
        <v>1.9508982398113092E-17</v>
      </c>
      <c r="T524">
        <f ca="1"/>
        <v>0.32092225670793606</v>
      </c>
      <c r="U524">
        <f ca="1"/>
        <v>0</v>
      </c>
      <c r="V524">
        <f ca="1"/>
        <v>4.6408437763605503</v>
      </c>
      <c r="W524">
        <f ca="1"/>
        <v>3.20848458612581</v>
      </c>
      <c r="X524">
        <f ca="1"/>
        <v>0</v>
      </c>
      <c r="Y524">
        <f ca="1"/>
        <v>1</v>
      </c>
      <c r="Z524">
        <f ca="1"/>
        <v>3.8491147108661465</v>
      </c>
      <c r="AA524">
        <f ca="1"/>
        <v>0</v>
      </c>
      <c r="AB524">
        <f ca="1"/>
        <v>2.60343584969524E-2</v>
      </c>
      <c r="AD524" s="2">
        <f t="shared" ca="1" si="84"/>
        <v>44769</v>
      </c>
      <c r="AE524" s="46">
        <f t="shared" ca="1" si="85"/>
        <v>0</v>
      </c>
      <c r="AG524" s="72">
        <f t="shared" ca="1" si="86"/>
        <v>162.37877601476751</v>
      </c>
      <c r="AH524" s="72">
        <f t="shared" ca="1" si="87"/>
        <v>162.37877601476748</v>
      </c>
      <c r="AI524" s="3">
        <f t="shared" ca="1" si="88"/>
        <v>0</v>
      </c>
    </row>
    <row r="525" spans="7:35" ht="15.75" thickBot="1" x14ac:dyDescent="0.3">
      <c r="G525" s="3">
        <f t="shared" si="80"/>
        <v>63</v>
      </c>
      <c r="H525" s="106">
        <f t="shared" si="89"/>
        <v>44623</v>
      </c>
      <c r="I525" s="133">
        <f>HLOOKUP($H$4,'Met Data'!$A$2:$F$368,G525,FALSE)</f>
        <v>18.759999999999899</v>
      </c>
      <c r="J525" s="131">
        <f ca="1">HLOOKUP($H$4,'Met Data'!$H$2:$M$368,G525,FALSE)*L525</f>
        <v>3.53666666666666</v>
      </c>
      <c r="K525" s="107">
        <f>HLOOKUP($H$4,'Met Data'!$O$2:$T$368,G525,FALSE)</f>
        <v>3.6493457095997699</v>
      </c>
      <c r="L525">
        <f t="shared" ca="1" si="81"/>
        <v>1</v>
      </c>
      <c r="N525" t="b">
        <f t="shared" ca="1" si="82"/>
        <v>0</v>
      </c>
      <c r="O525" t="b">
        <f t="shared" ca="1" si="83"/>
        <v>0</v>
      </c>
      <c r="P525">
        <f ca="1"/>
        <v>44770</v>
      </c>
      <c r="Q525">
        <f ca="1"/>
        <v>162.37910970464799</v>
      </c>
      <c r="R525">
        <f ca="1"/>
        <v>0.16492790700308699</v>
      </c>
      <c r="S525">
        <f ca="1"/>
        <v>1.7208167964548395E-17</v>
      </c>
      <c r="T525">
        <f ca="1"/>
        <v>0.32352016336321787</v>
      </c>
      <c r="U525">
        <f ca="1"/>
        <v>0</v>
      </c>
      <c r="V525">
        <f ca="1"/>
        <v>4.8057716833636404</v>
      </c>
      <c r="W525">
        <f ca="1"/>
        <v>3.3225088181279498</v>
      </c>
      <c r="X525">
        <f ca="1"/>
        <v>0</v>
      </c>
      <c r="Y525">
        <f ca="1"/>
        <v>1</v>
      </c>
      <c r="Z525">
        <f ca="1"/>
        <v>2.0197279512015314</v>
      </c>
      <c r="AA525">
        <f ca="1"/>
        <v>0</v>
      </c>
      <c r="AB525">
        <f ca="1"/>
        <v>2.7812189524209899E-2</v>
      </c>
      <c r="AD525" s="2">
        <f t="shared" ca="1" si="84"/>
        <v>44770</v>
      </c>
      <c r="AE525" s="46">
        <f t="shared" ca="1" si="85"/>
        <v>0</v>
      </c>
      <c r="AG525" s="72">
        <f t="shared" ca="1" si="86"/>
        <v>162.54403761165105</v>
      </c>
      <c r="AH525" s="72">
        <f t="shared" ca="1" si="87"/>
        <v>162.54403761165108</v>
      </c>
      <c r="AI525" s="3">
        <f t="shared" ca="1" si="88"/>
        <v>0</v>
      </c>
    </row>
    <row r="526" spans="7:35" ht="15.75" thickBot="1" x14ac:dyDescent="0.3">
      <c r="G526" s="3">
        <f t="shared" si="80"/>
        <v>64</v>
      </c>
      <c r="H526" s="106">
        <f t="shared" si="89"/>
        <v>44624</v>
      </c>
      <c r="I526" s="133">
        <f>HLOOKUP($H$4,'Met Data'!$A$2:$F$368,G526,FALSE)</f>
        <v>18.0322580645161</v>
      </c>
      <c r="J526" s="131">
        <f ca="1">HLOOKUP($H$4,'Met Data'!$H$2:$M$368,G526,FALSE)*L526</f>
        <v>5.3612903225806399</v>
      </c>
      <c r="K526" s="107">
        <f>HLOOKUP($H$4,'Met Data'!$O$2:$T$368,G526,FALSE)</f>
        <v>3.6858306163975501</v>
      </c>
      <c r="L526">
        <f t="shared" ca="1" si="81"/>
        <v>1</v>
      </c>
      <c r="N526" t="b">
        <f t="shared" ca="1" si="82"/>
        <v>0</v>
      </c>
      <c r="O526" t="b">
        <f t="shared" ca="1" si="83"/>
        <v>0</v>
      </c>
      <c r="P526">
        <f ca="1"/>
        <v>44771</v>
      </c>
      <c r="Q526">
        <f ca="1"/>
        <v>162.53494540213001</v>
      </c>
      <c r="R526">
        <f ca="1"/>
        <v>0.17365740428475601</v>
      </c>
      <c r="S526">
        <f ca="1"/>
        <v>1.5313270914276375E-17</v>
      </c>
      <c r="T526">
        <f ca="1"/>
        <v>0.32949310176681285</v>
      </c>
      <c r="U526">
        <f ca="1"/>
        <v>0</v>
      </c>
      <c r="V526">
        <f ca="1"/>
        <v>4.9794290876483904</v>
      </c>
      <c r="W526">
        <f ca="1"/>
        <v>3.4425682581272898</v>
      </c>
      <c r="X526">
        <f ca="1"/>
        <v>0</v>
      </c>
      <c r="Y526">
        <f ca="1"/>
        <v>1</v>
      </c>
      <c r="Z526">
        <f ca="1"/>
        <v>4.2280451481699401</v>
      </c>
      <c r="AA526">
        <f ca="1"/>
        <v>0</v>
      </c>
      <c r="AB526">
        <f ca="1"/>
        <v>2.9742183044972701E-2</v>
      </c>
      <c r="AD526" s="2">
        <f t="shared" ca="1" si="84"/>
        <v>44771</v>
      </c>
      <c r="AE526" s="46">
        <f t="shared" ca="1" si="85"/>
        <v>0</v>
      </c>
      <c r="AG526" s="72">
        <f t="shared" ca="1" si="86"/>
        <v>162.7086028064148</v>
      </c>
      <c r="AH526" s="72">
        <f t="shared" ca="1" si="87"/>
        <v>162.70860280641477</v>
      </c>
      <c r="AI526" s="3">
        <f t="shared" ca="1" si="88"/>
        <v>0</v>
      </c>
    </row>
    <row r="527" spans="7:35" ht="15.75" thickBot="1" x14ac:dyDescent="0.3">
      <c r="G527" s="3">
        <f t="shared" si="80"/>
        <v>65</v>
      </c>
      <c r="H527" s="106">
        <f t="shared" si="89"/>
        <v>44625</v>
      </c>
      <c r="I527" s="133">
        <f>HLOOKUP($H$4,'Met Data'!$A$2:$F$368,G527,FALSE)</f>
        <v>17.95</v>
      </c>
      <c r="J527" s="131">
        <f ca="1">HLOOKUP($H$4,'Met Data'!$H$2:$M$368,G527,FALSE)*L527</f>
        <v>2.5580645161290301</v>
      </c>
      <c r="K527" s="107">
        <f>HLOOKUP($H$4,'Met Data'!$O$2:$T$368,G527,FALSE)</f>
        <v>3.6617176102227802</v>
      </c>
      <c r="L527">
        <f t="shared" ca="1" si="81"/>
        <v>1</v>
      </c>
      <c r="N527" t="b">
        <f t="shared" ca="1" si="82"/>
        <v>0</v>
      </c>
      <c r="O527" t="b">
        <f t="shared" ca="1" si="83"/>
        <v>0</v>
      </c>
      <c r="P527">
        <f ca="1"/>
        <v>44772</v>
      </c>
      <c r="Q527">
        <f ca="1"/>
        <v>162.68471084304321</v>
      </c>
      <c r="R527">
        <f ca="1"/>
        <v>0.179516912534988</v>
      </c>
      <c r="S527">
        <f ca="1"/>
        <v>1.3341474006577687E-17</v>
      </c>
      <c r="T527">
        <f ca="1"/>
        <v>0.32928235344818158</v>
      </c>
      <c r="U527">
        <f ca="1"/>
        <v>0</v>
      </c>
      <c r="V527">
        <f ca="1"/>
        <v>5.1589460001833798</v>
      </c>
      <c r="W527">
        <f ca="1"/>
        <v>3.5666787161761699</v>
      </c>
      <c r="X527">
        <f ca="1"/>
        <v>0</v>
      </c>
      <c r="Y527">
        <f ca="1"/>
        <v>1</v>
      </c>
      <c r="Z527">
        <f ca="1"/>
        <v>1.3722486043926381</v>
      </c>
      <c r="AA527">
        <f ca="1"/>
        <v>0</v>
      </c>
      <c r="AB527">
        <f ca="1"/>
        <v>3.1799264674884503E-2</v>
      </c>
      <c r="AD527" s="2">
        <f t="shared" ca="1" si="84"/>
        <v>44772</v>
      </c>
      <c r="AE527" s="46">
        <f t="shared" ca="1" si="85"/>
        <v>0</v>
      </c>
      <c r="AG527" s="72">
        <f t="shared" ca="1" si="86"/>
        <v>162.86422775557818</v>
      </c>
      <c r="AH527" s="72">
        <f t="shared" ca="1" si="87"/>
        <v>162.86422775557818</v>
      </c>
      <c r="AI527" s="3">
        <f t="shared" ca="1" si="88"/>
        <v>0</v>
      </c>
    </row>
    <row r="528" spans="7:35" ht="15.75" thickBot="1" x14ac:dyDescent="0.3">
      <c r="G528" s="3">
        <f t="shared" si="80"/>
        <v>66</v>
      </c>
      <c r="H528" s="106">
        <f t="shared" si="89"/>
        <v>44626</v>
      </c>
      <c r="I528" s="133">
        <f>HLOOKUP($H$4,'Met Data'!$A$2:$F$368,G528,FALSE)</f>
        <v>18.361290322580601</v>
      </c>
      <c r="J528" s="131">
        <f ca="1">HLOOKUP($H$4,'Met Data'!$H$2:$M$368,G528,FALSE)*L528</f>
        <v>2.3129032258064499</v>
      </c>
      <c r="K528" s="107">
        <f>HLOOKUP($H$4,'Met Data'!$O$2:$T$368,G528,FALSE)</f>
        <v>3.8548213926682098</v>
      </c>
      <c r="L528">
        <f t="shared" ca="1" si="81"/>
        <v>1</v>
      </c>
      <c r="N528" t="b">
        <f t="shared" ca="1" si="82"/>
        <v>0</v>
      </c>
      <c r="O528" t="b">
        <f t="shared" ca="1" si="83"/>
        <v>0</v>
      </c>
      <c r="P528">
        <f ca="1"/>
        <v>44773</v>
      </c>
      <c r="Q528">
        <f ca="1"/>
        <v>162.82957262655907</v>
      </c>
      <c r="R528">
        <f ca="1"/>
        <v>0.18723817147928401</v>
      </c>
      <c r="S528">
        <f ca="1"/>
        <v>1.1728744970499249E-17</v>
      </c>
      <c r="T528">
        <f ca="1"/>
        <v>0.33209995499515482</v>
      </c>
      <c r="U528">
        <f ca="1"/>
        <v>0</v>
      </c>
      <c r="V528">
        <f ca="1"/>
        <v>5.3461841716626699</v>
      </c>
      <c r="W528">
        <f ca="1"/>
        <v>3.6961273285569098</v>
      </c>
      <c r="X528">
        <f ca="1"/>
        <v>0</v>
      </c>
      <c r="Y528">
        <f ca="1"/>
        <v>1</v>
      </c>
      <c r="Z528">
        <f ca="1"/>
        <v>2.9521248176452985</v>
      </c>
      <c r="AA528">
        <f ca="1"/>
        <v>0</v>
      </c>
      <c r="AB528">
        <f ca="1"/>
        <v>3.4011196055784801E-2</v>
      </c>
      <c r="AD528" s="2">
        <f t="shared" ca="1" si="84"/>
        <v>44773</v>
      </c>
      <c r="AE528" s="46">
        <f t="shared" ca="1" si="85"/>
        <v>0</v>
      </c>
      <c r="AG528" s="72">
        <f t="shared" ca="1" si="86"/>
        <v>163.01681079803836</v>
      </c>
      <c r="AH528" s="72">
        <f t="shared" ca="1" si="87"/>
        <v>163.01681079803836</v>
      </c>
      <c r="AI528" s="3">
        <f t="shared" ca="1" si="88"/>
        <v>0</v>
      </c>
    </row>
    <row r="529" spans="7:35" ht="15.75" thickBot="1" x14ac:dyDescent="0.3">
      <c r="G529" s="3">
        <f t="shared" si="80"/>
        <v>67</v>
      </c>
      <c r="H529" s="106">
        <f t="shared" si="89"/>
        <v>44627</v>
      </c>
      <c r="I529" s="133">
        <f>HLOOKUP($H$4,'Met Data'!$A$2:$F$368,G529,FALSE)</f>
        <v>17.7903225806451</v>
      </c>
      <c r="J529" s="131">
        <f ca="1">HLOOKUP($H$4,'Met Data'!$H$2:$M$368,G529,FALSE)*L529</f>
        <v>2.88709677419354</v>
      </c>
      <c r="K529" s="107">
        <f>HLOOKUP($H$4,'Met Data'!$O$2:$T$368,G529,FALSE)</f>
        <v>3.4909393601542198</v>
      </c>
      <c r="L529">
        <f t="shared" ca="1" si="81"/>
        <v>1</v>
      </c>
      <c r="N529" t="b">
        <f t="shared" ca="1" si="82"/>
        <v>0</v>
      </c>
      <c r="O529" t="b">
        <f t="shared" ca="1" si="83"/>
        <v>0</v>
      </c>
      <c r="P529">
        <f ca="1"/>
        <v>44774</v>
      </c>
      <c r="Q529">
        <f ca="1"/>
        <v>162.968636823559</v>
      </c>
      <c r="R529">
        <f ca="1"/>
        <v>0.194555554452914</v>
      </c>
      <c r="S529">
        <f ca="1"/>
        <v>1.025861186467031E-17</v>
      </c>
      <c r="T529">
        <f ca="1"/>
        <v>0.33361975145281275</v>
      </c>
      <c r="U529">
        <f ca="1"/>
        <v>0</v>
      </c>
      <c r="V529">
        <f ca="1"/>
        <v>5.5407397261155804</v>
      </c>
      <c r="W529">
        <f ca="1"/>
        <v>3.8306348723762</v>
      </c>
      <c r="X529">
        <f ca="1"/>
        <v>0</v>
      </c>
      <c r="Y529">
        <f ca="1"/>
        <v>1</v>
      </c>
      <c r="Z529">
        <f ca="1"/>
        <v>2.4371898521011133</v>
      </c>
      <c r="AA529">
        <f ca="1"/>
        <v>0</v>
      </c>
      <c r="AB529">
        <f ca="1"/>
        <v>3.6380503813235203E-2</v>
      </c>
      <c r="AD529" s="2">
        <f t="shared" ca="1" si="84"/>
        <v>44774</v>
      </c>
      <c r="AE529" s="46">
        <f t="shared" ca="1" si="85"/>
        <v>0</v>
      </c>
      <c r="AG529" s="72">
        <f t="shared" ca="1" si="86"/>
        <v>163.16319237801187</v>
      </c>
      <c r="AH529" s="72">
        <f t="shared" ca="1" si="87"/>
        <v>163.1631923780119</v>
      </c>
      <c r="AI529" s="3">
        <f t="shared" ca="1" si="88"/>
        <v>0</v>
      </c>
    </row>
    <row r="530" spans="7:35" ht="15.75" thickBot="1" x14ac:dyDescent="0.3">
      <c r="G530" s="3">
        <f t="shared" si="80"/>
        <v>68</v>
      </c>
      <c r="H530" s="106">
        <f t="shared" si="89"/>
        <v>44628</v>
      </c>
      <c r="I530" s="133">
        <f>HLOOKUP($H$4,'Met Data'!$A$2:$F$368,G530,FALSE)</f>
        <v>18.141379310344799</v>
      </c>
      <c r="J530" s="131">
        <f ca="1">HLOOKUP($H$4,'Met Data'!$H$2:$M$368,G530,FALSE)*L530</f>
        <v>1.0379310344827499</v>
      </c>
      <c r="K530" s="107">
        <f>HLOOKUP($H$4,'Met Data'!$O$2:$T$368,G530,FALSE)</f>
        <v>3.8084649299222599</v>
      </c>
      <c r="L530">
        <f t="shared" ca="1" si="81"/>
        <v>1</v>
      </c>
      <c r="N530" t="b">
        <f t="shared" ca="1" si="82"/>
        <v>0</v>
      </c>
      <c r="O530" t="b">
        <f t="shared" ca="1" si="83"/>
        <v>0</v>
      </c>
      <c r="P530">
        <f ca="1"/>
        <v>44775</v>
      </c>
      <c r="Q530">
        <f ca="1"/>
        <v>163.10553292895167</v>
      </c>
      <c r="R530">
        <f ca="1"/>
        <v>0.20772441463403701</v>
      </c>
      <c r="S530">
        <f ca="1"/>
        <v>9.2092782027662471E-18</v>
      </c>
      <c r="T530">
        <f ca="1"/>
        <v>0.34462052002674004</v>
      </c>
      <c r="U530">
        <f ca="1"/>
        <v>0</v>
      </c>
      <c r="V530">
        <f ca="1"/>
        <v>5.7484641407496202</v>
      </c>
      <c r="W530">
        <f ca="1"/>
        <v>3.9742468133577602</v>
      </c>
      <c r="X530">
        <f ca="1"/>
        <v>0</v>
      </c>
      <c r="Y530">
        <f ca="1"/>
        <v>1</v>
      </c>
      <c r="Z530">
        <f ca="1"/>
        <v>4.3450302612382643</v>
      </c>
      <c r="AA530">
        <f ca="1"/>
        <v>0</v>
      </c>
      <c r="AB530">
        <f ca="1"/>
        <v>3.8988933741666502E-2</v>
      </c>
      <c r="AD530" s="2">
        <f t="shared" ca="1" si="84"/>
        <v>44775</v>
      </c>
      <c r="AE530" s="46">
        <f t="shared" ca="1" si="85"/>
        <v>0</v>
      </c>
      <c r="AG530" s="72">
        <f t="shared" ca="1" si="86"/>
        <v>163.31325734358575</v>
      </c>
      <c r="AH530" s="72">
        <f t="shared" ca="1" si="87"/>
        <v>163.31325734358572</v>
      </c>
      <c r="AI530" s="3">
        <f t="shared" ca="1" si="88"/>
        <v>0</v>
      </c>
    </row>
    <row r="531" spans="7:35" ht="15.75" thickBot="1" x14ac:dyDescent="0.3">
      <c r="G531" s="3">
        <f t="shared" si="80"/>
        <v>69</v>
      </c>
      <c r="H531" s="106">
        <f t="shared" si="89"/>
        <v>44629</v>
      </c>
      <c r="I531" s="133">
        <f>HLOOKUP($H$4,'Met Data'!$A$2:$F$368,G531,FALSE)</f>
        <v>18.3816666666666</v>
      </c>
      <c r="J531" s="131">
        <f ca="1">HLOOKUP($H$4,'Met Data'!$H$2:$M$368,G531,FALSE)*L531</f>
        <v>3.2766666666666602</v>
      </c>
      <c r="K531" s="107">
        <f>HLOOKUP($H$4,'Met Data'!$O$2:$T$368,G531,FALSE)</f>
        <v>3.6161533155938699</v>
      </c>
      <c r="L531">
        <f t="shared" ca="1" si="81"/>
        <v>1</v>
      </c>
      <c r="N531" t="b">
        <f t="shared" ca="1" si="82"/>
        <v>0</v>
      </c>
      <c r="O531" t="b">
        <f t="shared" ca="1" si="83"/>
        <v>0</v>
      </c>
      <c r="P531">
        <f ca="1"/>
        <v>44776</v>
      </c>
      <c r="Q531">
        <f ca="1"/>
        <v>163.23419393949081</v>
      </c>
      <c r="R531">
        <f ca="1"/>
        <v>0.21372831342235701</v>
      </c>
      <c r="S531">
        <f ca="1"/>
        <v>7.9271982286480669E-18</v>
      </c>
      <c r="T531">
        <f ca="1"/>
        <v>0.34238932396148225</v>
      </c>
      <c r="U531">
        <f ca="1"/>
        <v>0</v>
      </c>
      <c r="V531">
        <f ca="1"/>
        <v>5.96219245417198</v>
      </c>
      <c r="W531">
        <f ca="1"/>
        <v>4.12200959794606</v>
      </c>
      <c r="X531">
        <f ca="1"/>
        <v>0</v>
      </c>
      <c r="Y531">
        <f ca="1"/>
        <v>1</v>
      </c>
      <c r="Z531">
        <f ca="1"/>
        <v>1.8039301077185996</v>
      </c>
      <c r="AA531">
        <f ca="1"/>
        <v>0</v>
      </c>
      <c r="AB531">
        <f ca="1"/>
        <v>4.1756431362004902E-2</v>
      </c>
      <c r="AD531" s="2">
        <f t="shared" ca="1" si="84"/>
        <v>44776</v>
      </c>
      <c r="AE531" s="46">
        <f t="shared" ca="1" si="85"/>
        <v>0</v>
      </c>
      <c r="AG531" s="72">
        <f t="shared" ca="1" si="86"/>
        <v>163.44792225291314</v>
      </c>
      <c r="AH531" s="72">
        <f t="shared" ca="1" si="87"/>
        <v>163.44792225291317</v>
      </c>
      <c r="AI531" s="3">
        <f t="shared" ca="1" si="88"/>
        <v>0</v>
      </c>
    </row>
    <row r="532" spans="7:35" ht="15.75" thickBot="1" x14ac:dyDescent="0.3">
      <c r="G532" s="3">
        <f t="shared" si="80"/>
        <v>70</v>
      </c>
      <c r="H532" s="106">
        <f t="shared" si="89"/>
        <v>44630</v>
      </c>
      <c r="I532" s="133">
        <f>HLOOKUP($H$4,'Met Data'!$A$2:$F$368,G532,FALSE)</f>
        <v>18.100000000000001</v>
      </c>
      <c r="J532" s="131">
        <f ca="1">HLOOKUP($H$4,'Met Data'!$H$2:$M$368,G532,FALSE)*L532</f>
        <v>1.75</v>
      </c>
      <c r="K532" s="107">
        <f>HLOOKUP($H$4,'Met Data'!$O$2:$T$368,G532,FALSE)</f>
        <v>3.9222011256035199</v>
      </c>
      <c r="L532">
        <f t="shared" ca="1" si="81"/>
        <v>1</v>
      </c>
      <c r="N532" t="b">
        <f t="shared" ca="1" si="82"/>
        <v>0</v>
      </c>
      <c r="O532" t="b">
        <f t="shared" ca="1" si="83"/>
        <v>0</v>
      </c>
      <c r="P532">
        <f ca="1"/>
        <v>44777</v>
      </c>
      <c r="Q532">
        <f ca="1"/>
        <v>163.35427260441094</v>
      </c>
      <c r="R532">
        <f ca="1"/>
        <v>0.21935855728100001</v>
      </c>
      <c r="S532">
        <f ca="1"/>
        <v>6.8158054195394402E-18</v>
      </c>
      <c r="T532">
        <f ca="1"/>
        <v>0.33943722220115213</v>
      </c>
      <c r="U532">
        <f ca="1"/>
        <v>0</v>
      </c>
      <c r="V532">
        <f ca="1"/>
        <v>6.1815510114529797</v>
      </c>
      <c r="W532">
        <f ca="1"/>
        <v>4.2736648968070003</v>
      </c>
      <c r="X532">
        <f ca="1"/>
        <v>0</v>
      </c>
      <c r="Y532">
        <f ca="1"/>
        <v>1</v>
      </c>
      <c r="Z532">
        <f ca="1"/>
        <v>3.6208865032256057</v>
      </c>
      <c r="AA532">
        <f ca="1"/>
        <v>0</v>
      </c>
      <c r="AB532">
        <f ca="1"/>
        <v>4.4683713627370301E-2</v>
      </c>
      <c r="AD532" s="2">
        <f t="shared" ca="1" si="84"/>
        <v>44777</v>
      </c>
      <c r="AE532" s="46">
        <f t="shared" ca="1" si="85"/>
        <v>0</v>
      </c>
      <c r="AG532" s="72">
        <f t="shared" ca="1" si="86"/>
        <v>163.57363116169196</v>
      </c>
      <c r="AH532" s="72">
        <f t="shared" ca="1" si="87"/>
        <v>163.57363116169194</v>
      </c>
      <c r="AI532" s="3">
        <f t="shared" ca="1" si="88"/>
        <v>0</v>
      </c>
    </row>
    <row r="533" spans="7:35" ht="15.75" thickBot="1" x14ac:dyDescent="0.3">
      <c r="G533" s="3">
        <f t="shared" si="80"/>
        <v>71</v>
      </c>
      <c r="H533" s="106">
        <f t="shared" si="89"/>
        <v>44631</v>
      </c>
      <c r="I533" s="133">
        <f>HLOOKUP($H$4,'Met Data'!$A$2:$F$368,G533,FALSE)</f>
        <v>17.931666666666601</v>
      </c>
      <c r="J533" s="131">
        <f ca="1">HLOOKUP($H$4,'Met Data'!$H$2:$M$368,G533,FALSE)*L533</f>
        <v>6.9499999999999904</v>
      </c>
      <c r="K533" s="107">
        <f>HLOOKUP($H$4,'Met Data'!$O$2:$T$368,G533,FALSE)</f>
        <v>3.4661109817168501</v>
      </c>
      <c r="L533">
        <f t="shared" ca="1" si="81"/>
        <v>1</v>
      </c>
      <c r="N533" t="b">
        <f t="shared" ca="1" si="82"/>
        <v>0</v>
      </c>
      <c r="O533" t="b">
        <f t="shared" ca="1" si="83"/>
        <v>0</v>
      </c>
      <c r="P533">
        <f ca="1"/>
        <v>44778</v>
      </c>
      <c r="Q533">
        <f ca="1"/>
        <v>163.46358813331284</v>
      </c>
      <c r="R533">
        <f ca="1"/>
        <v>0.22085452452437501</v>
      </c>
      <c r="S533">
        <f ca="1"/>
        <v>5.7602905924982468E-18</v>
      </c>
      <c r="T533">
        <f ca="1"/>
        <v>0.33017005342627986</v>
      </c>
      <c r="U533">
        <f ca="1"/>
        <v>0</v>
      </c>
      <c r="V533">
        <f ca="1"/>
        <v>6.4024055359773504</v>
      </c>
      <c r="W533">
        <f ca="1"/>
        <v>4.4263544446263197</v>
      </c>
      <c r="X533">
        <f ca="1"/>
        <v>0</v>
      </c>
      <c r="Y533">
        <f ca="1"/>
        <v>1</v>
      </c>
      <c r="Z533">
        <f ca="1"/>
        <v>3.5549193519131705</v>
      </c>
      <c r="AA533">
        <f ca="1"/>
        <v>0</v>
      </c>
      <c r="AB533">
        <f ca="1"/>
        <v>4.7718398816202698E-2</v>
      </c>
      <c r="AD533" s="2">
        <f t="shared" ca="1" si="84"/>
        <v>44778</v>
      </c>
      <c r="AE533" s="46">
        <f t="shared" ca="1" si="85"/>
        <v>0</v>
      </c>
      <c r="AG533" s="72">
        <f t="shared" ca="1" si="86"/>
        <v>163.68444265783722</v>
      </c>
      <c r="AH533" s="72">
        <f t="shared" ca="1" si="87"/>
        <v>163.68444265783722</v>
      </c>
      <c r="AI533" s="3">
        <f t="shared" ca="1" si="88"/>
        <v>0</v>
      </c>
    </row>
    <row r="534" spans="7:35" ht="15.75" thickBot="1" x14ac:dyDescent="0.3">
      <c r="G534" s="3">
        <f t="shared" si="80"/>
        <v>72</v>
      </c>
      <c r="H534" s="106">
        <f t="shared" si="89"/>
        <v>44632</v>
      </c>
      <c r="I534" s="133">
        <f>HLOOKUP($H$4,'Met Data'!$A$2:$F$368,G534,FALSE)</f>
        <v>18.11</v>
      </c>
      <c r="J534" s="131">
        <f ca="1">HLOOKUP($H$4,'Met Data'!$H$2:$M$368,G534,FALSE)*L534</f>
        <v>3.0533333333333301</v>
      </c>
      <c r="K534" s="107">
        <f>HLOOKUP($H$4,'Met Data'!$O$2:$T$368,G534,FALSE)</f>
        <v>3.54178935257598</v>
      </c>
      <c r="L534">
        <f t="shared" ca="1" si="81"/>
        <v>1</v>
      </c>
      <c r="N534" t="b">
        <f t="shared" ca="1" si="82"/>
        <v>0</v>
      </c>
      <c r="O534" t="b">
        <f t="shared" ca="1" si="83"/>
        <v>0</v>
      </c>
      <c r="P534">
        <f ca="1"/>
        <v>44779</v>
      </c>
      <c r="Q534">
        <f ca="1"/>
        <v>163.56477630939713</v>
      </c>
      <c r="R534">
        <f ca="1"/>
        <v>0.22665574200188901</v>
      </c>
      <c r="S534">
        <f ca="1"/>
        <v>4.9856986150071103E-18</v>
      </c>
      <c r="T534">
        <f ca="1"/>
        <v>0.32784391808615304</v>
      </c>
      <c r="U534">
        <f ca="1"/>
        <v>0</v>
      </c>
      <c r="V534">
        <f ca="1"/>
        <v>6.6290612779792397</v>
      </c>
      <c r="W534">
        <f ca="1"/>
        <v>4.5830547107016999</v>
      </c>
      <c r="X534">
        <f ca="1"/>
        <v>0</v>
      </c>
      <c r="Y534">
        <f ca="1"/>
        <v>1</v>
      </c>
      <c r="Z534">
        <f ca="1"/>
        <v>2.6968992518305299</v>
      </c>
      <c r="AA534">
        <f ca="1"/>
        <v>0</v>
      </c>
      <c r="AB534">
        <f ca="1"/>
        <v>5.0922409166155598E-2</v>
      </c>
      <c r="AD534" s="2">
        <f t="shared" ca="1" si="84"/>
        <v>44779</v>
      </c>
      <c r="AE534" s="46">
        <f t="shared" ca="1" si="85"/>
        <v>0</v>
      </c>
      <c r="AG534" s="72">
        <f t="shared" ca="1" si="86"/>
        <v>163.791432051399</v>
      </c>
      <c r="AH534" s="72">
        <f t="shared" ca="1" si="87"/>
        <v>163.79143205139903</v>
      </c>
      <c r="AI534" s="3">
        <f t="shared" ca="1" si="88"/>
        <v>0</v>
      </c>
    </row>
    <row r="535" spans="7:35" ht="15.75" thickBot="1" x14ac:dyDescent="0.3">
      <c r="G535" s="3">
        <f t="shared" si="80"/>
        <v>73</v>
      </c>
      <c r="H535" s="106">
        <f t="shared" si="89"/>
        <v>44633</v>
      </c>
      <c r="I535" s="133">
        <f>HLOOKUP($H$4,'Met Data'!$A$2:$F$368,G535,FALSE)</f>
        <v>17.7392857142857</v>
      </c>
      <c r="J535" s="131">
        <f ca="1">HLOOKUP($H$4,'Met Data'!$H$2:$M$368,G535,FALSE)*L535</f>
        <v>1.6892857142857101</v>
      </c>
      <c r="K535" s="107">
        <f>HLOOKUP($H$4,'Met Data'!$O$2:$T$368,G535,FALSE)</f>
        <v>3.3591305391228099</v>
      </c>
      <c r="L535">
        <f t="shared" ca="1" si="81"/>
        <v>1</v>
      </c>
      <c r="N535" t="b">
        <f t="shared" ca="1" si="82"/>
        <v>0</v>
      </c>
      <c r="O535" t="b">
        <f t="shared" ca="1" si="83"/>
        <v>0</v>
      </c>
      <c r="P535">
        <f ca="1"/>
        <v>44780</v>
      </c>
      <c r="Q535">
        <f ca="1"/>
        <v>163.65941645385902</v>
      </c>
      <c r="R535">
        <f ca="1"/>
        <v>0.236474566511129</v>
      </c>
      <c r="S535">
        <f ca="1"/>
        <v>4.3918755907968126E-18</v>
      </c>
      <c r="T535">
        <f ca="1"/>
        <v>0.33111471097304745</v>
      </c>
      <c r="U535">
        <f ca="1"/>
        <v>0</v>
      </c>
      <c r="V535">
        <f ca="1"/>
        <v>6.8655358444903696</v>
      </c>
      <c r="W535">
        <f ca="1"/>
        <v>4.7465432998945802</v>
      </c>
      <c r="X535">
        <f ca="1"/>
        <v>0</v>
      </c>
      <c r="Y535">
        <f ca="1"/>
        <v>1</v>
      </c>
      <c r="Z535">
        <f ca="1"/>
        <v>1.7808930120236965</v>
      </c>
      <c r="AA535">
        <f ca="1"/>
        <v>0</v>
      </c>
      <c r="AB535">
        <f ca="1"/>
        <v>5.4360142813422802E-2</v>
      </c>
      <c r="AD535" s="2">
        <f t="shared" ca="1" si="84"/>
        <v>44780</v>
      </c>
      <c r="AE535" s="46">
        <f t="shared" ca="1" si="85"/>
        <v>0</v>
      </c>
      <c r="AG535" s="72">
        <f t="shared" ca="1" si="86"/>
        <v>163.89589102037019</v>
      </c>
      <c r="AH535" s="72">
        <f t="shared" ca="1" si="87"/>
        <v>163.89589102037016</v>
      </c>
      <c r="AI535" s="3">
        <f t="shared" ca="1" si="88"/>
        <v>0</v>
      </c>
    </row>
    <row r="536" spans="7:35" ht="15.75" thickBot="1" x14ac:dyDescent="0.3">
      <c r="G536" s="3">
        <f t="shared" si="80"/>
        <v>74</v>
      </c>
      <c r="H536" s="106">
        <f t="shared" si="89"/>
        <v>44634</v>
      </c>
      <c r="I536" s="133">
        <f>HLOOKUP($H$4,'Met Data'!$A$2:$F$368,G536,FALSE)</f>
        <v>17.7431034482758</v>
      </c>
      <c r="J536" s="131">
        <f ca="1">HLOOKUP($H$4,'Met Data'!$H$2:$M$368,G536,FALSE)*L536</f>
        <v>1.84</v>
      </c>
      <c r="K536" s="107">
        <f>HLOOKUP($H$4,'Met Data'!$O$2:$T$368,G536,FALSE)</f>
        <v>3.37236322021164</v>
      </c>
      <c r="L536">
        <f t="shared" ca="1" si="81"/>
        <v>1</v>
      </c>
      <c r="N536" t="b">
        <f t="shared" ca="1" si="82"/>
        <v>0</v>
      </c>
      <c r="O536" t="b">
        <f t="shared" ca="1" si="83"/>
        <v>0</v>
      </c>
      <c r="P536">
        <f ca="1"/>
        <v>44781</v>
      </c>
      <c r="Q536">
        <f ca="1"/>
        <v>163.7461648293816</v>
      </c>
      <c r="R536">
        <f ca="1"/>
        <v>0.24427520272719999</v>
      </c>
      <c r="S536">
        <f ca="1"/>
        <v>3.8250265220650653E-18</v>
      </c>
      <c r="T536">
        <f ca="1"/>
        <v>0.33102357824975326</v>
      </c>
      <c r="U536">
        <f ca="1"/>
        <v>0</v>
      </c>
      <c r="V536">
        <f ca="1"/>
        <v>7.10981104721757</v>
      </c>
      <c r="W536">
        <f ca="1"/>
        <v>4.9154249215331296</v>
      </c>
      <c r="X536">
        <f ca="1"/>
        <v>0</v>
      </c>
      <c r="Y536">
        <f ca="1"/>
        <v>1</v>
      </c>
      <c r="Z536">
        <f ca="1"/>
        <v>0.61851195120166835</v>
      </c>
      <c r="AA536">
        <f ca="1"/>
        <v>0</v>
      </c>
      <c r="AB536">
        <f ca="1"/>
        <v>5.8010975010202998E-2</v>
      </c>
      <c r="AD536" s="2">
        <f t="shared" ca="1" si="84"/>
        <v>44781</v>
      </c>
      <c r="AE536" s="46">
        <f t="shared" ca="1" si="85"/>
        <v>0</v>
      </c>
      <c r="AG536" s="72">
        <f t="shared" ca="1" si="86"/>
        <v>163.99044003210878</v>
      </c>
      <c r="AH536" s="72">
        <f t="shared" ca="1" si="87"/>
        <v>163.99044003210881</v>
      </c>
      <c r="AI536" s="3">
        <f t="shared" ca="1" si="88"/>
        <v>0</v>
      </c>
    </row>
    <row r="537" spans="7:35" ht="15.75" thickBot="1" x14ac:dyDescent="0.3">
      <c r="G537" s="3">
        <f t="shared" si="80"/>
        <v>75</v>
      </c>
      <c r="H537" s="106">
        <f t="shared" si="89"/>
        <v>44635</v>
      </c>
      <c r="I537" s="133">
        <f>HLOOKUP($H$4,'Met Data'!$A$2:$F$368,G537,FALSE)</f>
        <v>17.582758620689599</v>
      </c>
      <c r="J537" s="131">
        <f ca="1">HLOOKUP($H$4,'Met Data'!$H$2:$M$368,G537,FALSE)*L537</f>
        <v>3.1862068965517198</v>
      </c>
      <c r="K537" s="107">
        <f>HLOOKUP($H$4,'Met Data'!$O$2:$T$368,G537,FALSE)</f>
        <v>3.1968269295082399</v>
      </c>
      <c r="L537">
        <f t="shared" ca="1" si="81"/>
        <v>1</v>
      </c>
      <c r="N537" t="b">
        <f t="shared" ca="1" si="82"/>
        <v>0</v>
      </c>
      <c r="O537" t="b">
        <f t="shared" ca="1" si="83"/>
        <v>0</v>
      </c>
      <c r="P537">
        <f ca="1"/>
        <v>44782</v>
      </c>
      <c r="Q537">
        <f ca="1"/>
        <v>163.8258347003042</v>
      </c>
      <c r="R537">
        <f ca="1"/>
        <v>0.255385903717044</v>
      </c>
      <c r="S537">
        <f ca="1"/>
        <v>3.3716891302556668E-18</v>
      </c>
      <c r="T537">
        <f ca="1"/>
        <v>0.33505577463963127</v>
      </c>
      <c r="U537">
        <f ca="1"/>
        <v>0</v>
      </c>
      <c r="V537">
        <f ca="1"/>
        <v>7.3651969509346102</v>
      </c>
      <c r="W537">
        <f ca="1"/>
        <v>5.09198801546097</v>
      </c>
      <c r="X537">
        <f ca="1"/>
        <v>0</v>
      </c>
      <c r="Y537">
        <f ca="1"/>
        <v>1</v>
      </c>
      <c r="Z537">
        <f ca="1"/>
        <v>2.9378511059236558</v>
      </c>
      <c r="AA537">
        <f ca="1"/>
        <v>0</v>
      </c>
      <c r="AB537">
        <f ca="1"/>
        <v>6.19337713193365E-2</v>
      </c>
      <c r="AD537" s="2">
        <f t="shared" ca="1" si="84"/>
        <v>44782</v>
      </c>
      <c r="AE537" s="46">
        <f t="shared" ca="1" si="85"/>
        <v>0</v>
      </c>
      <c r="AG537" s="72">
        <f t="shared" ca="1" si="86"/>
        <v>164.08122060402124</v>
      </c>
      <c r="AH537" s="72">
        <f t="shared" ca="1" si="87"/>
        <v>164.08122060402124</v>
      </c>
      <c r="AI537" s="3">
        <f t="shared" ca="1" si="88"/>
        <v>0</v>
      </c>
    </row>
    <row r="538" spans="7:35" ht="15.75" thickBot="1" x14ac:dyDescent="0.3">
      <c r="G538" s="3">
        <f t="shared" si="80"/>
        <v>76</v>
      </c>
      <c r="H538" s="106">
        <f t="shared" si="89"/>
        <v>44636</v>
      </c>
      <c r="I538" s="133">
        <f>HLOOKUP($H$4,'Met Data'!$A$2:$F$368,G538,FALSE)</f>
        <v>17.724137931034399</v>
      </c>
      <c r="J538" s="131">
        <f ca="1">HLOOKUP($H$4,'Met Data'!$H$2:$M$368,G538,FALSE)*L538</f>
        <v>2.9633333333333298</v>
      </c>
      <c r="K538" s="107">
        <f>HLOOKUP($H$4,'Met Data'!$O$2:$T$368,G538,FALSE)</f>
        <v>3.15313078143424</v>
      </c>
      <c r="L538">
        <f t="shared" ca="1" si="81"/>
        <v>1</v>
      </c>
      <c r="N538" t="b">
        <f t="shared" ca="1" si="82"/>
        <v>0</v>
      </c>
      <c r="O538" t="b">
        <f t="shared" ca="1" si="83"/>
        <v>0</v>
      </c>
      <c r="P538">
        <f ca="1"/>
        <v>44783</v>
      </c>
      <c r="Q538">
        <f ca="1"/>
        <v>163.89545718537209</v>
      </c>
      <c r="R538">
        <f ca="1"/>
        <v>0.25850227675994603</v>
      </c>
      <c r="S538">
        <f ca="1"/>
        <v>2.8733387812895429E-18</v>
      </c>
      <c r="T538">
        <f ca="1"/>
        <v>0.32812476182786765</v>
      </c>
      <c r="U538">
        <f ca="1"/>
        <v>0</v>
      </c>
      <c r="V538">
        <f ca="1"/>
        <v>7.6236992276945603</v>
      </c>
      <c r="W538">
        <f ca="1"/>
        <v>5.2707056388999396</v>
      </c>
      <c r="X538">
        <f ca="1"/>
        <v>0</v>
      </c>
      <c r="Y538">
        <f ca="1"/>
        <v>1</v>
      </c>
      <c r="Z538">
        <f ca="1"/>
        <v>2.748686251402944</v>
      </c>
      <c r="AA538">
        <f ca="1"/>
        <v>0</v>
      </c>
      <c r="AB538">
        <f ca="1"/>
        <v>6.6012024232781297E-2</v>
      </c>
      <c r="AD538" s="2">
        <f t="shared" ca="1" si="84"/>
        <v>44783</v>
      </c>
      <c r="AE538" s="46">
        <f t="shared" ca="1" si="85"/>
        <v>0</v>
      </c>
      <c r="AG538" s="72">
        <f t="shared" ca="1" si="86"/>
        <v>164.15395946213206</v>
      </c>
      <c r="AH538" s="72">
        <f t="shared" ca="1" si="87"/>
        <v>164.15395946213204</v>
      </c>
      <c r="AI538" s="3">
        <f t="shared" ca="1" si="88"/>
        <v>0</v>
      </c>
    </row>
    <row r="539" spans="7:35" ht="15.75" thickBot="1" x14ac:dyDescent="0.3">
      <c r="G539" s="3">
        <f t="shared" si="80"/>
        <v>77</v>
      </c>
      <c r="H539" s="106">
        <f t="shared" si="89"/>
        <v>44637</v>
      </c>
      <c r="I539" s="133">
        <f>HLOOKUP($H$4,'Met Data'!$A$2:$F$368,G539,FALSE)</f>
        <v>17.698333333333299</v>
      </c>
      <c r="J539" s="131">
        <f ca="1">HLOOKUP($H$4,'Met Data'!$H$2:$M$368,G539,FALSE)*L539</f>
        <v>2.61666666666666</v>
      </c>
      <c r="K539" s="107">
        <f>HLOOKUP($H$4,'Met Data'!$O$2:$T$368,G539,FALSE)</f>
        <v>3.4068572568745799</v>
      </c>
      <c r="L539">
        <f t="shared" ca="1" si="81"/>
        <v>1</v>
      </c>
      <c r="N539" t="b">
        <f t="shared" ca="1" si="82"/>
        <v>0</v>
      </c>
      <c r="O539" t="b">
        <f t="shared" ca="1" si="83"/>
        <v>0</v>
      </c>
      <c r="P539">
        <f ca="1"/>
        <v>44784</v>
      </c>
      <c r="Q539">
        <f ca="1"/>
        <v>163.95830489549934</v>
      </c>
      <c r="R539">
        <f ca="1"/>
        <v>0.27343441649316302</v>
      </c>
      <c r="S539">
        <f ca="1"/>
        <v>2.566865676791002E-18</v>
      </c>
      <c r="T539">
        <f ca="1"/>
        <v>0.33628212662036977</v>
      </c>
      <c r="U539">
        <f ca="1"/>
        <v>0</v>
      </c>
      <c r="V539">
        <f ca="1"/>
        <v>7.8971336441877202</v>
      </c>
      <c r="W539">
        <f ca="1"/>
        <v>5.4597467169692901</v>
      </c>
      <c r="X539">
        <f ca="1"/>
        <v>0</v>
      </c>
      <c r="Y539">
        <f ca="1"/>
        <v>1</v>
      </c>
      <c r="Z539">
        <f ca="1"/>
        <v>3.9422205277142979</v>
      </c>
      <c r="AA539">
        <f ca="1"/>
        <v>0</v>
      </c>
      <c r="AB539">
        <f ca="1"/>
        <v>7.0440549384730905E-2</v>
      </c>
      <c r="AD539" s="2">
        <f t="shared" ca="1" si="84"/>
        <v>44784</v>
      </c>
      <c r="AE539" s="46">
        <f t="shared" ca="1" si="85"/>
        <v>0</v>
      </c>
      <c r="AG539" s="72">
        <f t="shared" ca="1" si="86"/>
        <v>164.23173931199247</v>
      </c>
      <c r="AH539" s="72">
        <f t="shared" ca="1" si="87"/>
        <v>164.2317393119925</v>
      </c>
      <c r="AI539" s="3">
        <f t="shared" ca="1" si="88"/>
        <v>0</v>
      </c>
    </row>
    <row r="540" spans="7:35" ht="15.75" thickBot="1" x14ac:dyDescent="0.3">
      <c r="G540" s="3">
        <f t="shared" si="80"/>
        <v>78</v>
      </c>
      <c r="H540" s="106">
        <f t="shared" si="89"/>
        <v>44638</v>
      </c>
      <c r="I540" s="133">
        <f>HLOOKUP($H$4,'Met Data'!$A$2:$F$368,G540,FALSE)</f>
        <v>17.62</v>
      </c>
      <c r="J540" s="131">
        <f ca="1">HLOOKUP($H$4,'Met Data'!$H$2:$M$368,G540,FALSE)*L540</f>
        <v>1.69</v>
      </c>
      <c r="K540" s="107">
        <f>HLOOKUP($H$4,'Met Data'!$O$2:$T$368,G540,FALSE)</f>
        <v>3.17632774581707</v>
      </c>
      <c r="L540">
        <f t="shared" ca="1" si="81"/>
        <v>1</v>
      </c>
      <c r="N540" t="b">
        <f t="shared" ca="1" si="82"/>
        <v>0</v>
      </c>
      <c r="O540" t="b">
        <f t="shared" ca="1" si="83"/>
        <v>0</v>
      </c>
      <c r="P540">
        <f ca="1"/>
        <v>44785</v>
      </c>
      <c r="Q540">
        <f ca="1"/>
        <v>164.01060153085137</v>
      </c>
      <c r="R540">
        <f ca="1"/>
        <v>0.27514530704148898</v>
      </c>
      <c r="S540">
        <f ca="1"/>
        <v>2.174188944391124E-18</v>
      </c>
      <c r="T540">
        <f ca="1"/>
        <v>0.32744194239353841</v>
      </c>
      <c r="U540">
        <f ca="1"/>
        <v>0</v>
      </c>
      <c r="V540">
        <f ca="1"/>
        <v>8.1722789512292096</v>
      </c>
      <c r="W540">
        <f ca="1"/>
        <v>5.6499706329485901</v>
      </c>
      <c r="X540">
        <f ca="1"/>
        <v>0</v>
      </c>
      <c r="Y540">
        <f ca="1"/>
        <v>1</v>
      </c>
      <c r="Z540">
        <f ca="1"/>
        <v>2.1563103758187623</v>
      </c>
      <c r="AA540">
        <f ca="1"/>
        <v>0</v>
      </c>
      <c r="AB540">
        <f ca="1"/>
        <v>7.5012429636777705E-2</v>
      </c>
      <c r="AD540" s="2">
        <f t="shared" ca="1" si="84"/>
        <v>44785</v>
      </c>
      <c r="AE540" s="46">
        <f t="shared" ca="1" si="85"/>
        <v>0</v>
      </c>
      <c r="AG540" s="72">
        <f t="shared" ca="1" si="86"/>
        <v>164.28574683789287</v>
      </c>
      <c r="AH540" s="72">
        <f t="shared" ca="1" si="87"/>
        <v>164.28574683789287</v>
      </c>
      <c r="AI540" s="3">
        <f t="shared" ca="1" si="88"/>
        <v>0</v>
      </c>
    </row>
    <row r="541" spans="7:35" ht="15.75" thickBot="1" x14ac:dyDescent="0.3">
      <c r="G541" s="3">
        <f t="shared" si="80"/>
        <v>79</v>
      </c>
      <c r="H541" s="106">
        <f t="shared" si="89"/>
        <v>44639</v>
      </c>
      <c r="I541" s="133">
        <f>HLOOKUP($H$4,'Met Data'!$A$2:$F$368,G541,FALSE)</f>
        <v>17.170000000000002</v>
      </c>
      <c r="J541" s="131">
        <f ca="1">HLOOKUP($H$4,'Met Data'!$H$2:$M$368,G541,FALSE)*L541</f>
        <v>1.5166666666666599</v>
      </c>
      <c r="K541" s="107">
        <f>HLOOKUP($H$4,'Met Data'!$O$2:$T$368,G541,FALSE)</f>
        <v>3.38121466442426</v>
      </c>
      <c r="L541">
        <f t="shared" ca="1" si="81"/>
        <v>1</v>
      </c>
      <c r="N541" t="b">
        <f t="shared" ca="1" si="82"/>
        <v>0</v>
      </c>
      <c r="O541" t="b">
        <f t="shared" ca="1" si="83"/>
        <v>0</v>
      </c>
      <c r="P541">
        <f ca="1"/>
        <v>44786</v>
      </c>
      <c r="Q541">
        <f ca="1"/>
        <v>164.05514304743605</v>
      </c>
      <c r="R541">
        <f ca="1"/>
        <v>0.290248033966513</v>
      </c>
      <c r="S541">
        <f ca="1"/>
        <v>1.9384942244075483E-18</v>
      </c>
      <c r="T541">
        <f ca="1"/>
        <v>0.33478955055123294</v>
      </c>
      <c r="U541">
        <f ca="1"/>
        <v>0</v>
      </c>
      <c r="V541">
        <f ca="1"/>
        <v>8.4625269851957192</v>
      </c>
      <c r="W541">
        <f ca="1"/>
        <v>5.8506359403822303</v>
      </c>
      <c r="X541">
        <f ca="1"/>
        <v>0</v>
      </c>
      <c r="Y541">
        <f ca="1"/>
        <v>1</v>
      </c>
      <c r="Z541">
        <f ca="1"/>
        <v>2.6737728765631346</v>
      </c>
      <c r="AA541">
        <f ca="1"/>
        <v>0</v>
      </c>
      <c r="AB541">
        <f ca="1"/>
        <v>7.9957091111364703E-2</v>
      </c>
      <c r="AD541" s="2">
        <f t="shared" ca="1" si="84"/>
        <v>44786</v>
      </c>
      <c r="AE541" s="46">
        <f t="shared" ca="1" si="85"/>
        <v>0</v>
      </c>
      <c r="AG541" s="72">
        <f t="shared" ca="1" si="86"/>
        <v>164.3453910814026</v>
      </c>
      <c r="AH541" s="72">
        <f t="shared" ca="1" si="87"/>
        <v>164.34539108140257</v>
      </c>
      <c r="AI541" s="3">
        <f t="shared" ca="1" si="88"/>
        <v>0</v>
      </c>
    </row>
    <row r="542" spans="7:35" ht="15.75" thickBot="1" x14ac:dyDescent="0.3">
      <c r="G542" s="3">
        <f t="shared" si="80"/>
        <v>80</v>
      </c>
      <c r="H542" s="106">
        <f t="shared" si="89"/>
        <v>44640</v>
      </c>
      <c r="I542" s="133">
        <f>HLOOKUP($H$4,'Met Data'!$A$2:$F$368,G542,FALSE)</f>
        <v>17.223333333333301</v>
      </c>
      <c r="J542" s="131">
        <f ca="1">HLOOKUP($H$4,'Met Data'!$H$2:$M$368,G542,FALSE)*L542</f>
        <v>3.56451612903225</v>
      </c>
      <c r="K542" s="107">
        <f>HLOOKUP($H$4,'Met Data'!$O$2:$T$368,G542,FALSE)</f>
        <v>3.2035769560803802</v>
      </c>
      <c r="L542">
        <f t="shared" ca="1" si="81"/>
        <v>1</v>
      </c>
      <c r="N542" t="b">
        <f t="shared" ca="1" si="82"/>
        <v>0</v>
      </c>
      <c r="O542" t="b">
        <f t="shared" ca="1" si="83"/>
        <v>0</v>
      </c>
      <c r="P542">
        <f ca="1"/>
        <v>44787</v>
      </c>
      <c r="Q542">
        <f ca="1"/>
        <v>164.08973380005102</v>
      </c>
      <c r="R542">
        <f ca="1"/>
        <v>0.29586815665765098</v>
      </c>
      <c r="S542">
        <f ca="1"/>
        <v>1.6649094677330986E-18</v>
      </c>
      <c r="T542">
        <f ca="1"/>
        <v>0.33045890927264504</v>
      </c>
      <c r="U542">
        <f ca="1"/>
        <v>0</v>
      </c>
      <c r="V542">
        <f ca="1"/>
        <v>8.7583951418533807</v>
      </c>
      <c r="W542">
        <f ca="1"/>
        <v>6.0551867647381403</v>
      </c>
      <c r="X542">
        <f ca="1"/>
        <v>0</v>
      </c>
      <c r="Y542">
        <f ca="1"/>
        <v>1</v>
      </c>
      <c r="Z542">
        <f ca="1"/>
        <v>3.2890738403963411</v>
      </c>
      <c r="AA542">
        <f ca="1"/>
        <v>0</v>
      </c>
      <c r="AB542">
        <f ca="1"/>
        <v>8.5121918359743406E-2</v>
      </c>
      <c r="AD542" s="2">
        <f t="shared" ca="1" si="84"/>
        <v>44787</v>
      </c>
      <c r="AE542" s="46">
        <f t="shared" ca="1" si="85"/>
        <v>0</v>
      </c>
      <c r="AG542" s="72">
        <f t="shared" ca="1" si="86"/>
        <v>164.38560195670868</v>
      </c>
      <c r="AH542" s="72">
        <f t="shared" ca="1" si="87"/>
        <v>164.38560195670868</v>
      </c>
      <c r="AI542" s="3">
        <f t="shared" ca="1" si="88"/>
        <v>0</v>
      </c>
    </row>
    <row r="543" spans="7:35" ht="15.75" thickBot="1" x14ac:dyDescent="0.3">
      <c r="G543" s="3">
        <f t="shared" si="80"/>
        <v>81</v>
      </c>
      <c r="H543" s="106">
        <f t="shared" si="89"/>
        <v>44641</v>
      </c>
      <c r="I543" s="133">
        <f>HLOOKUP($H$4,'Met Data'!$A$2:$F$368,G543,FALSE)</f>
        <v>17.498333333333299</v>
      </c>
      <c r="J543" s="131">
        <f ca="1">HLOOKUP($H$4,'Met Data'!$H$2:$M$368,G543,FALSE)*L543</f>
        <v>0.80645161290322498</v>
      </c>
      <c r="K543" s="107">
        <f>HLOOKUP($H$4,'Met Data'!$O$2:$T$368,G543,FALSE)</f>
        <v>3.31927458571925</v>
      </c>
      <c r="L543">
        <f t="shared" ca="1" si="81"/>
        <v>1</v>
      </c>
      <c r="N543" t="b">
        <f t="shared" ca="1" si="82"/>
        <v>0</v>
      </c>
      <c r="O543" t="b">
        <f t="shared" ca="1" si="83"/>
        <v>0</v>
      </c>
      <c r="P543">
        <f ca="1"/>
        <v>44788</v>
      </c>
      <c r="Q543">
        <f ca="1"/>
        <v>164.1136668139668</v>
      </c>
      <c r="R543">
        <f ca="1"/>
        <v>0.28958135172093702</v>
      </c>
      <c r="S543">
        <f ca="1"/>
        <v>1.3771905468054865E-18</v>
      </c>
      <c r="T543">
        <f ca="1"/>
        <v>0.31351436563671736</v>
      </c>
      <c r="U543">
        <f ca="1"/>
        <v>0</v>
      </c>
      <c r="V543">
        <f ca="1"/>
        <v>9.0479764935743106</v>
      </c>
      <c r="W543">
        <f ca="1"/>
        <v>6.2553911560513802</v>
      </c>
      <c r="X543">
        <f ca="1"/>
        <v>0</v>
      </c>
      <c r="Y543">
        <f ca="1"/>
        <v>1</v>
      </c>
      <c r="Z543">
        <f ca="1"/>
        <v>3.3429010478105425</v>
      </c>
      <c r="AA543">
        <f ca="1"/>
        <v>0</v>
      </c>
      <c r="AB543">
        <f ca="1"/>
        <v>9.0294264961796405E-2</v>
      </c>
      <c r="AD543" s="2">
        <f t="shared" ca="1" si="84"/>
        <v>44788</v>
      </c>
      <c r="AE543" s="46">
        <f t="shared" ca="1" si="85"/>
        <v>0</v>
      </c>
      <c r="AG543" s="72">
        <f t="shared" ca="1" si="86"/>
        <v>164.40324816568773</v>
      </c>
      <c r="AH543" s="72">
        <f t="shared" ca="1" si="87"/>
        <v>164.40324816568773</v>
      </c>
      <c r="AI543" s="3">
        <f t="shared" ca="1" si="88"/>
        <v>0</v>
      </c>
    </row>
    <row r="544" spans="7:35" ht="15.75" thickBot="1" x14ac:dyDescent="0.3">
      <c r="G544" s="3">
        <f t="shared" si="80"/>
        <v>82</v>
      </c>
      <c r="H544" s="106">
        <f t="shared" si="89"/>
        <v>44642</v>
      </c>
      <c r="I544" s="133">
        <f>HLOOKUP($H$4,'Met Data'!$A$2:$F$368,G544,FALSE)</f>
        <v>17.390322580645101</v>
      </c>
      <c r="J544" s="131">
        <f ca="1">HLOOKUP($H$4,'Met Data'!$H$2:$M$368,G544,FALSE)*L544</f>
        <v>2.8516129032258002</v>
      </c>
      <c r="K544" s="107">
        <f>HLOOKUP($H$4,'Met Data'!$O$2:$T$368,G544,FALSE)</f>
        <v>3.3284502448926401</v>
      </c>
      <c r="L544">
        <f t="shared" ca="1" si="81"/>
        <v>1</v>
      </c>
      <c r="N544" t="b">
        <f t="shared" ca="1" si="82"/>
        <v>0</v>
      </c>
      <c r="O544" t="b">
        <f t="shared" ca="1" si="83"/>
        <v>0</v>
      </c>
      <c r="P544">
        <f ca="1"/>
        <v>44789</v>
      </c>
      <c r="Q544">
        <f ca="1"/>
        <v>164.12891970680323</v>
      </c>
      <c r="R544">
        <f ca="1"/>
        <v>0.29923261468815499</v>
      </c>
      <c r="S544">
        <f ca="1"/>
        <v>1.2128548375473205E-18</v>
      </c>
      <c r="T544">
        <f ca="1"/>
        <v>0.31448550752455418</v>
      </c>
      <c r="U544">
        <f ca="1"/>
        <v>0</v>
      </c>
      <c r="V544">
        <f ca="1"/>
        <v>9.3472091082624704</v>
      </c>
      <c r="W544">
        <f ca="1"/>
        <v>6.4622680254654101</v>
      </c>
      <c r="X544">
        <f ca="1"/>
        <v>0</v>
      </c>
      <c r="Y544">
        <f ca="1"/>
        <v>1</v>
      </c>
      <c r="Z544">
        <f ca="1"/>
        <v>2.6163924839702162</v>
      </c>
      <c r="AA544">
        <f ca="1"/>
        <v>0</v>
      </c>
      <c r="AB544">
        <f ca="1"/>
        <v>9.5756197616137503E-2</v>
      </c>
      <c r="AD544" s="2">
        <f t="shared" ca="1" si="84"/>
        <v>44789</v>
      </c>
      <c r="AE544" s="46">
        <f t="shared" ca="1" si="85"/>
        <v>0</v>
      </c>
      <c r="AG544" s="72">
        <f t="shared" ca="1" si="86"/>
        <v>164.42815232149135</v>
      </c>
      <c r="AH544" s="72">
        <f t="shared" ca="1" si="87"/>
        <v>164.42815232149138</v>
      </c>
      <c r="AI544" s="3">
        <f t="shared" ca="1" si="88"/>
        <v>0</v>
      </c>
    </row>
    <row r="545" spans="7:35" ht="15.75" thickBot="1" x14ac:dyDescent="0.3">
      <c r="G545" s="3">
        <f t="shared" si="80"/>
        <v>83</v>
      </c>
      <c r="H545" s="106">
        <f t="shared" si="89"/>
        <v>44643</v>
      </c>
      <c r="I545" s="133">
        <f>HLOOKUP($H$4,'Met Data'!$A$2:$F$368,G545,FALSE)</f>
        <v>17.053333333333299</v>
      </c>
      <c r="J545" s="131">
        <f ca="1">HLOOKUP($H$4,'Met Data'!$H$2:$M$368,G545,FALSE)*L545</f>
        <v>2.9933333333333301</v>
      </c>
      <c r="K545" s="107">
        <f>HLOOKUP($H$4,'Met Data'!$O$2:$T$368,G545,FALSE)</f>
        <v>3.1676733133647299</v>
      </c>
      <c r="L545">
        <f t="shared" ca="1" si="81"/>
        <v>1</v>
      </c>
      <c r="N545" t="b">
        <f t="shared" ca="1" si="82"/>
        <v>0</v>
      </c>
      <c r="O545" t="b">
        <f t="shared" ca="1" si="83"/>
        <v>0</v>
      </c>
      <c r="P545">
        <f ca="1"/>
        <v>44790</v>
      </c>
      <c r="Q545">
        <f ca="1"/>
        <v>164.13521103264708</v>
      </c>
      <c r="R545">
        <f ca="1"/>
        <v>0.30452415056868198</v>
      </c>
      <c r="S545">
        <f ca="1"/>
        <v>1.051835183271817E-18</v>
      </c>
      <c r="T545">
        <f ca="1"/>
        <v>0.31081547641253943</v>
      </c>
      <c r="U545">
        <f ca="1"/>
        <v>0</v>
      </c>
      <c r="V545">
        <f ca="1"/>
        <v>9.6517332588311504</v>
      </c>
      <c r="W545">
        <f ca="1"/>
        <v>6.6728032406733897</v>
      </c>
      <c r="X545">
        <f ca="1"/>
        <v>0</v>
      </c>
      <c r="Y545">
        <f ca="1"/>
        <v>1</v>
      </c>
      <c r="Z545">
        <f ca="1"/>
        <v>3.3422156657796194</v>
      </c>
      <c r="AA545">
        <f ca="1"/>
        <v>0</v>
      </c>
      <c r="AB545">
        <f ca="1"/>
        <v>0.101432024810005</v>
      </c>
      <c r="AD545" s="2">
        <f t="shared" ca="1" si="84"/>
        <v>44790</v>
      </c>
      <c r="AE545" s="46">
        <f t="shared" ca="1" si="85"/>
        <v>0</v>
      </c>
      <c r="AG545" s="72">
        <f t="shared" ca="1" si="86"/>
        <v>164.43973518321576</v>
      </c>
      <c r="AH545" s="72">
        <f t="shared" ca="1" si="87"/>
        <v>164.43973518321576</v>
      </c>
      <c r="AI545" s="3">
        <f t="shared" ca="1" si="88"/>
        <v>0</v>
      </c>
    </row>
    <row r="546" spans="7:35" ht="15.75" thickBot="1" x14ac:dyDescent="0.3">
      <c r="G546" s="3">
        <f t="shared" si="80"/>
        <v>84</v>
      </c>
      <c r="H546" s="106">
        <f t="shared" si="89"/>
        <v>44644</v>
      </c>
      <c r="I546" s="133">
        <f>HLOOKUP($H$4,'Met Data'!$A$2:$F$368,G546,FALSE)</f>
        <v>16.973333333333301</v>
      </c>
      <c r="J546" s="131">
        <f ca="1">HLOOKUP($H$4,'Met Data'!$H$2:$M$368,G546,FALSE)*L546</f>
        <v>1.83666666666666</v>
      </c>
      <c r="K546" s="107">
        <f>HLOOKUP($H$4,'Met Data'!$O$2:$T$368,G546,FALSE)</f>
        <v>3.1307694102164598</v>
      </c>
      <c r="L546">
        <f t="shared" ca="1" si="81"/>
        <v>1</v>
      </c>
      <c r="N546" t="b">
        <f t="shared" ca="1" si="82"/>
        <v>0</v>
      </c>
      <c r="O546" t="b">
        <f t="shared" ca="1" si="83"/>
        <v>0</v>
      </c>
      <c r="P546">
        <f ca="1"/>
        <v>44791</v>
      </c>
      <c r="Q546">
        <f ca="1"/>
        <v>164.13254315032469</v>
      </c>
      <c r="R546">
        <f ca="1"/>
        <v>0.31348335873490801</v>
      </c>
      <c r="S546">
        <f ca="1"/>
        <v>9.2456312609592787E-19</v>
      </c>
      <c r="T546">
        <f ca="1"/>
        <v>0.31081547641253943</v>
      </c>
      <c r="U546">
        <f ca="1"/>
        <v>0</v>
      </c>
      <c r="V546">
        <f ca="1"/>
        <v>9.9652166175660604</v>
      </c>
      <c r="W546">
        <f ca="1"/>
        <v>6.8895324763419703</v>
      </c>
      <c r="X546">
        <f ca="1"/>
        <v>0</v>
      </c>
      <c r="Y546">
        <f ca="1"/>
        <v>1</v>
      </c>
      <c r="Z546">
        <f ca="1"/>
        <v>2.054373201111332</v>
      </c>
      <c r="AA546">
        <f ca="1"/>
        <v>0</v>
      </c>
      <c r="AB546">
        <f ca="1"/>
        <v>0.10739297628425799</v>
      </c>
      <c r="AD546" s="2">
        <f t="shared" ca="1" si="84"/>
        <v>44791</v>
      </c>
      <c r="AE546" s="46">
        <f t="shared" ca="1" si="85"/>
        <v>0</v>
      </c>
      <c r="AG546" s="72">
        <f t="shared" ca="1" si="86"/>
        <v>164.44602650905961</v>
      </c>
      <c r="AH546" s="72">
        <f t="shared" ca="1" si="87"/>
        <v>164.44602650905961</v>
      </c>
      <c r="AI546" s="3">
        <f t="shared" ca="1" si="88"/>
        <v>0</v>
      </c>
    </row>
    <row r="547" spans="7:35" ht="15.75" thickBot="1" x14ac:dyDescent="0.3">
      <c r="G547" s="3">
        <f t="shared" si="80"/>
        <v>85</v>
      </c>
      <c r="H547" s="106">
        <f t="shared" si="89"/>
        <v>44645</v>
      </c>
      <c r="I547" s="133">
        <f>HLOOKUP($H$4,'Met Data'!$A$2:$F$368,G547,FALSE)</f>
        <v>16.984999999999999</v>
      </c>
      <c r="J547" s="131">
        <f ca="1">HLOOKUP($H$4,'Met Data'!$H$2:$M$368,G547,FALSE)*L547</f>
        <v>1.7666666666666599</v>
      </c>
      <c r="K547" s="107">
        <f>HLOOKUP($H$4,'Met Data'!$O$2:$T$368,G547,FALSE)</f>
        <v>2.9971927749729499</v>
      </c>
      <c r="L547">
        <f t="shared" ca="1" si="81"/>
        <v>1</v>
      </c>
      <c r="N547" t="b">
        <f t="shared" ca="1" si="82"/>
        <v>0</v>
      </c>
      <c r="O547" t="b">
        <f t="shared" ca="1" si="83"/>
        <v>0</v>
      </c>
      <c r="P547">
        <f ca="1"/>
        <v>44792</v>
      </c>
      <c r="Q547">
        <f ca="1"/>
        <v>164.12060902306911</v>
      </c>
      <c r="R547">
        <f ca="1"/>
        <v>0.32442830039787302</v>
      </c>
      <c r="S547">
        <f ca="1"/>
        <v>8.1712384777198434E-19</v>
      </c>
      <c r="T547">
        <f ca="1"/>
        <v>0.31249417314230316</v>
      </c>
      <c r="U547">
        <f ca="1"/>
        <v>0</v>
      </c>
      <c r="V547">
        <f ca="1"/>
        <v>10.2896449179639</v>
      </c>
      <c r="W547">
        <f ca="1"/>
        <v>7.11382858525901</v>
      </c>
      <c r="X547">
        <f ca="1"/>
        <v>0</v>
      </c>
      <c r="Y547">
        <f ca="1"/>
        <v>1</v>
      </c>
      <c r="Z547">
        <f ca="1"/>
        <v>1.739739960857392</v>
      </c>
      <c r="AA547">
        <f ca="1"/>
        <v>0</v>
      </c>
      <c r="AB547">
        <f ca="1"/>
        <v>0.1136821825238</v>
      </c>
      <c r="AD547" s="2">
        <f t="shared" ca="1" si="84"/>
        <v>44792</v>
      </c>
      <c r="AE547" s="46">
        <f t="shared" ca="1" si="85"/>
        <v>0</v>
      </c>
      <c r="AG547" s="72">
        <f t="shared" ca="1" si="86"/>
        <v>164.44503732346701</v>
      </c>
      <c r="AH547" s="72">
        <f t="shared" ca="1" si="87"/>
        <v>164.44503732346698</v>
      </c>
      <c r="AI547" s="3">
        <f t="shared" ca="1" si="88"/>
        <v>0</v>
      </c>
    </row>
    <row r="548" spans="7:35" ht="15.75" thickBot="1" x14ac:dyDescent="0.3">
      <c r="G548" s="3">
        <f t="shared" si="80"/>
        <v>86</v>
      </c>
      <c r="H548" s="106">
        <f t="shared" si="89"/>
        <v>44646</v>
      </c>
      <c r="I548" s="133">
        <f>HLOOKUP($H$4,'Met Data'!$A$2:$F$368,G548,FALSE)</f>
        <v>17.064516129032199</v>
      </c>
      <c r="J548" s="131">
        <f ca="1">HLOOKUP($H$4,'Met Data'!$H$2:$M$368,G548,FALSE)*L548</f>
        <v>3.4354838709677402</v>
      </c>
      <c r="K548" s="107">
        <f>HLOOKUP($H$4,'Met Data'!$O$2:$T$368,G548,FALSE)</f>
        <v>3.1405308327099699</v>
      </c>
      <c r="L548">
        <f t="shared" ca="1" si="81"/>
        <v>1</v>
      </c>
      <c r="N548" t="b">
        <f t="shared" ca="1" si="82"/>
        <v>0</v>
      </c>
      <c r="O548" t="b">
        <f t="shared" ca="1" si="83"/>
        <v>0</v>
      </c>
      <c r="P548">
        <f ca="1"/>
        <v>44793</v>
      </c>
      <c r="Q548">
        <f ca="1"/>
        <v>164.09848113909493</v>
      </c>
      <c r="R548">
        <f ca="1"/>
        <v>0.343361188484756</v>
      </c>
      <c r="S548">
        <f ca="1"/>
        <v>7.3777028448243041E-19</v>
      </c>
      <c r="T548">
        <f ca="1"/>
        <v>0.32123330451056437</v>
      </c>
      <c r="U548">
        <f ca="1"/>
        <v>0</v>
      </c>
      <c r="V548">
        <f ca="1"/>
        <v>10.6330061064487</v>
      </c>
      <c r="W548">
        <f ca="1"/>
        <v>7.3512140982855101</v>
      </c>
      <c r="X548">
        <f ca="1"/>
        <v>0</v>
      </c>
      <c r="Y548">
        <f ca="1"/>
        <v>1</v>
      </c>
      <c r="Z548">
        <f ca="1"/>
        <v>3.024509651489538</v>
      </c>
      <c r="AA548">
        <f ca="1"/>
        <v>0</v>
      </c>
      <c r="AB548">
        <f ca="1"/>
        <v>0.120464452623705</v>
      </c>
      <c r="AD548" s="2">
        <f t="shared" ca="1" si="84"/>
        <v>44793</v>
      </c>
      <c r="AE548" s="46">
        <f t="shared" ca="1" si="85"/>
        <v>0</v>
      </c>
      <c r="AG548" s="72">
        <f t="shared" ca="1" si="86"/>
        <v>164.44184232757968</v>
      </c>
      <c r="AH548" s="72">
        <f t="shared" ca="1" si="87"/>
        <v>164.44184232757968</v>
      </c>
      <c r="AI548" s="3">
        <f t="shared" ca="1" si="88"/>
        <v>0</v>
      </c>
    </row>
    <row r="549" spans="7:35" ht="15.75" thickBot="1" x14ac:dyDescent="0.3">
      <c r="G549" s="3">
        <f t="shared" si="80"/>
        <v>87</v>
      </c>
      <c r="H549" s="106">
        <f t="shared" si="89"/>
        <v>44647</v>
      </c>
      <c r="I549" s="133">
        <f>HLOOKUP($H$4,'Met Data'!$A$2:$F$368,G549,FALSE)</f>
        <v>17.208064516128999</v>
      </c>
      <c r="J549" s="131">
        <f ca="1">HLOOKUP($H$4,'Met Data'!$H$2:$M$368,G549,FALSE)*L549</f>
        <v>0.97419354838709604</v>
      </c>
      <c r="K549" s="107">
        <f>HLOOKUP($H$4,'Met Data'!$O$2:$T$368,G549,FALSE)</f>
        <v>3.1295018555019598</v>
      </c>
      <c r="L549">
        <f t="shared" ca="1" si="81"/>
        <v>1</v>
      </c>
      <c r="N549" t="b">
        <f t="shared" ca="1" si="82"/>
        <v>0</v>
      </c>
      <c r="O549" t="b">
        <f t="shared" ca="1" si="83"/>
        <v>0</v>
      </c>
      <c r="P549">
        <f ca="1"/>
        <v>44794</v>
      </c>
      <c r="Q549">
        <f ca="1"/>
        <v>164.06527111639525</v>
      </c>
      <c r="R549">
        <f ca="1"/>
        <v>0.36328312213353398</v>
      </c>
      <c r="S549">
        <f ca="1"/>
        <v>6.6295080656195391E-19</v>
      </c>
      <c r="T549">
        <f ca="1"/>
        <v>0.33007309943384677</v>
      </c>
      <c r="U549">
        <f ca="1"/>
        <v>0</v>
      </c>
      <c r="V549">
        <f ca="1"/>
        <v>10.996289228582199</v>
      </c>
      <c r="W549">
        <f ca="1"/>
        <v>7.6023728000074602</v>
      </c>
      <c r="X549">
        <f ca="1"/>
        <v>0</v>
      </c>
      <c r="Y549">
        <f ca="1"/>
        <v>1</v>
      </c>
      <c r="Z549">
        <f ca="1"/>
        <v>2.195413462981108</v>
      </c>
      <c r="AA549">
        <f ca="1"/>
        <v>0</v>
      </c>
      <c r="AB549">
        <f ca="1"/>
        <v>0.12777298515538199</v>
      </c>
      <c r="AD549" s="2">
        <f t="shared" ca="1" si="84"/>
        <v>44794</v>
      </c>
      <c r="AE549" s="46">
        <f t="shared" ca="1" si="85"/>
        <v>0</v>
      </c>
      <c r="AG549" s="72">
        <f t="shared" ca="1" si="86"/>
        <v>164.42855423852879</v>
      </c>
      <c r="AH549" s="72">
        <f t="shared" ca="1" si="87"/>
        <v>164.42855423852879</v>
      </c>
      <c r="AI549" s="3">
        <f t="shared" ca="1" si="88"/>
        <v>0</v>
      </c>
    </row>
    <row r="550" spans="7:35" ht="15.75" thickBot="1" x14ac:dyDescent="0.3">
      <c r="G550" s="3">
        <f t="shared" si="80"/>
        <v>88</v>
      </c>
      <c r="H550" s="106">
        <f t="shared" si="89"/>
        <v>44648</v>
      </c>
      <c r="I550" s="133">
        <f>HLOOKUP($H$4,'Met Data'!$A$2:$F$368,G550,FALSE)</f>
        <v>17.141666666666602</v>
      </c>
      <c r="J550" s="131">
        <f ca="1">HLOOKUP($H$4,'Met Data'!$H$2:$M$368,G550,FALSE)*L550</f>
        <v>2.43225806451612</v>
      </c>
      <c r="K550" s="107">
        <f>HLOOKUP($H$4,'Met Data'!$O$2:$T$368,G550,FALSE)</f>
        <v>2.6600638405747499</v>
      </c>
      <c r="L550">
        <f t="shared" ca="1" si="81"/>
        <v>1</v>
      </c>
      <c r="N550" t="b">
        <f t="shared" ca="1" si="82"/>
        <v>0</v>
      </c>
      <c r="O550" t="b">
        <f t="shared" ca="1" si="83"/>
        <v>0</v>
      </c>
      <c r="P550">
        <f ca="1"/>
        <v>44795</v>
      </c>
      <c r="Q550">
        <f ca="1"/>
        <v>164.02058018334259</v>
      </c>
      <c r="R550">
        <f ca="1"/>
        <v>0.37868261284479798</v>
      </c>
      <c r="S550">
        <f ca="1"/>
        <v>5.8445934703620503E-19</v>
      </c>
      <c r="T550">
        <f ca="1"/>
        <v>0.33399167979212269</v>
      </c>
      <c r="U550">
        <f ca="1"/>
        <v>0</v>
      </c>
      <c r="V550">
        <f ca="1"/>
        <v>11.374971841427</v>
      </c>
      <c r="W550">
        <f ca="1"/>
        <v>7.8641780632087999</v>
      </c>
      <c r="X550">
        <f ca="1"/>
        <v>0</v>
      </c>
      <c r="Y550">
        <f ca="1"/>
        <v>1</v>
      </c>
      <c r="Z550">
        <f ca="1"/>
        <v>2.0415890056987678</v>
      </c>
      <c r="AA550">
        <f ca="1"/>
        <v>0</v>
      </c>
      <c r="AB550">
        <f ca="1"/>
        <v>0.135526951502216</v>
      </c>
      <c r="AD550" s="2">
        <f t="shared" ca="1" si="84"/>
        <v>44795</v>
      </c>
      <c r="AE550" s="46">
        <f t="shared" ca="1" si="85"/>
        <v>0</v>
      </c>
      <c r="AG550" s="72">
        <f t="shared" ca="1" si="86"/>
        <v>164.39926279618737</v>
      </c>
      <c r="AH550" s="72">
        <f t="shared" ca="1" si="87"/>
        <v>164.39926279618737</v>
      </c>
      <c r="AI550" s="3">
        <f t="shared" ca="1" si="88"/>
        <v>0</v>
      </c>
    </row>
    <row r="551" spans="7:35" ht="15.75" thickBot="1" x14ac:dyDescent="0.3">
      <c r="G551" s="3">
        <f t="shared" si="80"/>
        <v>89</v>
      </c>
      <c r="H551" s="106">
        <f t="shared" si="89"/>
        <v>44649</v>
      </c>
      <c r="I551" s="133">
        <f>HLOOKUP($H$4,'Met Data'!$A$2:$F$368,G551,FALSE)</f>
        <v>17.338333333333299</v>
      </c>
      <c r="J551" s="131">
        <f ca="1">HLOOKUP($H$4,'Met Data'!$H$2:$M$368,G551,FALSE)*L551</f>
        <v>2.8193548387096699</v>
      </c>
      <c r="K551" s="107">
        <f>HLOOKUP($H$4,'Met Data'!$O$2:$T$368,G551,FALSE)</f>
        <v>2.7816184084358899</v>
      </c>
      <c r="L551">
        <f t="shared" ca="1" si="81"/>
        <v>1</v>
      </c>
      <c r="N551" t="b">
        <f t="shared" ca="1" si="82"/>
        <v>0</v>
      </c>
      <c r="O551" t="b">
        <f t="shared" ca="1" si="83"/>
        <v>0</v>
      </c>
      <c r="P551">
        <f ca="1"/>
        <v>44796</v>
      </c>
      <c r="Q551">
        <f ca="1"/>
        <v>163.96325005468071</v>
      </c>
      <c r="R551">
        <f ca="1"/>
        <v>0.39935467513094203</v>
      </c>
      <c r="S551">
        <f ca="1"/>
        <v>5.2026883914653861E-19</v>
      </c>
      <c r="T551">
        <f ca="1"/>
        <v>0.34202454646905817</v>
      </c>
      <c r="U551">
        <f ca="1"/>
        <v>0</v>
      </c>
      <c r="V551">
        <f ca="1"/>
        <v>11.774326516558</v>
      </c>
      <c r="W551">
        <f ca="1"/>
        <v>8.1402751225585899</v>
      </c>
      <c r="X551">
        <f ca="1"/>
        <v>0</v>
      </c>
      <c r="Y551">
        <f ca="1"/>
        <v>1</v>
      </c>
      <c r="Z551">
        <f ca="1"/>
        <v>1.2407283062524215</v>
      </c>
      <c r="AA551">
        <f ca="1"/>
        <v>0</v>
      </c>
      <c r="AB551">
        <f ca="1"/>
        <v>0.14384292497210099</v>
      </c>
      <c r="AD551" s="2">
        <f t="shared" ca="1" si="84"/>
        <v>44796</v>
      </c>
      <c r="AE551" s="46">
        <f t="shared" ca="1" si="85"/>
        <v>0</v>
      </c>
      <c r="AG551" s="72">
        <f t="shared" ca="1" si="86"/>
        <v>164.36260472981164</v>
      </c>
      <c r="AH551" s="72">
        <f t="shared" ca="1" si="87"/>
        <v>164.36260472981166</v>
      </c>
      <c r="AI551" s="3">
        <f t="shared" ca="1" si="88"/>
        <v>0</v>
      </c>
    </row>
    <row r="552" spans="7:35" ht="15.75" thickBot="1" x14ac:dyDescent="0.3">
      <c r="G552" s="3">
        <f t="shared" si="80"/>
        <v>90</v>
      </c>
      <c r="H552" s="106">
        <f t="shared" si="89"/>
        <v>44650</v>
      </c>
      <c r="I552" s="133">
        <f>HLOOKUP($H$4,'Met Data'!$A$2:$F$368,G552,FALSE)</f>
        <v>17.136206896551698</v>
      </c>
      <c r="J552" s="131">
        <f ca="1">HLOOKUP($H$4,'Met Data'!$H$2:$M$368,G552,FALSE)*L552</f>
        <v>1.15333333333333</v>
      </c>
      <c r="K552" s="107">
        <f>HLOOKUP($H$4,'Met Data'!$O$2:$T$368,G552,FALSE)</f>
        <v>3.16549451986696</v>
      </c>
      <c r="L552">
        <f t="shared" ca="1" si="81"/>
        <v>1</v>
      </c>
      <c r="N552" t="b">
        <f t="shared" ca="1" si="82"/>
        <v>0</v>
      </c>
      <c r="O552" t="b">
        <f t="shared" ca="1" si="83"/>
        <v>0</v>
      </c>
      <c r="P552">
        <f ca="1"/>
        <v>44797</v>
      </c>
      <c r="Q552">
        <f ca="1"/>
        <v>163.89353273233553</v>
      </c>
      <c r="R552">
        <f ca="1"/>
        <v>0.41211967860412502</v>
      </c>
      <c r="S552">
        <f ca="1"/>
        <v>4.5158984843197476E-19</v>
      </c>
      <c r="T552">
        <f ca="1"/>
        <v>0.3424023562589702</v>
      </c>
      <c r="U552">
        <f ca="1"/>
        <v>0</v>
      </c>
      <c r="V552">
        <f ca="1"/>
        <v>12.1864461951621</v>
      </c>
      <c r="W552">
        <f ca="1"/>
        <v>8.4251973694947804</v>
      </c>
      <c r="X552">
        <f ca="1"/>
        <v>0</v>
      </c>
      <c r="Y552">
        <f ca="1"/>
        <v>1</v>
      </c>
      <c r="Z552">
        <f ca="1"/>
        <v>1.2706593307136131</v>
      </c>
      <c r="AA552">
        <f ca="1"/>
        <v>0</v>
      </c>
      <c r="AB552">
        <f ca="1"/>
        <v>0.15256140121282699</v>
      </c>
      <c r="AD552" s="2">
        <f t="shared" ca="1" si="84"/>
        <v>44797</v>
      </c>
      <c r="AE552" s="46">
        <f t="shared" ca="1" si="85"/>
        <v>0</v>
      </c>
      <c r="AG552" s="72">
        <f t="shared" ca="1" si="86"/>
        <v>164.30565241093967</v>
      </c>
      <c r="AH552" s="72">
        <f t="shared" ca="1" si="87"/>
        <v>164.30565241093964</v>
      </c>
      <c r="AI552" s="3">
        <f t="shared" ca="1" si="88"/>
        <v>0</v>
      </c>
    </row>
    <row r="553" spans="7:35" ht="15.75" thickBot="1" x14ac:dyDescent="0.3">
      <c r="G553" s="3">
        <f t="shared" si="80"/>
        <v>91</v>
      </c>
      <c r="H553" s="106">
        <f t="shared" si="89"/>
        <v>44651</v>
      </c>
      <c r="I553" s="133">
        <f>HLOOKUP($H$4,'Met Data'!$A$2:$F$368,G553,FALSE)</f>
        <v>16.922413793103399</v>
      </c>
      <c r="J553" s="131">
        <f ca="1">HLOOKUP($H$4,'Met Data'!$H$2:$M$368,G553,FALSE)*L553</f>
        <v>2.9733333333333301</v>
      </c>
      <c r="K553" s="107">
        <f>HLOOKUP($H$4,'Met Data'!$O$2:$T$368,G553,FALSE)</f>
        <v>2.84233525233393</v>
      </c>
      <c r="L553">
        <f t="shared" ca="1" si="81"/>
        <v>1</v>
      </c>
      <c r="N553" t="b">
        <f t="shared" ca="1" si="82"/>
        <v>0</v>
      </c>
      <c r="O553" t="b">
        <f t="shared" ca="1" si="83"/>
        <v>0</v>
      </c>
      <c r="P553">
        <f ca="1"/>
        <v>44798</v>
      </c>
      <c r="Q553">
        <f ca="1"/>
        <v>163.80997333387302</v>
      </c>
      <c r="R553">
        <f ca="1"/>
        <v>0.43231550683160203</v>
      </c>
      <c r="S553">
        <f ca="1"/>
        <v>3.9838626524295855E-19</v>
      </c>
      <c r="T553">
        <f ca="1"/>
        <v>0.34875610836908755</v>
      </c>
      <c r="U553">
        <f ca="1"/>
        <v>0</v>
      </c>
      <c r="V553">
        <f ca="1"/>
        <v>12.6187617019937</v>
      </c>
      <c r="W553">
        <f ca="1"/>
        <v>8.7240821643413096</v>
      </c>
      <c r="X553">
        <f ca="1"/>
        <v>0</v>
      </c>
      <c r="Y553">
        <f ca="1"/>
        <v>1</v>
      </c>
      <c r="Z553">
        <f ca="1"/>
        <v>5.2970530785325991</v>
      </c>
      <c r="AA553">
        <f ca="1"/>
        <v>0</v>
      </c>
      <c r="AB553">
        <f ca="1"/>
        <v>0.16184201421167599</v>
      </c>
      <c r="AD553" s="2">
        <f t="shared" ca="1" si="84"/>
        <v>44798</v>
      </c>
      <c r="AE553" s="46">
        <f t="shared" ca="1" si="85"/>
        <v>0</v>
      </c>
      <c r="AG553" s="72">
        <f t="shared" ca="1" si="86"/>
        <v>164.24228884070462</v>
      </c>
      <c r="AH553" s="72">
        <f t="shared" ca="1" si="87"/>
        <v>164.24228884070462</v>
      </c>
      <c r="AI553" s="3">
        <f t="shared" ca="1" si="88"/>
        <v>0</v>
      </c>
    </row>
    <row r="554" spans="7:35" ht="15.75" thickBot="1" x14ac:dyDescent="0.3">
      <c r="G554" s="3">
        <f t="shared" si="80"/>
        <v>92</v>
      </c>
      <c r="H554" s="106">
        <f t="shared" si="89"/>
        <v>44652</v>
      </c>
      <c r="I554" s="133">
        <f>HLOOKUP($H$4,'Met Data'!$A$2:$F$368,G554,FALSE)</f>
        <v>16.63</v>
      </c>
      <c r="J554" s="131">
        <f ca="1">HLOOKUP($H$4,'Met Data'!$H$2:$M$368,G554,FALSE)*L554</f>
        <v>1.76451612903225</v>
      </c>
      <c r="K554" s="107">
        <f>HLOOKUP($H$4,'Met Data'!$O$2:$T$368,G554,FALSE)</f>
        <v>2.8748972399291501</v>
      </c>
      <c r="L554">
        <f t="shared" ca="1" si="81"/>
        <v>1</v>
      </c>
      <c r="N554" t="b">
        <f t="shared" ca="1" si="82"/>
        <v>0</v>
      </c>
      <c r="O554" t="b">
        <f t="shared" ca="1" si="83"/>
        <v>0</v>
      </c>
      <c r="P554">
        <f ca="1"/>
        <v>44799</v>
      </c>
      <c r="Q554">
        <f ca="1"/>
        <v>163.71416334572262</v>
      </c>
      <c r="R554">
        <f ca="1"/>
        <v>0.43983450580379102</v>
      </c>
      <c r="S554">
        <f ca="1"/>
        <v>3.4001836987015098E-19</v>
      </c>
      <c r="T554">
        <f ca="1"/>
        <v>0.34402451765337078</v>
      </c>
      <c r="U554">
        <f ca="1"/>
        <v>0</v>
      </c>
      <c r="V554">
        <f ca="1"/>
        <v>13.0585962077975</v>
      </c>
      <c r="W554">
        <f ca="1"/>
        <v>9.0281652794649201</v>
      </c>
      <c r="X554">
        <f ca="1"/>
        <v>0</v>
      </c>
      <c r="Y554">
        <f ca="1"/>
        <v>1</v>
      </c>
      <c r="Z554">
        <f ca="1"/>
        <v>2.5354682417520422</v>
      </c>
      <c r="AA554">
        <f ca="1"/>
        <v>0</v>
      </c>
      <c r="AB554">
        <f ca="1"/>
        <v>0.171410373783002</v>
      </c>
      <c r="AD554" s="2">
        <f t="shared" ca="1" si="84"/>
        <v>44799</v>
      </c>
      <c r="AE554" s="46">
        <f t="shared" ca="1" si="85"/>
        <v>0</v>
      </c>
      <c r="AG554" s="72">
        <f t="shared" ca="1" si="86"/>
        <v>164.15399785152638</v>
      </c>
      <c r="AH554" s="72">
        <f t="shared" ca="1" si="87"/>
        <v>164.15399785152641</v>
      </c>
      <c r="AI554" s="3">
        <f t="shared" ca="1" si="88"/>
        <v>0</v>
      </c>
    </row>
    <row r="555" spans="7:35" ht="15.75" thickBot="1" x14ac:dyDescent="0.3">
      <c r="G555" s="3">
        <f t="shared" si="80"/>
        <v>93</v>
      </c>
      <c r="H555" s="106">
        <f t="shared" si="89"/>
        <v>44653</v>
      </c>
      <c r="I555" s="133">
        <f>HLOOKUP($H$4,'Met Data'!$A$2:$F$368,G555,FALSE)</f>
        <v>16.5379310344827</v>
      </c>
      <c r="J555" s="131">
        <f ca="1">HLOOKUP($H$4,'Met Data'!$H$2:$M$368,G555,FALSE)*L555</f>
        <v>3.32258064516129</v>
      </c>
      <c r="K555" s="107">
        <f>HLOOKUP($H$4,'Met Data'!$O$2:$T$368,G555,FALSE)</f>
        <v>2.5469261916112398</v>
      </c>
      <c r="L555">
        <f t="shared" ca="1" si="81"/>
        <v>1</v>
      </c>
      <c r="N555" t="b">
        <f t="shared" ca="1" si="82"/>
        <v>0</v>
      </c>
      <c r="O555" t="b">
        <f t="shared" ca="1" si="83"/>
        <v>0</v>
      </c>
      <c r="P555">
        <f ca="1"/>
        <v>44800</v>
      </c>
      <c r="Q555">
        <f ca="1"/>
        <v>163.60532463652868</v>
      </c>
      <c r="R555">
        <f ca="1"/>
        <v>0.45205154268415598</v>
      </c>
      <c r="S555">
        <f ca="1"/>
        <v>2.9391034850238654E-19</v>
      </c>
      <c r="T555">
        <f ca="1"/>
        <v>0.34321283349022158</v>
      </c>
      <c r="U555">
        <f ca="1"/>
        <v>0</v>
      </c>
      <c r="V555">
        <f ca="1"/>
        <v>13.510647750481599</v>
      </c>
      <c r="W555">
        <f ca="1"/>
        <v>9.3406947410737207</v>
      </c>
      <c r="X555">
        <f ca="1"/>
        <v>0</v>
      </c>
      <c r="Y555">
        <f ca="1"/>
        <v>1</v>
      </c>
      <c r="Z555">
        <f ca="1"/>
        <v>0.88614494526177623</v>
      </c>
      <c r="AA555">
        <f ca="1"/>
        <v>0</v>
      </c>
      <c r="AB555">
        <f ca="1"/>
        <v>0.181360804540284</v>
      </c>
      <c r="AD555" s="2">
        <f t="shared" ca="1" si="84"/>
        <v>44800</v>
      </c>
      <c r="AE555" s="46">
        <f t="shared" ca="1" si="85"/>
        <v>0</v>
      </c>
      <c r="AG555" s="72">
        <f t="shared" ca="1" si="86"/>
        <v>164.05737617921284</v>
      </c>
      <c r="AH555" s="72">
        <f t="shared" ca="1" si="87"/>
        <v>164.05737617921284</v>
      </c>
      <c r="AI555" s="3">
        <f t="shared" ca="1" si="88"/>
        <v>0</v>
      </c>
    </row>
    <row r="556" spans="7:35" ht="15.75" thickBot="1" x14ac:dyDescent="0.3">
      <c r="G556" s="3">
        <f t="shared" si="80"/>
        <v>94</v>
      </c>
      <c r="H556" s="106">
        <f t="shared" si="89"/>
        <v>44654</v>
      </c>
      <c r="I556" s="133">
        <f>HLOOKUP($H$4,'Met Data'!$A$2:$F$368,G556,FALSE)</f>
        <v>16.693103448275799</v>
      </c>
      <c r="J556" s="131">
        <f ca="1">HLOOKUP($H$4,'Met Data'!$H$2:$M$368,G556,FALSE)*L556</f>
        <v>2.8064516129032202</v>
      </c>
      <c r="K556" s="107">
        <f>HLOOKUP($H$4,'Met Data'!$O$2:$T$368,G556,FALSE)</f>
        <v>2.8493466745517901</v>
      </c>
      <c r="L556">
        <f t="shared" ca="1" si="81"/>
        <v>1</v>
      </c>
      <c r="N556" t="b">
        <f t="shared" ca="1" si="82"/>
        <v>0</v>
      </c>
      <c r="O556" t="b">
        <f t="shared" ca="1" si="83"/>
        <v>0</v>
      </c>
      <c r="P556">
        <f ca="1"/>
        <v>44801</v>
      </c>
      <c r="Q556">
        <f ca="1"/>
        <v>163.48657836426889</v>
      </c>
      <c r="R556">
        <f ca="1"/>
        <v>0.45101061448153101</v>
      </c>
      <c r="S556">
        <f ca="1"/>
        <v>2.4690068475285811E-19</v>
      </c>
      <c r="T556">
        <f ca="1"/>
        <v>0.33226434222179013</v>
      </c>
      <c r="U556">
        <f ca="1"/>
        <v>0</v>
      </c>
      <c r="V556">
        <f ca="1"/>
        <v>13.961658364963199</v>
      </c>
      <c r="W556">
        <f ca="1"/>
        <v>9.6525045486165109</v>
      </c>
      <c r="X556">
        <f ca="1"/>
        <v>0</v>
      </c>
      <c r="Y556">
        <f ca="1"/>
        <v>1</v>
      </c>
      <c r="Z556">
        <f ca="1"/>
        <v>0.28812543617499387</v>
      </c>
      <c r="AA556">
        <f ca="1"/>
        <v>0</v>
      </c>
      <c r="AB556">
        <f ca="1"/>
        <v>0.19138919470430801</v>
      </c>
      <c r="AD556" s="2">
        <f t="shared" ca="1" si="84"/>
        <v>44801</v>
      </c>
      <c r="AE556" s="46">
        <f t="shared" ca="1" si="85"/>
        <v>0</v>
      </c>
      <c r="AG556" s="72">
        <f t="shared" ca="1" si="86"/>
        <v>163.93758897875045</v>
      </c>
      <c r="AH556" s="72">
        <f t="shared" ca="1" si="87"/>
        <v>163.93758897875043</v>
      </c>
      <c r="AI556" s="3">
        <f t="shared" ca="1" si="88"/>
        <v>0</v>
      </c>
    </row>
    <row r="557" spans="7:35" ht="15.75" thickBot="1" x14ac:dyDescent="0.3">
      <c r="G557" s="3">
        <f t="shared" si="80"/>
        <v>95</v>
      </c>
      <c r="H557" s="106">
        <f t="shared" si="89"/>
        <v>44655</v>
      </c>
      <c r="I557" s="133">
        <f>HLOOKUP($H$4,'Met Data'!$A$2:$F$368,G557,FALSE)</f>
        <v>16.29</v>
      </c>
      <c r="J557" s="131">
        <f ca="1">HLOOKUP($H$4,'Met Data'!$H$2:$M$368,G557,FALSE)*L557</f>
        <v>1.4483870967741901</v>
      </c>
      <c r="K557" s="107">
        <f>HLOOKUP($H$4,'Met Data'!$O$2:$T$368,G557,FALSE)</f>
        <v>3.04847392107171</v>
      </c>
      <c r="L557">
        <f t="shared" ca="1" si="81"/>
        <v>1</v>
      </c>
      <c r="N557" t="b">
        <f t="shared" ca="1" si="82"/>
        <v>0</v>
      </c>
      <c r="O557" t="b">
        <f t="shared" ca="1" si="83"/>
        <v>0</v>
      </c>
      <c r="P557">
        <f ca="1"/>
        <v>44802</v>
      </c>
      <c r="Q557">
        <f ca="1"/>
        <v>163.35520443447177</v>
      </c>
      <c r="R557">
        <f ca="1"/>
        <v>0.46303577015067399</v>
      </c>
      <c r="S557">
        <f ca="1"/>
        <v>2.1460559553553809E-19</v>
      </c>
      <c r="T557">
        <f ca="1"/>
        <v>0.33166184035352242</v>
      </c>
      <c r="U557">
        <f ca="1"/>
        <v>0</v>
      </c>
      <c r="V557">
        <f ca="1"/>
        <v>14.4246941351138</v>
      </c>
      <c r="W557">
        <f ca="1"/>
        <v>9.9726280440293191</v>
      </c>
      <c r="X557">
        <f ca="1"/>
        <v>0</v>
      </c>
      <c r="Y557">
        <f ca="1"/>
        <v>1</v>
      </c>
      <c r="Z557">
        <f ca="1"/>
        <v>0.22456969583788577</v>
      </c>
      <c r="AA557">
        <f ca="1"/>
        <v>0</v>
      </c>
      <c r="AB557">
        <f ca="1"/>
        <v>0.20177259120295199</v>
      </c>
      <c r="AD557" s="2">
        <f t="shared" ca="1" si="84"/>
        <v>44802</v>
      </c>
      <c r="AE557" s="46">
        <f t="shared" ca="1" si="85"/>
        <v>0</v>
      </c>
      <c r="AG557" s="72">
        <f t="shared" ca="1" si="86"/>
        <v>163.81824020462241</v>
      </c>
      <c r="AH557" s="72">
        <f t="shared" ca="1" si="87"/>
        <v>163.81824020462244</v>
      </c>
      <c r="AI557" s="3">
        <f t="shared" ca="1" si="88"/>
        <v>0</v>
      </c>
    </row>
    <row r="558" spans="7:35" ht="15.75" thickBot="1" x14ac:dyDescent="0.3">
      <c r="G558" s="3">
        <f t="shared" si="80"/>
        <v>96</v>
      </c>
      <c r="H558" s="106">
        <f t="shared" si="89"/>
        <v>44656</v>
      </c>
      <c r="I558" s="133">
        <f>HLOOKUP($H$4,'Met Data'!$A$2:$F$368,G558,FALSE)</f>
        <v>16.28</v>
      </c>
      <c r="J558" s="131">
        <f ca="1">HLOOKUP($H$4,'Met Data'!$H$2:$M$368,G558,FALSE)*L558</f>
        <v>1.6838709677419299</v>
      </c>
      <c r="K558" s="107">
        <f>HLOOKUP($H$4,'Met Data'!$O$2:$T$368,G558,FALSE)</f>
        <v>2.9631357104845102</v>
      </c>
      <c r="L558">
        <f t="shared" ca="1" si="81"/>
        <v>1</v>
      </c>
      <c r="N558" t="b">
        <f t="shared" ca="1" si="82"/>
        <v>0</v>
      </c>
      <c r="O558" t="b">
        <f t="shared" ca="1" si="83"/>
        <v>0</v>
      </c>
      <c r="P558">
        <f ca="1"/>
        <v>44803</v>
      </c>
      <c r="Q558">
        <f ca="1"/>
        <v>163.20901081166386</v>
      </c>
      <c r="R558">
        <f ca="1"/>
        <v>0.48225306778615201</v>
      </c>
      <c r="S558">
        <f ca="1"/>
        <v>1.8931006140975212E-19</v>
      </c>
      <c r="T558">
        <f ca="1"/>
        <v>0.33605944497824469</v>
      </c>
      <c r="U558">
        <f ca="1"/>
        <v>0</v>
      </c>
      <c r="V558">
        <f ca="1"/>
        <v>14.9069472029</v>
      </c>
      <c r="W558">
        <f ca="1"/>
        <v>10.306037572375301</v>
      </c>
      <c r="X558">
        <f ca="1"/>
        <v>0</v>
      </c>
      <c r="Y558">
        <f ca="1"/>
        <v>1</v>
      </c>
      <c r="Z558">
        <f ca="1"/>
        <v>1.162316261831748</v>
      </c>
      <c r="AA558">
        <f ca="1"/>
        <v>0</v>
      </c>
      <c r="AB558">
        <f ca="1"/>
        <v>0.21266284174254399</v>
      </c>
      <c r="AD558" s="2">
        <f t="shared" ca="1" si="84"/>
        <v>44803</v>
      </c>
      <c r="AE558" s="46">
        <f t="shared" ca="1" si="85"/>
        <v>0</v>
      </c>
      <c r="AG558" s="72">
        <f t="shared" ca="1" si="86"/>
        <v>163.69126387945002</v>
      </c>
      <c r="AH558" s="72">
        <f t="shared" ca="1" si="87"/>
        <v>163.69126387945002</v>
      </c>
      <c r="AI558" s="3">
        <f t="shared" ca="1" si="88"/>
        <v>0</v>
      </c>
    </row>
    <row r="559" spans="7:35" ht="15.75" thickBot="1" x14ac:dyDescent="0.3">
      <c r="G559" s="3">
        <f t="shared" si="80"/>
        <v>97</v>
      </c>
      <c r="H559" s="106">
        <f t="shared" si="89"/>
        <v>44657</v>
      </c>
      <c r="I559" s="133">
        <f>HLOOKUP($H$4,'Met Data'!$A$2:$F$368,G559,FALSE)</f>
        <v>16.288333333333298</v>
      </c>
      <c r="J559" s="131">
        <f ca="1">HLOOKUP($H$4,'Met Data'!$H$2:$M$368,G559,FALSE)*L559</f>
        <v>3.1066666666666598</v>
      </c>
      <c r="K559" s="107">
        <f>HLOOKUP($H$4,'Met Data'!$O$2:$T$368,G559,FALSE)</f>
        <v>2.8364094228266699</v>
      </c>
      <c r="L559">
        <f t="shared" ca="1" si="81"/>
        <v>1</v>
      </c>
      <c r="N559" t="b">
        <f t="shared" ca="1" si="82"/>
        <v>0</v>
      </c>
      <c r="O559" t="b">
        <f t="shared" ca="1" si="83"/>
        <v>0</v>
      </c>
      <c r="P559">
        <f ca="1"/>
        <v>44804</v>
      </c>
      <c r="Q559">
        <f ca="1"/>
        <v>163.04836190173569</v>
      </c>
      <c r="R559">
        <f ca="1"/>
        <v>0.49869922017285401</v>
      </c>
      <c r="S559">
        <f ca="1"/>
        <v>1.655057463891543E-19</v>
      </c>
      <c r="T559">
        <f ca="1"/>
        <v>0.33805031024469728</v>
      </c>
      <c r="U559">
        <f ca="1"/>
        <v>0</v>
      </c>
      <c r="V559">
        <f ca="1"/>
        <v>15.405646423072801</v>
      </c>
      <c r="W559">
        <f ca="1"/>
        <v>10.6508172801491</v>
      </c>
      <c r="X559">
        <f ca="1"/>
        <v>0</v>
      </c>
      <c r="Y559">
        <f ca="1"/>
        <v>1</v>
      </c>
      <c r="Z559">
        <f ca="1"/>
        <v>2.7363959659291481</v>
      </c>
      <c r="AA559">
        <f ca="1"/>
        <v>0</v>
      </c>
      <c r="AB559">
        <f ca="1"/>
        <v>0.223986053771844</v>
      </c>
      <c r="AD559" s="2">
        <f t="shared" ca="1" si="84"/>
        <v>44804</v>
      </c>
      <c r="AE559" s="46">
        <f t="shared" ca="1" si="85"/>
        <v>0</v>
      </c>
      <c r="AG559" s="72">
        <f t="shared" ca="1" si="86"/>
        <v>163.54706112190857</v>
      </c>
      <c r="AH559" s="72">
        <f t="shared" ca="1" si="87"/>
        <v>163.54706112190854</v>
      </c>
      <c r="AI559" s="3">
        <f t="shared" ca="1" si="88"/>
        <v>0</v>
      </c>
    </row>
    <row r="560" spans="7:35" ht="15.75" thickBot="1" x14ac:dyDescent="0.3">
      <c r="G560" s="3">
        <f t="shared" ref="G560:G623" si="90">H560-DATE(YEAR(H560),1,0)+1</f>
        <v>98</v>
      </c>
      <c r="H560" s="106">
        <f t="shared" si="89"/>
        <v>44658</v>
      </c>
      <c r="I560" s="133">
        <f>HLOOKUP($H$4,'Met Data'!$A$2:$F$368,G560,FALSE)</f>
        <v>16.247502601456802</v>
      </c>
      <c r="J560" s="131">
        <f ca="1">HLOOKUP($H$4,'Met Data'!$H$2:$M$368,G560,FALSE)*L560</f>
        <v>2.3033333333333301</v>
      </c>
      <c r="K560" s="107">
        <f>HLOOKUP($H$4,'Met Data'!$O$2:$T$368,G560,FALSE)</f>
        <v>2.7733248568186499</v>
      </c>
      <c r="L560">
        <f t="shared" ref="L560:L623" ca="1" si="91">IF(H560&lt;$B$31,$J$3,$J$4)</f>
        <v>1</v>
      </c>
      <c r="N560" t="b">
        <f t="shared" ref="N560:N623" ca="1" si="92">IF(P560&lt;$P$3,TRUE,FALSE)</f>
        <v>0</v>
      </c>
      <c r="O560" t="b">
        <f t="shared" ref="O560:O623" ca="1" si="93">AND(IF(P560&gt;($P$2-1),TRUE,FALSE),IF(P560&lt;($P$3+1),TRUE,FALSE))</f>
        <v>0</v>
      </c>
      <c r="P560">
        <f ca="1"/>
        <v>44805</v>
      </c>
      <c r="Q560">
        <f ca="1"/>
        <v>162.87607992393089</v>
      </c>
      <c r="R560">
        <f ca="1"/>
        <v>0.50553006262274303</v>
      </c>
      <c r="S560">
        <f ca="1"/>
        <v>1.4178135639148931E-19</v>
      </c>
      <c r="T560">
        <f ca="1"/>
        <v>0.33324808481791346</v>
      </c>
      <c r="U560">
        <f ca="1"/>
        <v>0</v>
      </c>
      <c r="V560">
        <f ca="1"/>
        <v>15.9111764856956</v>
      </c>
      <c r="W560">
        <f ca="1"/>
        <v>11.0003195456661</v>
      </c>
      <c r="X560">
        <f ca="1"/>
        <v>0</v>
      </c>
      <c r="Y560">
        <f ca="1"/>
        <v>1</v>
      </c>
      <c r="Z560">
        <f ca="1"/>
        <v>0.93529736038641431</v>
      </c>
      <c r="AA560">
        <f ca="1"/>
        <v>0</v>
      </c>
      <c r="AB560">
        <f ca="1"/>
        <v>0.23550774124437601</v>
      </c>
      <c r="AD560" s="2">
        <f t="shared" ref="AD560:AD623" ca="1" si="94">IFERROR(P560,$AD$4)</f>
        <v>44805</v>
      </c>
      <c r="AE560" s="46">
        <f t="shared" ref="AE560:AE623" ca="1" si="95">IFERROR(U560,0)</f>
        <v>0</v>
      </c>
      <c r="AG560" s="72">
        <f t="shared" ref="AG560:AG623" ca="1" si="96">Q559+S560+T560+U560</f>
        <v>163.3816099865536</v>
      </c>
      <c r="AH560" s="72">
        <f t="shared" ref="AH560:AH623" ca="1" si="97">Q560+R560+X560</f>
        <v>163.38160998655363</v>
      </c>
      <c r="AI560" s="3">
        <f t="shared" ref="AI560:AI623" ca="1" si="98">AH560-AG560</f>
        <v>0</v>
      </c>
    </row>
    <row r="561" spans="7:35" ht="15.75" thickBot="1" x14ac:dyDescent="0.3">
      <c r="G561" s="3">
        <f t="shared" si="90"/>
        <v>99</v>
      </c>
      <c r="H561" s="106">
        <f t="shared" si="89"/>
        <v>44659</v>
      </c>
      <c r="I561" s="133">
        <f>HLOOKUP($H$4,'Met Data'!$A$2:$F$368,G561,FALSE)</f>
        <v>15.9919354838709</v>
      </c>
      <c r="J561" s="131">
        <f ca="1">HLOOKUP($H$4,'Met Data'!$H$2:$M$368,G561,FALSE)*L561</f>
        <v>3.04</v>
      </c>
      <c r="K561" s="107">
        <f>HLOOKUP($H$4,'Met Data'!$O$2:$T$368,G561,FALSE)</f>
        <v>2.4928303491288801</v>
      </c>
      <c r="L561">
        <f t="shared" ca="1" si="91"/>
        <v>1</v>
      </c>
      <c r="N561" t="b">
        <f t="shared" ca="1" si="92"/>
        <v>0</v>
      </c>
      <c r="O561" t="b">
        <f t="shared" ca="1" si="93"/>
        <v>0</v>
      </c>
      <c r="P561">
        <f ca="1"/>
        <v>44806</v>
      </c>
      <c r="Q561">
        <f ca="1"/>
        <v>162.68903968977867</v>
      </c>
      <c r="R561">
        <f ca="1"/>
        <v>0.52216212651048399</v>
      </c>
      <c r="S561">
        <f ca="1"/>
        <v>1.2407172772846533E-19</v>
      </c>
      <c r="T561">
        <f ca="1"/>
        <v>0.33512189235831036</v>
      </c>
      <c r="U561">
        <f ca="1"/>
        <v>0</v>
      </c>
      <c r="V561">
        <f ca="1"/>
        <v>16.4333386122061</v>
      </c>
      <c r="W561">
        <f ca="1"/>
        <v>11.361320522019</v>
      </c>
      <c r="X561">
        <f ca="1"/>
        <v>0</v>
      </c>
      <c r="Y561">
        <f ca="1"/>
        <v>1</v>
      </c>
      <c r="Z561">
        <f ca="1"/>
        <v>0.75520791496195727</v>
      </c>
      <c r="AA561">
        <f ca="1"/>
        <v>0</v>
      </c>
      <c r="AB561">
        <f ca="1"/>
        <v>0.24743295353255901</v>
      </c>
      <c r="AD561" s="2">
        <f t="shared" ca="1" si="94"/>
        <v>44806</v>
      </c>
      <c r="AE561" s="46">
        <f t="shared" ca="1" si="95"/>
        <v>0</v>
      </c>
      <c r="AG561" s="72">
        <f t="shared" ca="1" si="96"/>
        <v>163.21120181628919</v>
      </c>
      <c r="AH561" s="72">
        <f t="shared" ca="1" si="97"/>
        <v>163.21120181628916</v>
      </c>
      <c r="AI561" s="3">
        <f t="shared" ca="1" si="98"/>
        <v>0</v>
      </c>
    </row>
    <row r="562" spans="7:35" ht="15.75" thickBot="1" x14ac:dyDescent="0.3">
      <c r="G562" s="3">
        <f t="shared" si="90"/>
        <v>100</v>
      </c>
      <c r="H562" s="106">
        <f t="shared" si="89"/>
        <v>44660</v>
      </c>
      <c r="I562" s="133">
        <f>HLOOKUP($H$4,'Met Data'!$A$2:$F$368,G562,FALSE)</f>
        <v>15.7</v>
      </c>
      <c r="J562" s="131">
        <f ca="1">HLOOKUP($H$4,'Met Data'!$H$2:$M$368,G562,FALSE)*L562</f>
        <v>4.67</v>
      </c>
      <c r="K562" s="107">
        <f>HLOOKUP($H$4,'Met Data'!$O$2:$T$368,G562,FALSE)</f>
        <v>2.4645244256425198</v>
      </c>
      <c r="L562">
        <f t="shared" ca="1" si="91"/>
        <v>1</v>
      </c>
      <c r="N562" t="b">
        <f t="shared" ca="1" si="92"/>
        <v>0</v>
      </c>
      <c r="O562" t="b">
        <f t="shared" ca="1" si="93"/>
        <v>0</v>
      </c>
      <c r="P562">
        <f ca="1"/>
        <v>44807</v>
      </c>
      <c r="Q562">
        <f ca="1"/>
        <v>162.47778099322278</v>
      </c>
      <c r="R562">
        <f ca="1"/>
        <v>0.56510441451752802</v>
      </c>
      <c r="S562">
        <f ca="1"/>
        <v>1.1362001230952984E-19</v>
      </c>
      <c r="T562">
        <f ca="1"/>
        <v>0.35384571796159409</v>
      </c>
      <c r="U562">
        <f ca="1"/>
        <v>0</v>
      </c>
      <c r="V562">
        <f ca="1"/>
        <v>16.998443026723599</v>
      </c>
      <c r="W562">
        <f ca="1"/>
        <v>11.752009993784201</v>
      </c>
      <c r="X562">
        <f ca="1"/>
        <v>0</v>
      </c>
      <c r="Y562">
        <f ca="1"/>
        <v>1</v>
      </c>
      <c r="Z562">
        <f ca="1"/>
        <v>0.10303787737495895</v>
      </c>
      <c r="AA562">
        <f ca="1"/>
        <v>0</v>
      </c>
      <c r="AB562">
        <f ca="1"/>
        <v>0.26034249891820099</v>
      </c>
      <c r="AD562" s="2">
        <f t="shared" ca="1" si="94"/>
        <v>44807</v>
      </c>
      <c r="AE562" s="46">
        <f t="shared" ca="1" si="95"/>
        <v>0</v>
      </c>
      <c r="AG562" s="72">
        <f t="shared" ca="1" si="96"/>
        <v>163.04288540774027</v>
      </c>
      <c r="AH562" s="72">
        <f t="shared" ca="1" si="97"/>
        <v>163.0428854077403</v>
      </c>
      <c r="AI562" s="3">
        <f t="shared" ca="1" si="98"/>
        <v>0</v>
      </c>
    </row>
    <row r="563" spans="7:35" ht="15.75" thickBot="1" x14ac:dyDescent="0.3">
      <c r="G563" s="3">
        <f t="shared" si="90"/>
        <v>101</v>
      </c>
      <c r="H563" s="106">
        <f t="shared" si="89"/>
        <v>44661</v>
      </c>
      <c r="I563" s="133">
        <f>HLOOKUP($H$4,'Met Data'!$A$2:$F$368,G563,FALSE)</f>
        <v>15.6066666666666</v>
      </c>
      <c r="J563" s="131">
        <f ca="1">HLOOKUP($H$4,'Met Data'!$H$2:$M$368,G563,FALSE)*L563</f>
        <v>2.9099999999999899</v>
      </c>
      <c r="K563" s="107">
        <f>HLOOKUP($H$4,'Met Data'!$O$2:$T$368,G563,FALSE)</f>
        <v>2.6085032852196299</v>
      </c>
      <c r="L563">
        <f t="shared" ca="1" si="91"/>
        <v>1</v>
      </c>
      <c r="N563" t="b">
        <f t="shared" ca="1" si="92"/>
        <v>0</v>
      </c>
      <c r="O563" t="b">
        <f t="shared" ca="1" si="93"/>
        <v>0</v>
      </c>
      <c r="P563">
        <f ca="1"/>
        <v>44808</v>
      </c>
      <c r="Q563">
        <f ca="1"/>
        <v>162.24870082376293</v>
      </c>
      <c r="R563">
        <f ca="1"/>
        <v>0.58647220263518596</v>
      </c>
      <c r="S563">
        <f ca="1"/>
        <v>9.8941200153975711E-20</v>
      </c>
      <c r="T563">
        <f ca="1"/>
        <v>0.35739203317535884</v>
      </c>
      <c r="U563">
        <f ca="1"/>
        <v>0</v>
      </c>
      <c r="V563">
        <f ca="1"/>
        <v>17.584915229358799</v>
      </c>
      <c r="W563">
        <f ca="1"/>
        <v>12.157472257334501</v>
      </c>
      <c r="X563">
        <f ca="1"/>
        <v>0</v>
      </c>
      <c r="Y563">
        <f ca="1"/>
        <v>1</v>
      </c>
      <c r="Z563">
        <f ca="1"/>
        <v>1.6867315868519768</v>
      </c>
      <c r="AA563">
        <f ca="1"/>
        <v>0</v>
      </c>
      <c r="AB563">
        <f ca="1"/>
        <v>0.27371745241937101</v>
      </c>
      <c r="AD563" s="2">
        <f t="shared" ca="1" si="94"/>
        <v>44808</v>
      </c>
      <c r="AE563" s="46">
        <f t="shared" ca="1" si="95"/>
        <v>0</v>
      </c>
      <c r="AG563" s="72">
        <f t="shared" ca="1" si="96"/>
        <v>162.83517302639814</v>
      </c>
      <c r="AH563" s="72">
        <f t="shared" ca="1" si="97"/>
        <v>162.83517302639811</v>
      </c>
      <c r="AI563" s="3">
        <f t="shared" ca="1" si="98"/>
        <v>0</v>
      </c>
    </row>
    <row r="564" spans="7:35" ht="15.75" thickBot="1" x14ac:dyDescent="0.3">
      <c r="G564" s="3">
        <f t="shared" si="90"/>
        <v>102</v>
      </c>
      <c r="H564" s="106">
        <f t="shared" si="89"/>
        <v>44662</v>
      </c>
      <c r="I564" s="133">
        <f>HLOOKUP($H$4,'Met Data'!$A$2:$F$368,G564,FALSE)</f>
        <v>15.335000000000001</v>
      </c>
      <c r="J564" s="131">
        <f ca="1">HLOOKUP($H$4,'Met Data'!$H$2:$M$368,G564,FALSE)*L564</f>
        <v>2.68333333333333</v>
      </c>
      <c r="K564" s="107">
        <f>HLOOKUP($H$4,'Met Data'!$O$2:$T$368,G564,FALSE)</f>
        <v>2.45140037536581</v>
      </c>
      <c r="L564">
        <f t="shared" ca="1" si="91"/>
        <v>1</v>
      </c>
      <c r="N564" t="b">
        <f t="shared" ca="1" si="92"/>
        <v>0</v>
      </c>
      <c r="O564" t="b">
        <f t="shared" ca="1" si="93"/>
        <v>0</v>
      </c>
      <c r="P564">
        <f ca="1"/>
        <v>44809</v>
      </c>
      <c r="Q564">
        <f ca="1"/>
        <v>161.99956063020096</v>
      </c>
      <c r="R564">
        <f ca="1"/>
        <v>0.61287872411017796</v>
      </c>
      <c r="S564">
        <f ca="1"/>
        <v>8.6634292604817292E-20</v>
      </c>
      <c r="T564">
        <f ca="1"/>
        <v>0.36373853054821931</v>
      </c>
      <c r="U564">
        <f ca="1"/>
        <v>0</v>
      </c>
      <c r="V564">
        <f ca="1"/>
        <v>18.197793953468999</v>
      </c>
      <c r="W564">
        <f ca="1"/>
        <v>12.581190881410601</v>
      </c>
      <c r="X564">
        <f ca="1"/>
        <v>0</v>
      </c>
      <c r="Y564">
        <f ca="1"/>
        <v>1</v>
      </c>
      <c r="Z564">
        <f ca="1"/>
        <v>3.66308763532912</v>
      </c>
      <c r="AA564">
        <f ca="1"/>
        <v>0</v>
      </c>
      <c r="AB564">
        <f ca="1"/>
        <v>0.287641103770782</v>
      </c>
      <c r="AD564" s="2">
        <f t="shared" ca="1" si="94"/>
        <v>44809</v>
      </c>
      <c r="AE564" s="46">
        <f t="shared" ca="1" si="95"/>
        <v>0</v>
      </c>
      <c r="AG564" s="72">
        <f t="shared" ca="1" si="96"/>
        <v>162.61243935431116</v>
      </c>
      <c r="AH564" s="72">
        <f t="shared" ca="1" si="97"/>
        <v>162.61243935431114</v>
      </c>
      <c r="AI564" s="3">
        <f t="shared" ca="1" si="98"/>
        <v>0</v>
      </c>
    </row>
    <row r="565" spans="7:35" ht="15.75" thickBot="1" x14ac:dyDescent="0.3">
      <c r="G565" s="3">
        <f t="shared" si="90"/>
        <v>103</v>
      </c>
      <c r="H565" s="106">
        <f t="shared" si="89"/>
        <v>44663</v>
      </c>
      <c r="I565" s="133">
        <f>HLOOKUP($H$4,'Met Data'!$A$2:$F$368,G565,FALSE)</f>
        <v>15.3916666666666</v>
      </c>
      <c r="J565" s="131">
        <f ca="1">HLOOKUP($H$4,'Met Data'!$H$2:$M$368,G565,FALSE)*L565</f>
        <v>4.07</v>
      </c>
      <c r="K565" s="107">
        <f>HLOOKUP($H$4,'Met Data'!$O$2:$T$368,G565,FALSE)</f>
        <v>2.54129590695179</v>
      </c>
      <c r="L565">
        <f t="shared" ca="1" si="91"/>
        <v>1</v>
      </c>
      <c r="N565" t="b">
        <f t="shared" ca="1" si="92"/>
        <v>0</v>
      </c>
      <c r="O565" t="b">
        <f t="shared" ca="1" si="93"/>
        <v>0</v>
      </c>
      <c r="P565">
        <f ca="1"/>
        <v>44810</v>
      </c>
      <c r="Q565">
        <f ca="1"/>
        <v>161.73439085432966</v>
      </c>
      <c r="R565">
        <f ca="1"/>
        <v>0.62717050397752405</v>
      </c>
      <c r="S565">
        <f ca="1"/>
        <v>7.4106889091981743E-20</v>
      </c>
      <c r="T565">
        <f ca="1"/>
        <v>0.36200072810620254</v>
      </c>
      <c r="U565">
        <f ca="1"/>
        <v>0</v>
      </c>
      <c r="V565">
        <f ca="1"/>
        <v>18.824964457446502</v>
      </c>
      <c r="W565">
        <f ca="1"/>
        <v>13.0147902421852</v>
      </c>
      <c r="X565">
        <f ca="1"/>
        <v>0</v>
      </c>
      <c r="Y565">
        <f ca="1"/>
        <v>1</v>
      </c>
      <c r="Z565">
        <f ca="1"/>
        <v>1.7074967065039317</v>
      </c>
      <c r="AA565">
        <f ca="1"/>
        <v>0</v>
      </c>
      <c r="AB565">
        <f ca="1"/>
        <v>0.30180345607215803</v>
      </c>
      <c r="AD565" s="2">
        <f t="shared" ca="1" si="94"/>
        <v>44810</v>
      </c>
      <c r="AE565" s="46">
        <f t="shared" ca="1" si="95"/>
        <v>0</v>
      </c>
      <c r="AG565" s="72">
        <f t="shared" ca="1" si="96"/>
        <v>162.36156135830717</v>
      </c>
      <c r="AH565" s="72">
        <f t="shared" ca="1" si="97"/>
        <v>162.36156135830717</v>
      </c>
      <c r="AI565" s="3">
        <f t="shared" ca="1" si="98"/>
        <v>0</v>
      </c>
    </row>
    <row r="566" spans="7:35" ht="15.75" thickBot="1" x14ac:dyDescent="0.3">
      <c r="G566" s="3">
        <f t="shared" si="90"/>
        <v>104</v>
      </c>
      <c r="H566" s="106">
        <f t="shared" si="89"/>
        <v>44664</v>
      </c>
      <c r="I566" s="133">
        <f>HLOOKUP($H$4,'Met Data'!$A$2:$F$368,G566,FALSE)</f>
        <v>15.6451612903225</v>
      </c>
      <c r="J566" s="131">
        <f ca="1">HLOOKUP($H$4,'Met Data'!$H$2:$M$368,G566,FALSE)*L566</f>
        <v>2.43333333333333</v>
      </c>
      <c r="K566" s="107">
        <f>HLOOKUP($H$4,'Met Data'!$O$2:$T$368,G566,FALSE)</f>
        <v>2.5074868670786801</v>
      </c>
      <c r="L566">
        <f t="shared" ca="1" si="91"/>
        <v>1</v>
      </c>
      <c r="N566" t="b">
        <f t="shared" ca="1" si="92"/>
        <v>0</v>
      </c>
      <c r="O566" t="b">
        <f t="shared" ca="1" si="93"/>
        <v>0</v>
      </c>
      <c r="P566">
        <f ca="1"/>
        <v>44811</v>
      </c>
      <c r="Q566">
        <f ca="1"/>
        <v>161.45871274101552</v>
      </c>
      <c r="R566">
        <f ca="1"/>
        <v>0.62792953709309196</v>
      </c>
      <c r="S566">
        <f ca="1"/>
        <v>6.2119031909619853E-20</v>
      </c>
      <c r="T566">
        <f ca="1"/>
        <v>0.35225142377897367</v>
      </c>
      <c r="U566">
        <f ca="1"/>
        <v>0</v>
      </c>
      <c r="V566">
        <f ca="1"/>
        <v>19.4528939945396</v>
      </c>
      <c r="W566">
        <f ca="1"/>
        <v>13.4489143665953</v>
      </c>
      <c r="X566">
        <f ca="1"/>
        <v>0</v>
      </c>
      <c r="Y566">
        <f ca="1"/>
        <v>1</v>
      </c>
      <c r="Z566">
        <f ca="1"/>
        <v>0.53891352167808293</v>
      </c>
      <c r="AA566">
        <f ca="1"/>
        <v>0</v>
      </c>
      <c r="AB566">
        <f ca="1"/>
        <v>0.31586773292869702</v>
      </c>
      <c r="AD566" s="2">
        <f t="shared" ca="1" si="94"/>
        <v>44811</v>
      </c>
      <c r="AE566" s="46">
        <f t="shared" ca="1" si="95"/>
        <v>0</v>
      </c>
      <c r="AG566" s="72">
        <f t="shared" ca="1" si="96"/>
        <v>162.08664227810863</v>
      </c>
      <c r="AH566" s="72">
        <f t="shared" ca="1" si="97"/>
        <v>162.0866422781086</v>
      </c>
      <c r="AI566" s="3">
        <f t="shared" ca="1" si="98"/>
        <v>0</v>
      </c>
    </row>
    <row r="567" spans="7:35" ht="15.75" thickBot="1" x14ac:dyDescent="0.3">
      <c r="G567" s="3">
        <f t="shared" si="90"/>
        <v>105</v>
      </c>
      <c r="H567" s="106">
        <f t="shared" si="89"/>
        <v>44665</v>
      </c>
      <c r="I567" s="133">
        <f>HLOOKUP($H$4,'Met Data'!$A$2:$F$368,G567,FALSE)</f>
        <v>15.3435483870967</v>
      </c>
      <c r="J567" s="131">
        <f ca="1">HLOOKUP($H$4,'Met Data'!$H$2:$M$368,G567,FALSE)*L567</f>
        <v>3.5533333333333301</v>
      </c>
      <c r="K567" s="107">
        <f>HLOOKUP($H$4,'Met Data'!$O$2:$T$368,G567,FALSE)</f>
        <v>2.53164431510397</v>
      </c>
      <c r="L567">
        <f t="shared" ca="1" si="91"/>
        <v>1</v>
      </c>
      <c r="N567" t="b">
        <f t="shared" ca="1" si="92"/>
        <v>0</v>
      </c>
      <c r="O567" t="b">
        <f t="shared" ca="1" si="93"/>
        <v>0</v>
      </c>
      <c r="P567">
        <f ca="1"/>
        <v>44812</v>
      </c>
      <c r="Q567">
        <f ca="1"/>
        <v>161.15596141442671</v>
      </c>
      <c r="R567">
        <f ca="1"/>
        <v>0.66986438505564305</v>
      </c>
      <c r="S567">
        <f ca="1"/>
        <v>5.572335646259822E-20</v>
      </c>
      <c r="T567">
        <f ca="1"/>
        <v>0.36711305846681525</v>
      </c>
      <c r="U567">
        <f ca="1"/>
        <v>0</v>
      </c>
      <c r="V567">
        <f ca="1"/>
        <v>20.122758379595201</v>
      </c>
      <c r="W567">
        <f ca="1"/>
        <v>13.9120304846584</v>
      </c>
      <c r="X567">
        <f ca="1"/>
        <v>0</v>
      </c>
      <c r="Y567">
        <f ca="1"/>
        <v>1</v>
      </c>
      <c r="Z567">
        <f ca="1"/>
        <v>2.0131030731859454</v>
      </c>
      <c r="AA567">
        <f ca="1"/>
        <v>0</v>
      </c>
      <c r="AB567">
        <f ca="1"/>
        <v>0.33071501187654601</v>
      </c>
      <c r="AD567" s="2">
        <f t="shared" ca="1" si="94"/>
        <v>44812</v>
      </c>
      <c r="AE567" s="46">
        <f t="shared" ca="1" si="95"/>
        <v>0</v>
      </c>
      <c r="AG567" s="72">
        <f t="shared" ca="1" si="96"/>
        <v>161.82582579948235</v>
      </c>
      <c r="AH567" s="72">
        <f t="shared" ca="1" si="97"/>
        <v>161.82582579948235</v>
      </c>
      <c r="AI567" s="3">
        <f t="shared" ca="1" si="98"/>
        <v>0</v>
      </c>
    </row>
    <row r="568" spans="7:35" ht="15.75" thickBot="1" x14ac:dyDescent="0.3">
      <c r="G568" s="3">
        <f t="shared" si="90"/>
        <v>106</v>
      </c>
      <c r="H568" s="106">
        <f t="shared" si="89"/>
        <v>44666</v>
      </c>
      <c r="I568" s="133">
        <f>HLOOKUP($H$4,'Met Data'!$A$2:$F$368,G568,FALSE)</f>
        <v>15.1612903225806</v>
      </c>
      <c r="J568" s="131">
        <f ca="1">HLOOKUP($H$4,'Met Data'!$H$2:$M$368,G568,FALSE)*L568</f>
        <v>2.7451612903225802</v>
      </c>
      <c r="K568" s="107">
        <f>HLOOKUP($H$4,'Met Data'!$O$2:$T$368,G568,FALSE)</f>
        <v>2.2462315590791202</v>
      </c>
      <c r="L568">
        <f t="shared" ca="1" si="91"/>
        <v>1</v>
      </c>
      <c r="N568" t="b">
        <f t="shared" ca="1" si="92"/>
        <v>0</v>
      </c>
      <c r="O568" t="b">
        <f t="shared" ca="1" si="93"/>
        <v>0</v>
      </c>
      <c r="P568">
        <f ca="1"/>
        <v>44813</v>
      </c>
      <c r="Q568">
        <f ca="1"/>
        <v>160.84469557345261</v>
      </c>
      <c r="R568">
        <f ca="1"/>
        <v>0.66600748039200397</v>
      </c>
      <c r="S568">
        <f ca="1"/>
        <v>4.6317205831940735E-20</v>
      </c>
      <c r="T568">
        <f ca="1"/>
        <v>0.35474163941792419</v>
      </c>
      <c r="U568">
        <f ca="1"/>
        <v>0</v>
      </c>
      <c r="V568">
        <f ca="1"/>
        <v>20.788765859987201</v>
      </c>
      <c r="W568">
        <f ca="1"/>
        <v>14.372480100731901</v>
      </c>
      <c r="X568">
        <f ca="1"/>
        <v>0</v>
      </c>
      <c r="Y568">
        <f ca="1"/>
        <v>1</v>
      </c>
      <c r="Z568">
        <f ca="1"/>
        <v>1.4464676985465985</v>
      </c>
      <c r="AA568">
        <f ca="1"/>
        <v>0</v>
      </c>
      <c r="AB568">
        <f ca="1"/>
        <v>0.34528937379441199</v>
      </c>
      <c r="AD568" s="2">
        <f t="shared" ca="1" si="94"/>
        <v>44813</v>
      </c>
      <c r="AE568" s="46">
        <f t="shared" ca="1" si="95"/>
        <v>0</v>
      </c>
      <c r="AG568" s="72">
        <f t="shared" ca="1" si="96"/>
        <v>161.51070305384465</v>
      </c>
      <c r="AH568" s="72">
        <f t="shared" ca="1" si="97"/>
        <v>161.51070305384462</v>
      </c>
      <c r="AI568" s="3">
        <f t="shared" ca="1" si="98"/>
        <v>0</v>
      </c>
    </row>
    <row r="569" spans="7:35" ht="15.75" thickBot="1" x14ac:dyDescent="0.3">
      <c r="G569" s="3">
        <f t="shared" si="90"/>
        <v>107</v>
      </c>
      <c r="H569" s="106">
        <f t="shared" si="89"/>
        <v>44667</v>
      </c>
      <c r="I569" s="133">
        <f>HLOOKUP($H$4,'Met Data'!$A$2:$F$368,G569,FALSE)</f>
        <v>15.658064516129</v>
      </c>
      <c r="J569" s="131">
        <f ca="1">HLOOKUP($H$4,'Met Data'!$H$2:$M$368,G569,FALSE)*L569</f>
        <v>3.7677419354838699</v>
      </c>
      <c r="K569" s="107">
        <f>HLOOKUP($H$4,'Met Data'!$O$2:$T$368,G569,FALSE)</f>
        <v>2.3441419540899799</v>
      </c>
      <c r="L569">
        <f t="shared" ca="1" si="91"/>
        <v>1</v>
      </c>
      <c r="N569" t="b">
        <f t="shared" ca="1" si="92"/>
        <v>0</v>
      </c>
      <c r="O569" t="b">
        <f t="shared" ca="1" si="93"/>
        <v>0</v>
      </c>
      <c r="P569">
        <f ca="1"/>
        <v>44814</v>
      </c>
      <c r="Q569">
        <f ca="1"/>
        <v>160.51233995415723</v>
      </c>
      <c r="R569">
        <f ca="1"/>
        <v>0.69225480462284505</v>
      </c>
      <c r="S569">
        <f ca="1"/>
        <v>4.0198592881839018E-20</v>
      </c>
      <c r="T569">
        <f ca="1"/>
        <v>0.35989918532744353</v>
      </c>
      <c r="U569">
        <f ca="1"/>
        <v>0</v>
      </c>
      <c r="V569">
        <f ca="1"/>
        <v>21.481020664610099</v>
      </c>
      <c r="W569">
        <f ca="1"/>
        <v>14.8510760150391</v>
      </c>
      <c r="X569">
        <f ca="1"/>
        <v>0</v>
      </c>
      <c r="Y569">
        <f ca="1"/>
        <v>0.99292766417082212</v>
      </c>
      <c r="Z569">
        <f ca="1"/>
        <v>0</v>
      </c>
      <c r="AA569">
        <f ca="1"/>
        <v>0</v>
      </c>
      <c r="AB569">
        <f ca="1"/>
        <v>0.36021319324099499</v>
      </c>
      <c r="AD569" s="2">
        <f t="shared" ca="1" si="94"/>
        <v>44814</v>
      </c>
      <c r="AE569" s="46">
        <f t="shared" ca="1" si="95"/>
        <v>0</v>
      </c>
      <c r="AG569" s="72">
        <f t="shared" ca="1" si="96"/>
        <v>161.20459475878005</v>
      </c>
      <c r="AH569" s="72">
        <f t="shared" ca="1" si="97"/>
        <v>161.20459475878008</v>
      </c>
      <c r="AI569" s="3">
        <f t="shared" ca="1" si="98"/>
        <v>0</v>
      </c>
    </row>
    <row r="570" spans="7:35" ht="15.75" thickBot="1" x14ac:dyDescent="0.3">
      <c r="G570" s="3">
        <f t="shared" si="90"/>
        <v>108</v>
      </c>
      <c r="H570" s="106">
        <f t="shared" si="89"/>
        <v>44668</v>
      </c>
      <c r="I570" s="133">
        <f>HLOOKUP($H$4,'Met Data'!$A$2:$F$368,G570,FALSE)</f>
        <v>15.408064516129</v>
      </c>
      <c r="J570" s="131">
        <f ca="1">HLOOKUP($H$4,'Met Data'!$H$2:$M$368,G570,FALSE)*L570</f>
        <v>2.6870967741935399</v>
      </c>
      <c r="K570" s="107">
        <f>HLOOKUP($H$4,'Met Data'!$O$2:$T$368,G570,FALSE)</f>
        <v>2.0871356285448601</v>
      </c>
      <c r="L570">
        <f t="shared" ca="1" si="91"/>
        <v>1</v>
      </c>
      <c r="N570" t="b">
        <f t="shared" ca="1" si="92"/>
        <v>0</v>
      </c>
      <c r="O570" t="b">
        <f t="shared" ca="1" si="93"/>
        <v>0</v>
      </c>
      <c r="P570">
        <f ca="1"/>
        <v>44815</v>
      </c>
      <c r="Q570">
        <f ca="1"/>
        <v>160.15848048889316</v>
      </c>
      <c r="R570">
        <f ca="1"/>
        <v>0.71856956667873495</v>
      </c>
      <c r="S570">
        <f ca="1"/>
        <v>3.5309866074210769E-20</v>
      </c>
      <c r="T570">
        <f ca="1"/>
        <v>0.36471010141467397</v>
      </c>
      <c r="U570">
        <f ca="1"/>
        <v>0</v>
      </c>
      <c r="V570">
        <f ca="1"/>
        <v>22.199590231288798</v>
      </c>
      <c r="W570">
        <f ca="1"/>
        <v>15.3478648512614</v>
      </c>
      <c r="X570">
        <f ca="1"/>
        <v>0</v>
      </c>
      <c r="Y570">
        <f ca="1"/>
        <v>1</v>
      </c>
      <c r="Z570">
        <f ca="1"/>
        <v>0.12977463928467614</v>
      </c>
      <c r="AA570">
        <f ca="1"/>
        <v>0</v>
      </c>
      <c r="AB570">
        <f ca="1"/>
        <v>0.37543573586009599</v>
      </c>
      <c r="AD570" s="2">
        <f t="shared" ca="1" si="94"/>
        <v>44815</v>
      </c>
      <c r="AE570" s="46">
        <f t="shared" ca="1" si="95"/>
        <v>0</v>
      </c>
      <c r="AG570" s="72">
        <f t="shared" ca="1" si="96"/>
        <v>160.87705005557191</v>
      </c>
      <c r="AH570" s="72">
        <f t="shared" ca="1" si="97"/>
        <v>160.87705005557189</v>
      </c>
      <c r="AI570" s="3">
        <f t="shared" ca="1" si="98"/>
        <v>0</v>
      </c>
    </row>
    <row r="571" spans="7:35" ht="15.75" thickBot="1" x14ac:dyDescent="0.3">
      <c r="G571" s="3">
        <f t="shared" si="90"/>
        <v>109</v>
      </c>
      <c r="H571" s="106">
        <f t="shared" si="89"/>
        <v>44669</v>
      </c>
      <c r="I571" s="133">
        <f>HLOOKUP($H$4,'Met Data'!$A$2:$F$368,G571,FALSE)</f>
        <v>15.420967741935399</v>
      </c>
      <c r="J571" s="131">
        <f ca="1">HLOOKUP($H$4,'Met Data'!$H$2:$M$368,G571,FALSE)*L571</f>
        <v>2.8516129032258002</v>
      </c>
      <c r="K571" s="107">
        <f>HLOOKUP($H$4,'Met Data'!$O$2:$T$368,G571,FALSE)</f>
        <v>2.1715863377271001</v>
      </c>
      <c r="L571">
        <f t="shared" ca="1" si="91"/>
        <v>1</v>
      </c>
      <c r="N571" t="b">
        <f t="shared" ca="1" si="92"/>
        <v>0</v>
      </c>
      <c r="O571" t="b">
        <f t="shared" ca="1" si="93"/>
        <v>0</v>
      </c>
      <c r="P571">
        <f ca="1"/>
        <v>44816</v>
      </c>
      <c r="Q571">
        <f ca="1"/>
        <v>159.77508751558639</v>
      </c>
      <c r="R571">
        <f ca="1"/>
        <v>0.76156841073444803</v>
      </c>
      <c r="S571">
        <f ca="1"/>
        <v>3.1343823695251215E-20</v>
      </c>
      <c r="T571">
        <f ca="1"/>
        <v>0.37817543742767573</v>
      </c>
      <c r="U571">
        <f ca="1"/>
        <v>0</v>
      </c>
      <c r="V571">
        <f ca="1"/>
        <v>22.9611586420233</v>
      </c>
      <c r="W571">
        <f ca="1"/>
        <v>15.874381283374101</v>
      </c>
      <c r="X571">
        <f ca="1"/>
        <v>0</v>
      </c>
      <c r="Y571">
        <f ca="1"/>
        <v>1</v>
      </c>
      <c r="Z571">
        <f ca="1"/>
        <v>1.5105609271102907</v>
      </c>
      <c r="AA571">
        <f ca="1"/>
        <v>0</v>
      </c>
      <c r="AB571">
        <f ca="1"/>
        <v>0.39124432494891698</v>
      </c>
      <c r="AD571" s="2">
        <f t="shared" ca="1" si="94"/>
        <v>44816</v>
      </c>
      <c r="AE571" s="46">
        <f t="shared" ca="1" si="95"/>
        <v>0</v>
      </c>
      <c r="AG571" s="72">
        <f t="shared" ca="1" si="96"/>
        <v>160.53665592632083</v>
      </c>
      <c r="AH571" s="72">
        <f t="shared" ca="1" si="97"/>
        <v>160.53665592632083</v>
      </c>
      <c r="AI571" s="3">
        <f t="shared" ca="1" si="98"/>
        <v>0</v>
      </c>
    </row>
    <row r="572" spans="7:35" ht="15.75" thickBot="1" x14ac:dyDescent="0.3">
      <c r="G572" s="3">
        <f t="shared" si="90"/>
        <v>110</v>
      </c>
      <c r="H572" s="106">
        <f t="shared" si="89"/>
        <v>44670</v>
      </c>
      <c r="I572" s="133">
        <f>HLOOKUP($H$4,'Met Data'!$A$2:$F$368,G572,FALSE)</f>
        <v>15.193548387096699</v>
      </c>
      <c r="J572" s="131">
        <f ca="1">HLOOKUP($H$4,'Met Data'!$H$2:$M$368,G572,FALSE)*L572</f>
        <v>2.4258064516129001</v>
      </c>
      <c r="K572" s="107">
        <f>HLOOKUP($H$4,'Met Data'!$O$2:$T$368,G572,FALSE)</f>
        <v>2.2979139363353802</v>
      </c>
      <c r="L572">
        <f t="shared" ca="1" si="91"/>
        <v>1</v>
      </c>
      <c r="N572" t="b">
        <f t="shared" ca="1" si="92"/>
        <v>0</v>
      </c>
      <c r="O572" t="b">
        <f t="shared" ca="1" si="93"/>
        <v>0</v>
      </c>
      <c r="P572">
        <f ca="1"/>
        <v>44817</v>
      </c>
      <c r="Q572">
        <f ca="1"/>
        <v>159.38015697905348</v>
      </c>
      <c r="R572">
        <f ca="1"/>
        <v>0.76454821924054495</v>
      </c>
      <c r="S572">
        <f ca="1"/>
        <v>2.6220298684088419E-20</v>
      </c>
      <c r="T572">
        <f ca="1"/>
        <v>0.36961768270764511</v>
      </c>
      <c r="U572">
        <f ca="1"/>
        <v>0</v>
      </c>
      <c r="V572">
        <f ca="1"/>
        <v>23.725706861263799</v>
      </c>
      <c r="W572">
        <f ca="1"/>
        <v>16.402957830009498</v>
      </c>
      <c r="X572">
        <f ca="1"/>
        <v>0</v>
      </c>
      <c r="Y572">
        <f ca="1"/>
        <v>1</v>
      </c>
      <c r="Z572">
        <f ca="1"/>
        <v>2.8563751610975316</v>
      </c>
      <c r="AA572">
        <f ca="1"/>
        <v>0</v>
      </c>
      <c r="AB572">
        <f ca="1"/>
        <v>0.40675475952728801</v>
      </c>
      <c r="AD572" s="2">
        <f t="shared" ca="1" si="94"/>
        <v>44817</v>
      </c>
      <c r="AE572" s="46">
        <f t="shared" ca="1" si="95"/>
        <v>0</v>
      </c>
      <c r="AG572" s="72">
        <f t="shared" ca="1" si="96"/>
        <v>160.14470519829405</v>
      </c>
      <c r="AH572" s="72">
        <f t="shared" ca="1" si="97"/>
        <v>160.14470519829402</v>
      </c>
      <c r="AI572" s="3">
        <f t="shared" ca="1" si="98"/>
        <v>0</v>
      </c>
    </row>
    <row r="573" spans="7:35" ht="15.75" thickBot="1" x14ac:dyDescent="0.3">
      <c r="G573" s="3">
        <f t="shared" si="90"/>
        <v>111</v>
      </c>
      <c r="H573" s="106">
        <f t="shared" si="89"/>
        <v>44671</v>
      </c>
      <c r="I573" s="133">
        <f>HLOOKUP($H$4,'Met Data'!$A$2:$F$368,G573,FALSE)</f>
        <v>15.4096774193548</v>
      </c>
      <c r="J573" s="131">
        <f ca="1">HLOOKUP($H$4,'Met Data'!$H$2:$M$368,G573,FALSE)*L573</f>
        <v>1.7322580645161201</v>
      </c>
      <c r="K573" s="107">
        <f>HLOOKUP($H$4,'Met Data'!$O$2:$T$368,G573,FALSE)</f>
        <v>2.3194627801487999</v>
      </c>
      <c r="L573">
        <f t="shared" ca="1" si="91"/>
        <v>1</v>
      </c>
      <c r="N573" t="b">
        <f t="shared" ca="1" si="92"/>
        <v>0</v>
      </c>
      <c r="O573" t="b">
        <f t="shared" ca="1" si="93"/>
        <v>0</v>
      </c>
      <c r="P573">
        <f ca="1"/>
        <v>44818</v>
      </c>
      <c r="Q573">
        <f ca="1"/>
        <v>158.96136823070441</v>
      </c>
      <c r="R573">
        <f ca="1"/>
        <v>0.79409802397690399</v>
      </c>
      <c r="S573">
        <f ca="1"/>
        <v>2.2787951494114512E-20</v>
      </c>
      <c r="T573">
        <f ca="1"/>
        <v>0.37530927562783001</v>
      </c>
      <c r="U573">
        <f ca="1"/>
        <v>0</v>
      </c>
      <c r="V573">
        <f ca="1"/>
        <v>24.519804885240699</v>
      </c>
      <c r="W573">
        <f ca="1"/>
        <v>16.951963871277499</v>
      </c>
      <c r="X573">
        <f ca="1"/>
        <v>0</v>
      </c>
      <c r="Y573">
        <f ca="1"/>
        <v>1</v>
      </c>
      <c r="Z573">
        <f ca="1"/>
        <v>1.12694322655679</v>
      </c>
      <c r="AA573">
        <f ca="1"/>
        <v>0</v>
      </c>
      <c r="AB573">
        <f ca="1"/>
        <v>0.42246133369621602</v>
      </c>
      <c r="AD573" s="2">
        <f t="shared" ca="1" si="94"/>
        <v>44818</v>
      </c>
      <c r="AE573" s="46">
        <f t="shared" ca="1" si="95"/>
        <v>0</v>
      </c>
      <c r="AG573" s="72">
        <f t="shared" ca="1" si="96"/>
        <v>159.75546625468132</v>
      </c>
      <c r="AH573" s="72">
        <f t="shared" ca="1" si="97"/>
        <v>159.75546625468132</v>
      </c>
      <c r="AI573" s="3">
        <f t="shared" ca="1" si="98"/>
        <v>0</v>
      </c>
    </row>
    <row r="574" spans="7:35" ht="15.75" thickBot="1" x14ac:dyDescent="0.3">
      <c r="G574" s="3">
        <f t="shared" si="90"/>
        <v>112</v>
      </c>
      <c r="H574" s="106">
        <f t="shared" si="89"/>
        <v>44672</v>
      </c>
      <c r="I574" s="133">
        <f>HLOOKUP($H$4,'Met Data'!$A$2:$F$368,G574,FALSE)</f>
        <v>15.261666666666599</v>
      </c>
      <c r="J574" s="131">
        <f ca="1">HLOOKUP($H$4,'Met Data'!$H$2:$M$368,G574,FALSE)*L574</f>
        <v>4.0161290322580596</v>
      </c>
      <c r="K574" s="107">
        <f>HLOOKUP($H$4,'Met Data'!$O$2:$T$368,G574,FALSE)</f>
        <v>2.3321304827068001</v>
      </c>
      <c r="L574">
        <f t="shared" ca="1" si="91"/>
        <v>1</v>
      </c>
      <c r="N574" t="b">
        <f t="shared" ca="1" si="92"/>
        <v>0</v>
      </c>
      <c r="O574" t="b">
        <f t="shared" ca="1" si="93"/>
        <v>0</v>
      </c>
      <c r="P574">
        <f ca="1"/>
        <v>44819</v>
      </c>
      <c r="Q574">
        <f ca="1"/>
        <v>158.51311493657897</v>
      </c>
      <c r="R574">
        <f ca="1"/>
        <v>0.834409921939681</v>
      </c>
      <c r="S574">
        <f ca="1"/>
        <v>1.9991617589926043E-20</v>
      </c>
      <c r="T574">
        <f ca="1"/>
        <v>0.38615662781423077</v>
      </c>
      <c r="U574">
        <f ca="1"/>
        <v>0</v>
      </c>
      <c r="V574">
        <f ca="1"/>
        <v>25.354214807180401</v>
      </c>
      <c r="W574">
        <f ca="1"/>
        <v>17.5288398666926</v>
      </c>
      <c r="X574">
        <f ca="1"/>
        <v>0</v>
      </c>
      <c r="Y574">
        <f ca="1"/>
        <v>1</v>
      </c>
      <c r="Z574">
        <f ca="1"/>
        <v>0.94420689421562543</v>
      </c>
      <c r="AA574">
        <f ca="1"/>
        <v>0</v>
      </c>
      <c r="AB574">
        <f ca="1"/>
        <v>0.43850315424800401</v>
      </c>
      <c r="AD574" s="2">
        <f t="shared" ca="1" si="94"/>
        <v>44819</v>
      </c>
      <c r="AE574" s="46">
        <f t="shared" ca="1" si="95"/>
        <v>0</v>
      </c>
      <c r="AG574" s="72">
        <f t="shared" ca="1" si="96"/>
        <v>159.34752485851865</v>
      </c>
      <c r="AH574" s="72">
        <f t="shared" ca="1" si="97"/>
        <v>159.34752485851865</v>
      </c>
      <c r="AI574" s="3">
        <f t="shared" ca="1" si="98"/>
        <v>0</v>
      </c>
    </row>
    <row r="575" spans="7:35" ht="15.75" thickBot="1" x14ac:dyDescent="0.3">
      <c r="G575" s="3">
        <f t="shared" si="90"/>
        <v>113</v>
      </c>
      <c r="H575" s="106">
        <f t="shared" si="89"/>
        <v>44673</v>
      </c>
      <c r="I575" s="133">
        <f>HLOOKUP($H$4,'Met Data'!$A$2:$F$368,G575,FALSE)</f>
        <v>14.5283333333333</v>
      </c>
      <c r="J575" s="131">
        <f ca="1">HLOOKUP($H$4,'Met Data'!$H$2:$M$368,G575,FALSE)*L575</f>
        <v>3.5258064516129002</v>
      </c>
      <c r="K575" s="107">
        <f>HLOOKUP($H$4,'Met Data'!$O$2:$T$368,G575,FALSE)</f>
        <v>2.2184505421646001</v>
      </c>
      <c r="L575">
        <f t="shared" ca="1" si="91"/>
        <v>1</v>
      </c>
      <c r="N575" t="b">
        <f t="shared" ca="1" si="92"/>
        <v>0</v>
      </c>
      <c r="O575" t="b">
        <f t="shared" ca="1" si="93"/>
        <v>0</v>
      </c>
      <c r="P575">
        <f ca="1"/>
        <v>44820</v>
      </c>
      <c r="Q575">
        <f ca="1"/>
        <v>158.03843324936423</v>
      </c>
      <c r="R575">
        <f ca="1"/>
        <v>0.86745095390540805</v>
      </c>
      <c r="S575">
        <f ca="1"/>
        <v>1.7278404738817619E-20</v>
      </c>
      <c r="T575">
        <f ca="1"/>
        <v>0.39276926669069384</v>
      </c>
      <c r="U575">
        <f ca="1"/>
        <v>0</v>
      </c>
      <c r="V575">
        <f ca="1"/>
        <v>26.221665761085799</v>
      </c>
      <c r="W575">
        <f ca="1"/>
        <v>18.128559044701301</v>
      </c>
      <c r="X575">
        <f ca="1"/>
        <v>0</v>
      </c>
      <c r="Y575">
        <f ca="1"/>
        <v>1</v>
      </c>
      <c r="Z575">
        <f ca="1"/>
        <v>1.3105115712741053</v>
      </c>
      <c r="AA575">
        <f ca="1"/>
        <v>0</v>
      </c>
      <c r="AB575">
        <f ca="1"/>
        <v>0.454661700601458</v>
      </c>
      <c r="AD575" s="2">
        <f t="shared" ca="1" si="94"/>
        <v>44820</v>
      </c>
      <c r="AE575" s="46">
        <f t="shared" ca="1" si="95"/>
        <v>0</v>
      </c>
      <c r="AG575" s="72">
        <f t="shared" ca="1" si="96"/>
        <v>158.90588420326966</v>
      </c>
      <c r="AH575" s="72">
        <f t="shared" ca="1" si="97"/>
        <v>158.90588420326964</v>
      </c>
      <c r="AI575" s="3">
        <f t="shared" ca="1" si="98"/>
        <v>0</v>
      </c>
    </row>
    <row r="576" spans="7:35" ht="15.75" thickBot="1" x14ac:dyDescent="0.3">
      <c r="G576" s="3">
        <f t="shared" si="90"/>
        <v>114</v>
      </c>
      <c r="H576" s="106">
        <f t="shared" si="89"/>
        <v>44674</v>
      </c>
      <c r="I576" s="133">
        <f>HLOOKUP($H$4,'Met Data'!$A$2:$F$368,G576,FALSE)</f>
        <v>14.68</v>
      </c>
      <c r="J576" s="131">
        <f ca="1">HLOOKUP($H$4,'Met Data'!$H$2:$M$368,G576,FALSE)*L576</f>
        <v>2.28709677419354</v>
      </c>
      <c r="K576" s="107">
        <f>HLOOKUP($H$4,'Met Data'!$O$2:$T$368,G576,FALSE)</f>
        <v>2.2540363688604601</v>
      </c>
      <c r="L576">
        <f t="shared" ca="1" si="91"/>
        <v>1</v>
      </c>
      <c r="N576" t="b">
        <f t="shared" ca="1" si="92"/>
        <v>0</v>
      </c>
      <c r="O576" t="b">
        <f t="shared" ca="1" si="93"/>
        <v>0</v>
      </c>
      <c r="P576">
        <f ca="1"/>
        <v>44821</v>
      </c>
      <c r="Q576">
        <f ca="1"/>
        <v>157.54676237590618</v>
      </c>
      <c r="R576">
        <f ca="1"/>
        <v>0.88111661333514801</v>
      </c>
      <c r="S576">
        <f ca="1"/>
        <v>1.4560619764069205E-20</v>
      </c>
      <c r="T576">
        <f ca="1"/>
        <v>0.38944573987708292</v>
      </c>
      <c r="U576">
        <f ca="1"/>
        <v>0</v>
      </c>
      <c r="V576">
        <f ca="1"/>
        <v>27.102782374420901</v>
      </c>
      <c r="W576">
        <f ca="1"/>
        <v>18.7377260860194</v>
      </c>
      <c r="X576">
        <f ca="1"/>
        <v>0</v>
      </c>
      <c r="Y576">
        <f ca="1"/>
        <v>1</v>
      </c>
      <c r="Z576">
        <f ca="1"/>
        <v>0.31549259606683222</v>
      </c>
      <c r="AA576">
        <f ca="1"/>
        <v>0</v>
      </c>
      <c r="AB576">
        <f ca="1"/>
        <v>0.47052132048734402</v>
      </c>
      <c r="AD576" s="2">
        <f t="shared" ca="1" si="94"/>
        <v>44821</v>
      </c>
      <c r="AE576" s="46">
        <f t="shared" ca="1" si="95"/>
        <v>0</v>
      </c>
      <c r="AG576" s="72">
        <f t="shared" ca="1" si="96"/>
        <v>158.42787898924132</v>
      </c>
      <c r="AH576" s="72">
        <f t="shared" ca="1" si="97"/>
        <v>158.42787898924132</v>
      </c>
      <c r="AI576" s="3">
        <f t="shared" ca="1" si="98"/>
        <v>0</v>
      </c>
    </row>
    <row r="577" spans="7:35" ht="15.75" thickBot="1" x14ac:dyDescent="0.3">
      <c r="G577" s="3">
        <f t="shared" si="90"/>
        <v>115</v>
      </c>
      <c r="H577" s="106">
        <f t="shared" si="89"/>
        <v>44675</v>
      </c>
      <c r="I577" s="133">
        <f>HLOOKUP($H$4,'Met Data'!$A$2:$F$368,G577,FALSE)</f>
        <v>14.4933333333333</v>
      </c>
      <c r="J577" s="131">
        <f ca="1">HLOOKUP($H$4,'Met Data'!$H$2:$M$368,G577,FALSE)*L577</f>
        <v>4.3387096774193497</v>
      </c>
      <c r="K577" s="107">
        <f>HLOOKUP($H$4,'Met Data'!$O$2:$T$368,G577,FALSE)</f>
        <v>2.2396347152399998</v>
      </c>
      <c r="L577">
        <f t="shared" ca="1" si="91"/>
        <v>1</v>
      </c>
      <c r="N577" t="b">
        <f t="shared" ca="1" si="92"/>
        <v>0</v>
      </c>
      <c r="O577" t="b">
        <f t="shared" ca="1" si="93"/>
        <v>0</v>
      </c>
      <c r="P577">
        <f ca="1"/>
        <v>44822</v>
      </c>
      <c r="Q577">
        <f ca="1"/>
        <v>157.04354880532463</v>
      </c>
      <c r="R577">
        <f ca="1"/>
        <v>0.88494888048081299</v>
      </c>
      <c r="S577">
        <f ca="1"/>
        <v>1.2160475895033569E-20</v>
      </c>
      <c r="T577">
        <f ca="1"/>
        <v>0.3817353098992648</v>
      </c>
      <c r="U577">
        <f ca="1"/>
        <v>0</v>
      </c>
      <c r="V577">
        <f ca="1"/>
        <v>27.987731254901799</v>
      </c>
      <c r="W577">
        <f ca="1"/>
        <v>19.3495425959815</v>
      </c>
      <c r="X577">
        <f ca="1"/>
        <v>0</v>
      </c>
      <c r="Y577">
        <f ca="1"/>
        <v>1</v>
      </c>
      <c r="Z577">
        <f ca="1"/>
        <v>0.11485506202221529</v>
      </c>
      <c r="AA577">
        <f ca="1"/>
        <v>0</v>
      </c>
      <c r="AB577">
        <f ca="1"/>
        <v>0.48588082273160599</v>
      </c>
      <c r="AD577" s="2">
        <f t="shared" ca="1" si="94"/>
        <v>44822</v>
      </c>
      <c r="AE577" s="46">
        <f t="shared" ca="1" si="95"/>
        <v>0</v>
      </c>
      <c r="AG577" s="72">
        <f t="shared" ca="1" si="96"/>
        <v>157.92849768580544</v>
      </c>
      <c r="AH577" s="72">
        <f t="shared" ca="1" si="97"/>
        <v>157.92849768580544</v>
      </c>
      <c r="AI577" s="3">
        <f t="shared" ca="1" si="98"/>
        <v>0</v>
      </c>
    </row>
    <row r="578" spans="7:35" ht="15.75" thickBot="1" x14ac:dyDescent="0.3">
      <c r="G578" s="3">
        <f t="shared" si="90"/>
        <v>116</v>
      </c>
      <c r="H578" s="106">
        <f t="shared" si="89"/>
        <v>44676</v>
      </c>
      <c r="I578" s="133">
        <f>HLOOKUP($H$4,'Met Data'!$A$2:$F$368,G578,FALSE)</f>
        <v>14.7733333333333</v>
      </c>
      <c r="J578" s="131">
        <f ca="1">HLOOKUP($H$4,'Met Data'!$H$2:$M$368,G578,FALSE)*L578</f>
        <v>6.4580645161290304</v>
      </c>
      <c r="K578" s="107">
        <f>HLOOKUP($H$4,'Met Data'!$O$2:$T$368,G578,FALSE)</f>
        <v>2.0110185254269899</v>
      </c>
      <c r="L578">
        <f t="shared" ca="1" si="91"/>
        <v>1</v>
      </c>
      <c r="N578" t="b">
        <f t="shared" ca="1" si="92"/>
        <v>0</v>
      </c>
      <c r="O578" t="b">
        <f t="shared" ca="1" si="93"/>
        <v>0</v>
      </c>
      <c r="P578">
        <f ca="1"/>
        <v>44823</v>
      </c>
      <c r="Q578">
        <f ca="1"/>
        <v>156.52499261914727</v>
      </c>
      <c r="R578">
        <f ca="1"/>
        <v>0.89705607638669704</v>
      </c>
      <c r="S578">
        <f ca="1"/>
        <v>1.0292110288744971E-20</v>
      </c>
      <c r="T578">
        <f ca="1"/>
        <v>0.37849989020930302</v>
      </c>
      <c r="U578">
        <f ca="1"/>
        <v>0</v>
      </c>
      <c r="V578">
        <f ca="1"/>
        <v>28.8847873312885</v>
      </c>
      <c r="W578">
        <f ca="1"/>
        <v>19.969729512989499</v>
      </c>
      <c r="X578">
        <f ca="1"/>
        <v>0</v>
      </c>
      <c r="Y578">
        <f ca="1"/>
        <v>1</v>
      </c>
      <c r="Z578">
        <f ca="1"/>
        <v>1.2891134635840302</v>
      </c>
      <c r="AA578">
        <f ca="1"/>
        <v>0</v>
      </c>
      <c r="AB578">
        <f ca="1"/>
        <v>0.50086523723559395</v>
      </c>
      <c r="AD578" s="2">
        <f t="shared" ca="1" si="94"/>
        <v>44823</v>
      </c>
      <c r="AE578" s="46">
        <f t="shared" ca="1" si="95"/>
        <v>0</v>
      </c>
      <c r="AG578" s="72">
        <f t="shared" ca="1" si="96"/>
        <v>157.42204869553393</v>
      </c>
      <c r="AH578" s="72">
        <f t="shared" ca="1" si="97"/>
        <v>157.42204869553396</v>
      </c>
      <c r="AI578" s="3">
        <f t="shared" ca="1" si="98"/>
        <v>0</v>
      </c>
    </row>
    <row r="579" spans="7:35" ht="15.75" thickBot="1" x14ac:dyDescent="0.3">
      <c r="G579" s="3">
        <f t="shared" si="90"/>
        <v>117</v>
      </c>
      <c r="H579" s="106">
        <f t="shared" si="89"/>
        <v>44677</v>
      </c>
      <c r="I579" s="133">
        <f>HLOOKUP($H$4,'Met Data'!$A$2:$F$368,G579,FALSE)</f>
        <v>14.998333333333299</v>
      </c>
      <c r="J579" s="131">
        <f ca="1">HLOOKUP($H$4,'Met Data'!$H$2:$M$368,G579,FALSE)*L579</f>
        <v>3.1903225806451601</v>
      </c>
      <c r="K579" s="107">
        <f>HLOOKUP($H$4,'Met Data'!$O$2:$T$368,G579,FALSE)</f>
        <v>2.1294944258891699</v>
      </c>
      <c r="L579">
        <f t="shared" ca="1" si="91"/>
        <v>1</v>
      </c>
      <c r="N579" t="b">
        <f t="shared" ca="1" si="92"/>
        <v>0</v>
      </c>
      <c r="O579" t="b">
        <f t="shared" ca="1" si="93"/>
        <v>0</v>
      </c>
      <c r="P579">
        <f ca="1"/>
        <v>44824</v>
      </c>
      <c r="Q579">
        <f ca="1"/>
        <v>155.99041550582348</v>
      </c>
      <c r="R579">
        <f ca="1"/>
        <v>0.910966537495007</v>
      </c>
      <c r="S579">
        <f ca="1"/>
        <v>8.7450565171062744E-21</v>
      </c>
      <c r="T579">
        <f ca="1"/>
        <v>0.37638942417125371</v>
      </c>
      <c r="U579">
        <f ca="1"/>
        <v>0</v>
      </c>
      <c r="V579">
        <f ca="1"/>
        <v>29.7957538687835</v>
      </c>
      <c r="W579">
        <f ca="1"/>
        <v>20.599533538911999</v>
      </c>
      <c r="X579">
        <f ca="1"/>
        <v>0</v>
      </c>
      <c r="Y579">
        <f ca="1"/>
        <v>1</v>
      </c>
      <c r="Z579">
        <f ca="1"/>
        <v>1.1747895216288384E-2</v>
      </c>
      <c r="AA579">
        <f ca="1"/>
        <v>0</v>
      </c>
      <c r="AB579">
        <f ca="1"/>
        <v>0.515480131467833</v>
      </c>
      <c r="AD579" s="2">
        <f t="shared" ca="1" si="94"/>
        <v>44824</v>
      </c>
      <c r="AE579" s="46">
        <f t="shared" ca="1" si="95"/>
        <v>0</v>
      </c>
      <c r="AG579" s="72">
        <f t="shared" ca="1" si="96"/>
        <v>156.90138204331853</v>
      </c>
      <c r="AH579" s="72">
        <f t="shared" ca="1" si="97"/>
        <v>156.90138204331848</v>
      </c>
      <c r="AI579" s="3">
        <f t="shared" ca="1" si="98"/>
        <v>0</v>
      </c>
    </row>
    <row r="580" spans="7:35" ht="15.75" thickBot="1" x14ac:dyDescent="0.3">
      <c r="G580" s="3">
        <f t="shared" si="90"/>
        <v>118</v>
      </c>
      <c r="H580" s="106">
        <f t="shared" si="89"/>
        <v>44678</v>
      </c>
      <c r="I580" s="133">
        <f>HLOOKUP($H$4,'Met Data'!$A$2:$F$368,G580,FALSE)</f>
        <v>15.395</v>
      </c>
      <c r="J580" s="131">
        <f ca="1">HLOOKUP($H$4,'Met Data'!$H$2:$M$368,G580,FALSE)*L580</f>
        <v>2.8516129032258002</v>
      </c>
      <c r="K580" s="107">
        <f>HLOOKUP($H$4,'Met Data'!$O$2:$T$368,G580,FALSE)</f>
        <v>2.1336270025185899</v>
      </c>
      <c r="L580">
        <f t="shared" ca="1" si="91"/>
        <v>1</v>
      </c>
      <c r="N580" t="b">
        <f t="shared" ca="1" si="92"/>
        <v>0</v>
      </c>
      <c r="O580" t="b">
        <f t="shared" ca="1" si="93"/>
        <v>0</v>
      </c>
      <c r="P580">
        <f ca="1"/>
        <v>44825</v>
      </c>
      <c r="Q580">
        <f ca="1"/>
        <v>155.44175369982037</v>
      </c>
      <c r="R580">
        <f ca="1"/>
        <v>0.921844160451887</v>
      </c>
      <c r="S580">
        <f ca="1"/>
        <v>7.416839927812222E-21</v>
      </c>
      <c r="T580">
        <f ca="1"/>
        <v>0.37318235444874648</v>
      </c>
      <c r="U580">
        <f ca="1"/>
        <v>0</v>
      </c>
      <c r="V580">
        <f ca="1"/>
        <v>30.717598029235301</v>
      </c>
      <c r="W580">
        <f ca="1"/>
        <v>21.2368578967553</v>
      </c>
      <c r="X580">
        <f ca="1"/>
        <v>0</v>
      </c>
      <c r="Y580">
        <f ca="1"/>
        <v>1</v>
      </c>
      <c r="Z580">
        <f ca="1"/>
        <v>0.15527110242304332</v>
      </c>
      <c r="AA580">
        <f ca="1"/>
        <v>0</v>
      </c>
      <c r="AB580">
        <f ca="1"/>
        <v>0.52965718613523904</v>
      </c>
      <c r="AD580" s="2">
        <f t="shared" ca="1" si="94"/>
        <v>44825</v>
      </c>
      <c r="AE580" s="46">
        <f t="shared" ca="1" si="95"/>
        <v>0</v>
      </c>
      <c r="AG580" s="72">
        <f t="shared" ca="1" si="96"/>
        <v>156.36359786027222</v>
      </c>
      <c r="AH580" s="72">
        <f t="shared" ca="1" si="97"/>
        <v>156.36359786027225</v>
      </c>
      <c r="AI580" s="3">
        <f t="shared" ca="1" si="98"/>
        <v>0</v>
      </c>
    </row>
    <row r="581" spans="7:35" ht="15.75" thickBot="1" x14ac:dyDescent="0.3">
      <c r="G581" s="3">
        <f t="shared" si="90"/>
        <v>119</v>
      </c>
      <c r="H581" s="106">
        <f t="shared" si="89"/>
        <v>44679</v>
      </c>
      <c r="I581" s="133">
        <f>HLOOKUP($H$4,'Met Data'!$A$2:$F$368,G581,FALSE)</f>
        <v>15.641379310344799</v>
      </c>
      <c r="J581" s="131">
        <f ca="1">HLOOKUP($H$4,'Met Data'!$H$2:$M$368,G581,FALSE)*L581</f>
        <v>3.74193548387096</v>
      </c>
      <c r="K581" s="107">
        <f>HLOOKUP($H$4,'Met Data'!$O$2:$T$368,G581,FALSE)</f>
        <v>2.0365768668725401</v>
      </c>
      <c r="L581">
        <f t="shared" ca="1" si="91"/>
        <v>1</v>
      </c>
      <c r="N581" t="b">
        <f t="shared" ca="1" si="92"/>
        <v>0</v>
      </c>
      <c r="O581" t="b">
        <f t="shared" ca="1" si="93"/>
        <v>0</v>
      </c>
      <c r="P581">
        <f ca="1"/>
        <v>44826</v>
      </c>
      <c r="Q581">
        <f ca="1"/>
        <v>154.86892060340608</v>
      </c>
      <c r="R581">
        <f ca="1"/>
        <v>0.95111048604128001</v>
      </c>
      <c r="S581">
        <f ca="1"/>
        <v>6.4260749053025706E-21</v>
      </c>
      <c r="T581">
        <f ca="1"/>
        <v>0.3782773896270018</v>
      </c>
      <c r="U581">
        <f ca="1"/>
        <v>0</v>
      </c>
      <c r="V581">
        <f ca="1"/>
        <v>31.668708515276599</v>
      </c>
      <c r="W581">
        <f ca="1"/>
        <v>21.894415763647999</v>
      </c>
      <c r="X581">
        <f ca="1"/>
        <v>0</v>
      </c>
      <c r="Y581">
        <f ca="1"/>
        <v>1</v>
      </c>
      <c r="Z581">
        <f ca="1"/>
        <v>1.7529980768732969</v>
      </c>
      <c r="AA581">
        <f ca="1"/>
        <v>0</v>
      </c>
      <c r="AB581">
        <f ca="1"/>
        <v>0.54364776036365503</v>
      </c>
      <c r="AD581" s="2">
        <f t="shared" ca="1" si="94"/>
        <v>44826</v>
      </c>
      <c r="AE581" s="46">
        <f t="shared" ca="1" si="95"/>
        <v>0</v>
      </c>
      <c r="AG581" s="72">
        <f t="shared" ca="1" si="96"/>
        <v>155.82003108944738</v>
      </c>
      <c r="AH581" s="72">
        <f t="shared" ca="1" si="97"/>
        <v>155.82003108944735</v>
      </c>
      <c r="AI581" s="3">
        <f t="shared" ca="1" si="98"/>
        <v>0</v>
      </c>
    </row>
    <row r="582" spans="7:35" ht="15.75" thickBot="1" x14ac:dyDescent="0.3">
      <c r="G582" s="3">
        <f t="shared" si="90"/>
        <v>120</v>
      </c>
      <c r="H582" s="106">
        <f t="shared" si="89"/>
        <v>44680</v>
      </c>
      <c r="I582" s="133">
        <f>HLOOKUP($H$4,'Met Data'!$A$2:$F$368,G582,FALSE)</f>
        <v>14.7327586206896</v>
      </c>
      <c r="J582" s="131">
        <f ca="1">HLOOKUP($H$4,'Met Data'!$H$2:$M$368,G582,FALSE)*L582</f>
        <v>3.3129032258064499</v>
      </c>
      <c r="K582" s="107">
        <f>HLOOKUP($H$4,'Met Data'!$O$2:$T$368,G582,FALSE)</f>
        <v>2.1199579861729001</v>
      </c>
      <c r="L582">
        <f t="shared" ca="1" si="91"/>
        <v>1</v>
      </c>
      <c r="N582" t="b">
        <f t="shared" ca="1" si="92"/>
        <v>0</v>
      </c>
      <c r="O582" t="b">
        <f t="shared" ca="1" si="93"/>
        <v>0</v>
      </c>
      <c r="P582">
        <f ca="1"/>
        <v>44827</v>
      </c>
      <c r="Q582">
        <f ca="1"/>
        <v>154.27275937562885</v>
      </c>
      <c r="R582">
        <f ca="1"/>
        <v>0.97873607516558903</v>
      </c>
      <c r="S582">
        <f ca="1"/>
        <v>5.5443300024449789E-21</v>
      </c>
      <c r="T582">
        <f ca="1"/>
        <v>0.38257484738837005</v>
      </c>
      <c r="U582">
        <f ca="1"/>
        <v>0</v>
      </c>
      <c r="V582">
        <f ca="1"/>
        <v>32.647444590442198</v>
      </c>
      <c r="W582">
        <f ca="1"/>
        <v>22.571072803268699</v>
      </c>
      <c r="X582">
        <f ca="1"/>
        <v>0</v>
      </c>
      <c r="Y582">
        <f ca="1"/>
        <v>1</v>
      </c>
      <c r="Z582">
        <f ca="1"/>
        <v>0.94017900945276267</v>
      </c>
      <c r="AA582">
        <f ca="1"/>
        <v>0</v>
      </c>
      <c r="AB582">
        <f ca="1"/>
        <v>0.557382902363593</v>
      </c>
      <c r="AD582" s="2">
        <f t="shared" ca="1" si="94"/>
        <v>44827</v>
      </c>
      <c r="AE582" s="46">
        <f t="shared" ca="1" si="95"/>
        <v>0</v>
      </c>
      <c r="AG582" s="72">
        <f t="shared" ca="1" si="96"/>
        <v>155.25149545079447</v>
      </c>
      <c r="AH582" s="72">
        <f t="shared" ca="1" si="97"/>
        <v>155.25149545079444</v>
      </c>
      <c r="AI582" s="3">
        <f t="shared" ca="1" si="98"/>
        <v>0</v>
      </c>
    </row>
    <row r="583" spans="7:35" ht="15.75" thickBot="1" x14ac:dyDescent="0.3">
      <c r="G583" s="3">
        <f t="shared" si="90"/>
        <v>121</v>
      </c>
      <c r="H583" s="106">
        <f t="shared" si="89"/>
        <v>44681</v>
      </c>
      <c r="I583" s="133">
        <f>HLOOKUP($H$4,'Met Data'!$A$2:$F$368,G583,FALSE)</f>
        <v>14.332758620689599</v>
      </c>
      <c r="J583" s="131">
        <f ca="1">HLOOKUP($H$4,'Met Data'!$H$2:$M$368,G583,FALSE)*L583</f>
        <v>4.4322580645161196</v>
      </c>
      <c r="K583" s="107">
        <f>HLOOKUP($H$4,'Met Data'!$O$2:$T$368,G583,FALSE)</f>
        <v>1.7270113091402699</v>
      </c>
      <c r="L583">
        <f t="shared" ca="1" si="91"/>
        <v>1</v>
      </c>
      <c r="N583" t="b">
        <f t="shared" ca="1" si="92"/>
        <v>0</v>
      </c>
      <c r="O583" t="b">
        <f t="shared" ca="1" si="93"/>
        <v>0</v>
      </c>
      <c r="P583">
        <f ca="1"/>
        <v>44828</v>
      </c>
      <c r="Q583">
        <f ca="1"/>
        <v>153.63837345406773</v>
      </c>
      <c r="R583">
        <f ca="1"/>
        <v>1.03249859259407</v>
      </c>
      <c r="S583">
        <f ca="1"/>
        <v>4.8969914142864496E-21</v>
      </c>
      <c r="T583">
        <f ca="1"/>
        <v>0.39811267103294895</v>
      </c>
      <c r="U583">
        <f ca="1"/>
        <v>0</v>
      </c>
      <c r="V583">
        <f ca="1"/>
        <v>33.679943183036301</v>
      </c>
      <c r="W583">
        <f ca="1"/>
        <v>23.284898990741102</v>
      </c>
      <c r="X583">
        <f ca="1"/>
        <v>0</v>
      </c>
      <c r="Y583">
        <f ca="1"/>
        <v>1</v>
      </c>
      <c r="Z583">
        <f ca="1"/>
        <v>2.0311600400418115</v>
      </c>
      <c r="AA583">
        <f ca="1"/>
        <v>0</v>
      </c>
      <c r="AB583">
        <f ca="1"/>
        <v>0.57116310060655595</v>
      </c>
      <c r="AD583" s="2">
        <f t="shared" ca="1" si="94"/>
        <v>44828</v>
      </c>
      <c r="AE583" s="46">
        <f t="shared" ca="1" si="95"/>
        <v>0</v>
      </c>
      <c r="AG583" s="72">
        <f t="shared" ca="1" si="96"/>
        <v>154.6708720466618</v>
      </c>
      <c r="AH583" s="72">
        <f t="shared" ca="1" si="97"/>
        <v>154.6708720466618</v>
      </c>
      <c r="AI583" s="3">
        <f t="shared" ca="1" si="98"/>
        <v>0</v>
      </c>
    </row>
    <row r="584" spans="7:35" ht="15.75" thickBot="1" x14ac:dyDescent="0.3">
      <c r="G584" s="3">
        <f t="shared" si="90"/>
        <v>122</v>
      </c>
      <c r="H584" s="106">
        <f t="shared" ref="H584:H647" si="99">H583+1</f>
        <v>44682</v>
      </c>
      <c r="I584" s="133">
        <f>HLOOKUP($H$4,'Met Data'!$A$2:$F$368,G584,FALSE)</f>
        <v>14.3982758620689</v>
      </c>
      <c r="J584" s="131">
        <f ca="1">HLOOKUP($H$4,'Met Data'!$H$2:$M$368,G584,FALSE)*L584</f>
        <v>3.1838709677419299</v>
      </c>
      <c r="K584" s="107">
        <f>HLOOKUP($H$4,'Met Data'!$O$2:$T$368,G584,FALSE)</f>
        <v>1.93510583623638</v>
      </c>
      <c r="L584">
        <f t="shared" ca="1" si="91"/>
        <v>1</v>
      </c>
      <c r="N584" t="b">
        <f t="shared" ca="1" si="92"/>
        <v>0</v>
      </c>
      <c r="O584" t="b">
        <f t="shared" ca="1" si="93"/>
        <v>0</v>
      </c>
      <c r="P584">
        <f ca="1"/>
        <v>44829</v>
      </c>
      <c r="Q584">
        <f ca="1"/>
        <v>152.99968039919474</v>
      </c>
      <c r="R584">
        <f ca="1"/>
        <v>1.02644218279153</v>
      </c>
      <c r="S584">
        <f ca="1"/>
        <v>4.0533832655380683E-21</v>
      </c>
      <c r="T584">
        <f ca="1"/>
        <v>0.38774912791854954</v>
      </c>
      <c r="U584">
        <f ca="1"/>
        <v>0</v>
      </c>
      <c r="V584">
        <f ca="1"/>
        <v>34.706385365827799</v>
      </c>
      <c r="W584">
        <f ca="1"/>
        <v>23.9945380306958</v>
      </c>
      <c r="X584">
        <f ca="1"/>
        <v>0</v>
      </c>
      <c r="Y584">
        <f ca="1"/>
        <v>1</v>
      </c>
      <c r="Z584">
        <f ca="1"/>
        <v>0.80249273235688179</v>
      </c>
      <c r="AA584">
        <f ca="1"/>
        <v>0</v>
      </c>
      <c r="AB584">
        <f ca="1"/>
        <v>0.58416206750689004</v>
      </c>
      <c r="AD584" s="2">
        <f t="shared" ca="1" si="94"/>
        <v>44829</v>
      </c>
      <c r="AE584" s="46">
        <f t="shared" ca="1" si="95"/>
        <v>0</v>
      </c>
      <c r="AG584" s="72">
        <f t="shared" ca="1" si="96"/>
        <v>154.02612258198627</v>
      </c>
      <c r="AH584" s="72">
        <f t="shared" ca="1" si="97"/>
        <v>154.02612258198627</v>
      </c>
      <c r="AI584" s="3">
        <f t="shared" ca="1" si="98"/>
        <v>0</v>
      </c>
    </row>
    <row r="585" spans="7:35" ht="15.75" thickBot="1" x14ac:dyDescent="0.3">
      <c r="G585" s="3">
        <f t="shared" si="90"/>
        <v>123</v>
      </c>
      <c r="H585" s="106">
        <f t="shared" si="99"/>
        <v>44683</v>
      </c>
      <c r="I585" s="133">
        <f>HLOOKUP($H$4,'Met Data'!$A$2:$F$368,G585,FALSE)</f>
        <v>14.296666666666599</v>
      </c>
      <c r="J585" s="131">
        <f ca="1">HLOOKUP($H$4,'Met Data'!$H$2:$M$368,G585,FALSE)*L585</f>
        <v>6.4709677419354801</v>
      </c>
      <c r="K585" s="107">
        <f>HLOOKUP($H$4,'Met Data'!$O$2:$T$368,G585,FALSE)</f>
        <v>1.84994231207221</v>
      </c>
      <c r="L585">
        <f t="shared" ca="1" si="91"/>
        <v>1</v>
      </c>
      <c r="N585" t="b">
        <f t="shared" ca="1" si="92"/>
        <v>0</v>
      </c>
      <c r="O585" t="b">
        <f t="shared" ca="1" si="93"/>
        <v>0</v>
      </c>
      <c r="P585">
        <f ca="1"/>
        <v>44830</v>
      </c>
      <c r="Q585">
        <f ca="1"/>
        <v>152.34854013235787</v>
      </c>
      <c r="R585">
        <f ca="1"/>
        <v>1.0356691343550499</v>
      </c>
      <c r="S585">
        <f ca="1"/>
        <v>3.4230190368327113E-21</v>
      </c>
      <c r="T585">
        <f ca="1"/>
        <v>0.38452886751814297</v>
      </c>
      <c r="U585">
        <f ca="1"/>
        <v>0</v>
      </c>
      <c r="V585">
        <f ca="1"/>
        <v>35.742054500182903</v>
      </c>
      <c r="W585">
        <f ca="1"/>
        <v>24.710556197657301</v>
      </c>
      <c r="X585">
        <f ca="1"/>
        <v>0</v>
      </c>
      <c r="Y585">
        <f ca="1"/>
        <v>1</v>
      </c>
      <c r="Z585">
        <f ca="1"/>
        <v>1.8068370304963111</v>
      </c>
      <c r="AA585">
        <f ca="1"/>
        <v>0</v>
      </c>
      <c r="AB585">
        <f ca="1"/>
        <v>0.59659439619959997</v>
      </c>
      <c r="AD585" s="2">
        <f t="shared" ca="1" si="94"/>
        <v>44830</v>
      </c>
      <c r="AE585" s="46">
        <f t="shared" ca="1" si="95"/>
        <v>0</v>
      </c>
      <c r="AG585" s="72">
        <f t="shared" ca="1" si="96"/>
        <v>153.3842092667129</v>
      </c>
      <c r="AH585" s="72">
        <f t="shared" ca="1" si="97"/>
        <v>153.38420926671293</v>
      </c>
      <c r="AI585" s="3">
        <f t="shared" ca="1" si="98"/>
        <v>0</v>
      </c>
    </row>
    <row r="586" spans="7:35" ht="15.75" thickBot="1" x14ac:dyDescent="0.3">
      <c r="G586" s="3">
        <f t="shared" si="90"/>
        <v>124</v>
      </c>
      <c r="H586" s="106">
        <f t="shared" si="99"/>
        <v>44684</v>
      </c>
      <c r="I586" s="133">
        <f>HLOOKUP($H$4,'Met Data'!$A$2:$F$368,G586,FALSE)</f>
        <v>14.1866666666666</v>
      </c>
      <c r="J586" s="131">
        <f ca="1">HLOOKUP($H$4,'Met Data'!$H$2:$M$368,G586,FALSE)*L586</f>
        <v>2.59032258064516</v>
      </c>
      <c r="K586" s="107">
        <f>HLOOKUP($H$4,'Met Data'!$O$2:$T$368,G586,FALSE)</f>
        <v>1.8652259443704999</v>
      </c>
      <c r="L586">
        <f t="shared" ca="1" si="91"/>
        <v>1</v>
      </c>
      <c r="N586" t="b">
        <f t="shared" ca="1" si="92"/>
        <v>0</v>
      </c>
      <c r="O586" t="b">
        <f t="shared" ca="1" si="93"/>
        <v>0</v>
      </c>
      <c r="P586">
        <f ca="1"/>
        <v>44831</v>
      </c>
      <c r="Q586">
        <f ca="1"/>
        <v>151.66209065558058</v>
      </c>
      <c r="R586">
        <f ca="1"/>
        <v>1.0842388278166299</v>
      </c>
      <c r="S586">
        <f ca="1"/>
        <v>3.0050681350807664E-21</v>
      </c>
      <c r="T586">
        <f ca="1"/>
        <v>0.39778935103936325</v>
      </c>
      <c r="U586">
        <f ca="1"/>
        <v>0</v>
      </c>
      <c r="V586">
        <f ca="1"/>
        <v>36.826293327999501</v>
      </c>
      <c r="W586">
        <f ca="1"/>
        <v>25.460153411950301</v>
      </c>
      <c r="X586">
        <f ca="1"/>
        <v>0</v>
      </c>
      <c r="Y586">
        <f ca="1"/>
        <v>1</v>
      </c>
      <c r="Z586">
        <f ca="1"/>
        <v>0.19282927011568063</v>
      </c>
      <c r="AA586">
        <f ca="1"/>
        <v>0</v>
      </c>
      <c r="AB586">
        <f ca="1"/>
        <v>0.60890238322475698</v>
      </c>
      <c r="AD586" s="2">
        <f t="shared" ca="1" si="94"/>
        <v>44831</v>
      </c>
      <c r="AE586" s="46">
        <f t="shared" ca="1" si="95"/>
        <v>0</v>
      </c>
      <c r="AG586" s="72">
        <f t="shared" ca="1" si="96"/>
        <v>152.74632948339723</v>
      </c>
      <c r="AH586" s="72">
        <f t="shared" ca="1" si="97"/>
        <v>152.7463294833972</v>
      </c>
      <c r="AI586" s="3">
        <f t="shared" ca="1" si="98"/>
        <v>0</v>
      </c>
    </row>
    <row r="587" spans="7:35" ht="15.75" thickBot="1" x14ac:dyDescent="0.3">
      <c r="G587" s="3">
        <f t="shared" si="90"/>
        <v>125</v>
      </c>
      <c r="H587" s="106">
        <f t="shared" si="99"/>
        <v>44685</v>
      </c>
      <c r="I587" s="133">
        <f>HLOOKUP($H$4,'Met Data'!$A$2:$F$368,G587,FALSE)</f>
        <v>13.9112903225806</v>
      </c>
      <c r="J587" s="131">
        <f ca="1">HLOOKUP($H$4,'Met Data'!$H$2:$M$368,G587,FALSE)*L587</f>
        <v>2.2741935483870899</v>
      </c>
      <c r="K587" s="107">
        <f>HLOOKUP($H$4,'Met Data'!$O$2:$T$368,G587,FALSE)</f>
        <v>1.88347487361168</v>
      </c>
      <c r="L587">
        <f t="shared" ca="1" si="91"/>
        <v>1</v>
      </c>
      <c r="N587" t="b">
        <f t="shared" ca="1" si="92"/>
        <v>0</v>
      </c>
      <c r="O587" t="b">
        <f t="shared" ca="1" si="93"/>
        <v>0</v>
      </c>
      <c r="P587">
        <f ca="1"/>
        <v>44832</v>
      </c>
      <c r="Q587">
        <f ca="1"/>
        <v>150.94257782054223</v>
      </c>
      <c r="R587">
        <f ca="1"/>
        <v>1.1288476490516399</v>
      </c>
      <c r="S587">
        <f ca="1"/>
        <v>2.6108379759465793E-21</v>
      </c>
      <c r="T587">
        <f ca="1"/>
        <v>0.40933481401326877</v>
      </c>
      <c r="U587">
        <f ca="1"/>
        <v>0</v>
      </c>
      <c r="V587">
        <f ca="1"/>
        <v>37.955140977051101</v>
      </c>
      <c r="W587">
        <f ca="1"/>
        <v>26.240591292776099</v>
      </c>
      <c r="X587">
        <f ca="1"/>
        <v>0</v>
      </c>
      <c r="Y587">
        <f ca="1"/>
        <v>1</v>
      </c>
      <c r="Z587">
        <f ca="1"/>
        <v>1.8166179447524087</v>
      </c>
      <c r="AA587">
        <f ca="1"/>
        <v>0</v>
      </c>
      <c r="AB587">
        <f ca="1"/>
        <v>0.62098076244553901</v>
      </c>
      <c r="AD587" s="2">
        <f t="shared" ca="1" si="94"/>
        <v>44832</v>
      </c>
      <c r="AE587" s="46">
        <f t="shared" ca="1" si="95"/>
        <v>0</v>
      </c>
      <c r="AG587" s="72">
        <f t="shared" ca="1" si="96"/>
        <v>152.07142546959386</v>
      </c>
      <c r="AH587" s="72">
        <f t="shared" ca="1" si="97"/>
        <v>152.07142546959386</v>
      </c>
      <c r="AI587" s="3">
        <f t="shared" ca="1" si="98"/>
        <v>0</v>
      </c>
    </row>
    <row r="588" spans="7:35" ht="15.75" thickBot="1" x14ac:dyDescent="0.3">
      <c r="G588" s="3">
        <f t="shared" si="90"/>
        <v>126</v>
      </c>
      <c r="H588" s="106">
        <f t="shared" si="99"/>
        <v>44686</v>
      </c>
      <c r="I588" s="133">
        <f>HLOOKUP($H$4,'Met Data'!$A$2:$F$368,G588,FALSE)</f>
        <v>13.9966666666666</v>
      </c>
      <c r="J588" s="131">
        <f ca="1">HLOOKUP($H$4,'Met Data'!$H$2:$M$368,G588,FALSE)*L588</f>
        <v>3.2548387096774101</v>
      </c>
      <c r="K588" s="107">
        <f>HLOOKUP($H$4,'Met Data'!$O$2:$T$368,G588,FALSE)</f>
        <v>1.9813737718090501</v>
      </c>
      <c r="L588">
        <f t="shared" ca="1" si="91"/>
        <v>1</v>
      </c>
      <c r="N588" t="b">
        <f t="shared" ca="1" si="92"/>
        <v>0</v>
      </c>
      <c r="O588" t="b">
        <f t="shared" ca="1" si="93"/>
        <v>0</v>
      </c>
      <c r="P588">
        <f ca="1"/>
        <v>44833</v>
      </c>
      <c r="Q588">
        <f ca="1"/>
        <v>150.18872062599206</v>
      </c>
      <c r="R588">
        <f ca="1"/>
        <v>1.1756560472331501</v>
      </c>
      <c r="S588">
        <f ca="1"/>
        <v>2.2598905381241012E-21</v>
      </c>
      <c r="T588">
        <f ca="1"/>
        <v>0.42179885268299766</v>
      </c>
      <c r="U588">
        <f ca="1"/>
        <v>0</v>
      </c>
      <c r="V588">
        <f ca="1"/>
        <v>39.130797024284298</v>
      </c>
      <c r="W588">
        <f ca="1"/>
        <v>27.053390535307699</v>
      </c>
      <c r="X588">
        <f ca="1"/>
        <v>0</v>
      </c>
      <c r="Y588">
        <f ca="1"/>
        <v>1</v>
      </c>
      <c r="Z588">
        <f ca="1"/>
        <v>1.0454741178045737</v>
      </c>
      <c r="AA588">
        <f ca="1"/>
        <v>0</v>
      </c>
      <c r="AB588">
        <f ca="1"/>
        <v>0.63279968471125903</v>
      </c>
      <c r="AD588" s="2">
        <f t="shared" ca="1" si="94"/>
        <v>44833</v>
      </c>
      <c r="AE588" s="46">
        <f t="shared" ca="1" si="95"/>
        <v>0</v>
      </c>
      <c r="AG588" s="72">
        <f t="shared" ca="1" si="96"/>
        <v>151.36437667322522</v>
      </c>
      <c r="AH588" s="72">
        <f t="shared" ca="1" si="97"/>
        <v>151.36437667322522</v>
      </c>
      <c r="AI588" s="3">
        <f t="shared" ca="1" si="98"/>
        <v>0</v>
      </c>
    </row>
    <row r="589" spans="7:35" ht="15.75" thickBot="1" x14ac:dyDescent="0.3">
      <c r="G589" s="3">
        <f t="shared" si="90"/>
        <v>127</v>
      </c>
      <c r="H589" s="106">
        <f t="shared" si="99"/>
        <v>44687</v>
      </c>
      <c r="I589" s="133">
        <f>HLOOKUP($H$4,'Met Data'!$A$2:$F$368,G589,FALSE)</f>
        <v>14.1596774193548</v>
      </c>
      <c r="J589" s="131">
        <f ca="1">HLOOKUP($H$4,'Met Data'!$H$2:$M$368,G589,FALSE)*L589</f>
        <v>3.4483870967741899</v>
      </c>
      <c r="K589" s="107">
        <f>HLOOKUP($H$4,'Met Data'!$O$2:$T$368,G589,FALSE)</f>
        <v>1.78778032014411</v>
      </c>
      <c r="L589">
        <f t="shared" ca="1" si="91"/>
        <v>1</v>
      </c>
      <c r="N589" t="b">
        <f t="shared" ca="1" si="92"/>
        <v>0</v>
      </c>
      <c r="O589" t="b">
        <f t="shared" ca="1" si="93"/>
        <v>0</v>
      </c>
      <c r="P589">
        <f ca="1"/>
        <v>44834</v>
      </c>
      <c r="Q589">
        <f ca="1"/>
        <v>149.42390147870555</v>
      </c>
      <c r="R589">
        <f ca="1"/>
        <v>1.1826863848262801</v>
      </c>
      <c r="S589">
        <f ca="1"/>
        <v>1.8818598535964666E-21</v>
      </c>
      <c r="T589">
        <f ca="1"/>
        <v>0.41786723753975757</v>
      </c>
      <c r="U589">
        <f ca="1"/>
        <v>0</v>
      </c>
      <c r="V589">
        <f ca="1"/>
        <v>40.313483409110603</v>
      </c>
      <c r="W589">
        <f ca="1"/>
        <v>27.8710502581505</v>
      </c>
      <c r="X589">
        <f ca="1"/>
        <v>0</v>
      </c>
      <c r="Y589">
        <f ca="1"/>
        <v>1</v>
      </c>
      <c r="Z589">
        <f ca="1"/>
        <v>2.829689020887713</v>
      </c>
      <c r="AA589">
        <f ca="1"/>
        <v>0</v>
      </c>
      <c r="AB589">
        <f ca="1"/>
        <v>0.643946856026689</v>
      </c>
      <c r="AD589" s="2">
        <f t="shared" ca="1" si="94"/>
        <v>44834</v>
      </c>
      <c r="AE589" s="46">
        <f t="shared" ca="1" si="95"/>
        <v>0</v>
      </c>
      <c r="AG589" s="72">
        <f t="shared" ca="1" si="96"/>
        <v>150.60658786353181</v>
      </c>
      <c r="AH589" s="72">
        <f t="shared" ca="1" si="97"/>
        <v>150.60658786353181</v>
      </c>
      <c r="AI589" s="3">
        <f t="shared" ca="1" si="98"/>
        <v>0</v>
      </c>
    </row>
    <row r="590" spans="7:35" ht="15.75" thickBot="1" x14ac:dyDescent="0.3">
      <c r="G590" s="3">
        <f t="shared" si="90"/>
        <v>128</v>
      </c>
      <c r="H590" s="106">
        <f t="shared" si="99"/>
        <v>44688</v>
      </c>
      <c r="I590" s="133">
        <f>HLOOKUP($H$4,'Met Data'!$A$2:$F$368,G590,FALSE)</f>
        <v>13.8403225806451</v>
      </c>
      <c r="J590" s="131">
        <f ca="1">HLOOKUP($H$4,'Met Data'!$H$2:$M$368,G590,FALSE)*L590</f>
        <v>1.8387096774193501</v>
      </c>
      <c r="K590" s="107">
        <f>HLOOKUP($H$4,'Met Data'!$O$2:$T$368,G590,FALSE)</f>
        <v>1.87782016455675</v>
      </c>
      <c r="L590">
        <f t="shared" ca="1" si="91"/>
        <v>1</v>
      </c>
      <c r="N590" t="b">
        <f t="shared" ca="1" si="92"/>
        <v>0</v>
      </c>
      <c r="O590" t="b">
        <f t="shared" ca="1" si="93"/>
        <v>0</v>
      </c>
      <c r="P590">
        <f ca="1"/>
        <v>44835</v>
      </c>
      <c r="Q590">
        <f ca="1"/>
        <v>148.65730337102957</v>
      </c>
      <c r="R590">
        <f ca="1"/>
        <v>1.17532969222619</v>
      </c>
      <c r="S590">
        <f ca="1"/>
        <v>1.5522065052443497E-21</v>
      </c>
      <c r="T590">
        <f ca="1"/>
        <v>0.40873158455021169</v>
      </c>
      <c r="U590">
        <f ca="1"/>
        <v>0</v>
      </c>
      <c r="V590">
        <f ca="1"/>
        <v>41.488813101336802</v>
      </c>
      <c r="W590">
        <f ca="1"/>
        <v>28.6836238725291</v>
      </c>
      <c r="X590">
        <f ca="1"/>
        <v>0</v>
      </c>
      <c r="Y590">
        <f ca="1"/>
        <v>1</v>
      </c>
      <c r="Z590">
        <f ca="1"/>
        <v>4.491246049128037</v>
      </c>
      <c r="AA590">
        <f ca="1"/>
        <v>0</v>
      </c>
      <c r="AB590">
        <f ca="1"/>
        <v>0.65432717084635506</v>
      </c>
      <c r="AD590" s="2">
        <f t="shared" ca="1" si="94"/>
        <v>44835</v>
      </c>
      <c r="AE590" s="46">
        <f t="shared" ca="1" si="95"/>
        <v>0</v>
      </c>
      <c r="AG590" s="72">
        <f t="shared" ca="1" si="96"/>
        <v>149.83263306325577</v>
      </c>
      <c r="AH590" s="72">
        <f t="shared" ca="1" si="97"/>
        <v>149.83263306325577</v>
      </c>
      <c r="AI590" s="3">
        <f t="shared" ca="1" si="98"/>
        <v>0</v>
      </c>
    </row>
    <row r="591" spans="7:35" ht="15.75" thickBot="1" x14ac:dyDescent="0.3">
      <c r="G591" s="3">
        <f t="shared" si="90"/>
        <v>129</v>
      </c>
      <c r="H591" s="106">
        <f t="shared" si="99"/>
        <v>44689</v>
      </c>
      <c r="I591" s="133">
        <f>HLOOKUP($H$4,'Met Data'!$A$2:$F$368,G591,FALSE)</f>
        <v>13.5774193548387</v>
      </c>
      <c r="J591" s="131">
        <f ca="1">HLOOKUP($H$4,'Met Data'!$H$2:$M$368,G591,FALSE)*L591</f>
        <v>3.4064516129032198</v>
      </c>
      <c r="K591" s="107">
        <f>HLOOKUP($H$4,'Met Data'!$O$2:$T$368,G591,FALSE)</f>
        <v>1.84976774954056</v>
      </c>
      <c r="L591">
        <f t="shared" ca="1" si="91"/>
        <v>1</v>
      </c>
      <c r="N591" t="b">
        <f t="shared" ca="1" si="92"/>
        <v>0</v>
      </c>
      <c r="O591" t="b">
        <f t="shared" ca="1" si="93"/>
        <v>0</v>
      </c>
      <c r="P591">
        <f ca="1"/>
        <v>44836</v>
      </c>
      <c r="Q591">
        <f ca="1"/>
        <v>147.88154008107546</v>
      </c>
      <c r="R591">
        <f ca="1"/>
        <v>1.1814269429886901</v>
      </c>
      <c r="S591">
        <f ca="1"/>
        <v>1.3010800642987941E-21</v>
      </c>
      <c r="T591">
        <f ca="1"/>
        <v>0.4056636530346025</v>
      </c>
      <c r="U591">
        <f ca="1"/>
        <v>0</v>
      </c>
      <c r="V591">
        <f ca="1"/>
        <v>42.670240044325503</v>
      </c>
      <c r="W591">
        <f ca="1"/>
        <v>29.5004128701509</v>
      </c>
      <c r="X591">
        <f ca="1"/>
        <v>0</v>
      </c>
      <c r="Y591">
        <f ca="1"/>
        <v>1</v>
      </c>
      <c r="Z591">
        <f ca="1"/>
        <v>1.8349237318771401</v>
      </c>
      <c r="AA591">
        <f ca="1"/>
        <v>0</v>
      </c>
      <c r="AB591">
        <f ca="1"/>
        <v>0.66410021653319296</v>
      </c>
      <c r="AD591" s="2">
        <f t="shared" ca="1" si="94"/>
        <v>44836</v>
      </c>
      <c r="AE591" s="46">
        <f t="shared" ca="1" si="95"/>
        <v>0</v>
      </c>
      <c r="AG591" s="72">
        <f t="shared" ca="1" si="96"/>
        <v>149.06296702406416</v>
      </c>
      <c r="AH591" s="72">
        <f t="shared" ca="1" si="97"/>
        <v>149.06296702406414</v>
      </c>
      <c r="AI591" s="3">
        <f t="shared" ca="1" si="98"/>
        <v>0</v>
      </c>
    </row>
    <row r="592" spans="7:35" ht="15.75" thickBot="1" x14ac:dyDescent="0.3">
      <c r="G592" s="3">
        <f t="shared" si="90"/>
        <v>130</v>
      </c>
      <c r="H592" s="106">
        <f t="shared" si="99"/>
        <v>44690</v>
      </c>
      <c r="I592" s="133">
        <f>HLOOKUP($H$4,'Met Data'!$A$2:$F$368,G592,FALSE)</f>
        <v>13.1612903225806</v>
      </c>
      <c r="J592" s="131">
        <f ca="1">HLOOKUP($H$4,'Met Data'!$H$2:$M$368,G592,FALSE)*L592</f>
        <v>2.3258064516129</v>
      </c>
      <c r="K592" s="107">
        <f>HLOOKUP($H$4,'Met Data'!$O$2:$T$368,G592,FALSE)</f>
        <v>1.7318330822852801</v>
      </c>
      <c r="L592">
        <f t="shared" ca="1" si="91"/>
        <v>1</v>
      </c>
      <c r="N592" t="b">
        <f t="shared" ca="1" si="92"/>
        <v>0</v>
      </c>
      <c r="O592" t="b">
        <f t="shared" ca="1" si="93"/>
        <v>0</v>
      </c>
      <c r="P592">
        <f ca="1"/>
        <v>44837</v>
      </c>
      <c r="Q592">
        <f ca="1"/>
        <v>147.07580413775275</v>
      </c>
      <c r="R592">
        <f ca="1"/>
        <v>1.22247440317182</v>
      </c>
      <c r="S592">
        <f ca="1"/>
        <v>1.124983250284202E-21</v>
      </c>
      <c r="T592">
        <f ca="1"/>
        <v>0.41673845984911317</v>
      </c>
      <c r="U592">
        <f ca="1"/>
        <v>0</v>
      </c>
      <c r="V592">
        <f ca="1"/>
        <v>43.892714447497298</v>
      </c>
      <c r="W592">
        <f ca="1"/>
        <v>30.345580358763598</v>
      </c>
      <c r="X592">
        <f ca="1"/>
        <v>0</v>
      </c>
      <c r="Y592">
        <f ca="1"/>
        <v>1</v>
      </c>
      <c r="Z592">
        <f ca="1"/>
        <v>2.2485286487944762</v>
      </c>
      <c r="AA592">
        <f ca="1"/>
        <v>0</v>
      </c>
      <c r="AB592">
        <f ca="1"/>
        <v>0.67355614215552295</v>
      </c>
      <c r="AD592" s="2">
        <f t="shared" ca="1" si="94"/>
        <v>44837</v>
      </c>
      <c r="AE592" s="46">
        <f t="shared" ca="1" si="95"/>
        <v>0</v>
      </c>
      <c r="AG592" s="72">
        <f t="shared" ca="1" si="96"/>
        <v>148.29827854092457</v>
      </c>
      <c r="AH592" s="72">
        <f t="shared" ca="1" si="97"/>
        <v>148.29827854092457</v>
      </c>
      <c r="AI592" s="3">
        <f t="shared" ca="1" si="98"/>
        <v>0</v>
      </c>
    </row>
    <row r="593" spans="7:35" ht="15.75" thickBot="1" x14ac:dyDescent="0.3">
      <c r="G593" s="3">
        <f t="shared" si="90"/>
        <v>131</v>
      </c>
      <c r="H593" s="106">
        <f t="shared" si="99"/>
        <v>44691</v>
      </c>
      <c r="I593" s="133">
        <f>HLOOKUP($H$4,'Met Data'!$A$2:$F$368,G593,FALSE)</f>
        <v>13.291935483870899</v>
      </c>
      <c r="J593" s="131">
        <f ca="1">HLOOKUP($H$4,'Met Data'!$H$2:$M$368,G593,FALSE)*L593</f>
        <v>3.1733333333333298</v>
      </c>
      <c r="K593" s="107">
        <f>HLOOKUP($H$4,'Met Data'!$O$2:$T$368,G593,FALSE)</f>
        <v>1.6655372035048599</v>
      </c>
      <c r="L593">
        <f t="shared" ca="1" si="91"/>
        <v>1</v>
      </c>
      <c r="N593" t="b">
        <f t="shared" ca="1" si="92"/>
        <v>0</v>
      </c>
      <c r="O593" t="b">
        <f t="shared" ca="1" si="93"/>
        <v>0</v>
      </c>
      <c r="P593">
        <f ca="1"/>
        <v>44838</v>
      </c>
      <c r="Q593">
        <f ca="1"/>
        <v>146.28039115076172</v>
      </c>
      <c r="R593">
        <f ca="1"/>
        <v>1.19790351628425</v>
      </c>
      <c r="S593">
        <f ca="1"/>
        <v>9.1597539342436387E-22</v>
      </c>
      <c r="T593">
        <f ca="1"/>
        <v>0.40249052929321938</v>
      </c>
      <c r="U593">
        <f ca="1"/>
        <v>0</v>
      </c>
      <c r="V593">
        <f ca="1"/>
        <v>45.090617963781497</v>
      </c>
      <c r="W593">
        <f ca="1"/>
        <v>31.173760567552701</v>
      </c>
      <c r="X593">
        <f ca="1"/>
        <v>0</v>
      </c>
      <c r="Y593">
        <f ca="1"/>
        <v>0.99768772129166439</v>
      </c>
      <c r="Z593">
        <f ca="1"/>
        <v>0</v>
      </c>
      <c r="AA593">
        <f ca="1"/>
        <v>0</v>
      </c>
      <c r="AB593">
        <f ca="1"/>
        <v>0.68221346784016701</v>
      </c>
      <c r="AD593" s="2">
        <f t="shared" ca="1" si="94"/>
        <v>44838</v>
      </c>
      <c r="AE593" s="46">
        <f t="shared" ca="1" si="95"/>
        <v>0</v>
      </c>
      <c r="AG593" s="72">
        <f t="shared" ca="1" si="96"/>
        <v>147.47829466704599</v>
      </c>
      <c r="AH593" s="72">
        <f t="shared" ca="1" si="97"/>
        <v>147.47829466704596</v>
      </c>
      <c r="AI593" s="3">
        <f t="shared" ca="1" si="98"/>
        <v>0</v>
      </c>
    </row>
    <row r="594" spans="7:35" ht="15.75" thickBot="1" x14ac:dyDescent="0.3">
      <c r="G594" s="3">
        <f t="shared" si="90"/>
        <v>132</v>
      </c>
      <c r="H594" s="106">
        <f t="shared" si="99"/>
        <v>44692</v>
      </c>
      <c r="I594" s="133">
        <f>HLOOKUP($H$4,'Met Data'!$A$2:$F$368,G594,FALSE)</f>
        <v>13.5774193548387</v>
      </c>
      <c r="J594" s="131">
        <f ca="1">HLOOKUP($H$4,'Met Data'!$H$2:$M$368,G594,FALSE)*L594</f>
        <v>2.4225806451612901</v>
      </c>
      <c r="K594" s="107">
        <f>HLOOKUP($H$4,'Met Data'!$O$2:$T$368,G594,FALSE)</f>
        <v>1.82340706114468</v>
      </c>
      <c r="L594">
        <f t="shared" ca="1" si="91"/>
        <v>1</v>
      </c>
      <c r="N594" t="b">
        <f t="shared" ca="1" si="92"/>
        <v>0</v>
      </c>
      <c r="O594" t="b">
        <f t="shared" ca="1" si="93"/>
        <v>0</v>
      </c>
      <c r="P594">
        <f ca="1"/>
        <v>44839</v>
      </c>
      <c r="Q594">
        <f ca="1"/>
        <v>145.47295742475023</v>
      </c>
      <c r="R594">
        <f ca="1"/>
        <v>1.21084968616255</v>
      </c>
      <c r="S594">
        <f ca="1"/>
        <v>7.7841503226581912E-22</v>
      </c>
      <c r="T594">
        <f ca="1"/>
        <v>0.4034159601510387</v>
      </c>
      <c r="U594">
        <f ca="1"/>
        <v>0</v>
      </c>
      <c r="V594">
        <f ca="1"/>
        <v>46.301467649944101</v>
      </c>
      <c r="W594">
        <f ca="1"/>
        <v>32.010891214776201</v>
      </c>
      <c r="X594">
        <f ca="1"/>
        <v>0</v>
      </c>
      <c r="Y594">
        <f ca="1"/>
        <v>1</v>
      </c>
      <c r="Z594">
        <f ca="1"/>
        <v>0.78291855626189033</v>
      </c>
      <c r="AA594">
        <f ca="1"/>
        <v>0</v>
      </c>
      <c r="AB594">
        <f ca="1"/>
        <v>0.69039041974968696</v>
      </c>
      <c r="AD594" s="2">
        <f t="shared" ca="1" si="94"/>
        <v>44839</v>
      </c>
      <c r="AE594" s="46">
        <f t="shared" ca="1" si="95"/>
        <v>0</v>
      </c>
      <c r="AG594" s="72">
        <f t="shared" ca="1" si="96"/>
        <v>146.68380711091277</v>
      </c>
      <c r="AH594" s="72">
        <f t="shared" ca="1" si="97"/>
        <v>146.6838071109128</v>
      </c>
      <c r="AI594" s="3">
        <f t="shared" ca="1" si="98"/>
        <v>0</v>
      </c>
    </row>
    <row r="595" spans="7:35" ht="15.75" thickBot="1" x14ac:dyDescent="0.3">
      <c r="G595" s="3">
        <f t="shared" si="90"/>
        <v>133</v>
      </c>
      <c r="H595" s="106">
        <f t="shared" si="99"/>
        <v>44693</v>
      </c>
      <c r="I595" s="133">
        <f>HLOOKUP($H$4,'Met Data'!$A$2:$F$368,G595,FALSE)</f>
        <v>13.898387096774099</v>
      </c>
      <c r="J595" s="131">
        <f ca="1">HLOOKUP($H$4,'Met Data'!$H$2:$M$368,G595,FALSE)*L595</f>
        <v>3.56129032258064</v>
      </c>
      <c r="K595" s="107">
        <f>HLOOKUP($H$4,'Met Data'!$O$2:$T$368,G595,FALSE)</f>
        <v>1.58246048642455</v>
      </c>
      <c r="L595">
        <f t="shared" ca="1" si="91"/>
        <v>1</v>
      </c>
      <c r="N595" t="b">
        <f t="shared" ca="1" si="92"/>
        <v>0</v>
      </c>
      <c r="O595" t="b">
        <f t="shared" ca="1" si="93"/>
        <v>0</v>
      </c>
      <c r="P595">
        <f ca="1"/>
        <v>44840</v>
      </c>
      <c r="Q595">
        <f ca="1"/>
        <v>144.64891413289553</v>
      </c>
      <c r="R595">
        <f ca="1"/>
        <v>1.23181085128604</v>
      </c>
      <c r="S595">
        <f ca="1"/>
        <v>6.6321823856489343E-22</v>
      </c>
      <c r="T595">
        <f ca="1"/>
        <v>0.40776755943133097</v>
      </c>
      <c r="U595">
        <f ca="1"/>
        <v>0</v>
      </c>
      <c r="V595">
        <f ca="1"/>
        <v>47.5332785012301</v>
      </c>
      <c r="W595">
        <f ca="1"/>
        <v>32.862513531714598</v>
      </c>
      <c r="X595">
        <f ca="1"/>
        <v>0</v>
      </c>
      <c r="Y595">
        <f ca="1"/>
        <v>0.99834136270552187</v>
      </c>
      <c r="Z595">
        <f ca="1"/>
        <v>0</v>
      </c>
      <c r="AA595">
        <f ca="1"/>
        <v>0</v>
      </c>
      <c r="AB595">
        <f ca="1"/>
        <v>0.69815450172757298</v>
      </c>
      <c r="AD595" s="2">
        <f t="shared" ca="1" si="94"/>
        <v>44840</v>
      </c>
      <c r="AE595" s="46">
        <f t="shared" ca="1" si="95"/>
        <v>0</v>
      </c>
      <c r="AG595" s="72">
        <f t="shared" ca="1" si="96"/>
        <v>145.88072498418157</v>
      </c>
      <c r="AH595" s="72">
        <f t="shared" ca="1" si="97"/>
        <v>145.88072498418157</v>
      </c>
      <c r="AI595" s="3">
        <f t="shared" ca="1" si="98"/>
        <v>0</v>
      </c>
    </row>
    <row r="596" spans="7:35" ht="15.75" thickBot="1" x14ac:dyDescent="0.3">
      <c r="G596" s="3">
        <f t="shared" si="90"/>
        <v>134</v>
      </c>
      <c r="H596" s="106">
        <f t="shared" si="99"/>
        <v>44694</v>
      </c>
      <c r="I596" s="133">
        <f>HLOOKUP($H$4,'Met Data'!$A$2:$F$368,G596,FALSE)</f>
        <v>13.8193548387096</v>
      </c>
      <c r="J596" s="131">
        <f ca="1">HLOOKUP($H$4,'Met Data'!$H$2:$M$368,G596,FALSE)*L596</f>
        <v>3.2677419354838699</v>
      </c>
      <c r="K596" s="107">
        <f>HLOOKUP($H$4,'Met Data'!$O$2:$T$368,G596,FALSE)</f>
        <v>1.6419912913333301</v>
      </c>
      <c r="L596">
        <f t="shared" ca="1" si="91"/>
        <v>1</v>
      </c>
      <c r="N596" t="b">
        <f t="shared" ca="1" si="92"/>
        <v>0</v>
      </c>
      <c r="O596" t="b">
        <f t="shared" ca="1" si="93"/>
        <v>0</v>
      </c>
      <c r="P596">
        <f ca="1"/>
        <v>44841</v>
      </c>
      <c r="Q596">
        <f ca="1"/>
        <v>143.83034193909515</v>
      </c>
      <c r="R596">
        <f ca="1"/>
        <v>1.21796443214811</v>
      </c>
      <c r="S596">
        <f ca="1"/>
        <v>5.4893440078230018E-22</v>
      </c>
      <c r="T596">
        <f ca="1"/>
        <v>0.39939223834775817</v>
      </c>
      <c r="U596">
        <f ca="1"/>
        <v>0</v>
      </c>
      <c r="V596">
        <f ca="1"/>
        <v>48.751242933378201</v>
      </c>
      <c r="W596">
        <f ca="1"/>
        <v>33.704563015668903</v>
      </c>
      <c r="X596">
        <f ca="1"/>
        <v>0</v>
      </c>
      <c r="Y596">
        <f ca="1"/>
        <v>0.99658606490429813</v>
      </c>
      <c r="Z596">
        <f ca="1"/>
        <v>0</v>
      </c>
      <c r="AA596">
        <f ca="1"/>
        <v>0</v>
      </c>
      <c r="AB596">
        <f ca="1"/>
        <v>0.70531715402453299</v>
      </c>
      <c r="AD596" s="2">
        <f t="shared" ca="1" si="94"/>
        <v>44841</v>
      </c>
      <c r="AE596" s="46">
        <f t="shared" ca="1" si="95"/>
        <v>0</v>
      </c>
      <c r="AG596" s="72">
        <f t="shared" ca="1" si="96"/>
        <v>145.04830637124329</v>
      </c>
      <c r="AH596" s="72">
        <f t="shared" ca="1" si="97"/>
        <v>145.04830637124326</v>
      </c>
      <c r="AI596" s="3">
        <f t="shared" ca="1" si="98"/>
        <v>0</v>
      </c>
    </row>
    <row r="597" spans="7:35" ht="15.75" thickBot="1" x14ac:dyDescent="0.3">
      <c r="G597" s="3">
        <f t="shared" si="90"/>
        <v>135</v>
      </c>
      <c r="H597" s="106">
        <f t="shared" si="99"/>
        <v>44695</v>
      </c>
      <c r="I597" s="133">
        <f>HLOOKUP($H$4,'Met Data'!$A$2:$F$368,G597,FALSE)</f>
        <v>13.49</v>
      </c>
      <c r="J597" s="131">
        <f ca="1">HLOOKUP($H$4,'Met Data'!$H$2:$M$368,G597,FALSE)*L597</f>
        <v>2.96129032258064</v>
      </c>
      <c r="K597" s="107">
        <f>HLOOKUP($H$4,'Met Data'!$O$2:$T$368,G597,FALSE)</f>
        <v>1.7493116405284199</v>
      </c>
      <c r="L597">
        <f t="shared" ca="1" si="91"/>
        <v>1</v>
      </c>
      <c r="N597" t="b">
        <f t="shared" ca="1" si="92"/>
        <v>0</v>
      </c>
      <c r="O597" t="b">
        <f t="shared" ca="1" si="93"/>
        <v>0</v>
      </c>
      <c r="P597">
        <f ca="1"/>
        <v>44842</v>
      </c>
      <c r="Q597">
        <f ca="1"/>
        <v>142.96170386010328</v>
      </c>
      <c r="R597">
        <f ca="1"/>
        <v>1.2941588587951101</v>
      </c>
      <c r="S597">
        <f ca="1"/>
        <v>4.9300865729686891E-22</v>
      </c>
      <c r="T597">
        <f ca="1"/>
        <v>0.42552077980322878</v>
      </c>
      <c r="U597">
        <f ca="1"/>
        <v>0</v>
      </c>
      <c r="V597">
        <f ca="1"/>
        <v>50.045401792173301</v>
      </c>
      <c r="W597">
        <f ca="1"/>
        <v>34.599290127922302</v>
      </c>
      <c r="X597">
        <f ca="1"/>
        <v>0</v>
      </c>
      <c r="Y597">
        <f ca="1"/>
        <v>1</v>
      </c>
      <c r="Z597">
        <f ca="1"/>
        <v>0.97413958097158115</v>
      </c>
      <c r="AA597">
        <f ca="1"/>
        <v>0</v>
      </c>
      <c r="AB597">
        <f ca="1"/>
        <v>0.712405157456106</v>
      </c>
      <c r="AD597" s="2">
        <f t="shared" ca="1" si="94"/>
        <v>44842</v>
      </c>
      <c r="AE597" s="46">
        <f t="shared" ca="1" si="95"/>
        <v>0</v>
      </c>
      <c r="AG597" s="72">
        <f t="shared" ca="1" si="96"/>
        <v>144.25586271889838</v>
      </c>
      <c r="AH597" s="72">
        <f t="shared" ca="1" si="97"/>
        <v>144.25586271889838</v>
      </c>
      <c r="AI597" s="3">
        <f t="shared" ca="1" si="98"/>
        <v>0</v>
      </c>
    </row>
    <row r="598" spans="7:35" ht="15.75" thickBot="1" x14ac:dyDescent="0.3">
      <c r="G598" s="3">
        <f t="shared" si="90"/>
        <v>136</v>
      </c>
      <c r="H598" s="106">
        <f t="shared" si="99"/>
        <v>44696</v>
      </c>
      <c r="I598" s="133">
        <f>HLOOKUP($H$4,'Met Data'!$A$2:$F$368,G598,FALSE)</f>
        <v>13.408064516129</v>
      </c>
      <c r="J598" s="131">
        <f ca="1">HLOOKUP($H$4,'Met Data'!$H$2:$M$368,G598,FALSE)*L598</f>
        <v>3.9032258064516099</v>
      </c>
      <c r="K598" s="107">
        <f>HLOOKUP($H$4,'Met Data'!$O$2:$T$368,G598,FALSE)</f>
        <v>1.5662445189592999</v>
      </c>
      <c r="L598">
        <f t="shared" ca="1" si="91"/>
        <v>1</v>
      </c>
      <c r="N598" t="b">
        <f t="shared" ca="1" si="92"/>
        <v>0</v>
      </c>
      <c r="O598" t="b">
        <f t="shared" ca="1" si="93"/>
        <v>0</v>
      </c>
      <c r="P598">
        <f ca="1"/>
        <v>44843</v>
      </c>
      <c r="Q598">
        <f ca="1"/>
        <v>142.07397355633717</v>
      </c>
      <c r="R598">
        <f ca="1"/>
        <v>1.3211453199873999</v>
      </c>
      <c r="S598">
        <f ca="1"/>
        <v>4.1973787520910489E-22</v>
      </c>
      <c r="T598">
        <f ca="1"/>
        <v>0.43341501622127832</v>
      </c>
      <c r="U598">
        <f ca="1"/>
        <v>0</v>
      </c>
      <c r="V598">
        <f ca="1"/>
        <v>51.366547112160703</v>
      </c>
      <c r="W598">
        <f ca="1"/>
        <v>35.512674546679001</v>
      </c>
      <c r="X598">
        <f ca="1"/>
        <v>0</v>
      </c>
      <c r="Y598">
        <f ca="1"/>
        <v>1</v>
      </c>
      <c r="Z598">
        <f ca="1"/>
        <v>1.5230409351437828</v>
      </c>
      <c r="AA598">
        <f ca="1"/>
        <v>0</v>
      </c>
      <c r="AB598">
        <f ca="1"/>
        <v>0.71912375104265402</v>
      </c>
      <c r="AD598" s="2">
        <f t="shared" ca="1" si="94"/>
        <v>44843</v>
      </c>
      <c r="AE598" s="46">
        <f t="shared" ca="1" si="95"/>
        <v>0</v>
      </c>
      <c r="AG598" s="72">
        <f t="shared" ca="1" si="96"/>
        <v>143.39511887632457</v>
      </c>
      <c r="AH598" s="72">
        <f t="shared" ca="1" si="97"/>
        <v>143.39511887632457</v>
      </c>
      <c r="AI598" s="3">
        <f t="shared" ca="1" si="98"/>
        <v>0</v>
      </c>
    </row>
    <row r="599" spans="7:35" ht="15.75" thickBot="1" x14ac:dyDescent="0.3">
      <c r="G599" s="3">
        <f t="shared" si="90"/>
        <v>137</v>
      </c>
      <c r="H599" s="106">
        <f t="shared" si="99"/>
        <v>44697</v>
      </c>
      <c r="I599" s="133">
        <f>HLOOKUP($H$4,'Met Data'!$A$2:$F$368,G599,FALSE)</f>
        <v>13.4193548387096</v>
      </c>
      <c r="J599" s="131">
        <f ca="1">HLOOKUP($H$4,'Met Data'!$H$2:$M$368,G599,FALSE)*L599</f>
        <v>4.1322580645161198</v>
      </c>
      <c r="K599" s="107">
        <f>HLOOKUP($H$4,'Met Data'!$O$2:$T$368,G599,FALSE)</f>
        <v>1.7909891224832299</v>
      </c>
      <c r="L599">
        <f t="shared" ca="1" si="91"/>
        <v>1</v>
      </c>
      <c r="N599" t="b">
        <f t="shared" ca="1" si="92"/>
        <v>0</v>
      </c>
      <c r="O599" t="b">
        <f t="shared" ca="1" si="93"/>
        <v>0</v>
      </c>
      <c r="P599">
        <f ca="1"/>
        <v>44844</v>
      </c>
      <c r="Q599">
        <f ca="1"/>
        <v>141.22533224344414</v>
      </c>
      <c r="R599">
        <f ca="1"/>
        <v>1.2549737557161</v>
      </c>
      <c r="S599">
        <f ca="1"/>
        <v>3.3190208401696108E-22</v>
      </c>
      <c r="T599">
        <f ca="1"/>
        <v>0.40633244282308184</v>
      </c>
      <c r="U599">
        <f ca="1"/>
        <v>0</v>
      </c>
      <c r="V599">
        <f ca="1"/>
        <v>52.621520867876797</v>
      </c>
      <c r="W599">
        <f ca="1"/>
        <v>36.380310723470402</v>
      </c>
      <c r="X599">
        <f ca="1"/>
        <v>0</v>
      </c>
      <c r="Y599">
        <f ca="1"/>
        <v>1</v>
      </c>
      <c r="Z599">
        <f ca="1"/>
        <v>1.6925680749415193</v>
      </c>
      <c r="AA599">
        <f ca="1"/>
        <v>0</v>
      </c>
      <c r="AB599">
        <f ca="1"/>
        <v>0.725055830668902</v>
      </c>
      <c r="AD599" s="2">
        <f t="shared" ca="1" si="94"/>
        <v>44844</v>
      </c>
      <c r="AE599" s="46">
        <f t="shared" ca="1" si="95"/>
        <v>0</v>
      </c>
      <c r="AG599" s="72">
        <f t="shared" ca="1" si="96"/>
        <v>142.48030599916024</v>
      </c>
      <c r="AH599" s="72">
        <f t="shared" ca="1" si="97"/>
        <v>142.48030599916024</v>
      </c>
      <c r="AI599" s="3">
        <f t="shared" ca="1" si="98"/>
        <v>0</v>
      </c>
    </row>
    <row r="600" spans="7:35" ht="15.75" thickBot="1" x14ac:dyDescent="0.3">
      <c r="G600" s="3">
        <f t="shared" si="90"/>
        <v>138</v>
      </c>
      <c r="H600" s="106">
        <f t="shared" si="99"/>
        <v>44698</v>
      </c>
      <c r="I600" s="133">
        <f>HLOOKUP($H$4,'Met Data'!$A$2:$F$368,G600,FALSE)</f>
        <v>13.0177419354838</v>
      </c>
      <c r="J600" s="131">
        <f ca="1">HLOOKUP($H$4,'Met Data'!$H$2:$M$368,G600,FALSE)*L600</f>
        <v>3.8645161290322498</v>
      </c>
      <c r="K600" s="107">
        <f>HLOOKUP($H$4,'Met Data'!$O$2:$T$368,G600,FALSE)</f>
        <v>1.67932593217038</v>
      </c>
      <c r="L600">
        <f t="shared" ca="1" si="91"/>
        <v>1</v>
      </c>
      <c r="N600" t="b">
        <f t="shared" ca="1" si="92"/>
        <v>0</v>
      </c>
      <c r="O600" t="b">
        <f t="shared" ca="1" si="93"/>
        <v>0</v>
      </c>
      <c r="P600">
        <f ca="1"/>
        <v>44845</v>
      </c>
      <c r="Q600">
        <f ca="1"/>
        <v>140.35662552845957</v>
      </c>
      <c r="R600">
        <f ca="1"/>
        <v>1.2849319509581301</v>
      </c>
      <c r="S600">
        <f ca="1"/>
        <v>2.8495256332933667E-22</v>
      </c>
      <c r="T600">
        <f ca="1"/>
        <v>0.41622523597354832</v>
      </c>
      <c r="U600">
        <f ca="1"/>
        <v>0</v>
      </c>
      <c r="V600">
        <f ca="1"/>
        <v>53.906452818835</v>
      </c>
      <c r="W600">
        <f ca="1"/>
        <v>37.2686587389476</v>
      </c>
      <c r="X600">
        <f ca="1"/>
        <v>0</v>
      </c>
      <c r="Y600">
        <f ca="1"/>
        <v>0.99567557842730381</v>
      </c>
      <c r="Z600">
        <f ca="1"/>
        <v>0</v>
      </c>
      <c r="AA600">
        <f ca="1"/>
        <v>0</v>
      </c>
      <c r="AB600">
        <f ca="1"/>
        <v>0.73070717995013901</v>
      </c>
      <c r="AD600" s="2">
        <f t="shared" ca="1" si="94"/>
        <v>44845</v>
      </c>
      <c r="AE600" s="46">
        <f t="shared" ca="1" si="95"/>
        <v>0</v>
      </c>
      <c r="AG600" s="72">
        <f t="shared" ca="1" si="96"/>
        <v>141.64155747941768</v>
      </c>
      <c r="AH600" s="72">
        <f t="shared" ca="1" si="97"/>
        <v>141.64155747941771</v>
      </c>
      <c r="AI600" s="3">
        <f t="shared" ca="1" si="98"/>
        <v>0</v>
      </c>
    </row>
    <row r="601" spans="7:35" ht="15.75" thickBot="1" x14ac:dyDescent="0.3">
      <c r="G601" s="3">
        <f t="shared" si="90"/>
        <v>139</v>
      </c>
      <c r="H601" s="106">
        <f t="shared" si="99"/>
        <v>44699</v>
      </c>
      <c r="I601" s="133">
        <f>HLOOKUP($H$4,'Met Data'!$A$2:$F$368,G601,FALSE)</f>
        <v>12.8774193548387</v>
      </c>
      <c r="J601" s="131">
        <f ca="1">HLOOKUP($H$4,'Met Data'!$H$2:$M$368,G601,FALSE)*L601</f>
        <v>3.7967741935483801</v>
      </c>
      <c r="K601" s="107">
        <f>HLOOKUP($H$4,'Met Data'!$O$2:$T$368,G601,FALSE)</f>
        <v>1.7647102566828801</v>
      </c>
      <c r="L601">
        <f t="shared" ca="1" si="91"/>
        <v>1</v>
      </c>
      <c r="N601" t="b">
        <f t="shared" ca="1" si="92"/>
        <v>0</v>
      </c>
      <c r="O601" t="b">
        <f t="shared" ca="1" si="93"/>
        <v>0</v>
      </c>
      <c r="P601">
        <f ca="1"/>
        <v>44846</v>
      </c>
      <c r="Q601">
        <f ca="1"/>
        <v>139.45468547889303</v>
      </c>
      <c r="R601">
        <f ca="1"/>
        <v>1.33722420890544</v>
      </c>
      <c r="S601">
        <f ca="1"/>
        <v>2.5031148521688889E-22</v>
      </c>
      <c r="T601">
        <f ca="1"/>
        <v>0.43528415933890674</v>
      </c>
      <c r="U601">
        <f ca="1"/>
        <v>0</v>
      </c>
      <c r="V601">
        <f ca="1"/>
        <v>55.243677027740397</v>
      </c>
      <c r="W601">
        <f ca="1"/>
        <v>38.193159426586</v>
      </c>
      <c r="X601">
        <f ca="1"/>
        <v>0</v>
      </c>
      <c r="Y601">
        <f ca="1"/>
        <v>1</v>
      </c>
      <c r="Z601">
        <f ca="1"/>
        <v>1.9587898492713123</v>
      </c>
      <c r="AA601">
        <f ca="1"/>
        <v>0</v>
      </c>
      <c r="AB601">
        <f ca="1"/>
        <v>0.736166857468045</v>
      </c>
      <c r="AD601" s="2">
        <f t="shared" ca="1" si="94"/>
        <v>44846</v>
      </c>
      <c r="AE601" s="46">
        <f t="shared" ca="1" si="95"/>
        <v>0</v>
      </c>
      <c r="AG601" s="72">
        <f t="shared" ca="1" si="96"/>
        <v>140.79190968779849</v>
      </c>
      <c r="AH601" s="72">
        <f t="shared" ca="1" si="97"/>
        <v>140.79190968779847</v>
      </c>
      <c r="AI601" s="3">
        <f t="shared" ca="1" si="98"/>
        <v>0</v>
      </c>
    </row>
    <row r="602" spans="7:35" ht="15.75" thickBot="1" x14ac:dyDescent="0.3">
      <c r="G602" s="3">
        <f t="shared" si="90"/>
        <v>140</v>
      </c>
      <c r="H602" s="106">
        <f t="shared" si="99"/>
        <v>44700</v>
      </c>
      <c r="I602" s="133">
        <f>HLOOKUP($H$4,'Met Data'!$A$2:$F$368,G602,FALSE)</f>
        <v>13.3629032258064</v>
      </c>
      <c r="J602" s="131">
        <f ca="1">HLOOKUP($H$4,'Met Data'!$H$2:$M$368,G602,FALSE)*L602</f>
        <v>1.4774193548387</v>
      </c>
      <c r="K602" s="107">
        <f>HLOOKUP($H$4,'Met Data'!$O$2:$T$368,G602,FALSE)</f>
        <v>1.8502469543140301</v>
      </c>
      <c r="L602">
        <f t="shared" ca="1" si="91"/>
        <v>1</v>
      </c>
      <c r="N602" t="b">
        <f t="shared" ca="1" si="92"/>
        <v>0</v>
      </c>
      <c r="O602" t="b">
        <f t="shared" ca="1" si="93"/>
        <v>0</v>
      </c>
      <c r="P602">
        <f ca="1"/>
        <v>44847</v>
      </c>
      <c r="Q602">
        <f ca="1"/>
        <v>138.55707475379515</v>
      </c>
      <c r="R602">
        <f ca="1"/>
        <v>1.3295959255973799</v>
      </c>
      <c r="S602">
        <f ca="1"/>
        <v>2.0769338605792895E-22</v>
      </c>
      <c r="T602">
        <f ca="1"/>
        <v>0.43198520049947736</v>
      </c>
      <c r="U602">
        <f ca="1"/>
        <v>0</v>
      </c>
      <c r="V602">
        <f ca="1"/>
        <v>56.573272953337799</v>
      </c>
      <c r="W602">
        <f ca="1"/>
        <v>39.112386239344602</v>
      </c>
      <c r="X602">
        <f ca="1"/>
        <v>0</v>
      </c>
      <c r="Y602">
        <f ca="1"/>
        <v>1</v>
      </c>
      <c r="Z602">
        <f ca="1"/>
        <v>1.9641891021881435</v>
      </c>
      <c r="AA602">
        <f ca="1"/>
        <v>0</v>
      </c>
      <c r="AB602">
        <f ca="1"/>
        <v>0.74119976416482203</v>
      </c>
      <c r="AD602" s="2">
        <f t="shared" ca="1" si="94"/>
        <v>44847</v>
      </c>
      <c r="AE602" s="46">
        <f t="shared" ca="1" si="95"/>
        <v>0</v>
      </c>
      <c r="AG602" s="72">
        <f t="shared" ca="1" si="96"/>
        <v>139.88667067939249</v>
      </c>
      <c r="AH602" s="72">
        <f t="shared" ca="1" si="97"/>
        <v>139.88667067939252</v>
      </c>
      <c r="AI602" s="3">
        <f t="shared" ca="1" si="98"/>
        <v>0</v>
      </c>
    </row>
    <row r="603" spans="7:35" ht="15.75" thickBot="1" x14ac:dyDescent="0.3">
      <c r="G603" s="3">
        <f t="shared" si="90"/>
        <v>141</v>
      </c>
      <c r="H603" s="106">
        <f t="shared" si="99"/>
        <v>44701</v>
      </c>
      <c r="I603" s="133">
        <f>HLOOKUP($H$4,'Met Data'!$A$2:$F$368,G603,FALSE)</f>
        <v>13.314516129032199</v>
      </c>
      <c r="J603" s="131">
        <f ca="1">HLOOKUP($H$4,'Met Data'!$H$2:$M$368,G603,FALSE)*L603</f>
        <v>5.2193548387096698</v>
      </c>
      <c r="K603" s="107">
        <f>HLOOKUP($H$4,'Met Data'!$O$2:$T$368,G603,FALSE)</f>
        <v>1.4599096570605601</v>
      </c>
      <c r="L603">
        <f t="shared" ca="1" si="91"/>
        <v>1</v>
      </c>
      <c r="N603" t="b">
        <f t="shared" ca="1" si="92"/>
        <v>0</v>
      </c>
      <c r="O603" t="b">
        <f t="shared" ca="1" si="93"/>
        <v>0</v>
      </c>
      <c r="P603">
        <f ca="1"/>
        <v>44848</v>
      </c>
      <c r="Q603">
        <f ca="1"/>
        <v>137.67933043048302</v>
      </c>
      <c r="R603">
        <f ca="1"/>
        <v>1.2978282361692901</v>
      </c>
      <c r="S603">
        <f ca="1"/>
        <v>1.6958193184942424E-22</v>
      </c>
      <c r="T603">
        <f ca="1"/>
        <v>0.42008391285718344</v>
      </c>
      <c r="U603">
        <f ca="1"/>
        <v>0</v>
      </c>
      <c r="V603">
        <f ca="1"/>
        <v>57.871101189507101</v>
      </c>
      <c r="W603">
        <f ca="1"/>
        <v>40.009650205091297</v>
      </c>
      <c r="X603">
        <f ca="1"/>
        <v>0</v>
      </c>
      <c r="Y603">
        <f ca="1"/>
        <v>1</v>
      </c>
      <c r="Z603">
        <f ca="1"/>
        <v>2.7538560855635126</v>
      </c>
      <c r="AA603">
        <f ca="1"/>
        <v>0</v>
      </c>
      <c r="AB603">
        <f ca="1"/>
        <v>0.74575951551052899</v>
      </c>
      <c r="AD603" s="2">
        <f t="shared" ca="1" si="94"/>
        <v>44848</v>
      </c>
      <c r="AE603" s="46">
        <f t="shared" ca="1" si="95"/>
        <v>0</v>
      </c>
      <c r="AG603" s="72">
        <f t="shared" ca="1" si="96"/>
        <v>138.97715866665234</v>
      </c>
      <c r="AH603" s="72">
        <f t="shared" ca="1" si="97"/>
        <v>138.97715866665231</v>
      </c>
      <c r="AI603" s="3">
        <f t="shared" ca="1" si="98"/>
        <v>0</v>
      </c>
    </row>
    <row r="604" spans="7:35" ht="15.75" thickBot="1" x14ac:dyDescent="0.3">
      <c r="G604" s="3">
        <f t="shared" si="90"/>
        <v>142</v>
      </c>
      <c r="H604" s="106">
        <f t="shared" si="99"/>
        <v>44702</v>
      </c>
      <c r="I604" s="133">
        <f>HLOOKUP($H$4,'Met Data'!$A$2:$F$368,G604,FALSE)</f>
        <v>13.598387096774101</v>
      </c>
      <c r="J604" s="131">
        <f ca="1">HLOOKUP($H$4,'Met Data'!$H$2:$M$368,G604,FALSE)*L604</f>
        <v>5.1451612903225801</v>
      </c>
      <c r="K604" s="107">
        <f>HLOOKUP($H$4,'Met Data'!$O$2:$T$368,G604,FALSE)</f>
        <v>1.48780958137737</v>
      </c>
      <c r="L604">
        <f t="shared" ca="1" si="91"/>
        <v>1</v>
      </c>
      <c r="N604" t="b">
        <f t="shared" ca="1" si="92"/>
        <v>0</v>
      </c>
      <c r="O604" t="b">
        <f t="shared" ca="1" si="93"/>
        <v>0</v>
      </c>
      <c r="P604">
        <f ca="1"/>
        <v>44849</v>
      </c>
      <c r="Q604">
        <f ca="1"/>
        <v>136.82148793434885</v>
      </c>
      <c r="R604">
        <f ca="1"/>
        <v>1.26710239663733</v>
      </c>
      <c r="S604">
        <f ca="1"/>
        <v>1.3927855051484835E-22</v>
      </c>
      <c r="T604">
        <f ca="1"/>
        <v>0.40925990050314898</v>
      </c>
      <c r="U604">
        <f ca="1"/>
        <v>0</v>
      </c>
      <c r="V604">
        <f ca="1"/>
        <v>59.1382035861444</v>
      </c>
      <c r="W604">
        <f ca="1"/>
        <v>40.885671615112201</v>
      </c>
      <c r="X604">
        <f ca="1"/>
        <v>0</v>
      </c>
      <c r="Y604">
        <f ca="1"/>
        <v>1</v>
      </c>
      <c r="Z604">
        <f ca="1"/>
        <v>2.75323333009419</v>
      </c>
      <c r="AA604">
        <f ca="1"/>
        <v>0</v>
      </c>
      <c r="AB604">
        <f ca="1"/>
        <v>0.74989889736692905</v>
      </c>
      <c r="AD604" s="2">
        <f t="shared" ca="1" si="94"/>
        <v>44849</v>
      </c>
      <c r="AE604" s="46">
        <f t="shared" ca="1" si="95"/>
        <v>0</v>
      </c>
      <c r="AG604" s="72">
        <f t="shared" ca="1" si="96"/>
        <v>138.08859033098616</v>
      </c>
      <c r="AH604" s="72">
        <f t="shared" ca="1" si="97"/>
        <v>138.08859033098619</v>
      </c>
      <c r="AI604" s="3">
        <f t="shared" ca="1" si="98"/>
        <v>0</v>
      </c>
    </row>
    <row r="605" spans="7:35" ht="15.75" thickBot="1" x14ac:dyDescent="0.3">
      <c r="G605" s="3">
        <f t="shared" si="90"/>
        <v>143</v>
      </c>
      <c r="H605" s="106">
        <f t="shared" si="99"/>
        <v>44703</v>
      </c>
      <c r="I605" s="133">
        <f>HLOOKUP($H$4,'Met Data'!$A$2:$F$368,G605,FALSE)</f>
        <v>13.074193548387001</v>
      </c>
      <c r="J605" s="131">
        <f ca="1">HLOOKUP($H$4,'Met Data'!$H$2:$M$368,G605,FALSE)*L605</f>
        <v>4.73548387096774</v>
      </c>
      <c r="K605" s="107">
        <f>HLOOKUP($H$4,'Met Data'!$O$2:$T$368,G605,FALSE)</f>
        <v>1.4103441752322401</v>
      </c>
      <c r="L605">
        <f t="shared" ca="1" si="91"/>
        <v>1</v>
      </c>
      <c r="N605" t="b">
        <f t="shared" ca="1" si="92"/>
        <v>0</v>
      </c>
      <c r="O605" t="b">
        <f t="shared" ca="1" si="93"/>
        <v>0</v>
      </c>
      <c r="P605">
        <f ca="1"/>
        <v>44850</v>
      </c>
      <c r="Q605">
        <f ca="1"/>
        <v>135.96334488361961</v>
      </c>
      <c r="R605">
        <f ca="1"/>
        <v>1.2694661569123</v>
      </c>
      <c r="S605">
        <f ca="1"/>
        <v>1.1800040838236317E-22</v>
      </c>
      <c r="T605">
        <f ca="1"/>
        <v>0.41132310618306572</v>
      </c>
      <c r="U605">
        <f ca="1"/>
        <v>0</v>
      </c>
      <c r="V605">
        <f ca="1"/>
        <v>60.407669743056701</v>
      </c>
      <c r="W605">
        <f ca="1"/>
        <v>41.763327229767597</v>
      </c>
      <c r="X605">
        <f ca="1"/>
        <v>0</v>
      </c>
      <c r="Y605">
        <f ca="1"/>
        <v>1</v>
      </c>
      <c r="Z605">
        <f ca="1"/>
        <v>0.10156062937780064</v>
      </c>
      <c r="AA605">
        <f ca="1"/>
        <v>0</v>
      </c>
      <c r="AB605">
        <f ca="1"/>
        <v>0.75375812398766495</v>
      </c>
      <c r="AD605" s="2">
        <f t="shared" ca="1" si="94"/>
        <v>44850</v>
      </c>
      <c r="AE605" s="46">
        <f t="shared" ca="1" si="95"/>
        <v>0</v>
      </c>
      <c r="AG605" s="72">
        <f t="shared" ca="1" si="96"/>
        <v>137.23281104053191</v>
      </c>
      <c r="AH605" s="72">
        <f t="shared" ca="1" si="97"/>
        <v>137.23281104053191</v>
      </c>
      <c r="AI605" s="3">
        <f t="shared" ca="1" si="98"/>
        <v>0</v>
      </c>
    </row>
    <row r="606" spans="7:35" ht="15.75" thickBot="1" x14ac:dyDescent="0.3">
      <c r="G606" s="3">
        <f t="shared" si="90"/>
        <v>144</v>
      </c>
      <c r="H606" s="106">
        <f t="shared" si="99"/>
        <v>44704</v>
      </c>
      <c r="I606" s="133">
        <f>HLOOKUP($H$4,'Met Data'!$A$2:$F$368,G606,FALSE)</f>
        <v>12.8338709677419</v>
      </c>
      <c r="J606" s="131">
        <f ca="1">HLOOKUP($H$4,'Met Data'!$H$2:$M$368,G606,FALSE)*L606</f>
        <v>7.7677419354838699</v>
      </c>
      <c r="K606" s="107">
        <f>HLOOKUP($H$4,'Met Data'!$O$2:$T$368,G606,FALSE)</f>
        <v>1.40773401519768</v>
      </c>
      <c r="L606">
        <f t="shared" ca="1" si="91"/>
        <v>1</v>
      </c>
      <c r="N606" t="b">
        <f t="shared" ca="1" si="92"/>
        <v>0</v>
      </c>
      <c r="O606" t="b">
        <f t="shared" ca="1" si="93"/>
        <v>0</v>
      </c>
      <c r="P606">
        <f ca="1"/>
        <v>44851</v>
      </c>
      <c r="Q606">
        <f ca="1"/>
        <v>135.07499754733976</v>
      </c>
      <c r="R606">
        <f ca="1"/>
        <v>1.3211719871532901</v>
      </c>
      <c r="S606">
        <f ca="1"/>
        <v>1.0388424703149032E-22</v>
      </c>
      <c r="T606">
        <f ca="1"/>
        <v>0.43282465087343741</v>
      </c>
      <c r="U606">
        <f ca="1"/>
        <v>0</v>
      </c>
      <c r="V606">
        <f ca="1"/>
        <v>61.72884173021</v>
      </c>
      <c r="W606">
        <f ca="1"/>
        <v>42.676730085083499</v>
      </c>
      <c r="X606">
        <f ca="1"/>
        <v>0</v>
      </c>
      <c r="Y606">
        <f ca="1"/>
        <v>1</v>
      </c>
      <c r="Z606">
        <f ca="1"/>
        <v>0.19407766188045628</v>
      </c>
      <c r="AA606">
        <f ca="1"/>
        <v>0</v>
      </c>
      <c r="AB606">
        <f ca="1"/>
        <v>0.75749003079378197</v>
      </c>
      <c r="AD606" s="2">
        <f t="shared" ca="1" si="94"/>
        <v>44851</v>
      </c>
      <c r="AE606" s="46">
        <f t="shared" ca="1" si="95"/>
        <v>0</v>
      </c>
      <c r="AG606" s="72">
        <f t="shared" ca="1" si="96"/>
        <v>136.39616953449305</v>
      </c>
      <c r="AH606" s="72">
        <f t="shared" ca="1" si="97"/>
        <v>136.39616953449305</v>
      </c>
      <c r="AI606" s="3">
        <f t="shared" ca="1" si="98"/>
        <v>0</v>
      </c>
    </row>
    <row r="607" spans="7:35" ht="15.75" thickBot="1" x14ac:dyDescent="0.3">
      <c r="G607" s="3">
        <f t="shared" si="90"/>
        <v>145</v>
      </c>
      <c r="H607" s="106">
        <f t="shared" si="99"/>
        <v>44705</v>
      </c>
      <c r="I607" s="133">
        <f>HLOOKUP($H$4,'Met Data'!$A$2:$F$368,G607,FALSE)</f>
        <v>12.761290322580599</v>
      </c>
      <c r="J607" s="131">
        <f ca="1">HLOOKUP($H$4,'Met Data'!$H$2:$M$368,G607,FALSE)*L607</f>
        <v>5.3612903225806399</v>
      </c>
      <c r="K607" s="107">
        <f>HLOOKUP($H$4,'Met Data'!$O$2:$T$368,G607,FALSE)</f>
        <v>1.5324788885576901</v>
      </c>
      <c r="L607">
        <f t="shared" ca="1" si="91"/>
        <v>1</v>
      </c>
      <c r="N607" t="b">
        <f t="shared" ca="1" si="92"/>
        <v>0</v>
      </c>
      <c r="O607" t="b">
        <f t="shared" ca="1" si="93"/>
        <v>0</v>
      </c>
      <c r="P607">
        <f ca="1"/>
        <v>44852</v>
      </c>
      <c r="Q607">
        <f ca="1"/>
        <v>134.22170940017415</v>
      </c>
      <c r="R607">
        <f ca="1"/>
        <v>1.26806416127324</v>
      </c>
      <c r="S607">
        <f ca="1"/>
        <v>8.3735935769958517E-23</v>
      </c>
      <c r="T607">
        <f ca="1"/>
        <v>0.41477601410763465</v>
      </c>
      <c r="U607">
        <f ca="1"/>
        <v>0</v>
      </c>
      <c r="V607">
        <f ca="1"/>
        <v>62.996905891483202</v>
      </c>
      <c r="W607">
        <f ca="1"/>
        <v>43.553416418803202</v>
      </c>
      <c r="X607">
        <f ca="1"/>
        <v>0</v>
      </c>
      <c r="Y607">
        <f ca="1"/>
        <v>1</v>
      </c>
      <c r="Z607">
        <f ca="1"/>
        <v>0.67188707015041871</v>
      </c>
      <c r="AA607">
        <f ca="1"/>
        <v>0</v>
      </c>
      <c r="AB607">
        <f ca="1"/>
        <v>0.76081811324630999</v>
      </c>
      <c r="AD607" s="2">
        <f t="shared" ca="1" si="94"/>
        <v>44852</v>
      </c>
      <c r="AE607" s="46">
        <f t="shared" ca="1" si="95"/>
        <v>0</v>
      </c>
      <c r="AG607" s="72">
        <f t="shared" ca="1" si="96"/>
        <v>135.48977356144741</v>
      </c>
      <c r="AH607" s="72">
        <f t="shared" ca="1" si="97"/>
        <v>135.48977356144738</v>
      </c>
      <c r="AI607" s="3">
        <f t="shared" ca="1" si="98"/>
        <v>0</v>
      </c>
    </row>
    <row r="608" spans="7:35" ht="15.75" thickBot="1" x14ac:dyDescent="0.3">
      <c r="G608" s="3">
        <f t="shared" si="90"/>
        <v>146</v>
      </c>
      <c r="H608" s="106">
        <f t="shared" si="99"/>
        <v>44706</v>
      </c>
      <c r="I608" s="133">
        <f>HLOOKUP($H$4,'Met Data'!$A$2:$F$368,G608,FALSE)</f>
        <v>13.04</v>
      </c>
      <c r="J608" s="131">
        <f ca="1">HLOOKUP($H$4,'Met Data'!$H$2:$M$368,G608,FALSE)*L608</f>
        <v>5.8233333333333297</v>
      </c>
      <c r="K608" s="107">
        <f>HLOOKUP($H$4,'Met Data'!$O$2:$T$368,G608,FALSE)</f>
        <v>1.3513771562845001</v>
      </c>
      <c r="L608">
        <f t="shared" ca="1" si="91"/>
        <v>1</v>
      </c>
      <c r="N608" t="b">
        <f t="shared" ca="1" si="92"/>
        <v>0</v>
      </c>
      <c r="O608" t="b">
        <f t="shared" ca="1" si="93"/>
        <v>0</v>
      </c>
      <c r="P608">
        <f ca="1"/>
        <v>44853</v>
      </c>
      <c r="Q608">
        <f ca="1"/>
        <v>133.39015582522345</v>
      </c>
      <c r="R608">
        <f ca="1"/>
        <v>1.2373801476509401</v>
      </c>
      <c r="S608">
        <f ca="1"/>
        <v>6.8588225012941333E-23</v>
      </c>
      <c r="T608">
        <f ca="1"/>
        <v>0.40582657270025252</v>
      </c>
      <c r="U608">
        <f ca="1"/>
        <v>0</v>
      </c>
      <c r="V608">
        <f ca="1"/>
        <v>64.234286039134204</v>
      </c>
      <c r="W608">
        <f ca="1"/>
        <v>44.408889113475503</v>
      </c>
      <c r="X608">
        <f ca="1"/>
        <v>0</v>
      </c>
      <c r="Y608">
        <f ca="1"/>
        <v>0.9916791637263096</v>
      </c>
      <c r="Z608">
        <f ca="1"/>
        <v>0</v>
      </c>
      <c r="AA608">
        <f ca="1"/>
        <v>0</v>
      </c>
      <c r="AB608">
        <f ca="1"/>
        <v>0.76384260559150996</v>
      </c>
      <c r="AD608" s="2">
        <f t="shared" ca="1" si="94"/>
        <v>44853</v>
      </c>
      <c r="AE608" s="46">
        <f t="shared" ca="1" si="95"/>
        <v>0</v>
      </c>
      <c r="AG608" s="72">
        <f t="shared" ca="1" si="96"/>
        <v>134.6275359728744</v>
      </c>
      <c r="AH608" s="72">
        <f t="shared" ca="1" si="97"/>
        <v>134.6275359728744</v>
      </c>
      <c r="AI608" s="3">
        <f t="shared" ca="1" si="98"/>
        <v>0</v>
      </c>
    </row>
    <row r="609" spans="7:35" ht="15.75" thickBot="1" x14ac:dyDescent="0.3">
      <c r="G609" s="3">
        <f t="shared" si="90"/>
        <v>147</v>
      </c>
      <c r="H609" s="106">
        <f t="shared" si="99"/>
        <v>44707</v>
      </c>
      <c r="I609" s="133">
        <f>HLOOKUP($H$4,'Met Data'!$A$2:$F$368,G609,FALSE)</f>
        <v>13.44</v>
      </c>
      <c r="J609" s="131">
        <f ca="1">HLOOKUP($H$4,'Met Data'!$H$2:$M$368,G609,FALSE)*L609</f>
        <v>6.9099999999999904</v>
      </c>
      <c r="K609" s="107">
        <f>HLOOKUP($H$4,'Met Data'!$O$2:$T$368,G609,FALSE)</f>
        <v>1.45255211799902</v>
      </c>
      <c r="L609">
        <f t="shared" ca="1" si="91"/>
        <v>1</v>
      </c>
      <c r="N609" t="b">
        <f t="shared" ca="1" si="92"/>
        <v>0</v>
      </c>
      <c r="O609" t="b">
        <f t="shared" ca="1" si="93"/>
        <v>0</v>
      </c>
      <c r="P609">
        <f ca="1"/>
        <v>44854</v>
      </c>
      <c r="Q609">
        <f ca="1"/>
        <v>132.57392094401106</v>
      </c>
      <c r="R609">
        <f ca="1"/>
        <v>1.2176384718150799</v>
      </c>
      <c r="S609">
        <f ca="1"/>
        <v>5.6659883809737157E-23</v>
      </c>
      <c r="T609">
        <f ca="1"/>
        <v>0.40140359060268754</v>
      </c>
      <c r="U609">
        <f ca="1"/>
        <v>0</v>
      </c>
      <c r="V609">
        <f ca="1"/>
        <v>65.451924510949297</v>
      </c>
      <c r="W609">
        <f ca="1"/>
        <v>45.250713242137799</v>
      </c>
      <c r="X609">
        <f ca="1"/>
        <v>0</v>
      </c>
      <c r="Y609">
        <f ca="1"/>
        <v>0.97767033057598374</v>
      </c>
      <c r="Z609">
        <f ca="1"/>
        <v>0</v>
      </c>
      <c r="AA609">
        <f ca="1"/>
        <v>0</v>
      </c>
      <c r="AB609">
        <f ca="1"/>
        <v>0.76661820714071305</v>
      </c>
      <c r="AD609" s="2">
        <f t="shared" ca="1" si="94"/>
        <v>44854</v>
      </c>
      <c r="AE609" s="46">
        <f t="shared" ca="1" si="95"/>
        <v>0</v>
      </c>
      <c r="AG609" s="72">
        <f t="shared" ca="1" si="96"/>
        <v>133.79155941582613</v>
      </c>
      <c r="AH609" s="72">
        <f t="shared" ca="1" si="97"/>
        <v>133.79155941582616</v>
      </c>
      <c r="AI609" s="3">
        <f t="shared" ca="1" si="98"/>
        <v>0</v>
      </c>
    </row>
    <row r="610" spans="7:35" ht="15.75" thickBot="1" x14ac:dyDescent="0.3">
      <c r="G610" s="3">
        <f t="shared" si="90"/>
        <v>148</v>
      </c>
      <c r="H610" s="106">
        <f t="shared" si="99"/>
        <v>44708</v>
      </c>
      <c r="I610" s="133">
        <f>HLOOKUP($H$4,'Met Data'!$A$2:$F$368,G610,FALSE)</f>
        <v>12.8183333333333</v>
      </c>
      <c r="J610" s="131">
        <f ca="1">HLOOKUP($H$4,'Met Data'!$H$2:$M$368,G610,FALSE)*L610</f>
        <v>4.4066666666666601</v>
      </c>
      <c r="K610" s="107">
        <f>HLOOKUP($H$4,'Met Data'!$O$2:$T$368,G610,FALSE)</f>
        <v>1.5797115913466899</v>
      </c>
      <c r="L610">
        <f t="shared" ca="1" si="91"/>
        <v>1</v>
      </c>
      <c r="N610" t="b">
        <f t="shared" ca="1" si="92"/>
        <v>0</v>
      </c>
      <c r="O610" t="b">
        <f t="shared" ca="1" si="93"/>
        <v>0</v>
      </c>
      <c r="P610">
        <f ca="1"/>
        <v>44855</v>
      </c>
      <c r="Q610">
        <f ca="1"/>
        <v>131.74027314660958</v>
      </c>
      <c r="R610">
        <f ca="1"/>
        <v>1.25167764706356</v>
      </c>
      <c r="S610">
        <f ca="1"/>
        <v>4.9861213071608274E-23</v>
      </c>
      <c r="T610">
        <f ca="1"/>
        <v>0.41802984966207052</v>
      </c>
      <c r="U610">
        <f ca="1"/>
        <v>0</v>
      </c>
      <c r="V610">
        <f ca="1"/>
        <v>66.703602158012799</v>
      </c>
      <c r="W610">
        <f ca="1"/>
        <v>46.1160706277619</v>
      </c>
      <c r="X610">
        <f ca="1"/>
        <v>0</v>
      </c>
      <c r="Y610">
        <f ca="1"/>
        <v>0.97766479904148074</v>
      </c>
      <c r="Z610">
        <f ca="1"/>
        <v>0</v>
      </c>
      <c r="AA610">
        <f ca="1"/>
        <v>0</v>
      </c>
      <c r="AB610">
        <f ca="1"/>
        <v>0.769277763766127</v>
      </c>
      <c r="AD610" s="2">
        <f t="shared" ca="1" si="94"/>
        <v>44855</v>
      </c>
      <c r="AE610" s="46">
        <f t="shared" ca="1" si="95"/>
        <v>0</v>
      </c>
      <c r="AG610" s="72">
        <f t="shared" ca="1" si="96"/>
        <v>132.99195079367314</v>
      </c>
      <c r="AH610" s="72">
        <f t="shared" ca="1" si="97"/>
        <v>132.99195079367314</v>
      </c>
      <c r="AI610" s="3">
        <f t="shared" ca="1" si="98"/>
        <v>0</v>
      </c>
    </row>
    <row r="611" spans="7:35" ht="15.75" thickBot="1" x14ac:dyDescent="0.3">
      <c r="G611" s="3">
        <f t="shared" si="90"/>
        <v>149</v>
      </c>
      <c r="H611" s="106">
        <f t="shared" si="99"/>
        <v>44709</v>
      </c>
      <c r="I611" s="133">
        <f>HLOOKUP($H$4,'Met Data'!$A$2:$F$368,G611,FALSE)</f>
        <v>12.088333333333299</v>
      </c>
      <c r="J611" s="131">
        <f ca="1">HLOOKUP($H$4,'Met Data'!$H$2:$M$368,G611,FALSE)*L611</f>
        <v>3.84666666666666</v>
      </c>
      <c r="K611" s="107">
        <f>HLOOKUP($H$4,'Met Data'!$O$2:$T$368,G611,FALSE)</f>
        <v>1.52168431166894</v>
      </c>
      <c r="L611">
        <f t="shared" ca="1" si="91"/>
        <v>1</v>
      </c>
      <c r="N611" t="b">
        <f t="shared" ca="1" si="92"/>
        <v>0</v>
      </c>
      <c r="O611" t="b">
        <f t="shared" ca="1" si="93"/>
        <v>0</v>
      </c>
      <c r="P611">
        <f ca="1"/>
        <v>44856</v>
      </c>
      <c r="Q611">
        <f ca="1"/>
        <v>130.90162572254701</v>
      </c>
      <c r="R611">
        <f ca="1"/>
        <v>1.26717242312068</v>
      </c>
      <c r="S611">
        <f ca="1"/>
        <v>4.3159943038320811E-23</v>
      </c>
      <c r="T611">
        <f ca="1"/>
        <v>0.42852499905811592</v>
      </c>
      <c r="U611">
        <f ca="1"/>
        <v>0</v>
      </c>
      <c r="V611">
        <f ca="1"/>
        <v>67.970774581133497</v>
      </c>
      <c r="W611">
        <f ca="1"/>
        <v>46.992140451154</v>
      </c>
      <c r="X611">
        <f ca="1"/>
        <v>0</v>
      </c>
      <c r="Y611">
        <f ca="1"/>
        <v>0.98144501862299649</v>
      </c>
      <c r="Z611">
        <f ca="1"/>
        <v>0</v>
      </c>
      <c r="AA611">
        <f ca="1"/>
        <v>0</v>
      </c>
      <c r="AB611">
        <f ca="1"/>
        <v>0.77178362757893504</v>
      </c>
      <c r="AD611" s="2">
        <f t="shared" ca="1" si="94"/>
        <v>44856</v>
      </c>
      <c r="AE611" s="46">
        <f t="shared" ca="1" si="95"/>
        <v>0</v>
      </c>
      <c r="AG611" s="72">
        <f t="shared" ca="1" si="96"/>
        <v>132.16879814566769</v>
      </c>
      <c r="AH611" s="72">
        <f t="shared" ca="1" si="97"/>
        <v>132.16879814566769</v>
      </c>
      <c r="AI611" s="3">
        <f t="shared" ca="1" si="98"/>
        <v>0</v>
      </c>
    </row>
    <row r="612" spans="7:35" ht="15.75" thickBot="1" x14ac:dyDescent="0.3">
      <c r="G612" s="3">
        <f t="shared" si="90"/>
        <v>150</v>
      </c>
      <c r="H612" s="106">
        <f t="shared" si="99"/>
        <v>44710</v>
      </c>
      <c r="I612" s="133">
        <f>HLOOKUP($H$4,'Met Data'!$A$2:$F$368,G612,FALSE)</f>
        <v>11.7193548387096</v>
      </c>
      <c r="J612" s="131">
        <f ca="1">HLOOKUP($H$4,'Met Data'!$H$2:$M$368,G612,FALSE)*L612</f>
        <v>4.8161290322580603</v>
      </c>
      <c r="K612" s="107">
        <f>HLOOKUP($H$4,'Met Data'!$O$2:$T$368,G612,FALSE)</f>
        <v>1.3043403353641301</v>
      </c>
      <c r="L612">
        <f t="shared" ca="1" si="91"/>
        <v>1</v>
      </c>
      <c r="N612" t="b">
        <f t="shared" ca="1" si="92"/>
        <v>0</v>
      </c>
      <c r="O612" t="b">
        <f t="shared" ca="1" si="93"/>
        <v>0</v>
      </c>
      <c r="P612">
        <f ca="1"/>
        <v>44857</v>
      </c>
      <c r="Q612">
        <f ca="1"/>
        <v>130.05555161522267</v>
      </c>
      <c r="R612">
        <f ca="1"/>
        <v>1.2884605893848</v>
      </c>
      <c r="S612">
        <f ca="1"/>
        <v>3.7598343811860797E-23</v>
      </c>
      <c r="T612">
        <f ca="1"/>
        <v>0.44238648206046</v>
      </c>
      <c r="U612">
        <f ca="1"/>
        <v>0</v>
      </c>
      <c r="V612">
        <f ca="1"/>
        <v>69.259235170518295</v>
      </c>
      <c r="W612">
        <f ca="1"/>
        <v>47.882928019123803</v>
      </c>
      <c r="X612">
        <f ca="1"/>
        <v>0</v>
      </c>
      <c r="Y612">
        <f ca="1"/>
        <v>0.99058430850542512</v>
      </c>
      <c r="Z612">
        <f ca="1"/>
        <v>0</v>
      </c>
      <c r="AA612">
        <f ca="1"/>
        <v>0</v>
      </c>
      <c r="AB612">
        <f ca="1"/>
        <v>0.77415209114530203</v>
      </c>
      <c r="AD612" s="2">
        <f t="shared" ca="1" si="94"/>
        <v>44857</v>
      </c>
      <c r="AE612" s="46">
        <f t="shared" ca="1" si="95"/>
        <v>0</v>
      </c>
      <c r="AG612" s="72">
        <f t="shared" ca="1" si="96"/>
        <v>131.34401220460748</v>
      </c>
      <c r="AH612" s="72">
        <f t="shared" ca="1" si="97"/>
        <v>131.34401220460748</v>
      </c>
      <c r="AI612" s="3">
        <f t="shared" ca="1" si="98"/>
        <v>0</v>
      </c>
    </row>
    <row r="613" spans="7:35" ht="15.75" thickBot="1" x14ac:dyDescent="0.3">
      <c r="G613" s="3">
        <f t="shared" si="90"/>
        <v>151</v>
      </c>
      <c r="H613" s="106">
        <f t="shared" si="99"/>
        <v>44711</v>
      </c>
      <c r="I613" s="133">
        <f>HLOOKUP($H$4,'Met Data'!$A$2:$F$368,G613,FALSE)</f>
        <v>12.024193548387</v>
      </c>
      <c r="J613" s="131">
        <f ca="1">HLOOKUP($H$4,'Met Data'!$H$2:$M$368,G613,FALSE)*L613</f>
        <v>5.4032258064516103</v>
      </c>
      <c r="K613" s="107">
        <f>HLOOKUP($H$4,'Met Data'!$O$2:$T$368,G613,FALSE)</f>
        <v>1.3290261075951599</v>
      </c>
      <c r="L613">
        <f t="shared" ca="1" si="91"/>
        <v>1</v>
      </c>
      <c r="N613" t="b">
        <f t="shared" ca="1" si="92"/>
        <v>0</v>
      </c>
      <c r="O613" t="b">
        <f t="shared" ca="1" si="93"/>
        <v>0</v>
      </c>
      <c r="P613">
        <f ca="1"/>
        <v>44858</v>
      </c>
      <c r="Q613">
        <f ca="1"/>
        <v>129.25590597779498</v>
      </c>
      <c r="R613">
        <f ca="1"/>
        <v>1.21979298993934</v>
      </c>
      <c r="S613">
        <f ca="1"/>
        <v>3.0046714317142103E-23</v>
      </c>
      <c r="T613">
        <f ca="1"/>
        <v>0.42014735251165986</v>
      </c>
      <c r="U613">
        <f ca="1"/>
        <v>0</v>
      </c>
      <c r="V613">
        <f ca="1"/>
        <v>70.479028160457602</v>
      </c>
      <c r="W613">
        <f ca="1"/>
        <v>48.726241691180597</v>
      </c>
      <c r="X613">
        <f ca="1"/>
        <v>0</v>
      </c>
      <c r="Y613">
        <f ca="1"/>
        <v>0.99105011427314327</v>
      </c>
      <c r="Z613">
        <f ca="1"/>
        <v>0</v>
      </c>
      <c r="AA613">
        <f ca="1"/>
        <v>0</v>
      </c>
      <c r="AB613">
        <f ca="1"/>
        <v>0.77623868407561503</v>
      </c>
      <c r="AD613" s="2">
        <f t="shared" ca="1" si="94"/>
        <v>44858</v>
      </c>
      <c r="AE613" s="46">
        <f t="shared" ca="1" si="95"/>
        <v>0</v>
      </c>
      <c r="AG613" s="72">
        <f t="shared" ca="1" si="96"/>
        <v>130.47569896773433</v>
      </c>
      <c r="AH613" s="72">
        <f t="shared" ca="1" si="97"/>
        <v>130.47569896773433</v>
      </c>
      <c r="AI613" s="3">
        <f t="shared" ca="1" si="98"/>
        <v>0</v>
      </c>
    </row>
    <row r="614" spans="7:35" ht="15.75" thickBot="1" x14ac:dyDescent="0.3">
      <c r="G614" s="3">
        <f t="shared" si="90"/>
        <v>152</v>
      </c>
      <c r="H614" s="106">
        <f t="shared" si="99"/>
        <v>44712</v>
      </c>
      <c r="I614" s="133">
        <f>HLOOKUP($H$4,'Met Data'!$A$2:$F$368,G614,FALSE)</f>
        <v>11.7258064516129</v>
      </c>
      <c r="J614" s="131">
        <f ca="1">HLOOKUP($H$4,'Met Data'!$H$2:$M$368,G614,FALSE)*L614</f>
        <v>5.6354838709677404</v>
      </c>
      <c r="K614" s="107">
        <f>HLOOKUP($H$4,'Met Data'!$O$2:$T$368,G614,FALSE)</f>
        <v>1.39784343044145</v>
      </c>
      <c r="L614">
        <f t="shared" ca="1" si="91"/>
        <v>1</v>
      </c>
      <c r="N614" t="b">
        <f t="shared" ca="1" si="92"/>
        <v>0</v>
      </c>
      <c r="O614" t="b">
        <f t="shared" ca="1" si="93"/>
        <v>0</v>
      </c>
      <c r="P614">
        <f ca="1"/>
        <v>44859</v>
      </c>
      <c r="Q614">
        <f ca="1"/>
        <v>128.44687446403879</v>
      </c>
      <c r="R614">
        <f ca="1"/>
        <v>1.2460684100005599</v>
      </c>
      <c r="S614">
        <f ca="1"/>
        <v>2.5792188186101906E-23</v>
      </c>
      <c r="T614">
        <f ca="1"/>
        <v>0.43703689624436609</v>
      </c>
      <c r="U614">
        <f ca="1"/>
        <v>0</v>
      </c>
      <c r="V614">
        <f ca="1"/>
        <v>71.725096570458206</v>
      </c>
      <c r="W614">
        <f ca="1"/>
        <v>49.587721085748903</v>
      </c>
      <c r="X614">
        <f ca="1"/>
        <v>0</v>
      </c>
      <c r="Y614">
        <f ca="1"/>
        <v>0.97783225574991406</v>
      </c>
      <c r="Z614">
        <f ca="1"/>
        <v>0</v>
      </c>
      <c r="AA614">
        <f ca="1"/>
        <v>0</v>
      </c>
      <c r="AB614">
        <f ca="1"/>
        <v>0.77822423700591803</v>
      </c>
      <c r="AD614" s="2">
        <f t="shared" ca="1" si="94"/>
        <v>44859</v>
      </c>
      <c r="AE614" s="46">
        <f t="shared" ca="1" si="95"/>
        <v>0</v>
      </c>
      <c r="AG614" s="72">
        <f t="shared" ca="1" si="96"/>
        <v>129.69294287403935</v>
      </c>
      <c r="AH614" s="72">
        <f t="shared" ca="1" si="97"/>
        <v>129.69294287403935</v>
      </c>
      <c r="AI614" s="3">
        <f t="shared" ca="1" si="98"/>
        <v>0</v>
      </c>
    </row>
    <row r="615" spans="7:35" ht="15.75" thickBot="1" x14ac:dyDescent="0.3">
      <c r="G615" s="3">
        <f t="shared" si="90"/>
        <v>153</v>
      </c>
      <c r="H615" s="106">
        <f t="shared" si="99"/>
        <v>44713</v>
      </c>
      <c r="I615" s="133">
        <f>HLOOKUP($H$4,'Met Data'!$A$2:$F$368,G615,FALSE)</f>
        <v>11.7564516129032</v>
      </c>
      <c r="J615" s="131">
        <f ca="1">HLOOKUP($H$4,'Met Data'!$H$2:$M$368,G615,FALSE)*L615</f>
        <v>4.3451612903225802</v>
      </c>
      <c r="K615" s="107">
        <f>HLOOKUP($H$4,'Met Data'!$O$2:$T$368,G615,FALSE)</f>
        <v>1.4712646827298701</v>
      </c>
      <c r="L615">
        <f t="shared" ca="1" si="91"/>
        <v>1</v>
      </c>
      <c r="N615" t="b">
        <f t="shared" ca="1" si="92"/>
        <v>0</v>
      </c>
      <c r="O615" t="b">
        <f t="shared" ca="1" si="93"/>
        <v>0</v>
      </c>
      <c r="P615">
        <f ca="1"/>
        <v>44860</v>
      </c>
      <c r="Q615">
        <f ca="1"/>
        <v>127.6378352164343</v>
      </c>
      <c r="R615">
        <f ca="1"/>
        <v>1.2553008767073399</v>
      </c>
      <c r="S615">
        <f ca="1"/>
        <v>2.1610782608111409E-23</v>
      </c>
      <c r="T615">
        <f ca="1"/>
        <v>0.44626162910282929</v>
      </c>
      <c r="U615">
        <f ca="1"/>
        <v>0</v>
      </c>
      <c r="V615">
        <f ca="1"/>
        <v>72.980397447165501</v>
      </c>
      <c r="W615">
        <f ca="1"/>
        <v>50.455583420262599</v>
      </c>
      <c r="X615">
        <f ca="1"/>
        <v>0</v>
      </c>
      <c r="Y615">
        <f ca="1"/>
        <v>0.95724213971225836</v>
      </c>
      <c r="Z615">
        <f ca="1"/>
        <v>0</v>
      </c>
      <c r="AA615">
        <f ca="1"/>
        <v>0</v>
      </c>
      <c r="AB615">
        <f ca="1"/>
        <v>0.78008502471549501</v>
      </c>
      <c r="AD615" s="2">
        <f t="shared" ca="1" si="94"/>
        <v>44860</v>
      </c>
      <c r="AE615" s="46">
        <f t="shared" ca="1" si="95"/>
        <v>0</v>
      </c>
      <c r="AG615" s="72">
        <f t="shared" ca="1" si="96"/>
        <v>128.89313609314161</v>
      </c>
      <c r="AH615" s="72">
        <f t="shared" ca="1" si="97"/>
        <v>128.89313609314164</v>
      </c>
      <c r="AI615" s="3">
        <f t="shared" ca="1" si="98"/>
        <v>0</v>
      </c>
    </row>
    <row r="616" spans="7:35" ht="15.75" thickBot="1" x14ac:dyDescent="0.3">
      <c r="G616" s="3">
        <f t="shared" si="90"/>
        <v>154</v>
      </c>
      <c r="H616" s="106">
        <f t="shared" si="99"/>
        <v>44714</v>
      </c>
      <c r="I616" s="133">
        <f>HLOOKUP($H$4,'Met Data'!$A$2:$F$368,G616,FALSE)</f>
        <v>11.6033333333333</v>
      </c>
      <c r="J616" s="131">
        <f ca="1">HLOOKUP($H$4,'Met Data'!$H$2:$M$368,G616,FALSE)*L616</f>
        <v>5.12</v>
      </c>
      <c r="K616" s="107">
        <f>HLOOKUP($H$4,'Met Data'!$O$2:$T$368,G616,FALSE)</f>
        <v>1.30717057222476</v>
      </c>
      <c r="L616">
        <f t="shared" ca="1" si="91"/>
        <v>1</v>
      </c>
      <c r="N616" t="b">
        <f t="shared" ca="1" si="92"/>
        <v>0</v>
      </c>
      <c r="O616" t="b">
        <f t="shared" ca="1" si="93"/>
        <v>0</v>
      </c>
      <c r="P616">
        <f ca="1"/>
        <v>44861</v>
      </c>
      <c r="Q616">
        <f ca="1"/>
        <v>126.81133549422987</v>
      </c>
      <c r="R616">
        <f ca="1"/>
        <v>1.3030083662009</v>
      </c>
      <c r="S616">
        <f ca="1"/>
        <v>1.911661905199973E-23</v>
      </c>
      <c r="T616">
        <f ca="1"/>
        <v>0.47650864399646975</v>
      </c>
      <c r="U616">
        <f ca="1"/>
        <v>0</v>
      </c>
      <c r="V616">
        <f ca="1"/>
        <v>74.2834058133664</v>
      </c>
      <c r="W616">
        <f ca="1"/>
        <v>51.356428710475598</v>
      </c>
      <c r="X616">
        <f ca="1"/>
        <v>0</v>
      </c>
      <c r="Y616">
        <f ca="1"/>
        <v>0.95851365247625986</v>
      </c>
      <c r="Z616">
        <f ca="1"/>
        <v>0</v>
      </c>
      <c r="AA616">
        <f ca="1"/>
        <v>0</v>
      </c>
      <c r="AB616">
        <f ca="1"/>
        <v>0.78187824460125999</v>
      </c>
      <c r="AD616" s="2">
        <f t="shared" ca="1" si="94"/>
        <v>44861</v>
      </c>
      <c r="AE616" s="46">
        <f t="shared" ca="1" si="95"/>
        <v>0</v>
      </c>
      <c r="AG616" s="72">
        <f t="shared" ca="1" si="96"/>
        <v>128.11434386043078</v>
      </c>
      <c r="AH616" s="72">
        <f t="shared" ca="1" si="97"/>
        <v>128.11434386043078</v>
      </c>
      <c r="AI616" s="3">
        <f t="shared" ca="1" si="98"/>
        <v>0</v>
      </c>
    </row>
    <row r="617" spans="7:35" ht="15.75" thickBot="1" x14ac:dyDescent="0.3">
      <c r="G617" s="3">
        <f t="shared" si="90"/>
        <v>155</v>
      </c>
      <c r="H617" s="106">
        <f t="shared" si="99"/>
        <v>44715</v>
      </c>
      <c r="I617" s="133">
        <f>HLOOKUP($H$4,'Met Data'!$A$2:$F$368,G617,FALSE)</f>
        <v>11.056666666666599</v>
      </c>
      <c r="J617" s="131">
        <f ca="1">HLOOKUP($H$4,'Met Data'!$H$2:$M$368,G617,FALSE)*L617</f>
        <v>2.78666666666666</v>
      </c>
      <c r="K617" s="107">
        <f>HLOOKUP($H$4,'Met Data'!$O$2:$T$368,G617,FALSE)</f>
        <v>1.4941006859236099</v>
      </c>
      <c r="L617">
        <f t="shared" ca="1" si="91"/>
        <v>1</v>
      </c>
      <c r="N617" t="b">
        <f t="shared" ca="1" si="92"/>
        <v>0</v>
      </c>
      <c r="O617" t="b">
        <f t="shared" ca="1" si="93"/>
        <v>0</v>
      </c>
      <c r="P617">
        <f ca="1"/>
        <v>44862</v>
      </c>
      <c r="Q617">
        <f ca="1"/>
        <v>126.03392597551218</v>
      </c>
      <c r="R617">
        <f ca="1"/>
        <v>1.2329443176763799</v>
      </c>
      <c r="S617">
        <f ca="1"/>
        <v>1.5415075170325198E-23</v>
      </c>
      <c r="T617">
        <f ca="1"/>
        <v>0.45553479895869547</v>
      </c>
      <c r="U617">
        <f ca="1"/>
        <v>0</v>
      </c>
      <c r="V617">
        <f ca="1"/>
        <v>75.516350131042799</v>
      </c>
      <c r="W617">
        <f ca="1"/>
        <v>52.208834658498702</v>
      </c>
      <c r="X617">
        <f ca="1"/>
        <v>0</v>
      </c>
      <c r="Y617">
        <f ca="1"/>
        <v>0.9689222094714901</v>
      </c>
      <c r="Z617">
        <f ca="1"/>
        <v>0</v>
      </c>
      <c r="AA617">
        <f ca="1"/>
        <v>0</v>
      </c>
      <c r="AB617">
        <f ca="1"/>
        <v>0.78345382871722002</v>
      </c>
      <c r="AD617" s="2">
        <f t="shared" ca="1" si="94"/>
        <v>44862</v>
      </c>
      <c r="AE617" s="46">
        <f t="shared" ca="1" si="95"/>
        <v>0</v>
      </c>
      <c r="AG617" s="72">
        <f t="shared" ca="1" si="96"/>
        <v>127.26687029318856</v>
      </c>
      <c r="AH617" s="72">
        <f t="shared" ca="1" si="97"/>
        <v>127.26687029318856</v>
      </c>
      <c r="AI617" s="3">
        <f t="shared" ca="1" si="98"/>
        <v>0</v>
      </c>
    </row>
    <row r="618" spans="7:35" ht="15.75" thickBot="1" x14ac:dyDescent="0.3">
      <c r="G618" s="3">
        <f t="shared" si="90"/>
        <v>156</v>
      </c>
      <c r="H618" s="106">
        <f t="shared" si="99"/>
        <v>44716</v>
      </c>
      <c r="I618" s="133">
        <f>HLOOKUP($H$4,'Met Data'!$A$2:$F$368,G618,FALSE)</f>
        <v>11.1733333333333</v>
      </c>
      <c r="J618" s="131">
        <f ca="1">HLOOKUP($H$4,'Met Data'!$H$2:$M$368,G618,FALSE)*L618</f>
        <v>4.3899999999999997</v>
      </c>
      <c r="K618" s="107">
        <f>HLOOKUP($H$4,'Met Data'!$O$2:$T$368,G618,FALSE)</f>
        <v>1.35454855749501</v>
      </c>
      <c r="L618">
        <f t="shared" ca="1" si="91"/>
        <v>1</v>
      </c>
      <c r="N618" t="b">
        <f t="shared" ca="1" si="92"/>
        <v>0</v>
      </c>
      <c r="O618" t="b">
        <f t="shared" ca="1" si="93"/>
        <v>0</v>
      </c>
      <c r="P618">
        <f ca="1"/>
        <v>44863</v>
      </c>
      <c r="Q618">
        <f ca="1"/>
        <v>125.27682332817932</v>
      </c>
      <c r="R618">
        <f ca="1"/>
        <v>1.2132509948022201</v>
      </c>
      <c r="S618">
        <f ca="1"/>
        <v>1.2797392235004277E-23</v>
      </c>
      <c r="T618">
        <f ca="1"/>
        <v>0.45614834746936683</v>
      </c>
      <c r="U618">
        <f ca="1"/>
        <v>0</v>
      </c>
      <c r="V618">
        <f ca="1"/>
        <v>76.729601125844994</v>
      </c>
      <c r="W618">
        <f ca="1"/>
        <v>53.047625469720003</v>
      </c>
      <c r="X618">
        <f ca="1"/>
        <v>0</v>
      </c>
      <c r="Y618">
        <f ca="1"/>
        <v>0.96338267706932312</v>
      </c>
      <c r="Z618">
        <f ca="1"/>
        <v>0</v>
      </c>
      <c r="AA618">
        <f ca="1"/>
        <v>0</v>
      </c>
      <c r="AB618">
        <f ca="1"/>
        <v>0.78489660216236701</v>
      </c>
      <c r="AD618" s="2">
        <f t="shared" ca="1" si="94"/>
        <v>44863</v>
      </c>
      <c r="AE618" s="46">
        <f t="shared" ca="1" si="95"/>
        <v>0</v>
      </c>
      <c r="AG618" s="72">
        <f t="shared" ca="1" si="96"/>
        <v>126.49007432298154</v>
      </c>
      <c r="AH618" s="72">
        <f t="shared" ca="1" si="97"/>
        <v>126.49007432298154</v>
      </c>
      <c r="AI618" s="3">
        <f t="shared" ca="1" si="98"/>
        <v>0</v>
      </c>
    </row>
    <row r="619" spans="7:35" ht="15.75" thickBot="1" x14ac:dyDescent="0.3">
      <c r="G619" s="3">
        <f t="shared" si="90"/>
        <v>157</v>
      </c>
      <c r="H619" s="106">
        <f t="shared" si="99"/>
        <v>44717</v>
      </c>
      <c r="I619" s="133">
        <f>HLOOKUP($H$4,'Met Data'!$A$2:$F$368,G619,FALSE)</f>
        <v>11.3016666666666</v>
      </c>
      <c r="J619" s="131">
        <f ca="1">HLOOKUP($H$4,'Met Data'!$H$2:$M$368,G619,FALSE)*L619</f>
        <v>3.3633333333333302</v>
      </c>
      <c r="K619" s="107">
        <f>HLOOKUP($H$4,'Met Data'!$O$2:$T$368,G619,FALSE)</f>
        <v>1.3233452483653401</v>
      </c>
      <c r="L619">
        <f t="shared" ca="1" si="91"/>
        <v>1</v>
      </c>
      <c r="N619" t="b">
        <f t="shared" ca="1" si="92"/>
        <v>0</v>
      </c>
      <c r="O619" t="b">
        <f t="shared" ca="1" si="93"/>
        <v>0</v>
      </c>
      <c r="P619">
        <f ca="1"/>
        <v>44864</v>
      </c>
      <c r="Q619">
        <f ca="1"/>
        <v>124.51868665476643</v>
      </c>
      <c r="R619">
        <f ca="1"/>
        <v>1.2263393991052101</v>
      </c>
      <c r="S619">
        <f ca="1"/>
        <v>1.0879649732102768E-23</v>
      </c>
      <c r="T619">
        <f ca="1"/>
        <v>0.46820272569232196</v>
      </c>
      <c r="U619">
        <f ca="1"/>
        <v>0</v>
      </c>
      <c r="V619">
        <f ca="1"/>
        <v>77.955940524950293</v>
      </c>
      <c r="W619">
        <f ca="1"/>
        <v>53.895465054286603</v>
      </c>
      <c r="X619">
        <f ca="1"/>
        <v>0</v>
      </c>
      <c r="Y619">
        <f ca="1"/>
        <v>0.9527571912508308</v>
      </c>
      <c r="Z619">
        <f ca="1"/>
        <v>0</v>
      </c>
      <c r="AA619">
        <f ca="1"/>
        <v>0</v>
      </c>
      <c r="AB619">
        <f ca="1"/>
        <v>0.78625323300404604</v>
      </c>
      <c r="AD619" s="2">
        <f t="shared" ca="1" si="94"/>
        <v>44864</v>
      </c>
      <c r="AE619" s="46">
        <f t="shared" ca="1" si="95"/>
        <v>0</v>
      </c>
      <c r="AG619" s="72">
        <f t="shared" ca="1" si="96"/>
        <v>125.74502605387164</v>
      </c>
      <c r="AH619" s="72">
        <f t="shared" ca="1" si="97"/>
        <v>125.74502605387164</v>
      </c>
      <c r="AI619" s="3">
        <f t="shared" ca="1" si="98"/>
        <v>0</v>
      </c>
    </row>
    <row r="620" spans="7:35" ht="15.75" thickBot="1" x14ac:dyDescent="0.3">
      <c r="G620" s="3">
        <f t="shared" si="90"/>
        <v>158</v>
      </c>
      <c r="H620" s="106">
        <f t="shared" si="99"/>
        <v>44718</v>
      </c>
      <c r="I620" s="133">
        <f>HLOOKUP($H$4,'Met Data'!$A$2:$F$368,G620,FALSE)</f>
        <v>11.2416666666666</v>
      </c>
      <c r="J620" s="131">
        <f ca="1">HLOOKUP($H$4,'Met Data'!$H$2:$M$368,G620,FALSE)*L620</f>
        <v>3.4666666666666601</v>
      </c>
      <c r="K620" s="107">
        <f>HLOOKUP($H$4,'Met Data'!$O$2:$T$368,G620,FALSE)</f>
        <v>1.31169017597242</v>
      </c>
      <c r="L620">
        <f t="shared" ca="1" si="91"/>
        <v>1</v>
      </c>
      <c r="N620" t="b">
        <f t="shared" ca="1" si="92"/>
        <v>0</v>
      </c>
      <c r="O620" t="b">
        <f t="shared" ca="1" si="93"/>
        <v>0</v>
      </c>
      <c r="P620">
        <f ca="1"/>
        <v>44865</v>
      </c>
      <c r="Q620">
        <f ca="1"/>
        <v>123.78314188581584</v>
      </c>
      <c r="R620">
        <f ca="1"/>
        <v>1.1868786276776999</v>
      </c>
      <c r="S620">
        <f ca="1"/>
        <v>8.7769532224937104E-24</v>
      </c>
      <c r="T620">
        <f ca="1"/>
        <v>0.45133385872710613</v>
      </c>
      <c r="U620">
        <f ca="1"/>
        <v>0</v>
      </c>
      <c r="V620">
        <f ca="1"/>
        <v>79.142819152627993</v>
      </c>
      <c r="W620">
        <f ca="1"/>
        <v>54.7160231178662</v>
      </c>
      <c r="X620">
        <f ca="1"/>
        <v>0</v>
      </c>
      <c r="Y620">
        <f ca="1"/>
        <v>0.93606553456645825</v>
      </c>
      <c r="Z620">
        <f ca="1"/>
        <v>0</v>
      </c>
      <c r="AA620">
        <f ca="1"/>
        <v>0</v>
      </c>
      <c r="AB620">
        <f ca="1"/>
        <v>0.78747483485094605</v>
      </c>
      <c r="AD620" s="2">
        <f t="shared" ca="1" si="94"/>
        <v>44865</v>
      </c>
      <c r="AE620" s="46">
        <f t="shared" ca="1" si="95"/>
        <v>0</v>
      </c>
      <c r="AG620" s="72">
        <f t="shared" ca="1" si="96"/>
        <v>124.97002051349354</v>
      </c>
      <c r="AH620" s="72">
        <f t="shared" ca="1" si="97"/>
        <v>124.97002051349354</v>
      </c>
      <c r="AI620" s="3">
        <f t="shared" ca="1" si="98"/>
        <v>0</v>
      </c>
    </row>
    <row r="621" spans="7:35" ht="15.75" thickBot="1" x14ac:dyDescent="0.3">
      <c r="G621" s="3">
        <f t="shared" si="90"/>
        <v>159</v>
      </c>
      <c r="H621" s="106">
        <f t="shared" si="99"/>
        <v>44719</v>
      </c>
      <c r="I621" s="133">
        <f>HLOOKUP($H$4,'Met Data'!$A$2:$F$368,G621,FALSE)</f>
        <v>11.3533333333333</v>
      </c>
      <c r="J621" s="131">
        <f ca="1">HLOOKUP($H$4,'Met Data'!$H$2:$M$368,G621,FALSE)*L621</f>
        <v>3.12333333333333</v>
      </c>
      <c r="K621" s="107">
        <f>HLOOKUP($H$4,'Met Data'!$O$2:$T$368,G621,FALSE)</f>
        <v>1.3774495437093499</v>
      </c>
      <c r="L621">
        <f t="shared" ca="1" si="91"/>
        <v>1</v>
      </c>
      <c r="N621" t="b">
        <f t="shared" ca="1" si="92"/>
        <v>0</v>
      </c>
      <c r="O621" t="b">
        <f t="shared" ca="1" si="93"/>
        <v>0</v>
      </c>
      <c r="P621">
        <f ca="1"/>
        <v>44866</v>
      </c>
      <c r="Q621">
        <f ca="1"/>
        <v>123.08518373009723</v>
      </c>
      <c r="R621">
        <f ca="1"/>
        <v>1.1240707538719199</v>
      </c>
      <c r="S621">
        <f ca="1"/>
        <v>7.0009358140676086E-24</v>
      </c>
      <c r="T621">
        <f ca="1"/>
        <v>0.4261125981533167</v>
      </c>
      <c r="U621">
        <f ca="1"/>
        <v>0</v>
      </c>
      <c r="V621">
        <f ca="1"/>
        <v>80.266889906499898</v>
      </c>
      <c r="W621">
        <f ca="1"/>
        <v>55.493158453876497</v>
      </c>
      <c r="X621">
        <f ca="1"/>
        <v>0</v>
      </c>
      <c r="Y621">
        <f ca="1"/>
        <v>0.92306270447105421</v>
      </c>
      <c r="Z621">
        <f ca="1"/>
        <v>0</v>
      </c>
      <c r="AA621">
        <f ca="1"/>
        <v>0</v>
      </c>
      <c r="AB621">
        <f ca="1"/>
        <v>0.78855386918009396</v>
      </c>
      <c r="AD621" s="2">
        <f t="shared" ca="1" si="94"/>
        <v>44866</v>
      </c>
      <c r="AE621" s="46">
        <f t="shared" ca="1" si="95"/>
        <v>0</v>
      </c>
      <c r="AG621" s="72">
        <f t="shared" ca="1" si="96"/>
        <v>124.20925448396915</v>
      </c>
      <c r="AH621" s="72">
        <f t="shared" ca="1" si="97"/>
        <v>124.20925448396915</v>
      </c>
      <c r="AI621" s="3">
        <f t="shared" ca="1" si="98"/>
        <v>0</v>
      </c>
    </row>
    <row r="622" spans="7:35" ht="15.75" thickBot="1" x14ac:dyDescent="0.3">
      <c r="G622" s="3">
        <f t="shared" si="90"/>
        <v>160</v>
      </c>
      <c r="H622" s="106">
        <f t="shared" si="99"/>
        <v>44720</v>
      </c>
      <c r="I622" s="133">
        <f>HLOOKUP($H$4,'Met Data'!$A$2:$F$368,G622,FALSE)</f>
        <v>11.6383333333333</v>
      </c>
      <c r="J622" s="131">
        <f ca="1">HLOOKUP($H$4,'Met Data'!$H$2:$M$368,G622,FALSE)*L622</f>
        <v>2.8</v>
      </c>
      <c r="K622" s="107">
        <f>HLOOKUP($H$4,'Met Data'!$O$2:$T$368,G622,FALSE)</f>
        <v>1.37514607405536</v>
      </c>
      <c r="L622">
        <f t="shared" ca="1" si="91"/>
        <v>1</v>
      </c>
      <c r="N622" t="b">
        <f t="shared" ca="1" si="92"/>
        <v>0</v>
      </c>
      <c r="O622" t="b">
        <f t="shared" ca="1" si="93"/>
        <v>0</v>
      </c>
      <c r="P622">
        <f ca="1"/>
        <v>44867</v>
      </c>
      <c r="Q622">
        <f ca="1"/>
        <v>122.39608949755633</v>
      </c>
      <c r="R622">
        <f ca="1"/>
        <v>1.1050445609328201</v>
      </c>
      <c r="S622">
        <f ca="1"/>
        <v>5.7885232299755597E-24</v>
      </c>
      <c r="T622">
        <f ca="1"/>
        <v>0.41595032839193136</v>
      </c>
      <c r="U622">
        <f ca="1"/>
        <v>0</v>
      </c>
      <c r="V622">
        <f ca="1"/>
        <v>81.371934467432695</v>
      </c>
      <c r="W622">
        <f ca="1"/>
        <v>56.257139878718903</v>
      </c>
      <c r="X622">
        <f ca="1"/>
        <v>0</v>
      </c>
      <c r="Y622">
        <f ca="1"/>
        <v>0.90014540085046812</v>
      </c>
      <c r="Z622">
        <f ca="1"/>
        <v>0</v>
      </c>
      <c r="AA622">
        <f ca="1"/>
        <v>0</v>
      </c>
      <c r="AB622">
        <f ca="1"/>
        <v>0.78954498912107896</v>
      </c>
      <c r="AD622" s="2">
        <f t="shared" ca="1" si="94"/>
        <v>44867</v>
      </c>
      <c r="AE622" s="46">
        <f t="shared" ca="1" si="95"/>
        <v>0</v>
      </c>
      <c r="AG622" s="72">
        <f t="shared" ca="1" si="96"/>
        <v>123.50113405848916</v>
      </c>
      <c r="AH622" s="72">
        <f t="shared" ca="1" si="97"/>
        <v>123.50113405848916</v>
      </c>
      <c r="AI622" s="3">
        <f t="shared" ca="1" si="98"/>
        <v>0</v>
      </c>
    </row>
    <row r="623" spans="7:35" ht="15.75" thickBot="1" x14ac:dyDescent="0.3">
      <c r="G623" s="3">
        <f t="shared" si="90"/>
        <v>161</v>
      </c>
      <c r="H623" s="106">
        <f t="shared" si="99"/>
        <v>44721</v>
      </c>
      <c r="I623" s="133">
        <f>HLOOKUP($H$4,'Met Data'!$A$2:$F$368,G623,FALSE)</f>
        <v>12.033333333333299</v>
      </c>
      <c r="J623" s="131">
        <f ca="1">HLOOKUP($H$4,'Met Data'!$H$2:$M$368,G623,FALSE)*L623</f>
        <v>5.1033333333333299</v>
      </c>
      <c r="K623" s="107">
        <f>HLOOKUP($H$4,'Met Data'!$O$2:$T$368,G623,FALSE)</f>
        <v>1.2907055368786999</v>
      </c>
      <c r="L623">
        <f t="shared" ca="1" si="91"/>
        <v>1</v>
      </c>
      <c r="N623" t="b">
        <f t="shared" ca="1" si="92"/>
        <v>0</v>
      </c>
      <c r="O623" t="b">
        <f t="shared" ca="1" si="93"/>
        <v>0</v>
      </c>
      <c r="P623">
        <f ca="1"/>
        <v>44868</v>
      </c>
      <c r="Q623">
        <f ca="1"/>
        <v>121.73208544564446</v>
      </c>
      <c r="R623">
        <f ca="1"/>
        <v>1.0729258688813399</v>
      </c>
      <c r="S623">
        <f ca="1"/>
        <v>4.8361201040911586E-24</v>
      </c>
      <c r="T623">
        <f ca="1"/>
        <v>0.40892181696947227</v>
      </c>
      <c r="U623">
        <f ca="1"/>
        <v>0</v>
      </c>
      <c r="V623">
        <f ca="1"/>
        <v>82.444860336313994</v>
      </c>
      <c r="W623">
        <f ca="1"/>
        <v>56.998915788068999</v>
      </c>
      <c r="X623">
        <f ca="1"/>
        <v>0</v>
      </c>
      <c r="Y623">
        <f ca="1"/>
        <v>0.8937982718020212</v>
      </c>
      <c r="Z623">
        <f ca="1"/>
        <v>0</v>
      </c>
      <c r="AA623">
        <f ca="1"/>
        <v>0</v>
      </c>
      <c r="AB623">
        <f ca="1"/>
        <v>0.79044487274763497</v>
      </c>
      <c r="AD623" s="2">
        <f t="shared" ca="1" si="94"/>
        <v>44868</v>
      </c>
      <c r="AE623" s="46">
        <f t="shared" ca="1" si="95"/>
        <v>0</v>
      </c>
      <c r="AG623" s="72">
        <f t="shared" ca="1" si="96"/>
        <v>122.8050113145258</v>
      </c>
      <c r="AH623" s="72">
        <f t="shared" ca="1" si="97"/>
        <v>122.8050113145258</v>
      </c>
      <c r="AI623" s="3">
        <f t="shared" ca="1" si="98"/>
        <v>0</v>
      </c>
    </row>
    <row r="624" spans="7:35" ht="15.75" thickBot="1" x14ac:dyDescent="0.3">
      <c r="G624" s="3">
        <f t="shared" ref="G624:G687" si="100">H624-DATE(YEAR(H624),1,0)+1</f>
        <v>162</v>
      </c>
      <c r="H624" s="106">
        <f t="shared" si="99"/>
        <v>44722</v>
      </c>
      <c r="I624" s="133">
        <f>HLOOKUP($H$4,'Met Data'!$A$2:$F$368,G624,FALSE)</f>
        <v>12.0483333333333</v>
      </c>
      <c r="J624" s="131">
        <f ca="1">HLOOKUP($H$4,'Met Data'!$H$2:$M$368,G624,FALSE)*L624</f>
        <v>7.0566666666666604</v>
      </c>
      <c r="K624" s="107">
        <f>HLOOKUP($H$4,'Met Data'!$O$2:$T$368,G624,FALSE)</f>
        <v>1.1704038738008</v>
      </c>
      <c r="L624">
        <f t="shared" ref="L624:L687" ca="1" si="101">IF(H624&lt;$B$31,$J$3,$J$4)</f>
        <v>1</v>
      </c>
      <c r="N624" t="b">
        <f t="shared" ref="N624:N687" ca="1" si="102">IF(P624&lt;$P$3,TRUE,FALSE)</f>
        <v>0</v>
      </c>
      <c r="O624" t="b">
        <f t="shared" ref="O624:O687" ca="1" si="103">AND(IF(P624&gt;($P$2-1),TRUE,FALSE),IF(P624&lt;($P$3+1),TRUE,FALSE))</f>
        <v>0</v>
      </c>
      <c r="P624">
        <f ca="1"/>
        <v>44869</v>
      </c>
      <c r="Q624">
        <f ca="1"/>
        <v>121.08382708014614</v>
      </c>
      <c r="R624">
        <f ca="1"/>
        <v>1.0640930384463001</v>
      </c>
      <c r="S624">
        <f ca="1"/>
        <v>4.1677222914416104E-24</v>
      </c>
      <c r="T624">
        <f ca="1"/>
        <v>0.41583467294797716</v>
      </c>
      <c r="U624">
        <f ca="1"/>
        <v>0</v>
      </c>
      <c r="V624">
        <f ca="1"/>
        <v>83.508953374760296</v>
      </c>
      <c r="W624">
        <f ca="1"/>
        <v>57.734585049217003</v>
      </c>
      <c r="X624">
        <f ca="1"/>
        <v>0</v>
      </c>
      <c r="Y624">
        <f ca="1"/>
        <v>0.89299370320629912</v>
      </c>
      <c r="Z624">
        <f ca="1"/>
        <v>0</v>
      </c>
      <c r="AA624">
        <f ca="1"/>
        <v>0</v>
      </c>
      <c r="AB624">
        <f ca="1"/>
        <v>0.79127986963400199</v>
      </c>
      <c r="AD624" s="2">
        <f t="shared" ref="AD624:AD687" ca="1" si="104">IFERROR(P624,$AD$4)</f>
        <v>44869</v>
      </c>
      <c r="AE624" s="46">
        <f t="shared" ref="AE624:AE687" ca="1" si="105">IFERROR(U624,0)</f>
        <v>0</v>
      </c>
      <c r="AG624" s="72">
        <f t="shared" ref="AG624:AG687" ca="1" si="106">Q623+S624+T624+U624</f>
        <v>122.14792011859244</v>
      </c>
      <c r="AH624" s="72">
        <f t="shared" ref="AH624:AH687" ca="1" si="107">Q624+R624+X624</f>
        <v>122.14792011859244</v>
      </c>
      <c r="AI624" s="3">
        <f t="shared" ref="AI624:AI687" ca="1" si="108">AH624-AG624</f>
        <v>0</v>
      </c>
    </row>
    <row r="625" spans="7:35" ht="15.75" thickBot="1" x14ac:dyDescent="0.3">
      <c r="G625" s="3">
        <f t="shared" si="100"/>
        <v>163</v>
      </c>
      <c r="H625" s="106">
        <f t="shared" si="99"/>
        <v>44723</v>
      </c>
      <c r="I625" s="133">
        <f>HLOOKUP($H$4,'Met Data'!$A$2:$F$368,G625,FALSE)</f>
        <v>12.105</v>
      </c>
      <c r="J625" s="131">
        <f ca="1">HLOOKUP($H$4,'Met Data'!$H$2:$M$368,G625,FALSE)*L625</f>
        <v>4.8199999999999896</v>
      </c>
      <c r="K625" s="107">
        <f>HLOOKUP($H$4,'Met Data'!$O$2:$T$368,G625,FALSE)</f>
        <v>1.2848931912011301</v>
      </c>
      <c r="L625">
        <f t="shared" ca="1" si="101"/>
        <v>1</v>
      </c>
      <c r="N625" t="b">
        <f t="shared" ca="1" si="102"/>
        <v>0</v>
      </c>
      <c r="O625" t="b">
        <f t="shared" ca="1" si="103"/>
        <v>0</v>
      </c>
      <c r="P625">
        <f ca="1"/>
        <v>44870</v>
      </c>
      <c r="Q625">
        <f ca="1"/>
        <v>120.46114908860915</v>
      </c>
      <c r="R625">
        <f ca="1"/>
        <v>1.06374052897348</v>
      </c>
      <c r="S625">
        <f ca="1"/>
        <v>3.7143088336881638E-24</v>
      </c>
      <c r="T625">
        <f ca="1"/>
        <v>0.44106253743649698</v>
      </c>
      <c r="U625">
        <f ca="1"/>
        <v>0</v>
      </c>
      <c r="V625">
        <f ca="1"/>
        <v>84.572693903733807</v>
      </c>
      <c r="W625">
        <f ca="1"/>
        <v>58.470010600112303</v>
      </c>
      <c r="X625">
        <f ca="1"/>
        <v>0</v>
      </c>
      <c r="Y625">
        <f ca="1"/>
        <v>0.91633039326821997</v>
      </c>
      <c r="Z625">
        <f ca="1"/>
        <v>0</v>
      </c>
      <c r="AA625">
        <f ca="1"/>
        <v>0</v>
      </c>
      <c r="AB625">
        <f ca="1"/>
        <v>0.79206040181919002</v>
      </c>
      <c r="AD625" s="2">
        <f t="shared" ca="1" si="104"/>
        <v>44870</v>
      </c>
      <c r="AE625" s="46">
        <f t="shared" ca="1" si="105"/>
        <v>0</v>
      </c>
      <c r="AG625" s="72">
        <f t="shared" ca="1" si="106"/>
        <v>121.52488961758263</v>
      </c>
      <c r="AH625" s="72">
        <f t="shared" ca="1" si="107"/>
        <v>121.52488961758263</v>
      </c>
      <c r="AI625" s="3">
        <f t="shared" ca="1" si="108"/>
        <v>0</v>
      </c>
    </row>
    <row r="626" spans="7:35" ht="15.75" thickBot="1" x14ac:dyDescent="0.3">
      <c r="G626" s="3">
        <f t="shared" si="100"/>
        <v>164</v>
      </c>
      <c r="H626" s="106">
        <f t="shared" si="99"/>
        <v>44724</v>
      </c>
      <c r="I626" s="133">
        <f>HLOOKUP($H$4,'Met Data'!$A$2:$F$368,G626,FALSE)</f>
        <v>11.93</v>
      </c>
      <c r="J626" s="131">
        <f ca="1">HLOOKUP($H$4,'Met Data'!$H$2:$M$368,G626,FALSE)*L626</f>
        <v>4.05</v>
      </c>
      <c r="K626" s="107">
        <f>HLOOKUP($H$4,'Met Data'!$O$2:$T$368,G626,FALSE)</f>
        <v>1.2113320799843399</v>
      </c>
      <c r="L626">
        <f t="shared" ca="1" si="101"/>
        <v>1</v>
      </c>
      <c r="N626" t="b">
        <f t="shared" ca="1" si="102"/>
        <v>0</v>
      </c>
      <c r="O626" t="b">
        <f t="shared" ca="1" si="103"/>
        <v>0</v>
      </c>
      <c r="P626">
        <f ca="1"/>
        <v>44871</v>
      </c>
      <c r="Q626">
        <f ca="1"/>
        <v>119.88148006449866</v>
      </c>
      <c r="R626">
        <f ca="1"/>
        <v>1.0091999803465701</v>
      </c>
      <c r="S626">
        <f ca="1"/>
        <v>3.0536228671239509E-24</v>
      </c>
      <c r="T626">
        <f ca="1"/>
        <v>0.42953095623608312</v>
      </c>
      <c r="U626">
        <f ca="1"/>
        <v>0</v>
      </c>
      <c r="V626">
        <f ca="1"/>
        <v>85.581893884080401</v>
      </c>
      <c r="W626">
        <f ca="1"/>
        <v>59.1677291050432</v>
      </c>
      <c r="X626">
        <f ca="1"/>
        <v>0</v>
      </c>
      <c r="Y626">
        <f ca="1"/>
        <v>0.92161269950926683</v>
      </c>
      <c r="Z626">
        <f ca="1"/>
        <v>0</v>
      </c>
      <c r="AA626">
        <f ca="1"/>
        <v>0</v>
      </c>
      <c r="AB626">
        <f ca="1"/>
        <v>0.79275341144011702</v>
      </c>
      <c r="AD626" s="2">
        <f t="shared" ca="1" si="104"/>
        <v>44871</v>
      </c>
      <c r="AE626" s="46">
        <f t="shared" ca="1" si="105"/>
        <v>0</v>
      </c>
      <c r="AG626" s="72">
        <f t="shared" ca="1" si="106"/>
        <v>120.89068004484523</v>
      </c>
      <c r="AH626" s="72">
        <f t="shared" ca="1" si="107"/>
        <v>120.89068004484523</v>
      </c>
      <c r="AI626" s="3">
        <f t="shared" ca="1" si="108"/>
        <v>0</v>
      </c>
    </row>
    <row r="627" spans="7:35" ht="15.75" thickBot="1" x14ac:dyDescent="0.3">
      <c r="G627" s="3">
        <f t="shared" si="100"/>
        <v>165</v>
      </c>
      <c r="H627" s="106">
        <f t="shared" si="99"/>
        <v>44725</v>
      </c>
      <c r="I627" s="133">
        <f>HLOOKUP($H$4,'Met Data'!$A$2:$F$368,G627,FALSE)</f>
        <v>11.734999999999999</v>
      </c>
      <c r="J627" s="131">
        <f ca="1">HLOOKUP($H$4,'Met Data'!$H$2:$M$368,G627,FALSE)*L627</f>
        <v>3.5866666666666598</v>
      </c>
      <c r="K627" s="107">
        <f>HLOOKUP($H$4,'Met Data'!$O$2:$T$368,G627,FALSE)</f>
        <v>1.4600871377923801</v>
      </c>
      <c r="L627">
        <f t="shared" ca="1" si="101"/>
        <v>1</v>
      </c>
      <c r="N627" t="b">
        <f t="shared" ca="1" si="102"/>
        <v>0</v>
      </c>
      <c r="O627" t="b">
        <f t="shared" ca="1" si="103"/>
        <v>0</v>
      </c>
      <c r="P627">
        <f ca="1"/>
        <v>44872</v>
      </c>
      <c r="Q627">
        <f ca="1"/>
        <v>119.32206142774272</v>
      </c>
      <c r="R627">
        <f ca="1"/>
        <v>1.0046524815387301</v>
      </c>
      <c r="S627">
        <f ca="1"/>
        <v>2.6537684725280296E-24</v>
      </c>
      <c r="T627">
        <f ca="1"/>
        <v>0.44523384478278955</v>
      </c>
      <c r="U627">
        <f ca="1"/>
        <v>0</v>
      </c>
      <c r="V627">
        <f ca="1"/>
        <v>86.5865463656191</v>
      </c>
      <c r="W627">
        <f ca="1"/>
        <v>59.862303660181098</v>
      </c>
      <c r="X627">
        <f ca="1"/>
        <v>0</v>
      </c>
      <c r="Y627">
        <f ca="1"/>
        <v>0.92925788619732486</v>
      </c>
      <c r="Z627">
        <f ca="1"/>
        <v>0</v>
      </c>
      <c r="AA627">
        <f ca="1"/>
        <v>0</v>
      </c>
      <c r="AB627">
        <f ca="1"/>
        <v>0.79339966667146</v>
      </c>
      <c r="AD627" s="2">
        <f t="shared" ca="1" si="104"/>
        <v>44872</v>
      </c>
      <c r="AE627" s="46">
        <f t="shared" ca="1" si="105"/>
        <v>0</v>
      </c>
      <c r="AG627" s="72">
        <f t="shared" ca="1" si="106"/>
        <v>120.32671390928145</v>
      </c>
      <c r="AH627" s="72">
        <f t="shared" ca="1" si="107"/>
        <v>120.32671390928145</v>
      </c>
      <c r="AI627" s="3">
        <f t="shared" ca="1" si="108"/>
        <v>0</v>
      </c>
    </row>
    <row r="628" spans="7:35" ht="15.75" thickBot="1" x14ac:dyDescent="0.3">
      <c r="G628" s="3">
        <f t="shared" si="100"/>
        <v>166</v>
      </c>
      <c r="H628" s="106">
        <f t="shared" si="99"/>
        <v>44726</v>
      </c>
      <c r="I628" s="133">
        <f>HLOOKUP($H$4,'Met Data'!$A$2:$F$368,G628,FALSE)</f>
        <v>11.1666666666666</v>
      </c>
      <c r="J628" s="131">
        <f ca="1">HLOOKUP($H$4,'Met Data'!$H$2:$M$368,G628,FALSE)*L628</f>
        <v>3.2966666666666602</v>
      </c>
      <c r="K628" s="107">
        <f>HLOOKUP($H$4,'Met Data'!$O$2:$T$368,G628,FALSE)</f>
        <v>1.34458805503312</v>
      </c>
      <c r="L628">
        <f t="shared" ca="1" si="101"/>
        <v>1</v>
      </c>
      <c r="N628" t="b">
        <f t="shared" ca="1" si="102"/>
        <v>0</v>
      </c>
      <c r="O628" t="b">
        <f t="shared" ca="1" si="103"/>
        <v>0</v>
      </c>
      <c r="P628">
        <f ca="1"/>
        <v>44873</v>
      </c>
      <c r="Q628">
        <f ca="1"/>
        <v>118.78205174498622</v>
      </c>
      <c r="R628">
        <f ca="1"/>
        <v>0.99497229845908897</v>
      </c>
      <c r="S628">
        <f ca="1"/>
        <v>2.2652282390693467E-24</v>
      </c>
      <c r="T628">
        <f ca="1"/>
        <v>0.45496261570259111</v>
      </c>
      <c r="U628">
        <f ca="1"/>
        <v>0</v>
      </c>
      <c r="V628">
        <f ca="1"/>
        <v>87.581518664078203</v>
      </c>
      <c r="W628">
        <f ca="1"/>
        <v>60.5501857430664</v>
      </c>
      <c r="X628">
        <f ca="1"/>
        <v>0</v>
      </c>
      <c r="Y628">
        <f ca="1"/>
        <v>0.92897354314271685</v>
      </c>
      <c r="Z628">
        <f ca="1"/>
        <v>0</v>
      </c>
      <c r="AA628">
        <f ca="1"/>
        <v>0</v>
      </c>
      <c r="AB628">
        <f ca="1"/>
        <v>0.79399888504646599</v>
      </c>
      <c r="AD628" s="2">
        <f t="shared" ca="1" si="104"/>
        <v>44873</v>
      </c>
      <c r="AE628" s="46">
        <f t="shared" ca="1" si="105"/>
        <v>0</v>
      </c>
      <c r="AG628" s="72">
        <f t="shared" ca="1" si="106"/>
        <v>119.77702404344531</v>
      </c>
      <c r="AH628" s="72">
        <f t="shared" ca="1" si="107"/>
        <v>119.77702404344531</v>
      </c>
      <c r="AI628" s="3">
        <f t="shared" ca="1" si="108"/>
        <v>0</v>
      </c>
    </row>
    <row r="629" spans="7:35" ht="15.75" thickBot="1" x14ac:dyDescent="0.3">
      <c r="G629" s="3">
        <f t="shared" si="100"/>
        <v>167</v>
      </c>
      <c r="H629" s="106">
        <f t="shared" si="99"/>
        <v>44727</v>
      </c>
      <c r="I629" s="133">
        <f>HLOOKUP($H$4,'Met Data'!$A$2:$F$368,G629,FALSE)</f>
        <v>11.2283333333333</v>
      </c>
      <c r="J629" s="131">
        <f ca="1">HLOOKUP($H$4,'Met Data'!$H$2:$M$368,G629,FALSE)*L629</f>
        <v>6.4733333333333301</v>
      </c>
      <c r="K629" s="107">
        <f>HLOOKUP($H$4,'Met Data'!$O$2:$T$368,G629,FALSE)</f>
        <v>1.38085812732775</v>
      </c>
      <c r="L629">
        <f t="shared" ca="1" si="101"/>
        <v>1</v>
      </c>
      <c r="N629" t="b">
        <f t="shared" ca="1" si="102"/>
        <v>0</v>
      </c>
      <c r="O629" t="b">
        <f t="shared" ca="1" si="103"/>
        <v>0</v>
      </c>
      <c r="P629">
        <f ca="1"/>
        <v>44874</v>
      </c>
      <c r="Q629">
        <f ca="1"/>
        <v>118.27990871056598</v>
      </c>
      <c r="R629">
        <f ca="1"/>
        <v>0.94357960493410098</v>
      </c>
      <c r="S629">
        <f ca="1"/>
        <v>1.8471780126726607E-24</v>
      </c>
      <c r="T629">
        <f ca="1"/>
        <v>0.44143657051385427</v>
      </c>
      <c r="U629">
        <f ca="1"/>
        <v>0</v>
      </c>
      <c r="V629">
        <f ca="1"/>
        <v>88.525098269012304</v>
      </c>
      <c r="W629">
        <f ca="1"/>
        <v>61.202537074872701</v>
      </c>
      <c r="X629">
        <f ca="1"/>
        <v>0</v>
      </c>
      <c r="Y629">
        <f ca="1"/>
        <v>0.9289401445409794</v>
      </c>
      <c r="Z629">
        <f ca="1"/>
        <v>0</v>
      </c>
      <c r="AA629">
        <f ca="1"/>
        <v>0</v>
      </c>
      <c r="AB629">
        <f ca="1"/>
        <v>0.79453141537543703</v>
      </c>
      <c r="AD629" s="2">
        <f t="shared" ca="1" si="104"/>
        <v>44874</v>
      </c>
      <c r="AE629" s="46">
        <f t="shared" ca="1" si="105"/>
        <v>0</v>
      </c>
      <c r="AG629" s="72">
        <f t="shared" ca="1" si="106"/>
        <v>119.22348831550008</v>
      </c>
      <c r="AH629" s="72">
        <f t="shared" ca="1" si="107"/>
        <v>119.22348831550008</v>
      </c>
      <c r="AI629" s="3">
        <f t="shared" ca="1" si="108"/>
        <v>0</v>
      </c>
    </row>
    <row r="630" spans="7:35" ht="15.75" thickBot="1" x14ac:dyDescent="0.3">
      <c r="G630" s="3">
        <f t="shared" si="100"/>
        <v>168</v>
      </c>
      <c r="H630" s="106">
        <f t="shared" si="99"/>
        <v>44728</v>
      </c>
      <c r="I630" s="133">
        <f>HLOOKUP($H$4,'Met Data'!$A$2:$F$368,G630,FALSE)</f>
        <v>10.6586206896551</v>
      </c>
      <c r="J630" s="131">
        <f ca="1">HLOOKUP($H$4,'Met Data'!$H$2:$M$368,G630,FALSE)*L630</f>
        <v>4.2733333333333299</v>
      </c>
      <c r="K630" s="107">
        <f>HLOOKUP($H$4,'Met Data'!$O$2:$T$368,G630,FALSE)</f>
        <v>1.38162675040215</v>
      </c>
      <c r="L630">
        <f t="shared" ca="1" si="101"/>
        <v>1</v>
      </c>
      <c r="N630" t="b">
        <f t="shared" ca="1" si="102"/>
        <v>0</v>
      </c>
      <c r="O630" t="b">
        <f t="shared" ca="1" si="103"/>
        <v>0</v>
      </c>
      <c r="P630">
        <f ca="1"/>
        <v>44875</v>
      </c>
      <c r="Q630">
        <f ca="1"/>
        <v>117.79140603461559</v>
      </c>
      <c r="R630">
        <f ca="1"/>
        <v>0.93879771531077005</v>
      </c>
      <c r="S630">
        <f ca="1"/>
        <v>1.5760534078934395E-24</v>
      </c>
      <c r="T630">
        <f ca="1"/>
        <v>0.45029503936038706</v>
      </c>
      <c r="U630">
        <f ca="1"/>
        <v>0</v>
      </c>
      <c r="V630">
        <f ca="1"/>
        <v>89.463895984323102</v>
      </c>
      <c r="W630">
        <f ca="1"/>
        <v>61.851582408914702</v>
      </c>
      <c r="X630">
        <f ca="1"/>
        <v>0</v>
      </c>
      <c r="Y630">
        <f ca="1"/>
        <v>0.92122733513456467</v>
      </c>
      <c r="Z630">
        <f ca="1"/>
        <v>0</v>
      </c>
      <c r="AA630">
        <f ca="1"/>
        <v>0</v>
      </c>
      <c r="AB630">
        <f ca="1"/>
        <v>0.79502831600716295</v>
      </c>
      <c r="AD630" s="2">
        <f t="shared" ca="1" si="104"/>
        <v>44875</v>
      </c>
      <c r="AE630" s="46">
        <f t="shared" ca="1" si="105"/>
        <v>0</v>
      </c>
      <c r="AG630" s="72">
        <f t="shared" ca="1" si="106"/>
        <v>118.73020374992636</v>
      </c>
      <c r="AH630" s="72">
        <f t="shared" ca="1" si="107"/>
        <v>118.73020374992636</v>
      </c>
      <c r="AI630" s="3">
        <f t="shared" ca="1" si="108"/>
        <v>0</v>
      </c>
    </row>
    <row r="631" spans="7:35" ht="15.75" thickBot="1" x14ac:dyDescent="0.3">
      <c r="G631" s="3">
        <f t="shared" si="100"/>
        <v>169</v>
      </c>
      <c r="H631" s="106">
        <f t="shared" si="99"/>
        <v>44729</v>
      </c>
      <c r="I631" s="133">
        <f>HLOOKUP($H$4,'Met Data'!$A$2:$F$368,G631,FALSE)</f>
        <v>10.7310344827586</v>
      </c>
      <c r="J631" s="131">
        <f ca="1">HLOOKUP($H$4,'Met Data'!$H$2:$M$368,G631,FALSE)*L631</f>
        <v>4.5699999999999896</v>
      </c>
      <c r="K631" s="107">
        <f>HLOOKUP($H$4,'Met Data'!$O$2:$T$368,G631,FALSE)</f>
        <v>1.17648432087559</v>
      </c>
      <c r="L631">
        <f t="shared" ca="1" si="101"/>
        <v>1</v>
      </c>
      <c r="N631" t="b">
        <f t="shared" ca="1" si="102"/>
        <v>0</v>
      </c>
      <c r="O631" t="b">
        <f t="shared" ca="1" si="103"/>
        <v>0</v>
      </c>
      <c r="P631">
        <f ca="1"/>
        <v>44876</v>
      </c>
      <c r="Q631">
        <f ca="1"/>
        <v>117.3199857217413</v>
      </c>
      <c r="R631">
        <f ca="1"/>
        <v>0.91641534506952405</v>
      </c>
      <c r="S631">
        <f ca="1"/>
        <v>1.3055217978161881E-24</v>
      </c>
      <c r="T631">
        <f ca="1"/>
        <v>0.44499503219524178</v>
      </c>
      <c r="U631">
        <f ca="1"/>
        <v>0</v>
      </c>
      <c r="V631">
        <f ca="1"/>
        <v>90.380311329392597</v>
      </c>
      <c r="W631">
        <f ca="1"/>
        <v>62.485153511678803</v>
      </c>
      <c r="X631">
        <f ca="1"/>
        <v>0</v>
      </c>
      <c r="Y631">
        <f ca="1"/>
        <v>0.90558292473680624</v>
      </c>
      <c r="Z631">
        <f ca="1"/>
        <v>0</v>
      </c>
      <c r="AA631">
        <f ca="1"/>
        <v>0</v>
      </c>
      <c r="AB631">
        <f ca="1"/>
        <v>0.79548310276665601</v>
      </c>
      <c r="AD631" s="2">
        <f t="shared" ca="1" si="104"/>
        <v>44876</v>
      </c>
      <c r="AE631" s="46">
        <f t="shared" ca="1" si="105"/>
        <v>0</v>
      </c>
      <c r="AG631" s="72">
        <f t="shared" ca="1" si="106"/>
        <v>118.23640106681083</v>
      </c>
      <c r="AH631" s="72">
        <f t="shared" ca="1" si="107"/>
        <v>118.23640106681083</v>
      </c>
      <c r="AI631" s="3">
        <f t="shared" ca="1" si="108"/>
        <v>0</v>
      </c>
    </row>
    <row r="632" spans="7:35" ht="15.75" thickBot="1" x14ac:dyDescent="0.3">
      <c r="G632" s="3">
        <f t="shared" si="100"/>
        <v>170</v>
      </c>
      <c r="H632" s="106">
        <f t="shared" si="99"/>
        <v>44730</v>
      </c>
      <c r="I632" s="133">
        <f>HLOOKUP($H$4,'Met Data'!$A$2:$F$368,G632,FALSE)</f>
        <v>11.2603448275862</v>
      </c>
      <c r="J632" s="131">
        <f ca="1">HLOOKUP($H$4,'Met Data'!$H$2:$M$368,G632,FALSE)*L632</f>
        <v>4.72</v>
      </c>
      <c r="K632" s="107">
        <f>HLOOKUP($H$4,'Met Data'!$O$2:$T$368,G632,FALSE)</f>
        <v>1.1014836099696199</v>
      </c>
      <c r="L632">
        <f t="shared" ca="1" si="101"/>
        <v>1</v>
      </c>
      <c r="N632" t="b">
        <f t="shared" ca="1" si="102"/>
        <v>0</v>
      </c>
      <c r="O632" t="b">
        <f t="shared" ca="1" si="103"/>
        <v>0</v>
      </c>
      <c r="P632">
        <f ca="1"/>
        <v>44877</v>
      </c>
      <c r="Q632">
        <f ca="1"/>
        <v>116.87842883828797</v>
      </c>
      <c r="R632">
        <f ca="1"/>
        <v>0.88632625867431603</v>
      </c>
      <c r="S632">
        <f ca="1"/>
        <v>1.0949907204574867E-24</v>
      </c>
      <c r="T632">
        <f ca="1"/>
        <v>0.44476937522098559</v>
      </c>
      <c r="U632">
        <f ca="1"/>
        <v>0</v>
      </c>
      <c r="V632">
        <f ca="1"/>
        <v>91.266637588066899</v>
      </c>
      <c r="W632">
        <f ca="1"/>
        <v>63.097922283107998</v>
      </c>
      <c r="X632">
        <f ca="1"/>
        <v>0</v>
      </c>
      <c r="Y632">
        <f ca="1"/>
        <v>0.90704827132007859</v>
      </c>
      <c r="Z632">
        <f ca="1"/>
        <v>0</v>
      </c>
      <c r="AA632">
        <f ca="1"/>
        <v>0</v>
      </c>
      <c r="AB632">
        <f ca="1"/>
        <v>0.79589574899637405</v>
      </c>
      <c r="AD632" s="2">
        <f t="shared" ca="1" si="104"/>
        <v>44877</v>
      </c>
      <c r="AE632" s="46">
        <f t="shared" ca="1" si="105"/>
        <v>0</v>
      </c>
      <c r="AG632" s="72">
        <f t="shared" ca="1" si="106"/>
        <v>117.76475509696229</v>
      </c>
      <c r="AH632" s="72">
        <f t="shared" ca="1" si="107"/>
        <v>117.76475509696229</v>
      </c>
      <c r="AI632" s="3">
        <f t="shared" ca="1" si="108"/>
        <v>0</v>
      </c>
    </row>
    <row r="633" spans="7:35" ht="15.75" thickBot="1" x14ac:dyDescent="0.3">
      <c r="G633" s="3">
        <f t="shared" si="100"/>
        <v>171</v>
      </c>
      <c r="H633" s="106">
        <f t="shared" si="99"/>
        <v>44731</v>
      </c>
      <c r="I633" s="133">
        <f>HLOOKUP($H$4,'Met Data'!$A$2:$F$368,G633,FALSE)</f>
        <v>10.906896551724101</v>
      </c>
      <c r="J633" s="131">
        <f ca="1">HLOOKUP($H$4,'Met Data'!$H$2:$M$368,G633,FALSE)*L633</f>
        <v>4.07</v>
      </c>
      <c r="K633" s="107">
        <f>HLOOKUP($H$4,'Met Data'!$O$2:$T$368,G633,FALSE)</f>
        <v>1.1347149368896201</v>
      </c>
      <c r="L633">
        <f t="shared" ca="1" si="101"/>
        <v>1</v>
      </c>
      <c r="N633" t="b">
        <f t="shared" ca="1" si="102"/>
        <v>0</v>
      </c>
      <c r="O633" t="b">
        <f t="shared" ca="1" si="103"/>
        <v>0</v>
      </c>
      <c r="P633">
        <f ca="1"/>
        <v>44878</v>
      </c>
      <c r="Q633">
        <f ca="1"/>
        <v>116.46640607365296</v>
      </c>
      <c r="R633">
        <f ca="1"/>
        <v>0.84506260245612497</v>
      </c>
      <c r="S633">
        <f ca="1"/>
        <v>8.9857763149786844E-25</v>
      </c>
      <c r="T633">
        <f ca="1"/>
        <v>0.43303983782111855</v>
      </c>
      <c r="U633">
        <f ca="1"/>
        <v>0</v>
      </c>
      <c r="V633">
        <f ca="1"/>
        <v>92.111700190522996</v>
      </c>
      <c r="W633">
        <f ca="1"/>
        <v>63.682163094682601</v>
      </c>
      <c r="X633">
        <f ca="1"/>
        <v>0</v>
      </c>
      <c r="Y633">
        <f ca="1"/>
        <v>0.90116216256781778</v>
      </c>
      <c r="Z633">
        <f ca="1"/>
        <v>0</v>
      </c>
      <c r="AA633">
        <f ca="1"/>
        <v>0</v>
      </c>
      <c r="AB633">
        <f ca="1"/>
        <v>0.79626530966214404</v>
      </c>
      <c r="AD633" s="2">
        <f t="shared" ca="1" si="104"/>
        <v>44878</v>
      </c>
      <c r="AE633" s="46">
        <f t="shared" ca="1" si="105"/>
        <v>0</v>
      </c>
      <c r="AG633" s="72">
        <f t="shared" ca="1" si="106"/>
        <v>117.31146867610909</v>
      </c>
      <c r="AH633" s="72">
        <f t="shared" ca="1" si="107"/>
        <v>117.31146867610909</v>
      </c>
      <c r="AI633" s="3">
        <f t="shared" ca="1" si="108"/>
        <v>0</v>
      </c>
    </row>
    <row r="634" spans="7:35" ht="15.75" thickBot="1" x14ac:dyDescent="0.3">
      <c r="G634" s="3">
        <f t="shared" si="100"/>
        <v>172</v>
      </c>
      <c r="H634" s="106">
        <f t="shared" si="99"/>
        <v>44732</v>
      </c>
      <c r="I634" s="133">
        <f>HLOOKUP($H$4,'Met Data'!$A$2:$F$368,G634,FALSE)</f>
        <v>11.072413793103401</v>
      </c>
      <c r="J634" s="131">
        <f ca="1">HLOOKUP($H$4,'Met Data'!$H$2:$M$368,G634,FALSE)*L634</f>
        <v>5.89333333333333</v>
      </c>
      <c r="K634" s="107">
        <f>HLOOKUP($H$4,'Met Data'!$O$2:$T$368,G634,FALSE)</f>
        <v>1.25671546368113</v>
      </c>
      <c r="L634">
        <f t="shared" ca="1" si="101"/>
        <v>1</v>
      </c>
      <c r="N634" t="b">
        <f t="shared" ca="1" si="102"/>
        <v>0</v>
      </c>
      <c r="O634" t="b">
        <f t="shared" ca="1" si="103"/>
        <v>0</v>
      </c>
      <c r="P634">
        <f ca="1"/>
        <v>44879</v>
      </c>
      <c r="Q634">
        <f ca="1"/>
        <v>116.07982113475828</v>
      </c>
      <c r="R634">
        <f ca="1"/>
        <v>0.81517267350093903</v>
      </c>
      <c r="S634">
        <f ca="1"/>
        <v>7.5047715191891853E-25</v>
      </c>
      <c r="T634">
        <f ca="1"/>
        <v>0.42858773460625488</v>
      </c>
      <c r="U634">
        <f ca="1"/>
        <v>0</v>
      </c>
      <c r="V634">
        <f ca="1"/>
        <v>92.926872864024006</v>
      </c>
      <c r="W634">
        <f ca="1"/>
        <v>64.245739264016606</v>
      </c>
      <c r="X634">
        <f ca="1"/>
        <v>0</v>
      </c>
      <c r="Y634">
        <f ca="1"/>
        <v>0.89644658421443468</v>
      </c>
      <c r="Z634">
        <f ca="1"/>
        <v>0</v>
      </c>
      <c r="AA634">
        <f ca="1"/>
        <v>0</v>
      </c>
      <c r="AB634">
        <f ca="1"/>
        <v>0.79660059700002195</v>
      </c>
      <c r="AD634" s="2">
        <f t="shared" ca="1" si="104"/>
        <v>44879</v>
      </c>
      <c r="AE634" s="46">
        <f t="shared" ca="1" si="105"/>
        <v>0</v>
      </c>
      <c r="AG634" s="72">
        <f t="shared" ca="1" si="106"/>
        <v>116.89499380825922</v>
      </c>
      <c r="AH634" s="72">
        <f t="shared" ca="1" si="107"/>
        <v>116.89499380825922</v>
      </c>
      <c r="AI634" s="3">
        <f t="shared" ca="1" si="108"/>
        <v>0</v>
      </c>
    </row>
    <row r="635" spans="7:35" ht="15.75" thickBot="1" x14ac:dyDescent="0.3">
      <c r="G635" s="3">
        <f t="shared" si="100"/>
        <v>173</v>
      </c>
      <c r="H635" s="106">
        <f t="shared" si="99"/>
        <v>44733</v>
      </c>
      <c r="I635" s="133">
        <f>HLOOKUP($H$4,'Met Data'!$A$2:$F$368,G635,FALSE)</f>
        <v>11.1844827586206</v>
      </c>
      <c r="J635" s="131">
        <f ca="1">HLOOKUP($H$4,'Met Data'!$H$2:$M$368,G635,FALSE)*L635</f>
        <v>2.27</v>
      </c>
      <c r="K635" s="107">
        <f>HLOOKUP($H$4,'Met Data'!$O$2:$T$368,G635,FALSE)</f>
        <v>1.3590610231009399</v>
      </c>
      <c r="L635">
        <f t="shared" ca="1" si="101"/>
        <v>1</v>
      </c>
      <c r="N635" t="b">
        <f t="shared" ca="1" si="102"/>
        <v>0</v>
      </c>
      <c r="O635" t="b">
        <f t="shared" ca="1" si="103"/>
        <v>0</v>
      </c>
      <c r="P635">
        <f ca="1"/>
        <v>44880</v>
      </c>
      <c r="Q635">
        <f ca="1"/>
        <v>115.70596621326621</v>
      </c>
      <c r="R635">
        <f ca="1"/>
        <v>0.80766464887061296</v>
      </c>
      <c r="S635">
        <f ca="1"/>
        <v>6.3883867344115958E-25</v>
      </c>
      <c r="T635">
        <f ca="1"/>
        <v>0.43380972737853896</v>
      </c>
      <c r="U635">
        <f ca="1"/>
        <v>0</v>
      </c>
      <c r="V635">
        <f ca="1"/>
        <v>93.734537512894605</v>
      </c>
      <c r="W635">
        <f ca="1"/>
        <v>64.804124700272794</v>
      </c>
      <c r="X635">
        <f ca="1"/>
        <v>0</v>
      </c>
      <c r="Y635">
        <f ca="1"/>
        <v>0.88249976536769792</v>
      </c>
      <c r="Z635">
        <f ca="1"/>
        <v>0</v>
      </c>
      <c r="AA635">
        <f ca="1"/>
        <v>0</v>
      </c>
      <c r="AB635">
        <f ca="1"/>
        <v>0.79691305215744601</v>
      </c>
      <c r="AD635" s="2">
        <f t="shared" ca="1" si="104"/>
        <v>44880</v>
      </c>
      <c r="AE635" s="46">
        <f t="shared" ca="1" si="105"/>
        <v>0</v>
      </c>
      <c r="AG635" s="72">
        <f t="shared" ca="1" si="106"/>
        <v>116.51363086213682</v>
      </c>
      <c r="AH635" s="72">
        <f t="shared" ca="1" si="107"/>
        <v>116.51363086213682</v>
      </c>
      <c r="AI635" s="3">
        <f t="shared" ca="1" si="108"/>
        <v>0</v>
      </c>
    </row>
    <row r="636" spans="7:35" ht="15.75" thickBot="1" x14ac:dyDescent="0.3">
      <c r="G636" s="3">
        <f t="shared" si="100"/>
        <v>174</v>
      </c>
      <c r="H636" s="106">
        <f t="shared" si="99"/>
        <v>44734</v>
      </c>
      <c r="I636" s="133">
        <f>HLOOKUP($H$4,'Met Data'!$A$2:$F$368,G636,FALSE)</f>
        <v>10.84</v>
      </c>
      <c r="J636" s="131">
        <f ca="1">HLOOKUP($H$4,'Met Data'!$H$2:$M$368,G636,FALSE)*L636</f>
        <v>2.2633333333333301</v>
      </c>
      <c r="K636" s="107">
        <f>HLOOKUP($H$4,'Met Data'!$O$2:$T$368,G636,FALSE)</f>
        <v>1.3770648366319</v>
      </c>
      <c r="L636">
        <f t="shared" ca="1" si="101"/>
        <v>1</v>
      </c>
      <c r="N636" t="b">
        <f t="shared" ca="1" si="102"/>
        <v>0</v>
      </c>
      <c r="O636" t="b">
        <f t="shared" ca="1" si="103"/>
        <v>0</v>
      </c>
      <c r="P636">
        <f ca="1"/>
        <v>44881</v>
      </c>
      <c r="Q636">
        <f ca="1"/>
        <v>115.35819404761222</v>
      </c>
      <c r="R636">
        <f ca="1"/>
        <v>0.79705284421275702</v>
      </c>
      <c r="S636">
        <f ca="1"/>
        <v>5.5401814126512099E-25</v>
      </c>
      <c r="T636">
        <f ca="1"/>
        <v>0.4492806785587643</v>
      </c>
      <c r="U636">
        <f ca="1"/>
        <v>0</v>
      </c>
      <c r="V636">
        <f ca="1"/>
        <v>94.531590357107305</v>
      </c>
      <c r="W636">
        <f ca="1"/>
        <v>65.355173580222399</v>
      </c>
      <c r="X636">
        <f ca="1"/>
        <v>0</v>
      </c>
      <c r="Y636">
        <f ca="1"/>
        <v>0.88866504039510852</v>
      </c>
      <c r="Z636">
        <f ca="1"/>
        <v>0</v>
      </c>
      <c r="AA636">
        <f ca="1"/>
        <v>0</v>
      </c>
      <c r="AB636">
        <f ca="1"/>
        <v>0.79720285633766697</v>
      </c>
      <c r="AD636" s="2">
        <f t="shared" ca="1" si="104"/>
        <v>44881</v>
      </c>
      <c r="AE636" s="46">
        <f t="shared" ca="1" si="105"/>
        <v>0</v>
      </c>
      <c r="AG636" s="72">
        <f t="shared" ca="1" si="106"/>
        <v>116.15524689182497</v>
      </c>
      <c r="AH636" s="72">
        <f t="shared" ca="1" si="107"/>
        <v>116.15524689182497</v>
      </c>
      <c r="AI636" s="3">
        <f t="shared" ca="1" si="108"/>
        <v>0</v>
      </c>
    </row>
    <row r="637" spans="7:35" ht="15.75" thickBot="1" x14ac:dyDescent="0.3">
      <c r="G637" s="3">
        <f t="shared" si="100"/>
        <v>175</v>
      </c>
      <c r="H637" s="106">
        <f t="shared" si="99"/>
        <v>44735</v>
      </c>
      <c r="I637" s="133">
        <f>HLOOKUP($H$4,'Met Data'!$A$2:$F$368,G637,FALSE)</f>
        <v>10.578333333333299</v>
      </c>
      <c r="J637" s="131">
        <f ca="1">HLOOKUP($H$4,'Met Data'!$H$2:$M$368,G637,FALSE)*L637</f>
        <v>4.8499999999999996</v>
      </c>
      <c r="K637" s="107">
        <f>HLOOKUP($H$4,'Met Data'!$O$2:$T$368,G637,FALSE)</f>
        <v>1.14995789296724</v>
      </c>
      <c r="L637">
        <f t="shared" ca="1" si="101"/>
        <v>1</v>
      </c>
      <c r="N637" t="b">
        <f t="shared" ca="1" si="102"/>
        <v>0</v>
      </c>
      <c r="O637" t="b">
        <f t="shared" ca="1" si="103"/>
        <v>0</v>
      </c>
      <c r="P637">
        <f ca="1"/>
        <v>44882</v>
      </c>
      <c r="Q637">
        <f ca="1"/>
        <v>115.03677449952801</v>
      </c>
      <c r="R637">
        <f ca="1"/>
        <v>0.74949313714425603</v>
      </c>
      <c r="S637">
        <f ca="1"/>
        <v>4.4593982078546954E-25</v>
      </c>
      <c r="T637">
        <f ca="1"/>
        <v>0.42807358906005122</v>
      </c>
      <c r="U637">
        <f ca="1"/>
        <v>0</v>
      </c>
      <c r="V637">
        <f ca="1"/>
        <v>95.281083494251604</v>
      </c>
      <c r="W637">
        <f ca="1"/>
        <v>65.873341675038205</v>
      </c>
      <c r="X637">
        <f ca="1"/>
        <v>0</v>
      </c>
      <c r="Y637">
        <f ca="1"/>
        <v>0.8758812747170619</v>
      </c>
      <c r="Z637">
        <f ca="1"/>
        <v>0</v>
      </c>
      <c r="AA637">
        <f ca="1"/>
        <v>0</v>
      </c>
      <c r="AB637">
        <f ca="1"/>
        <v>0.79745916937780104</v>
      </c>
      <c r="AD637" s="2">
        <f t="shared" ca="1" si="104"/>
        <v>44882</v>
      </c>
      <c r="AE637" s="46">
        <f t="shared" ca="1" si="105"/>
        <v>0</v>
      </c>
      <c r="AG637" s="72">
        <f t="shared" ca="1" si="106"/>
        <v>115.78626763667226</v>
      </c>
      <c r="AH637" s="72">
        <f t="shared" ca="1" si="107"/>
        <v>115.78626763667226</v>
      </c>
      <c r="AI637" s="3">
        <f t="shared" ca="1" si="108"/>
        <v>0</v>
      </c>
    </row>
    <row r="638" spans="7:35" ht="15.75" thickBot="1" x14ac:dyDescent="0.3">
      <c r="G638" s="3">
        <f t="shared" si="100"/>
        <v>176</v>
      </c>
      <c r="H638" s="106">
        <f t="shared" si="99"/>
        <v>44736</v>
      </c>
      <c r="I638" s="133">
        <f>HLOOKUP($H$4,'Met Data'!$A$2:$F$368,G638,FALSE)</f>
        <v>10.6928571428571</v>
      </c>
      <c r="J638" s="131">
        <f ca="1">HLOOKUP($H$4,'Met Data'!$H$2:$M$368,G638,FALSE)*L638</f>
        <v>6.4607142857142801</v>
      </c>
      <c r="K638" s="107">
        <f>HLOOKUP($H$4,'Met Data'!$O$2:$T$368,G638,FALSE)</f>
        <v>1.1771575957217399</v>
      </c>
      <c r="L638">
        <f t="shared" ca="1" si="101"/>
        <v>1</v>
      </c>
      <c r="N638" t="b">
        <f t="shared" ca="1" si="102"/>
        <v>0</v>
      </c>
      <c r="O638" t="b">
        <f t="shared" ca="1" si="103"/>
        <v>0</v>
      </c>
      <c r="P638">
        <f ca="1"/>
        <v>44883</v>
      </c>
      <c r="Q638">
        <f ca="1"/>
        <v>114.7397033348534</v>
      </c>
      <c r="R638">
        <f ca="1"/>
        <v>0.705341159098964</v>
      </c>
      <c r="S638">
        <f ca="1"/>
        <v>3.6179016141186325E-25</v>
      </c>
      <c r="T638">
        <f ca="1"/>
        <v>0.40826999442435258</v>
      </c>
      <c r="U638">
        <f ca="1"/>
        <v>0</v>
      </c>
      <c r="V638">
        <f ca="1"/>
        <v>95.986424653350596</v>
      </c>
      <c r="W638">
        <f ca="1"/>
        <v>66.360984945526297</v>
      </c>
      <c r="X638">
        <f ca="1"/>
        <v>0</v>
      </c>
      <c r="Y638">
        <f ca="1"/>
        <v>0.86302556494680793</v>
      </c>
      <c r="Z638">
        <f ca="1"/>
        <v>0</v>
      </c>
      <c r="AA638">
        <f ca="1"/>
        <v>0</v>
      </c>
      <c r="AB638">
        <f ca="1"/>
        <v>0.797686535968397</v>
      </c>
      <c r="AD638" s="2">
        <f t="shared" ca="1" si="104"/>
        <v>44883</v>
      </c>
      <c r="AE638" s="46">
        <f t="shared" ca="1" si="105"/>
        <v>0</v>
      </c>
      <c r="AG638" s="72">
        <f t="shared" ca="1" si="106"/>
        <v>115.44504449395237</v>
      </c>
      <c r="AH638" s="72">
        <f t="shared" ca="1" si="107"/>
        <v>115.44504449395237</v>
      </c>
      <c r="AI638" s="3">
        <f t="shared" ca="1" si="108"/>
        <v>0</v>
      </c>
    </row>
    <row r="639" spans="7:35" ht="15.75" thickBot="1" x14ac:dyDescent="0.3">
      <c r="G639" s="3">
        <f t="shared" si="100"/>
        <v>177</v>
      </c>
      <c r="H639" s="106">
        <f t="shared" si="99"/>
        <v>44737</v>
      </c>
      <c r="I639" s="133">
        <f>HLOOKUP($H$4,'Met Data'!$A$2:$F$368,G639,FALSE)</f>
        <v>10.8642857142857</v>
      </c>
      <c r="J639" s="131">
        <f ca="1">HLOOKUP($H$4,'Met Data'!$H$2:$M$368,G639,FALSE)*L639</f>
        <v>8.7785714285714196</v>
      </c>
      <c r="K639" s="107">
        <f>HLOOKUP($H$4,'Met Data'!$O$2:$T$368,G639,FALSE)</f>
        <v>1.3519764431878101</v>
      </c>
      <c r="L639">
        <f t="shared" ca="1" si="101"/>
        <v>1</v>
      </c>
      <c r="N639" t="b">
        <f t="shared" ca="1" si="102"/>
        <v>0</v>
      </c>
      <c r="O639" t="b">
        <f t="shared" ca="1" si="103"/>
        <v>0</v>
      </c>
      <c r="P639">
        <f ca="1"/>
        <v>44884</v>
      </c>
      <c r="Q639">
        <f ca="1"/>
        <v>114.45839029428001</v>
      </c>
      <c r="R639">
        <f ca="1"/>
        <v>0.679518646441579</v>
      </c>
      <c r="S639">
        <f ca="1"/>
        <v>3.0083686719638221E-25</v>
      </c>
      <c r="T639">
        <f ca="1"/>
        <v>0.39820560586818371</v>
      </c>
      <c r="U639">
        <f ca="1"/>
        <v>0</v>
      </c>
      <c r="V639">
        <f ca="1"/>
        <v>96.665943299792104</v>
      </c>
      <c r="W639">
        <f ca="1"/>
        <v>66.830775614671097</v>
      </c>
      <c r="X639">
        <f ca="1"/>
        <v>0</v>
      </c>
      <c r="Y639">
        <f ca="1"/>
        <v>0.84514559648342846</v>
      </c>
      <c r="Z639">
        <f ca="1"/>
        <v>0</v>
      </c>
      <c r="AA639">
        <f ca="1"/>
        <v>0</v>
      </c>
      <c r="AB639">
        <f ca="1"/>
        <v>0.79789329106513196</v>
      </c>
      <c r="AD639" s="2">
        <f t="shared" ca="1" si="104"/>
        <v>44884</v>
      </c>
      <c r="AE639" s="46">
        <f t="shared" ca="1" si="105"/>
        <v>0</v>
      </c>
      <c r="AG639" s="72">
        <f t="shared" ca="1" si="106"/>
        <v>115.13790894072159</v>
      </c>
      <c r="AH639" s="72">
        <f t="shared" ca="1" si="107"/>
        <v>115.13790894072159</v>
      </c>
      <c r="AI639" s="3">
        <f t="shared" ca="1" si="108"/>
        <v>0</v>
      </c>
    </row>
    <row r="640" spans="7:35" ht="15.75" thickBot="1" x14ac:dyDescent="0.3">
      <c r="G640" s="3">
        <f t="shared" si="100"/>
        <v>178</v>
      </c>
      <c r="H640" s="106">
        <f t="shared" si="99"/>
        <v>44738</v>
      </c>
      <c r="I640" s="133">
        <f>HLOOKUP($H$4,'Met Data'!$A$2:$F$368,G640,FALSE)</f>
        <v>10.492857142857099</v>
      </c>
      <c r="J640" s="131">
        <f ca="1">HLOOKUP($H$4,'Met Data'!$H$2:$M$368,G640,FALSE)*L640</f>
        <v>3.8</v>
      </c>
      <c r="K640" s="107">
        <f>HLOOKUP($H$4,'Met Data'!$O$2:$T$368,G640,FALSE)</f>
        <v>1.34392263247945</v>
      </c>
      <c r="L640">
        <f t="shared" ca="1" si="101"/>
        <v>1</v>
      </c>
      <c r="N640" t="b">
        <f t="shared" ca="1" si="102"/>
        <v>0</v>
      </c>
      <c r="O640" t="b">
        <f t="shared" ca="1" si="103"/>
        <v>0</v>
      </c>
      <c r="P640">
        <f ca="1"/>
        <v>44885</v>
      </c>
      <c r="Q640">
        <f ca="1"/>
        <v>114.19149857046672</v>
      </c>
      <c r="R640">
        <f ca="1"/>
        <v>0.67376296378363099</v>
      </c>
      <c r="S640">
        <f ca="1"/>
        <v>2.6104082544628377E-25</v>
      </c>
      <c r="T640">
        <f ca="1"/>
        <v>0.40687123997033681</v>
      </c>
      <c r="U640">
        <f ca="1"/>
        <v>0</v>
      </c>
      <c r="V640">
        <f ca="1"/>
        <v>97.339706263575806</v>
      </c>
      <c r="W640">
        <f ca="1"/>
        <v>67.2965870464228</v>
      </c>
      <c r="X640">
        <f ca="1"/>
        <v>0</v>
      </c>
      <c r="Y640">
        <f ca="1"/>
        <v>0.83495227553654794</v>
      </c>
      <c r="Z640">
        <f ca="1"/>
        <v>0</v>
      </c>
      <c r="AA640">
        <f ca="1"/>
        <v>0</v>
      </c>
      <c r="AB640">
        <f ca="1"/>
        <v>0.79808675814490404</v>
      </c>
      <c r="AD640" s="2">
        <f t="shared" ca="1" si="104"/>
        <v>44885</v>
      </c>
      <c r="AE640" s="46">
        <f t="shared" ca="1" si="105"/>
        <v>0</v>
      </c>
      <c r="AG640" s="72">
        <f t="shared" ca="1" si="106"/>
        <v>114.86526153425035</v>
      </c>
      <c r="AH640" s="72">
        <f t="shared" ca="1" si="107"/>
        <v>114.86526153425035</v>
      </c>
      <c r="AI640" s="3">
        <f t="shared" ca="1" si="108"/>
        <v>0</v>
      </c>
    </row>
    <row r="641" spans="7:35" ht="15.75" thickBot="1" x14ac:dyDescent="0.3">
      <c r="G641" s="3">
        <f t="shared" si="100"/>
        <v>179</v>
      </c>
      <c r="H641" s="106">
        <f t="shared" si="99"/>
        <v>44739</v>
      </c>
      <c r="I641" s="133">
        <f>HLOOKUP($H$4,'Met Data'!$A$2:$F$368,G641,FALSE)</f>
        <v>10.592857142857101</v>
      </c>
      <c r="J641" s="131">
        <f ca="1">HLOOKUP($H$4,'Met Data'!$H$2:$M$368,G641,FALSE)*L641</f>
        <v>2.81785714285714</v>
      </c>
      <c r="K641" s="107">
        <f>HLOOKUP($H$4,'Met Data'!$O$2:$T$368,G641,FALSE)</f>
        <v>1.47912334327964</v>
      </c>
      <c r="L641">
        <f t="shared" ca="1" si="101"/>
        <v>1</v>
      </c>
      <c r="N641" t="b">
        <f t="shared" ca="1" si="102"/>
        <v>0</v>
      </c>
      <c r="O641" t="b">
        <f t="shared" ca="1" si="103"/>
        <v>0</v>
      </c>
      <c r="P641">
        <f ca="1"/>
        <v>44886</v>
      </c>
      <c r="Q641">
        <f ca="1"/>
        <v>113.94640550575757</v>
      </c>
      <c r="R641">
        <f ca="1"/>
        <v>0.65184177126646103</v>
      </c>
      <c r="S641">
        <f ca="1"/>
        <v>2.2203615075604077E-25</v>
      </c>
      <c r="T641">
        <f ca="1"/>
        <v>0.40674870655730749</v>
      </c>
      <c r="U641">
        <f ca="1"/>
        <v>0</v>
      </c>
      <c r="V641">
        <f ca="1"/>
        <v>97.991548034842197</v>
      </c>
      <c r="W641">
        <f ca="1"/>
        <v>67.747243085816805</v>
      </c>
      <c r="X641">
        <f ca="1"/>
        <v>0</v>
      </c>
      <c r="Y641">
        <f ca="1"/>
        <v>0.82999870691673605</v>
      </c>
      <c r="Z641">
        <f ca="1"/>
        <v>0</v>
      </c>
      <c r="AA641">
        <f ca="1"/>
        <v>0</v>
      </c>
      <c r="AB641">
        <f ca="1"/>
        <v>0.79826332500070096</v>
      </c>
      <c r="AD641" s="2">
        <f t="shared" ca="1" si="104"/>
        <v>44886</v>
      </c>
      <c r="AE641" s="46">
        <f t="shared" ca="1" si="105"/>
        <v>0</v>
      </c>
      <c r="AG641" s="72">
        <f t="shared" ca="1" si="106"/>
        <v>114.59824727702403</v>
      </c>
      <c r="AH641" s="72">
        <f t="shared" ca="1" si="107"/>
        <v>114.59824727702403</v>
      </c>
      <c r="AI641" s="3">
        <f t="shared" ca="1" si="108"/>
        <v>0</v>
      </c>
    </row>
    <row r="642" spans="7:35" ht="15.75" thickBot="1" x14ac:dyDescent="0.3">
      <c r="G642" s="3">
        <f t="shared" si="100"/>
        <v>180</v>
      </c>
      <c r="H642" s="106">
        <f t="shared" si="99"/>
        <v>44740</v>
      </c>
      <c r="I642" s="133">
        <f>HLOOKUP($H$4,'Met Data'!$A$2:$F$368,G642,FALSE)</f>
        <v>10.465517241379301</v>
      </c>
      <c r="J642" s="131">
        <f ca="1">HLOOKUP($H$4,'Met Data'!$H$2:$M$368,G642,FALSE)*L642</f>
        <v>5.6517241379310299</v>
      </c>
      <c r="K642" s="107">
        <f>HLOOKUP($H$4,'Met Data'!$O$2:$T$368,G642,FALSE)</f>
        <v>1.2990420850019999</v>
      </c>
      <c r="L642">
        <f t="shared" ca="1" si="101"/>
        <v>1</v>
      </c>
      <c r="N642" t="b">
        <f t="shared" ca="1" si="102"/>
        <v>0</v>
      </c>
      <c r="O642" t="b">
        <f t="shared" ca="1" si="103"/>
        <v>0</v>
      </c>
      <c r="P642">
        <f ca="1"/>
        <v>44887</v>
      </c>
      <c r="Q642">
        <f ca="1"/>
        <v>113.72678077018944</v>
      </c>
      <c r="R642">
        <f ca="1"/>
        <v>0.63637675983156305</v>
      </c>
      <c r="S642">
        <f ca="1"/>
        <v>1.9295217079331896E-25</v>
      </c>
      <c r="T642">
        <f ca="1"/>
        <v>0.41675202426343672</v>
      </c>
      <c r="U642">
        <f ca="1"/>
        <v>0</v>
      </c>
      <c r="V642">
        <f ca="1"/>
        <v>98.627924794673802</v>
      </c>
      <c r="W642">
        <f ca="1"/>
        <v>68.187207265453495</v>
      </c>
      <c r="X642">
        <f ca="1"/>
        <v>0</v>
      </c>
      <c r="Y642">
        <f ca="1"/>
        <v>0.83437359027004132</v>
      </c>
      <c r="Z642">
        <f ca="1"/>
        <v>0</v>
      </c>
      <c r="AA642">
        <f ca="1"/>
        <v>0</v>
      </c>
      <c r="AB642">
        <f ca="1"/>
        <v>0.79842593318244504</v>
      </c>
      <c r="AD642" s="2">
        <f t="shared" ca="1" si="104"/>
        <v>44887</v>
      </c>
      <c r="AE642" s="46">
        <f t="shared" ca="1" si="105"/>
        <v>0</v>
      </c>
      <c r="AG642" s="72">
        <f t="shared" ca="1" si="106"/>
        <v>114.363157530021</v>
      </c>
      <c r="AH642" s="72">
        <f t="shared" ca="1" si="107"/>
        <v>114.363157530021</v>
      </c>
      <c r="AI642" s="3">
        <f t="shared" ca="1" si="108"/>
        <v>0</v>
      </c>
    </row>
    <row r="643" spans="7:35" ht="15.75" thickBot="1" x14ac:dyDescent="0.3">
      <c r="G643" s="3">
        <f t="shared" si="100"/>
        <v>181</v>
      </c>
      <c r="H643" s="106">
        <f t="shared" si="99"/>
        <v>44741</v>
      </c>
      <c r="I643" s="133">
        <f>HLOOKUP($H$4,'Met Data'!$A$2:$F$368,G643,FALSE)</f>
        <v>10.572413793103401</v>
      </c>
      <c r="J643" s="131">
        <f ca="1">HLOOKUP($H$4,'Met Data'!$H$2:$M$368,G643,FALSE)*L643</f>
        <v>5.2517241379310304</v>
      </c>
      <c r="K643" s="107">
        <f>HLOOKUP($H$4,'Met Data'!$O$2:$T$368,G643,FALSE)</f>
        <v>1.2839514040086699</v>
      </c>
      <c r="L643">
        <f t="shared" ca="1" si="101"/>
        <v>1</v>
      </c>
      <c r="N643" t="b">
        <f t="shared" ca="1" si="102"/>
        <v>0</v>
      </c>
      <c r="O643" t="b">
        <f t="shared" ca="1" si="103"/>
        <v>0</v>
      </c>
      <c r="P643">
        <f ca="1"/>
        <v>44888</v>
      </c>
      <c r="Q643">
        <f ca="1"/>
        <v>113.52735272459135</v>
      </c>
      <c r="R643">
        <f ca="1"/>
        <v>0.62073544628491095</v>
      </c>
      <c r="S643">
        <f ca="1"/>
        <v>1.6497712965378494E-25</v>
      </c>
      <c r="T643">
        <f ca="1"/>
        <v>0.42130740068683131</v>
      </c>
      <c r="U643">
        <f ca="1"/>
        <v>0</v>
      </c>
      <c r="V643">
        <f ca="1"/>
        <v>99.248660240958699</v>
      </c>
      <c r="W643">
        <f ca="1"/>
        <v>68.616357697452898</v>
      </c>
      <c r="X643">
        <f ca="1"/>
        <v>0</v>
      </c>
      <c r="Y643">
        <f ca="1"/>
        <v>0.82794740858114479</v>
      </c>
      <c r="Z643">
        <f ca="1"/>
        <v>0</v>
      </c>
      <c r="AA643">
        <f ca="1"/>
        <v>0</v>
      </c>
      <c r="AB643">
        <f ca="1"/>
        <v>0.798575505942547</v>
      </c>
      <c r="AD643" s="2">
        <f t="shared" ca="1" si="104"/>
        <v>44888</v>
      </c>
      <c r="AE643" s="46">
        <f t="shared" ca="1" si="105"/>
        <v>0</v>
      </c>
      <c r="AG643" s="72">
        <f t="shared" ca="1" si="106"/>
        <v>114.14808817087626</v>
      </c>
      <c r="AH643" s="72">
        <f t="shared" ca="1" si="107"/>
        <v>114.14808817087626</v>
      </c>
      <c r="AI643" s="3">
        <f t="shared" ca="1" si="108"/>
        <v>0</v>
      </c>
    </row>
    <row r="644" spans="7:35" ht="15.75" thickBot="1" x14ac:dyDescent="0.3">
      <c r="G644" s="3">
        <f t="shared" si="100"/>
        <v>182</v>
      </c>
      <c r="H644" s="106">
        <f t="shared" si="99"/>
        <v>44742</v>
      </c>
      <c r="I644" s="133">
        <f>HLOOKUP($H$4,'Met Data'!$A$2:$F$368,G644,FALSE)</f>
        <v>10.655357142857101</v>
      </c>
      <c r="J644" s="131">
        <f ca="1">HLOOKUP($H$4,'Met Data'!$H$2:$M$368,G644,FALSE)*L644</f>
        <v>7.4689655172413696</v>
      </c>
      <c r="K644" s="107">
        <f>HLOOKUP($H$4,'Met Data'!$O$2:$T$368,G644,FALSE)</f>
        <v>1.3058632096396601</v>
      </c>
      <c r="L644">
        <f t="shared" ca="1" si="101"/>
        <v>1</v>
      </c>
      <c r="N644" t="b">
        <f t="shared" ca="1" si="102"/>
        <v>0</v>
      </c>
      <c r="O644" t="b">
        <f t="shared" ca="1" si="103"/>
        <v>0</v>
      </c>
      <c r="P644">
        <f ca="1"/>
        <v>44889</v>
      </c>
      <c r="Q644">
        <f ca="1"/>
        <v>113.34832395923993</v>
      </c>
      <c r="R644">
        <f ca="1"/>
        <v>0.58992496120174598</v>
      </c>
      <c r="S644">
        <f ca="1"/>
        <v>1.3680376081103057E-25</v>
      </c>
      <c r="T644">
        <f ca="1"/>
        <v>0.4108961958503225</v>
      </c>
      <c r="U644">
        <f ca="1"/>
        <v>0</v>
      </c>
      <c r="V644">
        <f ca="1"/>
        <v>99.838585202160502</v>
      </c>
      <c r="W644">
        <f ca="1"/>
        <v>69.024207053345506</v>
      </c>
      <c r="X644">
        <f ca="1"/>
        <v>0</v>
      </c>
      <c r="Y644">
        <f ca="1"/>
        <v>0.81834524341361714</v>
      </c>
      <c r="Z644">
        <f ca="1"/>
        <v>0</v>
      </c>
      <c r="AA644">
        <f ca="1"/>
        <v>0</v>
      </c>
      <c r="AB644">
        <f ca="1"/>
        <v>0.79870960421906601</v>
      </c>
      <c r="AD644" s="2">
        <f t="shared" ca="1" si="104"/>
        <v>44889</v>
      </c>
      <c r="AE644" s="46">
        <f t="shared" ca="1" si="105"/>
        <v>0</v>
      </c>
      <c r="AG644" s="72">
        <f t="shared" ca="1" si="106"/>
        <v>113.93824892044168</v>
      </c>
      <c r="AH644" s="72">
        <f t="shared" ca="1" si="107"/>
        <v>113.93824892044168</v>
      </c>
      <c r="AI644" s="3">
        <f t="shared" ca="1" si="108"/>
        <v>0</v>
      </c>
    </row>
    <row r="645" spans="7:35" ht="15.75" thickBot="1" x14ac:dyDescent="0.3">
      <c r="G645" s="3">
        <f t="shared" si="100"/>
        <v>183</v>
      </c>
      <c r="H645" s="106">
        <f t="shared" si="99"/>
        <v>44743</v>
      </c>
      <c r="I645" s="133">
        <f>HLOOKUP($H$4,'Met Data'!$A$2:$F$368,G645,FALSE)</f>
        <v>10.0517857142857</v>
      </c>
      <c r="J645" s="131">
        <f ca="1">HLOOKUP($H$4,'Met Data'!$H$2:$M$368,G645,FALSE)*L645</f>
        <v>3.5392857142857101</v>
      </c>
      <c r="K645" s="107">
        <f>HLOOKUP($H$4,'Met Data'!$O$2:$T$368,G645,FALSE)</f>
        <v>1.4482050520096601</v>
      </c>
      <c r="L645">
        <f t="shared" ca="1" si="101"/>
        <v>1</v>
      </c>
      <c r="N645" t="b">
        <f t="shared" ca="1" si="102"/>
        <v>0</v>
      </c>
      <c r="O645" t="b">
        <f t="shared" ca="1" si="103"/>
        <v>0</v>
      </c>
      <c r="P645">
        <f ca="1"/>
        <v>44890</v>
      </c>
      <c r="Q645">
        <f ca="1"/>
        <v>113.18640575522528</v>
      </c>
      <c r="R645">
        <f ca="1"/>
        <v>0.58901765590187005</v>
      </c>
      <c r="S645">
        <f ca="1"/>
        <v>1.1975718159299893E-25</v>
      </c>
      <c r="T645">
        <f ca="1"/>
        <v>0.42709945188721954</v>
      </c>
      <c r="U645">
        <f ca="1"/>
        <v>0</v>
      </c>
      <c r="V645">
        <f ca="1"/>
        <v>100.427602858062</v>
      </c>
      <c r="W645">
        <f ca="1"/>
        <v>69.431429136438197</v>
      </c>
      <c r="X645">
        <f ca="1"/>
        <v>0</v>
      </c>
      <c r="Y645">
        <f ca="1"/>
        <v>0.80864850664201537</v>
      </c>
      <c r="Z645">
        <f ca="1"/>
        <v>0</v>
      </c>
      <c r="AA645">
        <f ca="1"/>
        <v>0</v>
      </c>
      <c r="AB645">
        <f ca="1"/>
        <v>0.79515381528443296</v>
      </c>
      <c r="AD645" s="2">
        <f t="shared" ca="1" si="104"/>
        <v>44890</v>
      </c>
      <c r="AE645" s="46">
        <f t="shared" ca="1" si="105"/>
        <v>0</v>
      </c>
      <c r="AG645" s="72">
        <f t="shared" ca="1" si="106"/>
        <v>113.77542341112715</v>
      </c>
      <c r="AH645" s="72">
        <f t="shared" ca="1" si="107"/>
        <v>113.77542341112715</v>
      </c>
      <c r="AI645" s="3">
        <f t="shared" ca="1" si="108"/>
        <v>0</v>
      </c>
    </row>
    <row r="646" spans="7:35" ht="15.75" thickBot="1" x14ac:dyDescent="0.3">
      <c r="G646" s="3">
        <f t="shared" si="100"/>
        <v>184</v>
      </c>
      <c r="H646" s="106">
        <f t="shared" si="99"/>
        <v>44744</v>
      </c>
      <c r="I646" s="133">
        <f>HLOOKUP($H$4,'Met Data'!$A$2:$F$368,G646,FALSE)</f>
        <v>9.5678571428571395</v>
      </c>
      <c r="J646" s="131">
        <f ca="1">HLOOKUP($H$4,'Met Data'!$H$2:$M$368,G646,FALSE)*L646</f>
        <v>4.33928571428571</v>
      </c>
      <c r="K646" s="107">
        <f>HLOOKUP($H$4,'Met Data'!$O$2:$T$368,G646,FALSE)</f>
        <v>1.3964370426983801</v>
      </c>
      <c r="L646">
        <f t="shared" ca="1" si="101"/>
        <v>1</v>
      </c>
      <c r="N646" t="b">
        <f t="shared" ca="1" si="102"/>
        <v>0</v>
      </c>
      <c r="O646" t="b">
        <f t="shared" ca="1" si="103"/>
        <v>0</v>
      </c>
      <c r="P646">
        <f ca="1"/>
        <v>44891</v>
      </c>
      <c r="Q646">
        <f ca="1"/>
        <v>113.04197426441235</v>
      </c>
      <c r="R646">
        <f ca="1"/>
        <v>0.56540117066995799</v>
      </c>
      <c r="S646">
        <f ca="1"/>
        <v>9.9903583441598581E-26</v>
      </c>
      <c r="T646">
        <f ca="1"/>
        <v>0.42096967985701711</v>
      </c>
      <c r="U646">
        <f ca="1"/>
        <v>0</v>
      </c>
      <c r="V646">
        <f ca="1"/>
        <v>100.993004028732</v>
      </c>
      <c r="W646">
        <f ca="1"/>
        <v>69.822323772950696</v>
      </c>
      <c r="X646">
        <f ca="1"/>
        <v>0</v>
      </c>
      <c r="Y646">
        <f ca="1"/>
        <v>0.79494317865797803</v>
      </c>
      <c r="Z646">
        <f ca="1"/>
        <v>0</v>
      </c>
      <c r="AA646">
        <f ca="1"/>
        <v>0</v>
      </c>
      <c r="AB646">
        <f ca="1"/>
        <v>0.77914189773591602</v>
      </c>
      <c r="AD646" s="2">
        <f t="shared" ca="1" si="104"/>
        <v>44891</v>
      </c>
      <c r="AE646" s="46">
        <f t="shared" ca="1" si="105"/>
        <v>0</v>
      </c>
      <c r="AG646" s="72">
        <f t="shared" ca="1" si="106"/>
        <v>113.6073754350823</v>
      </c>
      <c r="AH646" s="72">
        <f t="shared" ca="1" si="107"/>
        <v>113.6073754350823</v>
      </c>
      <c r="AI646" s="3">
        <f t="shared" ca="1" si="108"/>
        <v>0</v>
      </c>
    </row>
    <row r="647" spans="7:35" ht="15.75" thickBot="1" x14ac:dyDescent="0.3">
      <c r="G647" s="3">
        <f t="shared" si="100"/>
        <v>185</v>
      </c>
      <c r="H647" s="106">
        <f t="shared" si="99"/>
        <v>44745</v>
      </c>
      <c r="I647" s="133">
        <f>HLOOKUP($H$4,'Met Data'!$A$2:$F$368,G647,FALSE)</f>
        <v>9.7035714285714292</v>
      </c>
      <c r="J647" s="131">
        <f ca="1">HLOOKUP($H$4,'Met Data'!$H$2:$M$368,G647,FALSE)*L647</f>
        <v>3.2666666666666599</v>
      </c>
      <c r="K647" s="107">
        <f>HLOOKUP($H$4,'Met Data'!$O$2:$T$368,G647,FALSE)</f>
        <v>1.2730824905906899</v>
      </c>
      <c r="L647">
        <f t="shared" ca="1" si="101"/>
        <v>1</v>
      </c>
      <c r="N647" t="b">
        <f t="shared" ca="1" si="102"/>
        <v>0</v>
      </c>
      <c r="O647" t="b">
        <f t="shared" ca="1" si="103"/>
        <v>0</v>
      </c>
      <c r="P647">
        <f ca="1"/>
        <v>44892</v>
      </c>
      <c r="Q647">
        <f ca="1"/>
        <v>112.9201342535347</v>
      </c>
      <c r="R647">
        <f ca="1"/>
        <v>0.52906742463829903</v>
      </c>
      <c r="S647">
        <f ca="1"/>
        <v>8.2525365201254144E-26</v>
      </c>
      <c r="T647">
        <f ca="1"/>
        <v>0.40722741376064781</v>
      </c>
      <c r="U647">
        <f ca="1"/>
        <v>0</v>
      </c>
      <c r="V647">
        <f ca="1"/>
        <v>101.522071453371</v>
      </c>
      <c r="W647">
        <f ca="1"/>
        <v>70.1880987825772</v>
      </c>
      <c r="X647">
        <f ca="1"/>
        <v>0</v>
      </c>
      <c r="Y647">
        <f ca="1"/>
        <v>0.79165136586432328</v>
      </c>
      <c r="Z647">
        <f ca="1"/>
        <v>0</v>
      </c>
      <c r="AA647">
        <f ca="1"/>
        <v>0</v>
      </c>
      <c r="AB647">
        <f ca="1"/>
        <v>0.76348968524255201</v>
      </c>
      <c r="AD647" s="2">
        <f t="shared" ca="1" si="104"/>
        <v>44892</v>
      </c>
      <c r="AE647" s="46">
        <f t="shared" ca="1" si="105"/>
        <v>0</v>
      </c>
      <c r="AG647" s="72">
        <f t="shared" ca="1" si="106"/>
        <v>113.449201678173</v>
      </c>
      <c r="AH647" s="72">
        <f t="shared" ca="1" si="107"/>
        <v>113.449201678173</v>
      </c>
      <c r="AI647" s="3">
        <f t="shared" ca="1" si="108"/>
        <v>0</v>
      </c>
    </row>
    <row r="648" spans="7:35" ht="15.75" thickBot="1" x14ac:dyDescent="0.3">
      <c r="G648" s="3">
        <f t="shared" si="100"/>
        <v>186</v>
      </c>
      <c r="H648" s="106">
        <f t="shared" ref="H648:H711" si="109">H647+1</f>
        <v>44746</v>
      </c>
      <c r="I648" s="133">
        <f>HLOOKUP($H$4,'Met Data'!$A$2:$F$368,G648,FALSE)</f>
        <v>10.1785714285714</v>
      </c>
      <c r="J648" s="131">
        <f ca="1">HLOOKUP($H$4,'Met Data'!$H$2:$M$368,G648,FALSE)*L648</f>
        <v>5.2555555555555502</v>
      </c>
      <c r="K648" s="107">
        <f>HLOOKUP($H$4,'Met Data'!$O$2:$T$368,G648,FALSE)</f>
        <v>1.2896889465411501</v>
      </c>
      <c r="L648">
        <f t="shared" ca="1" si="101"/>
        <v>1</v>
      </c>
      <c r="N648" t="b">
        <f t="shared" ca="1" si="102"/>
        <v>0</v>
      </c>
      <c r="O648" t="b">
        <f t="shared" ca="1" si="103"/>
        <v>0</v>
      </c>
      <c r="P648">
        <f ca="1"/>
        <v>44893</v>
      </c>
      <c r="Q648">
        <f ca="1"/>
        <v>112.82527324543805</v>
      </c>
      <c r="R648">
        <f ca="1"/>
        <v>0.50383225632165796</v>
      </c>
      <c r="S648">
        <f ca="1"/>
        <v>7.0728890546204264E-26</v>
      </c>
      <c r="T648">
        <f ca="1"/>
        <v>0.40897124822500852</v>
      </c>
      <c r="U648">
        <f ca="1"/>
        <v>0</v>
      </c>
      <c r="V648">
        <f ca="1"/>
        <v>102.025903709692</v>
      </c>
      <c r="W648">
        <f ca="1"/>
        <v>70.536427256083499</v>
      </c>
      <c r="X648">
        <f ca="1"/>
        <v>0</v>
      </c>
      <c r="Y648">
        <f ca="1"/>
        <v>0.80003365196725607</v>
      </c>
      <c r="Z648">
        <f ca="1"/>
        <v>0</v>
      </c>
      <c r="AA648">
        <f ca="1"/>
        <v>0</v>
      </c>
      <c r="AB648">
        <f ca="1"/>
        <v>0.74791983512162996</v>
      </c>
      <c r="AD648" s="2">
        <f t="shared" ca="1" si="104"/>
        <v>44893</v>
      </c>
      <c r="AE648" s="46">
        <f t="shared" ca="1" si="105"/>
        <v>0</v>
      </c>
      <c r="AG648" s="72">
        <f t="shared" ca="1" si="106"/>
        <v>113.32910550175971</v>
      </c>
      <c r="AH648" s="72">
        <f t="shared" ca="1" si="107"/>
        <v>113.32910550175971</v>
      </c>
      <c r="AI648" s="3">
        <f t="shared" ca="1" si="108"/>
        <v>0</v>
      </c>
    </row>
    <row r="649" spans="7:35" ht="15.75" thickBot="1" x14ac:dyDescent="0.3">
      <c r="G649" s="3">
        <f t="shared" si="100"/>
        <v>187</v>
      </c>
      <c r="H649" s="106">
        <f t="shared" si="109"/>
        <v>44747</v>
      </c>
      <c r="I649" s="133">
        <f>HLOOKUP($H$4,'Met Data'!$A$2:$F$368,G649,FALSE)</f>
        <v>10.675000000000001</v>
      </c>
      <c r="J649" s="131">
        <f ca="1">HLOOKUP($H$4,'Met Data'!$H$2:$M$368,G649,FALSE)*L649</f>
        <v>2.9892857142857099</v>
      </c>
      <c r="K649" s="107">
        <f>HLOOKUP($H$4,'Met Data'!$O$2:$T$368,G649,FALSE)</f>
        <v>1.4660191910043801</v>
      </c>
      <c r="L649">
        <f t="shared" ca="1" si="101"/>
        <v>1</v>
      </c>
      <c r="N649" t="b">
        <f t="shared" ca="1" si="102"/>
        <v>0</v>
      </c>
      <c r="O649" t="b">
        <f t="shared" ca="1" si="103"/>
        <v>0</v>
      </c>
      <c r="P649">
        <f ca="1"/>
        <v>44894</v>
      </c>
      <c r="Q649">
        <f ca="1"/>
        <v>112.74764600176408</v>
      </c>
      <c r="R649">
        <f ca="1"/>
        <v>0.48562475389607601</v>
      </c>
      <c r="S649">
        <f ca="1"/>
        <v>6.0012177745884848E-26</v>
      </c>
      <c r="T649">
        <f ca="1"/>
        <v>0.4079975102221079</v>
      </c>
      <c r="U649">
        <f ca="1"/>
        <v>0</v>
      </c>
      <c r="V649">
        <f ca="1"/>
        <v>102.51152846358799</v>
      </c>
      <c r="W649">
        <f ca="1"/>
        <v>70.872167826678293</v>
      </c>
      <c r="X649">
        <f ca="1"/>
        <v>0</v>
      </c>
      <c r="Y649">
        <f ca="1"/>
        <v>0.79111986135735535</v>
      </c>
      <c r="Z649">
        <f ca="1"/>
        <v>0</v>
      </c>
      <c r="AA649">
        <f ca="1"/>
        <v>0</v>
      </c>
      <c r="AB649">
        <f ca="1"/>
        <v>0.73223562823728205</v>
      </c>
      <c r="AD649" s="2">
        <f t="shared" ca="1" si="104"/>
        <v>44894</v>
      </c>
      <c r="AE649" s="46">
        <f t="shared" ca="1" si="105"/>
        <v>0</v>
      </c>
      <c r="AG649" s="72">
        <f t="shared" ca="1" si="106"/>
        <v>113.23327075566016</v>
      </c>
      <c r="AH649" s="72">
        <f t="shared" ca="1" si="107"/>
        <v>113.23327075566016</v>
      </c>
      <c r="AI649" s="3">
        <f t="shared" ca="1" si="108"/>
        <v>0</v>
      </c>
    </row>
    <row r="650" spans="7:35" ht="15.75" thickBot="1" x14ac:dyDescent="0.3">
      <c r="G650" s="3">
        <f t="shared" si="100"/>
        <v>188</v>
      </c>
      <c r="H650" s="106">
        <f t="shared" si="109"/>
        <v>44748</v>
      </c>
      <c r="I650" s="133">
        <f>HLOOKUP($H$4,'Met Data'!$A$2:$F$368,G650,FALSE)</f>
        <v>10.6303571428571</v>
      </c>
      <c r="J650" s="131">
        <f ca="1">HLOOKUP($H$4,'Met Data'!$H$2:$M$368,G650,FALSE)*L650</f>
        <v>4.4413793103448196</v>
      </c>
      <c r="K650" s="107">
        <f>HLOOKUP($H$4,'Met Data'!$O$2:$T$368,G650,FALSE)</f>
        <v>1.3068901655768601</v>
      </c>
      <c r="L650">
        <f t="shared" ca="1" si="101"/>
        <v>1</v>
      </c>
      <c r="N650" t="b">
        <f t="shared" ca="1" si="102"/>
        <v>0</v>
      </c>
      <c r="O650" t="b">
        <f t="shared" ca="1" si="103"/>
        <v>0</v>
      </c>
      <c r="P650">
        <f ca="1"/>
        <v>44895</v>
      </c>
      <c r="Q650">
        <f ca="1"/>
        <v>112.68876401654155</v>
      </c>
      <c r="R650">
        <f ca="1"/>
        <v>0.47257060368245601</v>
      </c>
      <c r="S650">
        <f ca="1"/>
        <v>5.1627268335180322E-26</v>
      </c>
      <c r="T650">
        <f ca="1"/>
        <v>0.41368861845992372</v>
      </c>
      <c r="U650">
        <f ca="1"/>
        <v>0</v>
      </c>
      <c r="V650">
        <f ca="1"/>
        <v>102.984099067271</v>
      </c>
      <c r="W650">
        <f ca="1"/>
        <v>71.198883305767495</v>
      </c>
      <c r="X650">
        <f ca="1"/>
        <v>0</v>
      </c>
      <c r="Y650">
        <f ca="1"/>
        <v>0.78429708465503234</v>
      </c>
      <c r="Z650">
        <f ca="1"/>
        <v>0</v>
      </c>
      <c r="AA650">
        <f ca="1"/>
        <v>0</v>
      </c>
      <c r="AB650">
        <f ca="1"/>
        <v>0.71626799278063502</v>
      </c>
      <c r="AD650" s="2">
        <f t="shared" ca="1" si="104"/>
        <v>44895</v>
      </c>
      <c r="AE650" s="46">
        <f t="shared" ca="1" si="105"/>
        <v>0</v>
      </c>
      <c r="AG650" s="72">
        <f t="shared" ca="1" si="106"/>
        <v>113.16133462022401</v>
      </c>
      <c r="AH650" s="72">
        <f t="shared" ca="1" si="107"/>
        <v>113.16133462022401</v>
      </c>
      <c r="AI650" s="3">
        <f t="shared" ca="1" si="108"/>
        <v>0</v>
      </c>
    </row>
    <row r="651" spans="7:35" ht="15.75" thickBot="1" x14ac:dyDescent="0.3">
      <c r="G651" s="3">
        <f t="shared" si="100"/>
        <v>189</v>
      </c>
      <c r="H651" s="106">
        <f t="shared" si="109"/>
        <v>44749</v>
      </c>
      <c r="I651" s="133">
        <f>HLOOKUP($H$4,'Met Data'!$A$2:$F$368,G651,FALSE)</f>
        <v>10.5714285714285</v>
      </c>
      <c r="J651" s="131">
        <f ca="1">HLOOKUP($H$4,'Met Data'!$H$2:$M$368,G651,FALSE)*L651</f>
        <v>2.8758620689655099</v>
      </c>
      <c r="K651" s="107">
        <f>HLOOKUP($H$4,'Met Data'!$O$2:$T$368,G651,FALSE)</f>
        <v>1.41669004164846</v>
      </c>
      <c r="L651">
        <f t="shared" ca="1" si="101"/>
        <v>1</v>
      </c>
      <c r="N651" t="b">
        <f t="shared" ca="1" si="102"/>
        <v>0</v>
      </c>
      <c r="O651" t="b">
        <f t="shared" ca="1" si="103"/>
        <v>0</v>
      </c>
      <c r="P651">
        <f ca="1"/>
        <v>44896</v>
      </c>
      <c r="Q651">
        <f ca="1"/>
        <v>112.64336169373193</v>
      </c>
      <c r="R651">
        <f ca="1"/>
        <v>0.458272482736646</v>
      </c>
      <c r="S651">
        <f ca="1"/>
        <v>4.3669849363328615E-26</v>
      </c>
      <c r="T651">
        <f ca="1"/>
        <v>0.41287015992702369</v>
      </c>
      <c r="U651">
        <f ca="1"/>
        <v>0</v>
      </c>
      <c r="V651">
        <f ca="1"/>
        <v>103.442371550007</v>
      </c>
      <c r="W651">
        <f ca="1"/>
        <v>71.515713664202707</v>
      </c>
      <c r="X651">
        <f ca="1"/>
        <v>0</v>
      </c>
      <c r="Y651">
        <f ca="1"/>
        <v>0.7674591484405564</v>
      </c>
      <c r="Z651">
        <f ca="1"/>
        <v>0</v>
      </c>
      <c r="AA651">
        <f ca="1"/>
        <v>0</v>
      </c>
      <c r="AB651">
        <f ca="1"/>
        <v>0.70004822761243102</v>
      </c>
      <c r="AD651" s="2">
        <f t="shared" ca="1" si="104"/>
        <v>44896</v>
      </c>
      <c r="AE651" s="46">
        <f t="shared" ca="1" si="105"/>
        <v>0</v>
      </c>
      <c r="AG651" s="72">
        <f t="shared" ca="1" si="106"/>
        <v>113.10163417646858</v>
      </c>
      <c r="AH651" s="72">
        <f t="shared" ca="1" si="107"/>
        <v>113.10163417646858</v>
      </c>
      <c r="AI651" s="3">
        <f t="shared" ca="1" si="108"/>
        <v>0</v>
      </c>
    </row>
    <row r="652" spans="7:35" ht="15.75" thickBot="1" x14ac:dyDescent="0.3">
      <c r="G652" s="3">
        <f t="shared" si="100"/>
        <v>190</v>
      </c>
      <c r="H652" s="106">
        <f t="shared" si="109"/>
        <v>44750</v>
      </c>
      <c r="I652" s="133">
        <f>HLOOKUP($H$4,'Met Data'!$A$2:$F$368,G652,FALSE)</f>
        <v>10.2685185185185</v>
      </c>
      <c r="J652" s="131">
        <f ca="1">HLOOKUP($H$4,'Met Data'!$H$2:$M$368,G652,FALSE)*L652</f>
        <v>3.7892857142857101</v>
      </c>
      <c r="K652" s="107">
        <f>HLOOKUP($H$4,'Met Data'!$O$2:$T$368,G652,FALSE)</f>
        <v>1.3370081337281099</v>
      </c>
      <c r="L652">
        <f t="shared" ca="1" si="101"/>
        <v>1</v>
      </c>
      <c r="N652" t="b">
        <f t="shared" ca="1" si="102"/>
        <v>0</v>
      </c>
      <c r="O652" t="b">
        <f t="shared" ca="1" si="103"/>
        <v>0</v>
      </c>
      <c r="P652">
        <f ca="1"/>
        <v>44897</v>
      </c>
      <c r="Q652">
        <f ca="1"/>
        <v>112.63068671767547</v>
      </c>
      <c r="R652">
        <f ca="1"/>
        <v>0.44802399917173802</v>
      </c>
      <c r="S652">
        <f ca="1"/>
        <v>3.8924779684279871E-26</v>
      </c>
      <c r="T652">
        <f ca="1"/>
        <v>0.43534902311528323</v>
      </c>
      <c r="U652">
        <f ca="1"/>
        <v>0</v>
      </c>
      <c r="V652">
        <f ca="1"/>
        <v>103.890395549179</v>
      </c>
      <c r="W652">
        <f ca="1"/>
        <v>71.825458651284407</v>
      </c>
      <c r="X652">
        <f ca="1"/>
        <v>0</v>
      </c>
      <c r="Y652">
        <f ca="1"/>
        <v>0.78302671808593405</v>
      </c>
      <c r="Z652">
        <f ca="1"/>
        <v>0</v>
      </c>
      <c r="AA652">
        <f ca="1"/>
        <v>0</v>
      </c>
      <c r="AB652">
        <f ca="1"/>
        <v>0.68341462195215796</v>
      </c>
      <c r="AD652" s="2">
        <f t="shared" ca="1" si="104"/>
        <v>44897</v>
      </c>
      <c r="AE652" s="46">
        <f t="shared" ca="1" si="105"/>
        <v>0</v>
      </c>
      <c r="AG652" s="72">
        <f t="shared" ca="1" si="106"/>
        <v>113.07871071684721</v>
      </c>
      <c r="AH652" s="72">
        <f t="shared" ca="1" si="107"/>
        <v>113.07871071684721</v>
      </c>
      <c r="AI652" s="3">
        <f t="shared" ca="1" si="108"/>
        <v>0</v>
      </c>
    </row>
    <row r="653" spans="7:35" ht="15.75" thickBot="1" x14ac:dyDescent="0.3">
      <c r="G653" s="3">
        <f t="shared" si="100"/>
        <v>191</v>
      </c>
      <c r="H653" s="106">
        <f t="shared" si="109"/>
        <v>44751</v>
      </c>
      <c r="I653" s="133">
        <f>HLOOKUP($H$4,'Met Data'!$A$2:$F$368,G653,FALSE)</f>
        <v>10.4166666666666</v>
      </c>
      <c r="J653" s="131">
        <f ca="1">HLOOKUP($H$4,'Met Data'!$H$2:$M$368,G653,FALSE)*L653</f>
        <v>4.8428571428571399</v>
      </c>
      <c r="K653" s="107">
        <f>HLOOKUP($H$4,'Met Data'!$O$2:$T$368,G653,FALSE)</f>
        <v>1.6936819221313</v>
      </c>
      <c r="L653">
        <f t="shared" ca="1" si="101"/>
        <v>1</v>
      </c>
      <c r="N653" t="b">
        <f t="shared" ca="1" si="102"/>
        <v>0</v>
      </c>
      <c r="O653" t="b">
        <f t="shared" ca="1" si="103"/>
        <v>0</v>
      </c>
      <c r="P653">
        <f ca="1"/>
        <v>44898</v>
      </c>
      <c r="Q653">
        <f ca="1"/>
        <v>112.63298534741857</v>
      </c>
      <c r="R653">
        <f ca="1"/>
        <v>0.433891825653134</v>
      </c>
      <c r="S653">
        <f ca="1"/>
        <v>3.2792185272716608E-26</v>
      </c>
      <c r="T653">
        <f ca="1"/>
        <v>0.43619045539622298</v>
      </c>
      <c r="U653">
        <f ca="1"/>
        <v>0</v>
      </c>
      <c r="V653">
        <f ca="1"/>
        <v>104.324287374832</v>
      </c>
      <c r="W653">
        <f ca="1"/>
        <v>72.125433246797598</v>
      </c>
      <c r="X653">
        <f ca="1"/>
        <v>0</v>
      </c>
      <c r="Y653">
        <f ca="1"/>
        <v>0.76729325880349841</v>
      </c>
      <c r="Z653">
        <f ca="1"/>
        <v>0</v>
      </c>
      <c r="AA653">
        <f ca="1"/>
        <v>0</v>
      </c>
      <c r="AB653">
        <f ca="1"/>
        <v>0.66649167571255397</v>
      </c>
      <c r="AD653" s="2">
        <f t="shared" ca="1" si="104"/>
        <v>44898</v>
      </c>
      <c r="AE653" s="46">
        <f t="shared" ca="1" si="105"/>
        <v>0</v>
      </c>
      <c r="AG653" s="72">
        <f t="shared" ca="1" si="106"/>
        <v>113.0668771730717</v>
      </c>
      <c r="AH653" s="72">
        <f t="shared" ca="1" si="107"/>
        <v>113.0668771730717</v>
      </c>
      <c r="AI653" s="3">
        <f t="shared" ca="1" si="108"/>
        <v>0</v>
      </c>
    </row>
    <row r="654" spans="7:35" ht="15.75" thickBot="1" x14ac:dyDescent="0.3">
      <c r="G654" s="3">
        <f t="shared" si="100"/>
        <v>192</v>
      </c>
      <c r="H654" s="106">
        <f t="shared" si="109"/>
        <v>44752</v>
      </c>
      <c r="I654" s="133">
        <f>HLOOKUP($H$4,'Met Data'!$A$2:$F$368,G654,FALSE)</f>
        <v>9.7703703703703706</v>
      </c>
      <c r="J654" s="131">
        <f ca="1">HLOOKUP($H$4,'Met Data'!$H$2:$M$368,G654,FALSE)*L654</f>
        <v>2.27857142857142</v>
      </c>
      <c r="K654" s="107">
        <f>HLOOKUP($H$4,'Met Data'!$O$2:$T$368,G654,FALSE)</f>
        <v>1.4303197134636301</v>
      </c>
      <c r="L654">
        <f t="shared" ca="1" si="101"/>
        <v>1</v>
      </c>
      <c r="N654" t="b">
        <f t="shared" ca="1" si="102"/>
        <v>0</v>
      </c>
      <c r="O654" t="b">
        <f t="shared" ca="1" si="103"/>
        <v>0</v>
      </c>
      <c r="P654">
        <f ca="1"/>
        <v>44899</v>
      </c>
      <c r="Q654">
        <f ca="1"/>
        <v>112.67014334928757</v>
      </c>
      <c r="R654">
        <f ca="1"/>
        <v>0.41377767442878599</v>
      </c>
      <c r="S654">
        <f ca="1"/>
        <v>2.8621792296840035E-26</v>
      </c>
      <c r="T654">
        <f ca="1"/>
        <v>0.4509356762977918</v>
      </c>
      <c r="U654">
        <f ca="1"/>
        <v>0</v>
      </c>
      <c r="V654">
        <f ca="1"/>
        <v>104.738065049261</v>
      </c>
      <c r="W654">
        <f ca="1"/>
        <v>72.411501762452104</v>
      </c>
      <c r="X654">
        <f ca="1"/>
        <v>0</v>
      </c>
      <c r="Y654">
        <f ca="1"/>
        <v>0.78989473193092707</v>
      </c>
      <c r="Z654">
        <f ca="1"/>
        <v>0</v>
      </c>
      <c r="AA654">
        <f ca="1"/>
        <v>0</v>
      </c>
      <c r="AB654">
        <f ca="1"/>
        <v>0.649521665260127</v>
      </c>
      <c r="AD654" s="2">
        <f t="shared" ca="1" si="104"/>
        <v>44899</v>
      </c>
      <c r="AE654" s="46">
        <f t="shared" ca="1" si="105"/>
        <v>0</v>
      </c>
      <c r="AG654" s="72">
        <f t="shared" ca="1" si="106"/>
        <v>113.08392102371636</v>
      </c>
      <c r="AH654" s="72">
        <f t="shared" ca="1" si="107"/>
        <v>113.08392102371636</v>
      </c>
      <c r="AI654" s="3">
        <f t="shared" ca="1" si="108"/>
        <v>0</v>
      </c>
    </row>
    <row r="655" spans="7:35" ht="15.75" thickBot="1" x14ac:dyDescent="0.3">
      <c r="G655" s="3">
        <f t="shared" si="100"/>
        <v>193</v>
      </c>
      <c r="H655" s="106">
        <f t="shared" si="109"/>
        <v>44753</v>
      </c>
      <c r="I655" s="133">
        <f>HLOOKUP($H$4,'Met Data'!$A$2:$F$368,G655,FALSE)</f>
        <v>9.4057692307692307</v>
      </c>
      <c r="J655" s="131">
        <f ca="1">HLOOKUP($H$4,'Met Data'!$H$2:$M$368,G655,FALSE)*L655</f>
        <v>4.05</v>
      </c>
      <c r="K655" s="107">
        <f>HLOOKUP($H$4,'Met Data'!$O$2:$T$368,G655,FALSE)</f>
        <v>1.34234874078288</v>
      </c>
      <c r="L655">
        <f t="shared" ca="1" si="101"/>
        <v>1</v>
      </c>
      <c r="N655" t="b">
        <f t="shared" ca="1" si="102"/>
        <v>0</v>
      </c>
      <c r="O655" t="b">
        <f t="shared" ca="1" si="103"/>
        <v>0</v>
      </c>
      <c r="P655">
        <f ca="1"/>
        <v>44900</v>
      </c>
      <c r="Q655">
        <f ca="1"/>
        <v>112.73235569478734</v>
      </c>
      <c r="R655">
        <f ca="1"/>
        <v>0.389316291610456</v>
      </c>
      <c r="S655">
        <f ca="1"/>
        <v>2.4153607327315721E-26</v>
      </c>
      <c r="T655">
        <f ca="1"/>
        <v>0.45152863711022501</v>
      </c>
      <c r="U655">
        <f ca="1"/>
        <v>0</v>
      </c>
      <c r="V655">
        <f ca="1"/>
        <v>105.12738134087201</v>
      </c>
      <c r="W655">
        <f ca="1"/>
        <v>72.680658704800095</v>
      </c>
      <c r="X655">
        <f ca="1"/>
        <v>0</v>
      </c>
      <c r="Y655">
        <f ca="1"/>
        <v>0.80140999764864185</v>
      </c>
      <c r="Z655">
        <f ca="1"/>
        <v>0</v>
      </c>
      <c r="AA655">
        <f ca="1"/>
        <v>0</v>
      </c>
      <c r="AB655">
        <f ca="1"/>
        <v>0.63272814560578805</v>
      </c>
      <c r="AD655" s="2">
        <f t="shared" ca="1" si="104"/>
        <v>44900</v>
      </c>
      <c r="AE655" s="46">
        <f t="shared" ca="1" si="105"/>
        <v>0</v>
      </c>
      <c r="AG655" s="72">
        <f t="shared" ca="1" si="106"/>
        <v>113.1216719863978</v>
      </c>
      <c r="AH655" s="72">
        <f t="shared" ca="1" si="107"/>
        <v>113.1216719863978</v>
      </c>
      <c r="AI655" s="3">
        <f t="shared" ca="1" si="108"/>
        <v>0</v>
      </c>
    </row>
    <row r="656" spans="7:35" ht="15.75" thickBot="1" x14ac:dyDescent="0.3">
      <c r="G656" s="3">
        <f t="shared" si="100"/>
        <v>194</v>
      </c>
      <c r="H656" s="106">
        <f t="shared" si="109"/>
        <v>44754</v>
      </c>
      <c r="I656" s="133">
        <f>HLOOKUP($H$4,'Met Data'!$A$2:$F$368,G656,FALSE)</f>
        <v>9.7037037037037006</v>
      </c>
      <c r="J656" s="131">
        <f ca="1">HLOOKUP($H$4,'Met Data'!$H$2:$M$368,G656,FALSE)*L656</f>
        <v>7.2038461538461496</v>
      </c>
      <c r="K656" s="107">
        <f>HLOOKUP($H$4,'Met Data'!$O$2:$T$368,G656,FALSE)</f>
        <v>1.4005767318328199</v>
      </c>
      <c r="L656">
        <f t="shared" ca="1" si="101"/>
        <v>1</v>
      </c>
      <c r="N656" t="b">
        <f t="shared" ca="1" si="102"/>
        <v>0</v>
      </c>
      <c r="O656" t="b">
        <f t="shared" ca="1" si="103"/>
        <v>0</v>
      </c>
      <c r="P656">
        <f ca="1"/>
        <v>44901</v>
      </c>
      <c r="Q656">
        <f ca="1"/>
        <v>112.81443738816768</v>
      </c>
      <c r="R656">
        <f ca="1"/>
        <v>0.37071366233736602</v>
      </c>
      <c r="S656">
        <f ca="1"/>
        <v>2.0331441691408053E-26</v>
      </c>
      <c r="T656">
        <f ca="1"/>
        <v>0.4527953557176948</v>
      </c>
      <c r="U656">
        <f ca="1"/>
        <v>0</v>
      </c>
      <c r="V656">
        <f ca="1"/>
        <v>105.498095003209</v>
      </c>
      <c r="W656">
        <f ca="1"/>
        <v>72.936954570119795</v>
      </c>
      <c r="X656">
        <f ca="1"/>
        <v>0</v>
      </c>
      <c r="Y656">
        <f ca="1"/>
        <v>0.80185257596373438</v>
      </c>
      <c r="Z656">
        <f ca="1"/>
        <v>0</v>
      </c>
      <c r="AA656">
        <f ca="1"/>
        <v>0</v>
      </c>
      <c r="AB656">
        <f ca="1"/>
        <v>0.615906051250807</v>
      </c>
      <c r="AD656" s="2">
        <f t="shared" ca="1" si="104"/>
        <v>44901</v>
      </c>
      <c r="AE656" s="46">
        <f t="shared" ca="1" si="105"/>
        <v>0</v>
      </c>
      <c r="AG656" s="72">
        <f t="shared" ca="1" si="106"/>
        <v>113.18515105050504</v>
      </c>
      <c r="AH656" s="72">
        <f t="shared" ca="1" si="107"/>
        <v>113.18515105050504</v>
      </c>
      <c r="AI656" s="3">
        <f t="shared" ca="1" si="108"/>
        <v>0</v>
      </c>
    </row>
    <row r="657" spans="7:35" ht="15.75" thickBot="1" x14ac:dyDescent="0.3">
      <c r="G657" s="3">
        <f t="shared" si="100"/>
        <v>195</v>
      </c>
      <c r="H657" s="106">
        <f t="shared" si="109"/>
        <v>44755</v>
      </c>
      <c r="I657" s="133">
        <f>HLOOKUP($H$4,'Met Data'!$A$2:$F$368,G657,FALSE)</f>
        <v>9.875</v>
      </c>
      <c r="J657" s="131">
        <f ca="1">HLOOKUP($H$4,'Met Data'!$H$2:$M$368,G657,FALSE)*L657</f>
        <v>2.7366666666666601</v>
      </c>
      <c r="K657" s="107">
        <f>HLOOKUP($H$4,'Met Data'!$O$2:$T$368,G657,FALSE)</f>
        <v>1.5241946960031101</v>
      </c>
      <c r="L657">
        <f t="shared" ca="1" si="101"/>
        <v>1</v>
      </c>
      <c r="N657" t="b">
        <f t="shared" ca="1" si="102"/>
        <v>0</v>
      </c>
      <c r="O657" t="b">
        <f t="shared" ca="1" si="103"/>
        <v>0</v>
      </c>
      <c r="P657">
        <f ca="1"/>
        <v>44902</v>
      </c>
      <c r="Q657">
        <f ca="1"/>
        <v>112.90877678725207</v>
      </c>
      <c r="R657">
        <f ca="1"/>
        <v>0.34150513639427499</v>
      </c>
      <c r="S657">
        <f ca="1"/>
        <v>1.6584069311311125E-26</v>
      </c>
      <c r="T657">
        <f ca="1"/>
        <v>0.43584453547866997</v>
      </c>
      <c r="U657">
        <f ca="1"/>
        <v>0</v>
      </c>
      <c r="V657">
        <f ca="1"/>
        <v>105.83960013960299</v>
      </c>
      <c r="W657">
        <f ca="1"/>
        <v>73.173056886639202</v>
      </c>
      <c r="X657">
        <f ca="1"/>
        <v>0</v>
      </c>
      <c r="Y657">
        <f ca="1"/>
        <v>0.80425843712454925</v>
      </c>
      <c r="Z657">
        <f ca="1"/>
        <v>0</v>
      </c>
      <c r="AA657">
        <f ca="1"/>
        <v>0</v>
      </c>
      <c r="AB657">
        <f ca="1"/>
        <v>0.59961006756060498</v>
      </c>
      <c r="AD657" s="2">
        <f t="shared" ca="1" si="104"/>
        <v>44902</v>
      </c>
      <c r="AE657" s="46">
        <f t="shared" ca="1" si="105"/>
        <v>0</v>
      </c>
      <c r="AG657" s="72">
        <f t="shared" ca="1" si="106"/>
        <v>113.25028192364634</v>
      </c>
      <c r="AH657" s="72">
        <f t="shared" ca="1" si="107"/>
        <v>113.25028192364634</v>
      </c>
      <c r="AI657" s="3">
        <f t="shared" ca="1" si="108"/>
        <v>0</v>
      </c>
    </row>
    <row r="658" spans="7:35" ht="15.75" thickBot="1" x14ac:dyDescent="0.3">
      <c r="G658" s="3">
        <f t="shared" si="100"/>
        <v>196</v>
      </c>
      <c r="H658" s="106">
        <f t="shared" si="109"/>
        <v>44756</v>
      </c>
      <c r="I658" s="133">
        <f>HLOOKUP($H$4,'Met Data'!$A$2:$F$368,G658,FALSE)</f>
        <v>9.4732142857142794</v>
      </c>
      <c r="J658" s="131">
        <f ca="1">HLOOKUP($H$4,'Met Data'!$H$2:$M$368,G658,FALSE)*L658</f>
        <v>4.4607142857142801</v>
      </c>
      <c r="K658" s="107">
        <f>HLOOKUP($H$4,'Met Data'!$O$2:$T$368,G658,FALSE)</f>
        <v>1.1833728950226901</v>
      </c>
      <c r="L658">
        <f t="shared" ca="1" si="101"/>
        <v>1</v>
      </c>
      <c r="N658" t="b">
        <f t="shared" ca="1" si="102"/>
        <v>0</v>
      </c>
      <c r="O658" t="b">
        <f t="shared" ca="1" si="103"/>
        <v>0</v>
      </c>
      <c r="P658">
        <f ca="1"/>
        <v>44903</v>
      </c>
      <c r="Q658">
        <f ca="1"/>
        <v>113.0128152720501</v>
      </c>
      <c r="R658">
        <f ca="1"/>
        <v>0.32385807447586501</v>
      </c>
      <c r="S658">
        <f ca="1"/>
        <v>1.3763456171860418E-26</v>
      </c>
      <c r="T658">
        <f ca="1"/>
        <v>0.42789655927389991</v>
      </c>
      <c r="U658">
        <f ca="1"/>
        <v>0</v>
      </c>
      <c r="V658">
        <f ca="1"/>
        <v>106.163458214079</v>
      </c>
      <c r="W658">
        <f ca="1"/>
        <v>73.396958765289199</v>
      </c>
      <c r="X658">
        <f ca="1"/>
        <v>0</v>
      </c>
      <c r="Y658">
        <f ca="1"/>
        <v>0.79340965017848175</v>
      </c>
      <c r="Z658">
        <f ca="1"/>
        <v>0</v>
      </c>
      <c r="AA658">
        <f ca="1"/>
        <v>0</v>
      </c>
      <c r="AB658">
        <f ca="1"/>
        <v>0.58336787154220104</v>
      </c>
      <c r="AD658" s="2">
        <f t="shared" ca="1" si="104"/>
        <v>44903</v>
      </c>
      <c r="AE658" s="46">
        <f t="shared" ca="1" si="105"/>
        <v>0</v>
      </c>
      <c r="AG658" s="72">
        <f t="shared" ca="1" si="106"/>
        <v>113.33667334652597</v>
      </c>
      <c r="AH658" s="72">
        <f t="shared" ca="1" si="107"/>
        <v>113.33667334652597</v>
      </c>
      <c r="AI658" s="3">
        <f t="shared" ca="1" si="108"/>
        <v>0</v>
      </c>
    </row>
    <row r="659" spans="7:35" ht="15.75" thickBot="1" x14ac:dyDescent="0.3">
      <c r="G659" s="3">
        <f t="shared" si="100"/>
        <v>197</v>
      </c>
      <c r="H659" s="106">
        <f t="shared" si="109"/>
        <v>44757</v>
      </c>
      <c r="I659" s="133">
        <f>HLOOKUP($H$4,'Met Data'!$A$2:$F$368,G659,FALSE)</f>
        <v>10.3732142857142</v>
      </c>
      <c r="J659" s="131">
        <f ca="1">HLOOKUP($H$4,'Met Data'!$H$2:$M$368,G659,FALSE)*L659</f>
        <v>6.4071428571428504</v>
      </c>
      <c r="K659" s="107">
        <f>HLOOKUP($H$4,'Met Data'!$O$2:$T$368,G659,FALSE)</f>
        <v>1.32556972588678</v>
      </c>
      <c r="L659">
        <f t="shared" ca="1" si="101"/>
        <v>1</v>
      </c>
      <c r="N659" t="b">
        <f t="shared" ca="1" si="102"/>
        <v>0</v>
      </c>
      <c r="O659" t="b">
        <f t="shared" ca="1" si="103"/>
        <v>0</v>
      </c>
      <c r="P659">
        <f ca="1"/>
        <v>44904</v>
      </c>
      <c r="Q659">
        <f ca="1"/>
        <v>113.12868088117825</v>
      </c>
      <c r="R659">
        <f ca="1"/>
        <v>0.316639782139362</v>
      </c>
      <c r="S659">
        <f ca="1"/>
        <v>1.1688030832226155E-26</v>
      </c>
      <c r="T659">
        <f ca="1"/>
        <v>0.43250539126751503</v>
      </c>
      <c r="U659">
        <f ca="1"/>
        <v>0</v>
      </c>
      <c r="V659">
        <f ca="1"/>
        <v>106.48009799621801</v>
      </c>
      <c r="W659">
        <f ca="1"/>
        <v>73.6158702196078</v>
      </c>
      <c r="X659">
        <f ca="1"/>
        <v>0</v>
      </c>
      <c r="Y659">
        <f ca="1"/>
        <v>0.77369300572523814</v>
      </c>
      <c r="Z659">
        <f ca="1"/>
        <v>0</v>
      </c>
      <c r="AA659">
        <f ca="1"/>
        <v>0</v>
      </c>
      <c r="AB659">
        <f ca="1"/>
        <v>0.56666175685453501</v>
      </c>
      <c r="AD659" s="2">
        <f t="shared" ca="1" si="104"/>
        <v>44904</v>
      </c>
      <c r="AE659" s="46">
        <f t="shared" ca="1" si="105"/>
        <v>0</v>
      </c>
      <c r="AG659" s="72">
        <f t="shared" ca="1" si="106"/>
        <v>113.44532066331762</v>
      </c>
      <c r="AH659" s="72">
        <f t="shared" ca="1" si="107"/>
        <v>113.44532066331762</v>
      </c>
      <c r="AI659" s="3">
        <f t="shared" ca="1" si="108"/>
        <v>0</v>
      </c>
    </row>
    <row r="660" spans="7:35" ht="15.75" thickBot="1" x14ac:dyDescent="0.3">
      <c r="G660" s="3">
        <f t="shared" si="100"/>
        <v>198</v>
      </c>
      <c r="H660" s="106">
        <f t="shared" si="109"/>
        <v>44758</v>
      </c>
      <c r="I660" s="133">
        <f>HLOOKUP($H$4,'Met Data'!$A$2:$F$368,G660,FALSE)</f>
        <v>10.9428571428571</v>
      </c>
      <c r="J660" s="131">
        <f ca="1">HLOOKUP($H$4,'Met Data'!$H$2:$M$368,G660,FALSE)*L660</f>
        <v>5.1392857142857098</v>
      </c>
      <c r="K660" s="107">
        <f>HLOOKUP($H$4,'Met Data'!$O$2:$T$368,G660,FALSE)</f>
        <v>1.2285245260717499</v>
      </c>
      <c r="L660">
        <f t="shared" ca="1" si="101"/>
        <v>1</v>
      </c>
      <c r="N660" t="b">
        <f t="shared" ca="1" si="102"/>
        <v>0</v>
      </c>
      <c r="O660" t="b">
        <f t="shared" ca="1" si="103"/>
        <v>0</v>
      </c>
      <c r="P660">
        <f ca="1"/>
        <v>44905</v>
      </c>
      <c r="Q660">
        <f ca="1"/>
        <v>113.25605827246791</v>
      </c>
      <c r="R660">
        <f ca="1"/>
        <v>0.29922765441485</v>
      </c>
      <c r="S660">
        <f ca="1"/>
        <v>9.7709719402676775E-27</v>
      </c>
      <c r="T660">
        <f ca="1"/>
        <v>0.42660504570450947</v>
      </c>
      <c r="U660">
        <f ca="1"/>
        <v>0</v>
      </c>
      <c r="V660">
        <f ca="1"/>
        <v>106.779325650633</v>
      </c>
      <c r="W660">
        <f ca="1"/>
        <v>73.822743659697096</v>
      </c>
      <c r="X660">
        <f ca="1"/>
        <v>0</v>
      </c>
      <c r="Y660">
        <f ca="1"/>
        <v>0.76813179844569823</v>
      </c>
      <c r="Z660">
        <f ca="1"/>
        <v>0</v>
      </c>
      <c r="AA660">
        <f ca="1"/>
        <v>0</v>
      </c>
      <c r="AB660">
        <f ca="1"/>
        <v>0.55003800453931095</v>
      </c>
      <c r="AD660" s="2">
        <f t="shared" ca="1" si="104"/>
        <v>44905</v>
      </c>
      <c r="AE660" s="46">
        <f t="shared" ca="1" si="105"/>
        <v>0</v>
      </c>
      <c r="AG660" s="72">
        <f t="shared" ca="1" si="106"/>
        <v>113.55528592688276</v>
      </c>
      <c r="AH660" s="72">
        <f t="shared" ca="1" si="107"/>
        <v>113.55528592688276</v>
      </c>
      <c r="AI660" s="3">
        <f t="shared" ca="1" si="108"/>
        <v>0</v>
      </c>
    </row>
    <row r="661" spans="7:35" ht="15.75" thickBot="1" x14ac:dyDescent="0.3">
      <c r="G661" s="3">
        <f t="shared" si="100"/>
        <v>199</v>
      </c>
      <c r="H661" s="106">
        <f t="shared" si="109"/>
        <v>44759</v>
      </c>
      <c r="I661" s="133">
        <f>HLOOKUP($H$4,'Met Data'!$A$2:$F$368,G661,FALSE)</f>
        <v>10.689655172413699</v>
      </c>
      <c r="J661" s="131">
        <f ca="1">HLOOKUP($H$4,'Met Data'!$H$2:$M$368,G661,FALSE)*L661</f>
        <v>7.5433333333333303</v>
      </c>
      <c r="K661" s="107">
        <f>HLOOKUP($H$4,'Met Data'!$O$2:$T$368,G661,FALSE)</f>
        <v>1.11837858032715</v>
      </c>
      <c r="L661">
        <f t="shared" ca="1" si="101"/>
        <v>1</v>
      </c>
      <c r="N661" t="b">
        <f t="shared" ca="1" si="102"/>
        <v>0</v>
      </c>
      <c r="O661" t="b">
        <f t="shared" ca="1" si="103"/>
        <v>0</v>
      </c>
      <c r="P661">
        <f ca="1"/>
        <v>44906</v>
      </c>
      <c r="Q661">
        <f ca="1"/>
        <v>113.39538521295913</v>
      </c>
      <c r="R661">
        <f ca="1"/>
        <v>0.29304423490630399</v>
      </c>
      <c r="S661">
        <f ca="1"/>
        <v>8.3147911851121471E-27</v>
      </c>
      <c r="T661">
        <f ca="1"/>
        <v>0.43237117539751829</v>
      </c>
      <c r="U661">
        <f ca="1"/>
        <v>0</v>
      </c>
      <c r="V661">
        <f ca="1"/>
        <v>107.07236988554</v>
      </c>
      <c r="W661">
        <f ca="1"/>
        <v>74.025342143089105</v>
      </c>
      <c r="X661">
        <f ca="1"/>
        <v>0</v>
      </c>
      <c r="Y661">
        <f ca="1"/>
        <v>0.74667915144885877</v>
      </c>
      <c r="Z661">
        <f ca="1"/>
        <v>0</v>
      </c>
      <c r="AA661">
        <f ca="1"/>
        <v>0</v>
      </c>
      <c r="AB661">
        <f ca="1"/>
        <v>0.53287805637084495</v>
      </c>
      <c r="AD661" s="2">
        <f t="shared" ca="1" si="104"/>
        <v>44906</v>
      </c>
      <c r="AE661" s="46">
        <f t="shared" ca="1" si="105"/>
        <v>0</v>
      </c>
      <c r="AG661" s="72">
        <f t="shared" ca="1" si="106"/>
        <v>113.68842944786543</v>
      </c>
      <c r="AH661" s="72">
        <f t="shared" ca="1" si="107"/>
        <v>113.68842944786543</v>
      </c>
      <c r="AI661" s="3">
        <f t="shared" ca="1" si="108"/>
        <v>0</v>
      </c>
    </row>
    <row r="662" spans="7:35" ht="15.75" thickBot="1" x14ac:dyDescent="0.3">
      <c r="G662" s="3">
        <f t="shared" si="100"/>
        <v>200</v>
      </c>
      <c r="H662" s="106">
        <f t="shared" si="109"/>
        <v>44760</v>
      </c>
      <c r="I662" s="133">
        <f>HLOOKUP($H$4,'Met Data'!$A$2:$F$368,G662,FALSE)</f>
        <v>10.322413793103401</v>
      </c>
      <c r="J662" s="131">
        <f ca="1">HLOOKUP($H$4,'Met Data'!$H$2:$M$368,G662,FALSE)*L662</f>
        <v>7.7933333333333303</v>
      </c>
      <c r="K662" s="107">
        <f>HLOOKUP($H$4,'Met Data'!$O$2:$T$368,G662,FALSE)</f>
        <v>1.2757644672773201</v>
      </c>
      <c r="L662">
        <f t="shared" ca="1" si="101"/>
        <v>1</v>
      </c>
      <c r="N662" t="b">
        <f t="shared" ca="1" si="102"/>
        <v>0</v>
      </c>
      <c r="O662" t="b">
        <f t="shared" ca="1" si="103"/>
        <v>0</v>
      </c>
      <c r="P662">
        <f ca="1"/>
        <v>44907</v>
      </c>
      <c r="Q662">
        <f ca="1"/>
        <v>113.5512258167081</v>
      </c>
      <c r="R662">
        <f ca="1"/>
        <v>0.28513570025121698</v>
      </c>
      <c r="S662">
        <f ca="1"/>
        <v>7.1205954307618968E-27</v>
      </c>
      <c r="T662">
        <f ca="1"/>
        <v>0.44097630400018328</v>
      </c>
      <c r="U662">
        <f ca="1"/>
        <v>0</v>
      </c>
      <c r="V662">
        <f ca="1"/>
        <v>107.357505585791</v>
      </c>
      <c r="W662">
        <f ca="1"/>
        <v>74.222472997583793</v>
      </c>
      <c r="X662">
        <f ca="1"/>
        <v>0</v>
      </c>
      <c r="Y662">
        <f ca="1"/>
        <v>0.73425166126202512</v>
      </c>
      <c r="Z662">
        <f ca="1"/>
        <v>0</v>
      </c>
      <c r="AA662">
        <f ca="1"/>
        <v>0</v>
      </c>
      <c r="AB662">
        <f ca="1"/>
        <v>0.51524578520939801</v>
      </c>
      <c r="AD662" s="2">
        <f t="shared" ca="1" si="104"/>
        <v>44907</v>
      </c>
      <c r="AE662" s="46">
        <f t="shared" ca="1" si="105"/>
        <v>0</v>
      </c>
      <c r="AG662" s="72">
        <f t="shared" ca="1" si="106"/>
        <v>113.83636151695931</v>
      </c>
      <c r="AH662" s="72">
        <f t="shared" ca="1" si="107"/>
        <v>113.83636151695931</v>
      </c>
      <c r="AI662" s="3">
        <f t="shared" ca="1" si="108"/>
        <v>0</v>
      </c>
    </row>
    <row r="663" spans="7:35" ht="15.75" thickBot="1" x14ac:dyDescent="0.3">
      <c r="G663" s="3">
        <f t="shared" si="100"/>
        <v>201</v>
      </c>
      <c r="H663" s="106">
        <f t="shared" si="109"/>
        <v>44761</v>
      </c>
      <c r="I663" s="133">
        <f>HLOOKUP($H$4,'Met Data'!$A$2:$F$368,G663,FALSE)</f>
        <v>10.189655172413699</v>
      </c>
      <c r="J663" s="131">
        <f ca="1">HLOOKUP($H$4,'Met Data'!$H$2:$M$368,G663,FALSE)*L663</f>
        <v>4.3533333333333299</v>
      </c>
      <c r="K663" s="107">
        <f>HLOOKUP($H$4,'Met Data'!$O$2:$T$368,G663,FALSE)</f>
        <v>1.3903947480338801</v>
      </c>
      <c r="L663">
        <f t="shared" ca="1" si="101"/>
        <v>1</v>
      </c>
      <c r="N663" t="b">
        <f t="shared" ca="1" si="102"/>
        <v>0</v>
      </c>
      <c r="O663" t="b">
        <f t="shared" ca="1" si="103"/>
        <v>0</v>
      </c>
      <c r="P663">
        <f ca="1"/>
        <v>44908</v>
      </c>
      <c r="Q663">
        <f ca="1"/>
        <v>113.7093736606938</v>
      </c>
      <c r="R663">
        <f ca="1"/>
        <v>0.26624791863000002</v>
      </c>
      <c r="S663">
        <f ca="1"/>
        <v>5.8181607840405168E-27</v>
      </c>
      <c r="T663">
        <f ca="1"/>
        <v>0.42439576261569878</v>
      </c>
      <c r="U663">
        <f ca="1"/>
        <v>0</v>
      </c>
      <c r="V663">
        <f ca="1"/>
        <v>107.623753504421</v>
      </c>
      <c r="W663">
        <f ca="1"/>
        <v>74.406545632686004</v>
      </c>
      <c r="X663">
        <f ca="1"/>
        <v>0</v>
      </c>
      <c r="Y663">
        <f ca="1"/>
        <v>0.71872173040142162</v>
      </c>
      <c r="Z663">
        <f ca="1"/>
        <v>0</v>
      </c>
      <c r="AA663">
        <f ca="1"/>
        <v>0</v>
      </c>
      <c r="AB663">
        <f ca="1"/>
        <v>0.49784715424732701</v>
      </c>
      <c r="AD663" s="2">
        <f t="shared" ca="1" si="104"/>
        <v>44908</v>
      </c>
      <c r="AE663" s="46">
        <f t="shared" ca="1" si="105"/>
        <v>0</v>
      </c>
      <c r="AG663" s="72">
        <f t="shared" ca="1" si="106"/>
        <v>113.9756215793238</v>
      </c>
      <c r="AH663" s="72">
        <f t="shared" ca="1" si="107"/>
        <v>113.9756215793238</v>
      </c>
      <c r="AI663" s="3">
        <f t="shared" ca="1" si="108"/>
        <v>0</v>
      </c>
    </row>
    <row r="664" spans="7:35" ht="15.75" thickBot="1" x14ac:dyDescent="0.3">
      <c r="G664" s="3">
        <f t="shared" si="100"/>
        <v>202</v>
      </c>
      <c r="H664" s="106">
        <f t="shared" si="109"/>
        <v>44762</v>
      </c>
      <c r="I664" s="133">
        <f>HLOOKUP($H$4,'Met Data'!$A$2:$F$368,G664,FALSE)</f>
        <v>10.668333333333299</v>
      </c>
      <c r="J664" s="131">
        <f ca="1">HLOOKUP($H$4,'Met Data'!$H$2:$M$368,G664,FALSE)*L664</f>
        <v>2.8833333333333302</v>
      </c>
      <c r="K664" s="107">
        <f>HLOOKUP($H$4,'Met Data'!$O$2:$T$368,G664,FALSE)</f>
        <v>1.4312964730661999</v>
      </c>
      <c r="L664">
        <f t="shared" ca="1" si="101"/>
        <v>1</v>
      </c>
      <c r="N664" t="b">
        <f t="shared" ca="1" si="102"/>
        <v>0</v>
      </c>
      <c r="O664" t="b">
        <f t="shared" ca="1" si="103"/>
        <v>0</v>
      </c>
      <c r="P664">
        <f ca="1"/>
        <v>44909</v>
      </c>
      <c r="Q664">
        <f ca="1"/>
        <v>113.88352552821941</v>
      </c>
      <c r="R664">
        <f ca="1"/>
        <v>0.25085842340271802</v>
      </c>
      <c r="S664">
        <f ca="1"/>
        <v>4.9688283260899408E-27</v>
      </c>
      <c r="T664">
        <f ca="1"/>
        <v>0.4250102909283221</v>
      </c>
      <c r="U664">
        <f ca="1"/>
        <v>0</v>
      </c>
      <c r="V664">
        <f ca="1"/>
        <v>107.874611927823</v>
      </c>
      <c r="W664">
        <f ca="1"/>
        <v>74.579978616766894</v>
      </c>
      <c r="X664">
        <f ca="1"/>
        <v>0</v>
      </c>
      <c r="Y664">
        <f ca="1"/>
        <v>0.72438370893848492</v>
      </c>
      <c r="Z664">
        <f ca="1"/>
        <v>0</v>
      </c>
      <c r="AA664">
        <f ca="1"/>
        <v>0</v>
      </c>
      <c r="AB664">
        <f ca="1"/>
        <v>0.48052752392821002</v>
      </c>
      <c r="AD664" s="2">
        <f t="shared" ca="1" si="104"/>
        <v>44909</v>
      </c>
      <c r="AE664" s="46">
        <f t="shared" ca="1" si="105"/>
        <v>0</v>
      </c>
      <c r="AG664" s="72">
        <f t="shared" ca="1" si="106"/>
        <v>114.13438395162213</v>
      </c>
      <c r="AH664" s="72">
        <f t="shared" ca="1" si="107"/>
        <v>114.13438395162213</v>
      </c>
      <c r="AI664" s="3">
        <f t="shared" ca="1" si="108"/>
        <v>0</v>
      </c>
    </row>
    <row r="665" spans="7:35" ht="15.75" thickBot="1" x14ac:dyDescent="0.3">
      <c r="G665" s="3">
        <f t="shared" si="100"/>
        <v>203</v>
      </c>
      <c r="H665" s="106">
        <f t="shared" si="109"/>
        <v>44763</v>
      </c>
      <c r="I665" s="133">
        <f>HLOOKUP($H$4,'Met Data'!$A$2:$F$368,G665,FALSE)</f>
        <v>10.181666666666599</v>
      </c>
      <c r="J665" s="131">
        <f ca="1">HLOOKUP($H$4,'Met Data'!$H$2:$M$368,G665,FALSE)*L665</f>
        <v>4.64333333333333</v>
      </c>
      <c r="K665" s="107">
        <f>HLOOKUP($H$4,'Met Data'!$O$2:$T$368,G665,FALSE)</f>
        <v>1.23251722447282</v>
      </c>
      <c r="L665">
        <f t="shared" ca="1" si="101"/>
        <v>1</v>
      </c>
      <c r="N665" t="b">
        <f t="shared" ca="1" si="102"/>
        <v>0</v>
      </c>
      <c r="O665" t="b">
        <f t="shared" ca="1" si="103"/>
        <v>0</v>
      </c>
      <c r="P665">
        <f ca="1"/>
        <v>44910</v>
      </c>
      <c r="Q665">
        <f ca="1"/>
        <v>114.06338933144467</v>
      </c>
      <c r="R665">
        <f ca="1"/>
        <v>0.23516466480224099</v>
      </c>
      <c r="S665">
        <f ca="1"/>
        <v>4.1386373810599686E-27</v>
      </c>
      <c r="T665">
        <f ca="1"/>
        <v>0.41502846802750265</v>
      </c>
      <c r="U665">
        <f ca="1"/>
        <v>0</v>
      </c>
      <c r="V665">
        <f ca="1"/>
        <v>108.10977659262601</v>
      </c>
      <c r="W665">
        <f ca="1"/>
        <v>74.742561594901701</v>
      </c>
      <c r="X665">
        <f ca="1"/>
        <v>0</v>
      </c>
      <c r="Y665">
        <f ca="1"/>
        <v>0.71616889260343131</v>
      </c>
      <c r="Z665">
        <f ca="1"/>
        <v>0</v>
      </c>
      <c r="AA665">
        <f ca="1"/>
        <v>0</v>
      </c>
      <c r="AB665">
        <f ca="1"/>
        <v>0.46337574824005001</v>
      </c>
      <c r="AD665" s="2">
        <f t="shared" ca="1" si="104"/>
        <v>44910</v>
      </c>
      <c r="AE665" s="46">
        <f t="shared" ca="1" si="105"/>
        <v>0</v>
      </c>
      <c r="AG665" s="72">
        <f t="shared" ca="1" si="106"/>
        <v>114.29855399624691</v>
      </c>
      <c r="AH665" s="72">
        <f t="shared" ca="1" si="107"/>
        <v>114.29855399624691</v>
      </c>
      <c r="AI665" s="3">
        <f t="shared" ca="1" si="108"/>
        <v>0</v>
      </c>
    </row>
    <row r="666" spans="7:35" ht="15.75" thickBot="1" x14ac:dyDescent="0.3">
      <c r="G666" s="3">
        <f t="shared" si="100"/>
        <v>204</v>
      </c>
      <c r="H666" s="106">
        <f t="shared" si="109"/>
        <v>44764</v>
      </c>
      <c r="I666" s="133">
        <f>HLOOKUP($H$4,'Met Data'!$A$2:$F$368,G666,FALSE)</f>
        <v>10.761666666666599</v>
      </c>
      <c r="J666" s="131">
        <f ca="1">HLOOKUP($H$4,'Met Data'!$H$2:$M$368,G666,FALSE)*L666</f>
        <v>5.7333333333333298</v>
      </c>
      <c r="K666" s="107">
        <f>HLOOKUP($H$4,'Met Data'!$O$2:$T$368,G666,FALSE)</f>
        <v>1.55725377410155</v>
      </c>
      <c r="L666">
        <f t="shared" ca="1" si="101"/>
        <v>1</v>
      </c>
      <c r="N666" t="b">
        <f t="shared" ca="1" si="102"/>
        <v>0</v>
      </c>
      <c r="O666" t="b">
        <f t="shared" ca="1" si="103"/>
        <v>0</v>
      </c>
      <c r="P666">
        <f ca="1"/>
        <v>44911</v>
      </c>
      <c r="Q666">
        <f ca="1"/>
        <v>114.26699101577843</v>
      </c>
      <c r="R666">
        <f ca="1"/>
        <v>0.22386593481532199</v>
      </c>
      <c r="S666">
        <f ca="1"/>
        <v>3.6363725918318806E-27</v>
      </c>
      <c r="T666">
        <f ca="1"/>
        <v>0.42746761914909009</v>
      </c>
      <c r="U666">
        <f ca="1"/>
        <v>0</v>
      </c>
      <c r="V666">
        <f ca="1"/>
        <v>108.333642527441</v>
      </c>
      <c r="W666">
        <f ca="1"/>
        <v>74.897333105391397</v>
      </c>
      <c r="X666">
        <f ca="1"/>
        <v>0</v>
      </c>
      <c r="Y666">
        <f ca="1"/>
        <v>0.73273411530534116</v>
      </c>
      <c r="Z666">
        <f ca="1"/>
        <v>0</v>
      </c>
      <c r="AA666">
        <f ca="1"/>
        <v>0</v>
      </c>
      <c r="AB666">
        <f ca="1"/>
        <v>0.44612485949286401</v>
      </c>
      <c r="AD666" s="2">
        <f t="shared" ca="1" si="104"/>
        <v>44911</v>
      </c>
      <c r="AE666" s="46">
        <f t="shared" ca="1" si="105"/>
        <v>0</v>
      </c>
      <c r="AG666" s="72">
        <f t="shared" ca="1" si="106"/>
        <v>114.49085695059375</v>
      </c>
      <c r="AH666" s="72">
        <f t="shared" ca="1" si="107"/>
        <v>114.49085695059375</v>
      </c>
      <c r="AI666" s="3">
        <f t="shared" ca="1" si="108"/>
        <v>0</v>
      </c>
    </row>
    <row r="667" spans="7:35" ht="15.75" thickBot="1" x14ac:dyDescent="0.3">
      <c r="G667" s="3">
        <f t="shared" si="100"/>
        <v>205</v>
      </c>
      <c r="H667" s="106">
        <f t="shared" si="109"/>
        <v>44765</v>
      </c>
      <c r="I667" s="133">
        <f>HLOOKUP($H$4,'Met Data'!$A$2:$F$368,G667,FALSE)</f>
        <v>10.623333333333299</v>
      </c>
      <c r="J667" s="131">
        <f ca="1">HLOOKUP($H$4,'Met Data'!$H$2:$M$368,G667,FALSE)*L667</f>
        <v>7.9733333333333301</v>
      </c>
      <c r="K667" s="107">
        <f>HLOOKUP($H$4,'Met Data'!$O$2:$T$368,G667,FALSE)</f>
        <v>1.24522053814258</v>
      </c>
      <c r="L667">
        <f t="shared" ca="1" si="101"/>
        <v>1</v>
      </c>
      <c r="N667" t="b">
        <f t="shared" ca="1" si="102"/>
        <v>0</v>
      </c>
      <c r="O667" t="b">
        <f t="shared" ca="1" si="103"/>
        <v>0</v>
      </c>
      <c r="P667">
        <f ca="1"/>
        <v>44912</v>
      </c>
      <c r="Q667">
        <f ca="1"/>
        <v>114.48978673979474</v>
      </c>
      <c r="R667">
        <f ca="1"/>
        <v>0.21238287424512201</v>
      </c>
      <c r="S667">
        <f ca="1"/>
        <v>3.1434839052471622E-27</v>
      </c>
      <c r="T667">
        <f ca="1"/>
        <v>0.43517859826143229</v>
      </c>
      <c r="U667">
        <f ca="1"/>
        <v>0</v>
      </c>
      <c r="V667">
        <f ca="1"/>
        <v>108.54602540168599</v>
      </c>
      <c r="W667">
        <f ca="1"/>
        <v>75.0441657098077</v>
      </c>
      <c r="X667">
        <f ca="1"/>
        <v>0</v>
      </c>
      <c r="Y667">
        <f ca="1"/>
        <v>0.74345053976948738</v>
      </c>
      <c r="Z667">
        <f ca="1"/>
        <v>0</v>
      </c>
      <c r="AA667">
        <f ca="1"/>
        <v>0</v>
      </c>
      <c r="AB667">
        <f ca="1"/>
        <v>0.42882528362896499</v>
      </c>
      <c r="AD667" s="2">
        <f t="shared" ca="1" si="104"/>
        <v>44912</v>
      </c>
      <c r="AE667" s="46">
        <f t="shared" ca="1" si="105"/>
        <v>0</v>
      </c>
      <c r="AG667" s="72">
        <f t="shared" ca="1" si="106"/>
        <v>114.70216961403986</v>
      </c>
      <c r="AH667" s="72">
        <f t="shared" ca="1" si="107"/>
        <v>114.70216961403986</v>
      </c>
      <c r="AI667" s="3">
        <f t="shared" ca="1" si="108"/>
        <v>0</v>
      </c>
    </row>
    <row r="668" spans="7:35" ht="15.75" thickBot="1" x14ac:dyDescent="0.3">
      <c r="G668" s="3">
        <f t="shared" si="100"/>
        <v>206</v>
      </c>
      <c r="H668" s="106">
        <f t="shared" si="109"/>
        <v>44766</v>
      </c>
      <c r="I668" s="133">
        <f>HLOOKUP($H$4,'Met Data'!$A$2:$F$368,G668,FALSE)</f>
        <v>10.654999999999999</v>
      </c>
      <c r="J668" s="131">
        <f ca="1">HLOOKUP($H$4,'Met Data'!$H$2:$M$368,G668,FALSE)*L668</f>
        <v>4.2566666666666597</v>
      </c>
      <c r="K668" s="107">
        <f>HLOOKUP($H$4,'Met Data'!$O$2:$T$368,G668,FALSE)</f>
        <v>1.3859271813606999</v>
      </c>
      <c r="L668">
        <f t="shared" ca="1" si="101"/>
        <v>1</v>
      </c>
      <c r="N668" t="b">
        <f t="shared" ca="1" si="102"/>
        <v>0</v>
      </c>
      <c r="O668" t="b">
        <f t="shared" ca="1" si="103"/>
        <v>0</v>
      </c>
      <c r="P668">
        <f ca="1"/>
        <v>44913</v>
      </c>
      <c r="Q668">
        <f ca="1"/>
        <v>114.7228075352765</v>
      </c>
      <c r="R668">
        <f ca="1"/>
        <v>0.197443345136051</v>
      </c>
      <c r="S668">
        <f ca="1"/>
        <v>2.6490171270589421E-27</v>
      </c>
      <c r="T668">
        <f ca="1"/>
        <v>0.43046414061781507</v>
      </c>
      <c r="U668">
        <f ca="1"/>
        <v>0</v>
      </c>
      <c r="V668">
        <f ca="1"/>
        <v>108.743468746822</v>
      </c>
      <c r="W668">
        <f ca="1"/>
        <v>75.180669750889507</v>
      </c>
      <c r="X668">
        <f ca="1"/>
        <v>0</v>
      </c>
      <c r="Y668">
        <f ca="1"/>
        <v>0.75287299984339573</v>
      </c>
      <c r="Z668">
        <f ca="1"/>
        <v>0</v>
      </c>
      <c r="AA668">
        <f ca="1"/>
        <v>0</v>
      </c>
      <c r="AB668">
        <f ca="1"/>
        <v>0.41182826341893197</v>
      </c>
      <c r="AD668" s="2">
        <f t="shared" ca="1" si="104"/>
        <v>44913</v>
      </c>
      <c r="AE668" s="46">
        <f t="shared" ca="1" si="105"/>
        <v>0</v>
      </c>
      <c r="AG668" s="72">
        <f t="shared" ca="1" si="106"/>
        <v>114.92025088041255</v>
      </c>
      <c r="AH668" s="72">
        <f t="shared" ca="1" si="107"/>
        <v>114.92025088041255</v>
      </c>
      <c r="AI668" s="3">
        <f t="shared" ca="1" si="108"/>
        <v>0</v>
      </c>
    </row>
    <row r="669" spans="7:35" ht="15.75" thickBot="1" x14ac:dyDescent="0.3">
      <c r="G669" s="3">
        <f t="shared" si="100"/>
        <v>207</v>
      </c>
      <c r="H669" s="106">
        <f t="shared" si="109"/>
        <v>44767</v>
      </c>
      <c r="I669" s="133">
        <f>HLOOKUP($H$4,'Met Data'!$A$2:$F$368,G669,FALSE)</f>
        <v>10.085000000000001</v>
      </c>
      <c r="J669" s="131">
        <f ca="1">HLOOKUP($H$4,'Met Data'!$H$2:$M$368,G669,FALSE)*L669</f>
        <v>4.9833333333333298</v>
      </c>
      <c r="K669" s="107">
        <f>HLOOKUP($H$4,'Met Data'!$O$2:$T$368,G669,FALSE)</f>
        <v>1.45895733681155</v>
      </c>
      <c r="L669">
        <f t="shared" ca="1" si="101"/>
        <v>1</v>
      </c>
      <c r="N669" t="b">
        <f t="shared" ca="1" si="102"/>
        <v>0</v>
      </c>
      <c r="O669" t="b">
        <f t="shared" ca="1" si="103"/>
        <v>0</v>
      </c>
      <c r="P669">
        <f ca="1"/>
        <v>44914</v>
      </c>
      <c r="Q669">
        <f ca="1"/>
        <v>114.97421130064284</v>
      </c>
      <c r="R669">
        <f ca="1"/>
        <v>0.18878272843889499</v>
      </c>
      <c r="S669">
        <f ca="1"/>
        <v>2.2888687084104839E-27</v>
      </c>
      <c r="T669">
        <f ca="1"/>
        <v>0.4401864938052254</v>
      </c>
      <c r="U669">
        <f ca="1"/>
        <v>0</v>
      </c>
      <c r="V669">
        <f ca="1"/>
        <v>108.932251475261</v>
      </c>
      <c r="W669">
        <f ca="1"/>
        <v>75.311186205118801</v>
      </c>
      <c r="X669">
        <f ca="1"/>
        <v>0</v>
      </c>
      <c r="Y669">
        <f ca="1"/>
        <v>0.75938364930477908</v>
      </c>
      <c r="Z669">
        <f ca="1"/>
        <v>0</v>
      </c>
      <c r="AA669">
        <f ca="1"/>
        <v>0</v>
      </c>
      <c r="AB669">
        <f ca="1"/>
        <v>0.39465282728247097</v>
      </c>
      <c r="AD669" s="2">
        <f t="shared" ca="1" si="104"/>
        <v>44914</v>
      </c>
      <c r="AE669" s="46">
        <f t="shared" ca="1" si="105"/>
        <v>0</v>
      </c>
      <c r="AG669" s="72">
        <f t="shared" ca="1" si="106"/>
        <v>115.16299402908173</v>
      </c>
      <c r="AH669" s="72">
        <f t="shared" ca="1" si="107"/>
        <v>115.16299402908173</v>
      </c>
      <c r="AI669" s="3">
        <f t="shared" ca="1" si="108"/>
        <v>0</v>
      </c>
    </row>
    <row r="670" spans="7:35" ht="15.75" thickBot="1" x14ac:dyDescent="0.3">
      <c r="G670" s="3">
        <f t="shared" si="100"/>
        <v>208</v>
      </c>
      <c r="H670" s="106">
        <f t="shared" si="109"/>
        <v>44768</v>
      </c>
      <c r="I670" s="133">
        <f>HLOOKUP($H$4,'Met Data'!$A$2:$F$368,G670,FALSE)</f>
        <v>9.99</v>
      </c>
      <c r="J670" s="131">
        <f ca="1">HLOOKUP($H$4,'Met Data'!$H$2:$M$368,G670,FALSE)*L670</f>
        <v>3.5266666666666602</v>
      </c>
      <c r="K670" s="107">
        <f>HLOOKUP($H$4,'Met Data'!$O$2:$T$368,G670,FALSE)</f>
        <v>1.3793054622795899</v>
      </c>
      <c r="L670">
        <f t="shared" ca="1" si="101"/>
        <v>1</v>
      </c>
      <c r="N670" t="b">
        <f t="shared" ca="1" si="102"/>
        <v>0</v>
      </c>
      <c r="O670" t="b">
        <f t="shared" ca="1" si="103"/>
        <v>0</v>
      </c>
      <c r="P670">
        <f ca="1"/>
        <v>44915</v>
      </c>
      <c r="Q670">
        <f ca="1"/>
        <v>115.23173609657907</v>
      </c>
      <c r="R670">
        <f ca="1"/>
        <v>0.18137458194755099</v>
      </c>
      <c r="S670">
        <f ca="1"/>
        <v>1.9172389427875981E-27</v>
      </c>
      <c r="T670">
        <f ca="1"/>
        <v>0.43889937788378036</v>
      </c>
      <c r="U670">
        <f ca="1"/>
        <v>0</v>
      </c>
      <c r="V670">
        <f ca="1"/>
        <v>109.113626057209</v>
      </c>
      <c r="W670">
        <f ca="1"/>
        <v>75.436580977823297</v>
      </c>
      <c r="X670">
        <f ca="1"/>
        <v>0</v>
      </c>
      <c r="Y670">
        <f ca="1"/>
        <v>0.74083128125133457</v>
      </c>
      <c r="Z670">
        <f ca="1"/>
        <v>0</v>
      </c>
      <c r="AA670">
        <f ca="1"/>
        <v>0</v>
      </c>
      <c r="AB670">
        <f ca="1"/>
        <v>0.37719675711484701</v>
      </c>
      <c r="AD670" s="2">
        <f t="shared" ca="1" si="104"/>
        <v>44915</v>
      </c>
      <c r="AE670" s="46">
        <f t="shared" ca="1" si="105"/>
        <v>0</v>
      </c>
      <c r="AG670" s="72">
        <f t="shared" ca="1" si="106"/>
        <v>115.41311067852662</v>
      </c>
      <c r="AH670" s="72">
        <f t="shared" ca="1" si="107"/>
        <v>115.41311067852662</v>
      </c>
      <c r="AI670" s="3">
        <f t="shared" ca="1" si="108"/>
        <v>0</v>
      </c>
    </row>
    <row r="671" spans="7:35" ht="15.75" thickBot="1" x14ac:dyDescent="0.3">
      <c r="G671" s="3">
        <f t="shared" si="100"/>
        <v>209</v>
      </c>
      <c r="H671" s="106">
        <f t="shared" si="109"/>
        <v>44769</v>
      </c>
      <c r="I671" s="133">
        <f>HLOOKUP($H$4,'Met Data'!$A$2:$F$368,G671,FALSE)</f>
        <v>10.4116666666666</v>
      </c>
      <c r="J671" s="131">
        <f ca="1">HLOOKUP($H$4,'Met Data'!$H$2:$M$368,G671,FALSE)*L671</f>
        <v>5.38</v>
      </c>
      <c r="K671" s="107">
        <f>HLOOKUP($H$4,'Met Data'!$O$2:$T$368,G671,FALSE)</f>
        <v>1.53088528913385</v>
      </c>
      <c r="L671">
        <f t="shared" ca="1" si="101"/>
        <v>1</v>
      </c>
      <c r="N671" t="b">
        <f t="shared" ca="1" si="102"/>
        <v>0</v>
      </c>
      <c r="O671" t="b">
        <f t="shared" ca="1" si="103"/>
        <v>0</v>
      </c>
      <c r="P671">
        <f ca="1"/>
        <v>44916</v>
      </c>
      <c r="Q671">
        <f ca="1"/>
        <v>115.50122611140272</v>
      </c>
      <c r="R671">
        <f ca="1"/>
        <v>0.171343664310356</v>
      </c>
      <c r="S671">
        <f ca="1"/>
        <v>1.6295292665448005E-27</v>
      </c>
      <c r="T671">
        <f ca="1"/>
        <v>0.44083367913400728</v>
      </c>
      <c r="U671">
        <f ca="1"/>
        <v>0</v>
      </c>
      <c r="V671">
        <f ca="1"/>
        <v>109.284969721519</v>
      </c>
      <c r="W671">
        <f ca="1"/>
        <v>75.555040795124299</v>
      </c>
      <c r="X671">
        <f ca="1"/>
        <v>0</v>
      </c>
      <c r="Y671">
        <f ca="1"/>
        <v>0.7441659422005682</v>
      </c>
      <c r="Z671">
        <f ca="1"/>
        <v>0</v>
      </c>
      <c r="AA671">
        <f ca="1"/>
        <v>0</v>
      </c>
      <c r="AB671">
        <f ca="1"/>
        <v>0.359740686947223</v>
      </c>
      <c r="AD671" s="2">
        <f t="shared" ca="1" si="104"/>
        <v>44916</v>
      </c>
      <c r="AE671" s="46">
        <f t="shared" ca="1" si="105"/>
        <v>0</v>
      </c>
      <c r="AG671" s="72">
        <f t="shared" ca="1" si="106"/>
        <v>115.67256977571307</v>
      </c>
      <c r="AH671" s="72">
        <f t="shared" ca="1" si="107"/>
        <v>115.67256977571307</v>
      </c>
      <c r="AI671" s="3">
        <f t="shared" ca="1" si="108"/>
        <v>0</v>
      </c>
    </row>
    <row r="672" spans="7:35" ht="15.75" thickBot="1" x14ac:dyDescent="0.3">
      <c r="G672" s="3">
        <f t="shared" si="100"/>
        <v>210</v>
      </c>
      <c r="H672" s="106">
        <f t="shared" si="109"/>
        <v>44770</v>
      </c>
      <c r="I672" s="133">
        <f>HLOOKUP($H$4,'Met Data'!$A$2:$F$368,G672,FALSE)</f>
        <v>10.494999999999999</v>
      </c>
      <c r="J672" s="131">
        <f ca="1">HLOOKUP($H$4,'Met Data'!$H$2:$M$368,G672,FALSE)*L672</f>
        <v>3.6033333333333299</v>
      </c>
      <c r="K672" s="107">
        <f>HLOOKUP($H$4,'Met Data'!$O$2:$T$368,G672,FALSE)</f>
        <v>1.5836053821317999</v>
      </c>
      <c r="L672">
        <f t="shared" ca="1" si="101"/>
        <v>1</v>
      </c>
      <c r="N672" t="b">
        <f t="shared" ca="1" si="102"/>
        <v>0</v>
      </c>
      <c r="O672" t="b">
        <f t="shared" ca="1" si="103"/>
        <v>0</v>
      </c>
      <c r="P672">
        <f ca="1"/>
        <v>44917</v>
      </c>
      <c r="Q672">
        <f ca="1"/>
        <v>115.77562279239081</v>
      </c>
      <c r="R672">
        <f ca="1"/>
        <v>0.16334110843807501</v>
      </c>
      <c r="S672">
        <f ca="1"/>
        <v>1.3628719120952403E-27</v>
      </c>
      <c r="T672">
        <f ca="1"/>
        <v>0.43773778942616937</v>
      </c>
      <c r="U672">
        <f ca="1"/>
        <v>0</v>
      </c>
      <c r="V672">
        <f ca="1"/>
        <v>109.44831082995699</v>
      </c>
      <c r="W672">
        <f ca="1"/>
        <v>75.667967981204896</v>
      </c>
      <c r="X672">
        <f ca="1"/>
        <v>0</v>
      </c>
      <c r="Y672">
        <f ca="1"/>
        <v>0.72920488924580018</v>
      </c>
      <c r="Z672">
        <f ca="1"/>
        <v>0</v>
      </c>
      <c r="AA672">
        <f ca="1"/>
        <v>0</v>
      </c>
      <c r="AB672">
        <f ca="1"/>
        <v>0.34211768952229399</v>
      </c>
      <c r="AD672" s="2">
        <f t="shared" ca="1" si="104"/>
        <v>44917</v>
      </c>
      <c r="AE672" s="46">
        <f t="shared" ca="1" si="105"/>
        <v>0</v>
      </c>
      <c r="AG672" s="72">
        <f t="shared" ca="1" si="106"/>
        <v>115.93896390082888</v>
      </c>
      <c r="AH672" s="72">
        <f t="shared" ca="1" si="107"/>
        <v>115.93896390082888</v>
      </c>
      <c r="AI672" s="3">
        <f t="shared" ca="1" si="108"/>
        <v>0</v>
      </c>
    </row>
    <row r="673" spans="7:35" ht="15.75" thickBot="1" x14ac:dyDescent="0.3">
      <c r="G673" s="3">
        <f t="shared" si="100"/>
        <v>211</v>
      </c>
      <c r="H673" s="106">
        <f t="shared" si="109"/>
        <v>44771</v>
      </c>
      <c r="I673" s="133">
        <f>HLOOKUP($H$4,'Met Data'!$A$2:$F$368,G673,FALSE)</f>
        <v>10.685</v>
      </c>
      <c r="J673" s="131">
        <f ca="1">HLOOKUP($H$4,'Met Data'!$H$2:$M$368,G673,FALSE)*L673</f>
        <v>5.83</v>
      </c>
      <c r="K673" s="107">
        <f>HLOOKUP($H$4,'Met Data'!$O$2:$T$368,G673,FALSE)</f>
        <v>1.6019548518300599</v>
      </c>
      <c r="L673">
        <f t="shared" ca="1" si="101"/>
        <v>1</v>
      </c>
      <c r="N673" t="b">
        <f t="shared" ca="1" si="102"/>
        <v>0</v>
      </c>
      <c r="O673" t="b">
        <f t="shared" ca="1" si="103"/>
        <v>0</v>
      </c>
      <c r="P673">
        <f ca="1"/>
        <v>44918</v>
      </c>
      <c r="Q673">
        <f ca="1"/>
        <v>116.04437211075461</v>
      </c>
      <c r="R673">
        <f ca="1"/>
        <v>0.15088552632555299</v>
      </c>
      <c r="S673">
        <f ca="1"/>
        <v>1.1142499229161284E-27</v>
      </c>
      <c r="T673">
        <f ca="1"/>
        <v>0.41963484468936058</v>
      </c>
      <c r="U673">
        <f ca="1"/>
        <v>0</v>
      </c>
      <c r="V673">
        <f ca="1"/>
        <v>109.599196356283</v>
      </c>
      <c r="W673">
        <f ca="1"/>
        <v>75.772283900639906</v>
      </c>
      <c r="X673">
        <f ca="1"/>
        <v>0</v>
      </c>
      <c r="Y673">
        <f ca="1"/>
        <v>0.71955592691130843</v>
      </c>
      <c r="Z673">
        <f ca="1"/>
        <v>0</v>
      </c>
      <c r="AA673">
        <f ca="1"/>
        <v>0</v>
      </c>
      <c r="AB673">
        <f ca="1"/>
        <v>0.324880711379884</v>
      </c>
      <c r="AD673" s="2">
        <f t="shared" ca="1" si="104"/>
        <v>44918</v>
      </c>
      <c r="AE673" s="46">
        <f t="shared" ca="1" si="105"/>
        <v>0</v>
      </c>
      <c r="AG673" s="72">
        <f t="shared" ca="1" si="106"/>
        <v>116.19525763708016</v>
      </c>
      <c r="AH673" s="72">
        <f t="shared" ca="1" si="107"/>
        <v>116.19525763708016</v>
      </c>
      <c r="AI673" s="3">
        <f t="shared" ca="1" si="108"/>
        <v>0</v>
      </c>
    </row>
    <row r="674" spans="7:35" ht="15.75" thickBot="1" x14ac:dyDescent="0.3">
      <c r="G674" s="3">
        <f t="shared" si="100"/>
        <v>212</v>
      </c>
      <c r="H674" s="106">
        <f t="shared" si="109"/>
        <v>44772</v>
      </c>
      <c r="I674" s="133">
        <f>HLOOKUP($H$4,'Met Data'!$A$2:$F$368,G674,FALSE)</f>
        <v>10.678333333333301</v>
      </c>
      <c r="J674" s="131">
        <f ca="1">HLOOKUP($H$4,'Met Data'!$H$2:$M$368,G674,FALSE)*L674</f>
        <v>2.98</v>
      </c>
      <c r="K674" s="107">
        <f>HLOOKUP($H$4,'Met Data'!$O$2:$T$368,G674,FALSE)</f>
        <v>1.6077513956073599</v>
      </c>
      <c r="L674">
        <f t="shared" ca="1" si="101"/>
        <v>1</v>
      </c>
      <c r="N674" t="b">
        <f t="shared" ca="1" si="102"/>
        <v>0</v>
      </c>
      <c r="O674" t="b">
        <f t="shared" ca="1" si="103"/>
        <v>0</v>
      </c>
      <c r="P674">
        <f ca="1"/>
        <v>44919</v>
      </c>
      <c r="Q674">
        <f ca="1"/>
        <v>116.32488302898716</v>
      </c>
      <c r="R674">
        <f ca="1"/>
        <v>0.143673223069129</v>
      </c>
      <c r="S674">
        <f ca="1"/>
        <v>9.5763508147840938E-28</v>
      </c>
      <c r="T674">
        <f ca="1"/>
        <v>0.42418414130167553</v>
      </c>
      <c r="U674">
        <f ca="1"/>
        <v>0</v>
      </c>
      <c r="V674">
        <f ca="1"/>
        <v>109.742869579352</v>
      </c>
      <c r="W674">
        <f ca="1"/>
        <v>75.871613536341997</v>
      </c>
      <c r="X674">
        <f ca="1"/>
        <v>0</v>
      </c>
      <c r="Y674">
        <f ca="1"/>
        <v>0.7197476313569019</v>
      </c>
      <c r="Z674">
        <f ca="1"/>
        <v>0</v>
      </c>
      <c r="AA674">
        <f ca="1"/>
        <v>0</v>
      </c>
      <c r="AB674">
        <f ca="1"/>
        <v>0.307506366015317</v>
      </c>
      <c r="AD674" s="2">
        <f t="shared" ca="1" si="104"/>
        <v>44919</v>
      </c>
      <c r="AE674" s="46">
        <f t="shared" ca="1" si="105"/>
        <v>0</v>
      </c>
      <c r="AG674" s="72">
        <f t="shared" ca="1" si="106"/>
        <v>116.46855625205629</v>
      </c>
      <c r="AH674" s="72">
        <f t="shared" ca="1" si="107"/>
        <v>116.46855625205629</v>
      </c>
      <c r="AI674" s="3">
        <f t="shared" ca="1" si="108"/>
        <v>0</v>
      </c>
    </row>
    <row r="675" spans="7:35" ht="15.75" thickBot="1" x14ac:dyDescent="0.3">
      <c r="G675" s="3">
        <f t="shared" si="100"/>
        <v>213</v>
      </c>
      <c r="H675" s="106">
        <f t="shared" si="109"/>
        <v>44773</v>
      </c>
      <c r="I675" s="133">
        <f>HLOOKUP($H$4,'Met Data'!$A$2:$F$368,G675,FALSE)</f>
        <v>10.767241379310301</v>
      </c>
      <c r="J675" s="131">
        <f ca="1">HLOOKUP($H$4,'Met Data'!$H$2:$M$368,G675,FALSE)*L675</f>
        <v>4.4285714285714199</v>
      </c>
      <c r="K675" s="107">
        <f>HLOOKUP($H$4,'Met Data'!$O$2:$T$368,G675,FALSE)</f>
        <v>1.4764466109261301</v>
      </c>
      <c r="L675">
        <f t="shared" ca="1" si="101"/>
        <v>1</v>
      </c>
      <c r="N675" t="b">
        <f t="shared" ca="1" si="102"/>
        <v>0</v>
      </c>
      <c r="O675" t="b">
        <f t="shared" ca="1" si="103"/>
        <v>0</v>
      </c>
      <c r="P675">
        <f ca="1"/>
        <v>44920</v>
      </c>
      <c r="Q675">
        <f ca="1"/>
        <v>116.62644562002546</v>
      </c>
      <c r="R675">
        <f ca="1"/>
        <v>0.13757121028675101</v>
      </c>
      <c r="S675">
        <f ca="1"/>
        <v>8.4041072297916197E-28</v>
      </c>
      <c r="T675">
        <f ca="1"/>
        <v>0.43913380132505431</v>
      </c>
      <c r="U675">
        <f ca="1"/>
        <v>0</v>
      </c>
      <c r="V675">
        <f ca="1"/>
        <v>109.880440789639</v>
      </c>
      <c r="W675">
        <f ca="1"/>
        <v>75.966724496540195</v>
      </c>
      <c r="X675">
        <f ca="1"/>
        <v>0</v>
      </c>
      <c r="Y675">
        <f ca="1"/>
        <v>0.73151463152514062</v>
      </c>
      <c r="Z675">
        <f ca="1"/>
        <v>0</v>
      </c>
      <c r="AA675">
        <f ca="1"/>
        <v>0</v>
      </c>
      <c r="AB675">
        <f ca="1"/>
        <v>0.28988162976478998</v>
      </c>
      <c r="AD675" s="2">
        <f t="shared" ca="1" si="104"/>
        <v>44920</v>
      </c>
      <c r="AE675" s="46">
        <f t="shared" ca="1" si="105"/>
        <v>0</v>
      </c>
      <c r="AG675" s="72">
        <f t="shared" ca="1" si="106"/>
        <v>116.76401683031222</v>
      </c>
      <c r="AH675" s="72">
        <f t="shared" ca="1" si="107"/>
        <v>116.76401683031222</v>
      </c>
      <c r="AI675" s="3">
        <f t="shared" ca="1" si="108"/>
        <v>0</v>
      </c>
    </row>
    <row r="676" spans="7:35" ht="15.75" thickBot="1" x14ac:dyDescent="0.3">
      <c r="G676" s="3">
        <f t="shared" si="100"/>
        <v>214</v>
      </c>
      <c r="H676" s="106">
        <f t="shared" si="109"/>
        <v>44774</v>
      </c>
      <c r="I676" s="133">
        <f>HLOOKUP($H$4,'Met Data'!$A$2:$F$368,G676,FALSE)</f>
        <v>10.815</v>
      </c>
      <c r="J676" s="131">
        <f ca="1">HLOOKUP($H$4,'Met Data'!$H$2:$M$368,G676,FALSE)*L676</f>
        <v>3.8533333333333299</v>
      </c>
      <c r="K676" s="107">
        <f>HLOOKUP($H$4,'Met Data'!$O$2:$T$368,G676,FALSE)</f>
        <v>1.4161434812322</v>
      </c>
      <c r="L676">
        <f t="shared" ca="1" si="101"/>
        <v>1</v>
      </c>
      <c r="N676" t="b">
        <f t="shared" ca="1" si="102"/>
        <v>0</v>
      </c>
      <c r="O676" t="b">
        <f t="shared" ca="1" si="103"/>
        <v>0</v>
      </c>
      <c r="P676">
        <f ca="1"/>
        <v>44921</v>
      </c>
      <c r="Q676">
        <f ca="1"/>
        <v>116.91715548397474</v>
      </c>
      <c r="R676">
        <f ca="1"/>
        <v>0.12774338584394199</v>
      </c>
      <c r="S676">
        <f ca="1"/>
        <v>6.8080989994608944E-28</v>
      </c>
      <c r="T676">
        <f ca="1"/>
        <v>0.41845324979321497</v>
      </c>
      <c r="U676">
        <f ca="1"/>
        <v>0</v>
      </c>
      <c r="V676">
        <f ca="1"/>
        <v>110.008184175482</v>
      </c>
      <c r="W676">
        <f ca="1"/>
        <v>76.055040911444706</v>
      </c>
      <c r="X676">
        <f ca="1"/>
        <v>0</v>
      </c>
      <c r="Y676">
        <f ca="1"/>
        <v>0.7114862895623687</v>
      </c>
      <c r="Z676">
        <f ca="1"/>
        <v>0</v>
      </c>
      <c r="AA676">
        <f ca="1"/>
        <v>0</v>
      </c>
      <c r="AB676">
        <f ca="1"/>
        <v>0.27254206091216099</v>
      </c>
      <c r="AD676" s="2">
        <f t="shared" ca="1" si="104"/>
        <v>44921</v>
      </c>
      <c r="AE676" s="46">
        <f t="shared" ca="1" si="105"/>
        <v>0</v>
      </c>
      <c r="AG676" s="72">
        <f t="shared" ca="1" si="106"/>
        <v>117.04489886981868</v>
      </c>
      <c r="AH676" s="72">
        <f t="shared" ca="1" si="107"/>
        <v>117.04489886981868</v>
      </c>
      <c r="AI676" s="3">
        <f t="shared" ca="1" si="108"/>
        <v>0</v>
      </c>
    </row>
    <row r="677" spans="7:35" ht="15.75" thickBot="1" x14ac:dyDescent="0.3">
      <c r="G677" s="3">
        <f t="shared" si="100"/>
        <v>215</v>
      </c>
      <c r="H677" s="106">
        <f t="shared" si="109"/>
        <v>44775</v>
      </c>
      <c r="I677" s="133">
        <f>HLOOKUP($H$4,'Met Data'!$A$2:$F$368,G677,FALSE)</f>
        <v>11.156666666666601</v>
      </c>
      <c r="J677" s="131">
        <f ca="1">HLOOKUP($H$4,'Met Data'!$H$2:$M$368,G677,FALSE)*L677</f>
        <v>5.7666666666666604</v>
      </c>
      <c r="K677" s="107">
        <f>HLOOKUP($H$4,'Met Data'!$O$2:$T$368,G677,FALSE)</f>
        <v>1.4216364054283901</v>
      </c>
      <c r="L677">
        <f t="shared" ca="1" si="101"/>
        <v>1</v>
      </c>
      <c r="N677" t="b">
        <f t="shared" ca="1" si="102"/>
        <v>0</v>
      </c>
      <c r="O677" t="b">
        <f t="shared" ca="1" si="103"/>
        <v>0</v>
      </c>
      <c r="P677">
        <f ca="1"/>
        <v>44922</v>
      </c>
      <c r="Q677">
        <f ca="1"/>
        <v>117.21022428275162</v>
      </c>
      <c r="R677">
        <f ca="1"/>
        <v>0.121091012176862</v>
      </c>
      <c r="S677">
        <f ca="1"/>
        <v>5.7351549472113831E-28</v>
      </c>
      <c r="T677">
        <f ca="1"/>
        <v>0.41415981095374765</v>
      </c>
      <c r="U677">
        <f ca="1"/>
        <v>0</v>
      </c>
      <c r="V677">
        <f ca="1"/>
        <v>110.129275187659</v>
      </c>
      <c r="W677">
        <f ca="1"/>
        <v>76.138758154431201</v>
      </c>
      <c r="X677">
        <f ca="1"/>
        <v>0</v>
      </c>
      <c r="Y677">
        <f ca="1"/>
        <v>0.6995985601806759</v>
      </c>
      <c r="Z677">
        <f ca="1"/>
        <v>0</v>
      </c>
      <c r="AA677">
        <f ca="1"/>
        <v>0</v>
      </c>
      <c r="AB677">
        <f ca="1"/>
        <v>0.25513120021005797</v>
      </c>
      <c r="AD677" s="2">
        <f t="shared" ca="1" si="104"/>
        <v>44922</v>
      </c>
      <c r="AE677" s="46">
        <f t="shared" ca="1" si="105"/>
        <v>0</v>
      </c>
      <c r="AG677" s="72">
        <f t="shared" ca="1" si="106"/>
        <v>117.33131529492849</v>
      </c>
      <c r="AH677" s="72">
        <f t="shared" ca="1" si="107"/>
        <v>117.33131529492849</v>
      </c>
      <c r="AI677" s="3">
        <f t="shared" ca="1" si="108"/>
        <v>0</v>
      </c>
    </row>
    <row r="678" spans="7:35" ht="15.75" thickBot="1" x14ac:dyDescent="0.3">
      <c r="G678" s="3">
        <f t="shared" si="100"/>
        <v>216</v>
      </c>
      <c r="H678" s="106">
        <f t="shared" si="109"/>
        <v>44776</v>
      </c>
      <c r="I678" s="133">
        <f>HLOOKUP($H$4,'Met Data'!$A$2:$F$368,G678,FALSE)</f>
        <v>11.0879310344827</v>
      </c>
      <c r="J678" s="131">
        <f ca="1">HLOOKUP($H$4,'Met Data'!$H$2:$M$368,G678,FALSE)*L678</f>
        <v>3.2896551724137901</v>
      </c>
      <c r="K678" s="107">
        <f>HLOOKUP($H$4,'Met Data'!$O$2:$T$368,G678,FALSE)</f>
        <v>1.4857250646951901</v>
      </c>
      <c r="L678">
        <f t="shared" ca="1" si="101"/>
        <v>1</v>
      </c>
      <c r="N678" t="b">
        <f t="shared" ca="1" si="102"/>
        <v>0</v>
      </c>
      <c r="O678" t="b">
        <f t="shared" ca="1" si="103"/>
        <v>0</v>
      </c>
      <c r="P678">
        <f ca="1"/>
        <v>44923</v>
      </c>
      <c r="Q678">
        <f ca="1"/>
        <v>117.5189276926326</v>
      </c>
      <c r="R678">
        <f ca="1"/>
        <v>0.11940175361182501</v>
      </c>
      <c r="S678">
        <f ca="1"/>
        <v>4.9784977592567135E-28</v>
      </c>
      <c r="T678">
        <f ca="1"/>
        <v>0.42810516349280836</v>
      </c>
      <c r="U678">
        <f ca="1"/>
        <v>0</v>
      </c>
      <c r="V678">
        <f ca="1"/>
        <v>110.248676941271</v>
      </c>
      <c r="W678">
        <f ca="1"/>
        <v>76.221307514952898</v>
      </c>
      <c r="X678">
        <f ca="1"/>
        <v>0</v>
      </c>
      <c r="Y678">
        <f ca="1"/>
        <v>0.67890960397642386</v>
      </c>
      <c r="Z678">
        <f ca="1"/>
        <v>0</v>
      </c>
      <c r="AA678">
        <f ca="1"/>
        <v>0</v>
      </c>
      <c r="AB678">
        <f ca="1"/>
        <v>0.23691700208217101</v>
      </c>
      <c r="AD678" s="2">
        <f t="shared" ca="1" si="104"/>
        <v>44923</v>
      </c>
      <c r="AE678" s="46">
        <f t="shared" ca="1" si="105"/>
        <v>0</v>
      </c>
      <c r="AG678" s="72">
        <f t="shared" ca="1" si="106"/>
        <v>117.63832944624443</v>
      </c>
      <c r="AH678" s="72">
        <f t="shared" ca="1" si="107"/>
        <v>117.63832944624443</v>
      </c>
      <c r="AI678" s="3">
        <f t="shared" ca="1" si="108"/>
        <v>0</v>
      </c>
    </row>
    <row r="679" spans="7:35" ht="15.75" thickBot="1" x14ac:dyDescent="0.3">
      <c r="G679" s="3">
        <f t="shared" si="100"/>
        <v>217</v>
      </c>
      <c r="H679" s="106">
        <f t="shared" si="109"/>
        <v>44777</v>
      </c>
      <c r="I679" s="133">
        <f>HLOOKUP($H$4,'Met Data'!$A$2:$F$368,G679,FALSE)</f>
        <v>10.9965517241379</v>
      </c>
      <c r="J679" s="131">
        <f ca="1">HLOOKUP($H$4,'Met Data'!$H$2:$M$368,G679,FALSE)*L679</f>
        <v>5.08275862068965</v>
      </c>
      <c r="K679" s="107">
        <f>HLOOKUP($H$4,'Met Data'!$O$2:$T$368,G679,FALSE)</f>
        <v>1.4618721174640501</v>
      </c>
      <c r="L679">
        <f t="shared" ca="1" si="101"/>
        <v>1</v>
      </c>
      <c r="N679" t="b">
        <f t="shared" ca="1" si="102"/>
        <v>0</v>
      </c>
      <c r="O679" t="b">
        <f t="shared" ca="1" si="103"/>
        <v>0</v>
      </c>
      <c r="P679">
        <f ca="1"/>
        <v>44924</v>
      </c>
      <c r="Q679">
        <f ca="1"/>
        <v>117.84234602767724</v>
      </c>
      <c r="R679">
        <f ca="1"/>
        <v>0.114342580295244</v>
      </c>
      <c r="S679">
        <f ca="1"/>
        <v>4.3127398513684745E-28</v>
      </c>
      <c r="T679">
        <f ca="1"/>
        <v>0.43776091533987399</v>
      </c>
      <c r="U679">
        <f ca="1"/>
        <v>0</v>
      </c>
      <c r="V679">
        <f ca="1"/>
        <v>110.363019521566</v>
      </c>
      <c r="W679">
        <f ca="1"/>
        <v>76.300359175403997</v>
      </c>
      <c r="X679">
        <f ca="1"/>
        <v>0</v>
      </c>
      <c r="Y679">
        <f ca="1"/>
        <v>0.67736236134777694</v>
      </c>
      <c r="Z679">
        <f ca="1"/>
        <v>0</v>
      </c>
      <c r="AA679">
        <f ca="1"/>
        <v>0</v>
      </c>
      <c r="AB679">
        <f ca="1"/>
        <v>0.218374165916463</v>
      </c>
      <c r="AD679" s="2">
        <f t="shared" ca="1" si="104"/>
        <v>44924</v>
      </c>
      <c r="AE679" s="46">
        <f t="shared" ca="1" si="105"/>
        <v>0</v>
      </c>
      <c r="AG679" s="72">
        <f t="shared" ca="1" si="106"/>
        <v>117.95668860797248</v>
      </c>
      <c r="AH679" s="72">
        <f t="shared" ca="1" si="107"/>
        <v>117.95668860797248</v>
      </c>
      <c r="AI679" s="3">
        <f t="shared" ca="1" si="108"/>
        <v>0</v>
      </c>
    </row>
    <row r="680" spans="7:35" ht="15.75" thickBot="1" x14ac:dyDescent="0.3">
      <c r="G680" s="3">
        <f t="shared" si="100"/>
        <v>218</v>
      </c>
      <c r="H680" s="106">
        <f t="shared" si="109"/>
        <v>44778</v>
      </c>
      <c r="I680" s="133">
        <f>HLOOKUP($H$4,'Met Data'!$A$2:$F$368,G680,FALSE)</f>
        <v>10.706395995550601</v>
      </c>
      <c r="J680" s="131">
        <f ca="1">HLOOKUP($H$4,'Met Data'!$H$2:$M$368,G680,FALSE)*L680</f>
        <v>4.8827586206896498</v>
      </c>
      <c r="K680" s="107">
        <f>HLOOKUP($H$4,'Met Data'!$O$2:$T$368,G680,FALSE)</f>
        <v>1.3278392687764899</v>
      </c>
      <c r="L680">
        <f t="shared" ca="1" si="101"/>
        <v>1</v>
      </c>
      <c r="N680" t="b">
        <f t="shared" ca="1" si="102"/>
        <v>0</v>
      </c>
      <c r="O680" t="b">
        <f t="shared" ca="1" si="103"/>
        <v>0</v>
      </c>
      <c r="P680">
        <f ca="1"/>
        <v>44925</v>
      </c>
      <c r="Q680">
        <f ca="1"/>
        <v>118.17416565332469</v>
      </c>
      <c r="R680">
        <f ca="1"/>
        <v>0.106183841345086</v>
      </c>
      <c r="S680">
        <f ca="1"/>
        <v>3.6935346093206102E-28</v>
      </c>
      <c r="T680">
        <f ca="1"/>
        <v>0.43800346699253651</v>
      </c>
      <c r="U680">
        <f ca="1"/>
        <v>0</v>
      </c>
      <c r="V680">
        <f ca="1"/>
        <v>110.469203362912</v>
      </c>
      <c r="W680">
        <f ca="1"/>
        <v>76.373770226210397</v>
      </c>
      <c r="X680">
        <f ca="1"/>
        <v>0</v>
      </c>
      <c r="Y680">
        <f ca="1"/>
        <v>0.69065377221263313</v>
      </c>
      <c r="Z680">
        <f ca="1"/>
        <v>0</v>
      </c>
      <c r="AA680">
        <f ca="1"/>
        <v>0</v>
      </c>
      <c r="AB680">
        <f ca="1"/>
        <v>0.20006259355514799</v>
      </c>
      <c r="AD680" s="2">
        <f t="shared" ca="1" si="104"/>
        <v>44925</v>
      </c>
      <c r="AE680" s="46">
        <f t="shared" ca="1" si="105"/>
        <v>0</v>
      </c>
      <c r="AG680" s="72">
        <f t="shared" ca="1" si="106"/>
        <v>118.28034949466978</v>
      </c>
      <c r="AH680" s="72">
        <f t="shared" ca="1" si="107"/>
        <v>118.28034949466978</v>
      </c>
      <c r="AI680" s="3">
        <f t="shared" ca="1" si="108"/>
        <v>0</v>
      </c>
    </row>
    <row r="681" spans="7:35" ht="15.75" thickBot="1" x14ac:dyDescent="0.3">
      <c r="G681" s="3">
        <f t="shared" si="100"/>
        <v>219</v>
      </c>
      <c r="H681" s="106">
        <f t="shared" si="109"/>
        <v>44779</v>
      </c>
      <c r="I681" s="133">
        <f>HLOOKUP($H$4,'Met Data'!$A$2:$F$368,G681,FALSE)</f>
        <v>10.6327586206896</v>
      </c>
      <c r="J681" s="131">
        <f ca="1">HLOOKUP($H$4,'Met Data'!$H$2:$M$368,G681,FALSE)*L681</f>
        <v>4.1724137931034404</v>
      </c>
      <c r="K681" s="107">
        <f>HLOOKUP($H$4,'Met Data'!$O$2:$T$368,G681,FALSE)</f>
        <v>1.47551454127292</v>
      </c>
      <c r="L681">
        <f t="shared" ca="1" si="101"/>
        <v>1</v>
      </c>
      <c r="N681" t="b">
        <f t="shared" ca="1" si="102"/>
        <v>0</v>
      </c>
      <c r="O681" t="b">
        <f t="shared" ca="1" si="103"/>
        <v>0</v>
      </c>
      <c r="P681">
        <f ca="1"/>
        <v>44926</v>
      </c>
      <c r="Q681">
        <f ca="1"/>
        <v>118.53165626872648</v>
      </c>
      <c r="R681">
        <f ca="1"/>
        <v>9.8020708678433294E-2</v>
      </c>
      <c r="S681">
        <f ca="1"/>
        <v>3.2976939059283541E-28</v>
      </c>
      <c r="T681">
        <f ca="1"/>
        <v>0.45551132408022327</v>
      </c>
      <c r="U681">
        <f ca="1"/>
        <v>0</v>
      </c>
      <c r="V681">
        <f ca="1"/>
        <v>110.56722407159</v>
      </c>
      <c r="W681">
        <f ca="1"/>
        <v>76.441537629741205</v>
      </c>
      <c r="X681">
        <f ca="1"/>
        <v>0</v>
      </c>
      <c r="Y681">
        <f ca="1"/>
        <v>0.74006024740663112</v>
      </c>
      <c r="Z681">
        <f ca="1"/>
        <v>0</v>
      </c>
      <c r="AA681">
        <f ca="1"/>
        <v>0</v>
      </c>
      <c r="AB681">
        <f ca="1"/>
        <v>0.18210226396441401</v>
      </c>
      <c r="AD681" s="2">
        <f t="shared" ca="1" si="104"/>
        <v>44926</v>
      </c>
      <c r="AE681" s="46">
        <f t="shared" ca="1" si="105"/>
        <v>0</v>
      </c>
      <c r="AG681" s="72">
        <f t="shared" ca="1" si="106"/>
        <v>118.62967697740491</v>
      </c>
      <c r="AH681" s="72">
        <f t="shared" ca="1" si="107"/>
        <v>118.62967697740491</v>
      </c>
      <c r="AI681" s="3">
        <f t="shared" ca="1" si="108"/>
        <v>0</v>
      </c>
    </row>
    <row r="682" spans="7:35" ht="15.75" thickBot="1" x14ac:dyDescent="0.3">
      <c r="G682" s="3">
        <f t="shared" si="100"/>
        <v>220</v>
      </c>
      <c r="H682" s="106">
        <f t="shared" si="109"/>
        <v>44780</v>
      </c>
      <c r="I682" s="133">
        <f>HLOOKUP($H$4,'Met Data'!$A$2:$F$368,G682,FALSE)</f>
        <v>10.7362068965517</v>
      </c>
      <c r="J682" s="131">
        <f ca="1">HLOOKUP($H$4,'Met Data'!$H$2:$M$368,G682,FALSE)*L682</f>
        <v>3.27241379310344</v>
      </c>
      <c r="K682" s="107">
        <f>HLOOKUP($H$4,'Met Data'!$O$2:$T$368,G682,FALSE)</f>
        <v>1.4915207810797499</v>
      </c>
      <c r="L682">
        <f t="shared" ca="1" si="101"/>
        <v>1</v>
      </c>
      <c r="N682" t="b">
        <f t="shared" ca="1" si="102"/>
        <v>0</v>
      </c>
      <c r="O682" t="b">
        <f t="shared" ca="1" si="103"/>
        <v>0</v>
      </c>
      <c r="P682">
        <f ca="1"/>
        <v>44927</v>
      </c>
      <c r="Q682">
        <f ca="1"/>
        <v>118.88637599062297</v>
      </c>
      <c r="R682">
        <f ca="1"/>
        <v>9.1449510006057694E-2</v>
      </c>
      <c r="S682">
        <f ca="1"/>
        <v>2.7275984501617838E-28</v>
      </c>
      <c r="T682">
        <f ca="1"/>
        <v>0.44616923190253838</v>
      </c>
      <c r="U682">
        <f ca="1"/>
        <v>0</v>
      </c>
      <c r="V682">
        <f ca="1"/>
        <v>110.65867358159601</v>
      </c>
      <c r="W682">
        <f ca="1"/>
        <v>76.504761982337996</v>
      </c>
      <c r="X682">
        <f ca="1"/>
        <v>0</v>
      </c>
      <c r="Y682">
        <f ca="1"/>
        <v>0.73408172804927785</v>
      </c>
      <c r="Z682">
        <f ca="1"/>
        <v>0</v>
      </c>
      <c r="AA682">
        <f ca="1"/>
        <v>0</v>
      </c>
      <c r="AB682">
        <f ca="1"/>
        <v>0.164312339282179</v>
      </c>
      <c r="AD682" s="2">
        <f t="shared" ca="1" si="104"/>
        <v>44927</v>
      </c>
      <c r="AE682" s="46">
        <f t="shared" ca="1" si="105"/>
        <v>0</v>
      </c>
      <c r="AG682" s="72">
        <f t="shared" ca="1" si="106"/>
        <v>118.97782550062902</v>
      </c>
      <c r="AH682" s="72">
        <f t="shared" ca="1" si="107"/>
        <v>118.97782550062902</v>
      </c>
      <c r="AI682" s="3">
        <f t="shared" ca="1" si="108"/>
        <v>0</v>
      </c>
    </row>
    <row r="683" spans="7:35" ht="15.75" thickBot="1" x14ac:dyDescent="0.3">
      <c r="G683" s="3">
        <f t="shared" si="100"/>
        <v>221</v>
      </c>
      <c r="H683" s="106">
        <f t="shared" si="109"/>
        <v>44781</v>
      </c>
      <c r="I683" s="133">
        <f>HLOOKUP($H$4,'Met Data'!$A$2:$F$368,G683,FALSE)</f>
        <v>10.733333333333301</v>
      </c>
      <c r="J683" s="131">
        <f ca="1">HLOOKUP($H$4,'Met Data'!$H$2:$M$368,G683,FALSE)*L683</f>
        <v>2.4066666666666601</v>
      </c>
      <c r="K683" s="107">
        <f>HLOOKUP($H$4,'Met Data'!$O$2:$T$368,G683,FALSE)</f>
        <v>1.7881547154649999</v>
      </c>
      <c r="L683">
        <f t="shared" ca="1" si="101"/>
        <v>1</v>
      </c>
      <c r="N683" t="b">
        <f t="shared" ca="1" si="102"/>
        <v>0</v>
      </c>
      <c r="O683" t="b">
        <f t="shared" ca="1" si="103"/>
        <v>0</v>
      </c>
      <c r="P683">
        <f ca="1"/>
        <v>44928</v>
      </c>
      <c r="Q683">
        <f ca="1"/>
        <v>119.24646497576383</v>
      </c>
      <c r="R683">
        <f ca="1"/>
        <v>8.7924398292941006E-2</v>
      </c>
      <c r="S683">
        <f ca="1"/>
        <v>2.2939943320668155E-28</v>
      </c>
      <c r="T683">
        <f ca="1"/>
        <v>0.44801338343380415</v>
      </c>
      <c r="U683">
        <f ca="1"/>
        <v>0</v>
      </c>
      <c r="V683">
        <f ca="1"/>
        <v>110.746597979889</v>
      </c>
      <c r="W683">
        <f ca="1"/>
        <v>76.565549220663996</v>
      </c>
      <c r="X683">
        <f ca="1"/>
        <v>0</v>
      </c>
      <c r="Y683">
        <f ca="1"/>
        <v>0.71578678412682373</v>
      </c>
      <c r="Z683">
        <f ca="1"/>
        <v>0</v>
      </c>
      <c r="AA683">
        <f ca="1"/>
        <v>0</v>
      </c>
      <c r="AB683">
        <f ca="1"/>
        <v>0.14614508944540899</v>
      </c>
      <c r="AD683" s="2">
        <f t="shared" ca="1" si="104"/>
        <v>44928</v>
      </c>
      <c r="AE683" s="46">
        <f t="shared" ca="1" si="105"/>
        <v>0</v>
      </c>
      <c r="AG683" s="72">
        <f t="shared" ca="1" si="106"/>
        <v>119.33438937405677</v>
      </c>
      <c r="AH683" s="72">
        <f t="shared" ca="1" si="107"/>
        <v>119.33438937405677</v>
      </c>
      <c r="AI683" s="3">
        <f t="shared" ca="1" si="108"/>
        <v>0</v>
      </c>
    </row>
    <row r="684" spans="7:35" ht="15.75" thickBot="1" x14ac:dyDescent="0.3">
      <c r="G684" s="3">
        <f t="shared" si="100"/>
        <v>222</v>
      </c>
      <c r="H684" s="106">
        <f t="shared" si="109"/>
        <v>44782</v>
      </c>
      <c r="I684" s="133">
        <f>HLOOKUP($H$4,'Met Data'!$A$2:$F$368,G684,FALSE)</f>
        <v>10.86</v>
      </c>
      <c r="J684" s="131">
        <f ca="1">HLOOKUP($H$4,'Met Data'!$H$2:$M$368,G684,FALSE)*L684</f>
        <v>4.66</v>
      </c>
      <c r="K684" s="107">
        <f>HLOOKUP($H$4,'Met Data'!$O$2:$T$368,G684,FALSE)</f>
        <v>1.7221488940763401</v>
      </c>
      <c r="L684">
        <f t="shared" ca="1" si="101"/>
        <v>1</v>
      </c>
      <c r="N684" t="b">
        <f t="shared" ca="1" si="102"/>
        <v>0</v>
      </c>
      <c r="O684" t="b">
        <f t="shared" ca="1" si="103"/>
        <v>0</v>
      </c>
      <c r="P684">
        <f ca="1"/>
        <v>44929</v>
      </c>
      <c r="Q684">
        <f ca="1"/>
        <v>119.59608949264529</v>
      </c>
      <c r="R684">
        <f ca="1"/>
        <v>8.1888996617962603E-2</v>
      </c>
      <c r="S684">
        <f ca="1"/>
        <v>1.8715486320501875E-28</v>
      </c>
      <c r="T684">
        <f ca="1"/>
        <v>0.43151351349943007</v>
      </c>
      <c r="U684">
        <f ca="1"/>
        <v>0</v>
      </c>
      <c r="V684">
        <f ca="1"/>
        <v>110.82848697650699</v>
      </c>
      <c r="W684">
        <f ca="1"/>
        <v>76.622163835609697</v>
      </c>
      <c r="X684">
        <f ca="1"/>
        <v>0</v>
      </c>
      <c r="Y684">
        <f ca="1"/>
        <v>0.69808580955706701</v>
      </c>
      <c r="Z684">
        <f ca="1"/>
        <v>0</v>
      </c>
      <c r="AA684">
        <f ca="1"/>
        <v>0</v>
      </c>
      <c r="AB684">
        <f ca="1"/>
        <v>0.128165632773108</v>
      </c>
      <c r="AD684" s="2">
        <f t="shared" ca="1" si="104"/>
        <v>44929</v>
      </c>
      <c r="AE684" s="46">
        <f t="shared" ca="1" si="105"/>
        <v>0</v>
      </c>
      <c r="AG684" s="72">
        <f t="shared" ca="1" si="106"/>
        <v>119.67797848926325</v>
      </c>
      <c r="AH684" s="72">
        <f t="shared" ca="1" si="107"/>
        <v>119.67797848926325</v>
      </c>
      <c r="AI684" s="3">
        <f t="shared" ca="1" si="108"/>
        <v>0</v>
      </c>
    </row>
    <row r="685" spans="7:35" ht="15.75" thickBot="1" x14ac:dyDescent="0.3">
      <c r="G685" s="3">
        <f t="shared" si="100"/>
        <v>223</v>
      </c>
      <c r="H685" s="106">
        <f t="shared" si="109"/>
        <v>44783</v>
      </c>
      <c r="I685" s="133">
        <f>HLOOKUP($H$4,'Met Data'!$A$2:$F$368,G685,FALSE)</f>
        <v>10.6416666666666</v>
      </c>
      <c r="J685" s="131">
        <f ca="1">HLOOKUP($H$4,'Met Data'!$H$2:$M$368,G685,FALSE)*L685</f>
        <v>4.53666666666666</v>
      </c>
      <c r="K685" s="107">
        <f>HLOOKUP($H$4,'Met Data'!$O$2:$T$368,G685,FALSE)</f>
        <v>1.78798041526371</v>
      </c>
      <c r="L685">
        <f t="shared" ca="1" si="101"/>
        <v>1</v>
      </c>
      <c r="N685" t="b">
        <f t="shared" ca="1" si="102"/>
        <v>0</v>
      </c>
      <c r="O685" t="b">
        <f t="shared" ca="1" si="103"/>
        <v>0</v>
      </c>
      <c r="P685">
        <f ca="1"/>
        <v>44930</v>
      </c>
      <c r="Q685">
        <f ca="1"/>
        <v>119.94751166538292</v>
      </c>
      <c r="R685">
        <f ca="1"/>
        <v>7.80940191072972E-2</v>
      </c>
      <c r="S685">
        <f ca="1"/>
        <v>1.5738706297596806E-28</v>
      </c>
      <c r="T685">
        <f ca="1"/>
        <v>0.42951619184492629</v>
      </c>
      <c r="U685">
        <f ca="1"/>
        <v>0</v>
      </c>
      <c r="V685">
        <f ca="1"/>
        <v>110.90658099561399</v>
      </c>
      <c r="W685">
        <f ca="1"/>
        <v>76.676154762399904</v>
      </c>
      <c r="X685">
        <f ca="1"/>
        <v>0</v>
      </c>
      <c r="Y685">
        <f ca="1"/>
        <v>0.68089649980439226</v>
      </c>
      <c r="Z685">
        <f ca="1"/>
        <v>0</v>
      </c>
      <c r="AA685">
        <f ca="1"/>
        <v>0</v>
      </c>
      <c r="AB685">
        <f ca="1"/>
        <v>0.109942740517237</v>
      </c>
      <c r="AD685" s="2">
        <f t="shared" ca="1" si="104"/>
        <v>44930</v>
      </c>
      <c r="AE685" s="46">
        <f t="shared" ca="1" si="105"/>
        <v>0</v>
      </c>
      <c r="AG685" s="72">
        <f t="shared" ca="1" si="106"/>
        <v>120.02560568449022</v>
      </c>
      <c r="AH685" s="72">
        <f t="shared" ca="1" si="107"/>
        <v>120.02560568449022</v>
      </c>
      <c r="AI685" s="3">
        <f t="shared" ca="1" si="108"/>
        <v>0</v>
      </c>
    </row>
    <row r="686" spans="7:35" ht="15.75" thickBot="1" x14ac:dyDescent="0.3">
      <c r="G686" s="3">
        <f t="shared" si="100"/>
        <v>224</v>
      </c>
      <c r="H686" s="106">
        <f t="shared" si="109"/>
        <v>44784</v>
      </c>
      <c r="I686" s="133">
        <f>HLOOKUP($H$4,'Met Data'!$A$2:$F$368,G686,FALSE)</f>
        <v>10.8983333333333</v>
      </c>
      <c r="J686" s="131">
        <f ca="1">HLOOKUP($H$4,'Met Data'!$H$2:$M$368,G686,FALSE)*L686</f>
        <v>5.7266666666666604</v>
      </c>
      <c r="K686" s="107">
        <f>HLOOKUP($H$4,'Met Data'!$O$2:$T$368,G686,FALSE)</f>
        <v>1.78444613895236</v>
      </c>
      <c r="L686">
        <f t="shared" ca="1" si="101"/>
        <v>1</v>
      </c>
      <c r="N686" t="b">
        <f t="shared" ca="1" si="102"/>
        <v>0</v>
      </c>
      <c r="O686" t="b">
        <f t="shared" ca="1" si="103"/>
        <v>0</v>
      </c>
      <c r="P686">
        <f ca="1"/>
        <v>44931</v>
      </c>
      <c r="Q686">
        <f ca="1"/>
        <v>120.28414904124725</v>
      </c>
      <c r="R686">
        <f ca="1"/>
        <v>7.1824937919757303E-2</v>
      </c>
      <c r="S686">
        <f ca="1"/>
        <v>1.2832157078423858E-28</v>
      </c>
      <c r="T686">
        <f ca="1"/>
        <v>0.4084623137840796</v>
      </c>
      <c r="U686">
        <f ca="1"/>
        <v>0</v>
      </c>
      <c r="V686">
        <f ca="1"/>
        <v>110.97840593353401</v>
      </c>
      <c r="W686">
        <f ca="1"/>
        <v>76.725811509603702</v>
      </c>
      <c r="X686">
        <f ca="1"/>
        <v>0</v>
      </c>
      <c r="Y686">
        <f ca="1"/>
        <v>0.66644410889695693</v>
      </c>
      <c r="Z686">
        <f ca="1"/>
        <v>0</v>
      </c>
      <c r="AA686">
        <f ca="1"/>
        <v>0</v>
      </c>
      <c r="AB686">
        <f ca="1"/>
        <v>9.2133688753435597E-2</v>
      </c>
      <c r="AD686" s="2">
        <f t="shared" ca="1" si="104"/>
        <v>44931</v>
      </c>
      <c r="AE686" s="46">
        <f t="shared" ca="1" si="105"/>
        <v>0</v>
      </c>
      <c r="AG686" s="72">
        <f t="shared" ca="1" si="106"/>
        <v>120.355973979167</v>
      </c>
      <c r="AH686" s="72">
        <f t="shared" ca="1" si="107"/>
        <v>120.355973979167</v>
      </c>
      <c r="AI686" s="3">
        <f t="shared" ca="1" si="108"/>
        <v>0</v>
      </c>
    </row>
    <row r="687" spans="7:35" ht="15.75" thickBot="1" x14ac:dyDescent="0.3">
      <c r="G687" s="3">
        <f t="shared" si="100"/>
        <v>225</v>
      </c>
      <c r="H687" s="106">
        <f t="shared" si="109"/>
        <v>44785</v>
      </c>
      <c r="I687" s="133">
        <f>HLOOKUP($H$4,'Met Data'!$A$2:$F$368,G687,FALSE)</f>
        <v>10.62</v>
      </c>
      <c r="J687" s="131">
        <f ca="1">HLOOKUP($H$4,'Met Data'!$H$2:$M$368,G687,FALSE)*L687</f>
        <v>3.95333333333333</v>
      </c>
      <c r="K687" s="107">
        <f>HLOOKUP($H$4,'Met Data'!$O$2:$T$368,G687,FALSE)</f>
        <v>1.79702295751458</v>
      </c>
      <c r="L687">
        <f t="shared" ca="1" si="101"/>
        <v>1</v>
      </c>
      <c r="N687" t="b">
        <f t="shared" ca="1" si="102"/>
        <v>0</v>
      </c>
      <c r="O687" t="b">
        <f t="shared" ca="1" si="103"/>
        <v>0</v>
      </c>
      <c r="P687">
        <f ca="1"/>
        <v>44932</v>
      </c>
      <c r="Q687">
        <f ca="1"/>
        <v>120.62123735903144</v>
      </c>
      <c r="R687">
        <f ca="1"/>
        <v>6.7950340379994104E-2</v>
      </c>
      <c r="S687">
        <f ca="1"/>
        <v>1.0887665013109041E-28</v>
      </c>
      <c r="T687">
        <f ca="1"/>
        <v>0.40503865816418666</v>
      </c>
      <c r="U687">
        <f ca="1"/>
        <v>0</v>
      </c>
      <c r="V687">
        <f ca="1"/>
        <v>111.046356273914</v>
      </c>
      <c r="W687">
        <f ca="1"/>
        <v>76.772789522705907</v>
      </c>
      <c r="X687">
        <f ca="1"/>
        <v>0</v>
      </c>
      <c r="Y687">
        <f ca="1"/>
        <v>0.65530729207876215</v>
      </c>
      <c r="Z687">
        <f ca="1"/>
        <v>0</v>
      </c>
      <c r="AA687">
        <f ca="1"/>
        <v>0</v>
      </c>
      <c r="AB687">
        <f ca="1"/>
        <v>7.4239434535384702E-2</v>
      </c>
      <c r="AD687" s="2">
        <f t="shared" ca="1" si="104"/>
        <v>44932</v>
      </c>
      <c r="AE687" s="46">
        <f t="shared" ca="1" si="105"/>
        <v>0</v>
      </c>
      <c r="AG687" s="72">
        <f t="shared" ca="1" si="106"/>
        <v>120.68918769941143</v>
      </c>
      <c r="AH687" s="72">
        <f t="shared" ca="1" si="107"/>
        <v>120.68918769941143</v>
      </c>
      <c r="AI687" s="3">
        <f t="shared" ca="1" si="108"/>
        <v>0</v>
      </c>
    </row>
    <row r="688" spans="7:35" ht="15.75" thickBot="1" x14ac:dyDescent="0.3">
      <c r="G688" s="3">
        <f t="shared" ref="G688:G751" si="110">H688-DATE(YEAR(H688),1,0)+1</f>
        <v>226</v>
      </c>
      <c r="H688" s="106">
        <f t="shared" si="109"/>
        <v>44786</v>
      </c>
      <c r="I688" s="133">
        <f>HLOOKUP($H$4,'Met Data'!$A$2:$F$368,G688,FALSE)</f>
        <v>10.851666666666601</v>
      </c>
      <c r="J688" s="131">
        <f ca="1">HLOOKUP($H$4,'Met Data'!$H$2:$M$368,G688,FALSE)*L688</f>
        <v>4.43</v>
      </c>
      <c r="K688" s="107">
        <f>HLOOKUP($H$4,'Met Data'!$O$2:$T$368,G688,FALSE)</f>
        <v>1.75622712343688</v>
      </c>
      <c r="L688">
        <f t="shared" ref="L688:L751" ca="1" si="111">IF(H688&lt;$B$31,$J$3,$J$4)</f>
        <v>1</v>
      </c>
      <c r="N688" t="b">
        <f t="shared" ref="N688:N751" ca="1" si="112">IF(P688&lt;$P$3,TRUE,FALSE)</f>
        <v>0</v>
      </c>
      <c r="O688" t="b">
        <f t="shared" ref="O688:O751" ca="1" si="113">AND(IF(P688&gt;($P$2-1),TRUE,FALSE),IF(P688&lt;($P$3+1),TRUE,FALSE))</f>
        <v>0</v>
      </c>
      <c r="P688">
        <f ca="1"/>
        <v>44933</v>
      </c>
      <c r="Q688">
        <f ca="1"/>
        <v>120.96849780251247</v>
      </c>
      <c r="R688">
        <f ca="1"/>
        <v>6.5494953096774097E-2</v>
      </c>
      <c r="S688">
        <f ca="1"/>
        <v>9.4444470665314786E-29</v>
      </c>
      <c r="T688">
        <f ca="1"/>
        <v>0.41275539657780247</v>
      </c>
      <c r="U688">
        <f ca="1"/>
        <v>0</v>
      </c>
      <c r="V688">
        <f ca="1"/>
        <v>111.111851227011</v>
      </c>
      <c r="W688">
        <f ca="1"/>
        <v>76.818069984106202</v>
      </c>
      <c r="X688">
        <f ca="1"/>
        <v>0</v>
      </c>
      <c r="Y688">
        <f ca="1"/>
        <v>0.64470366734958184</v>
      </c>
      <c r="Z688">
        <f ca="1"/>
        <v>0</v>
      </c>
      <c r="AA688">
        <f ca="1"/>
        <v>0</v>
      </c>
      <c r="AB688">
        <f ca="1"/>
        <v>5.5903518615712203E-2</v>
      </c>
      <c r="AD688" s="2">
        <f t="shared" ref="AD688:AD751" ca="1" si="114">IFERROR(P688,$AD$4)</f>
        <v>44933</v>
      </c>
      <c r="AE688" s="46">
        <f t="shared" ref="AE688:AE751" ca="1" si="115">IFERROR(U688,0)</f>
        <v>0</v>
      </c>
      <c r="AG688" s="72">
        <f t="shared" ref="AG688:AG751" ca="1" si="116">Q687+S688+T688+U688</f>
        <v>121.03399275560925</v>
      </c>
      <c r="AH688" s="72">
        <f t="shared" ref="AH688:AH751" ca="1" si="117">Q688+R688+X688</f>
        <v>121.03399275560925</v>
      </c>
      <c r="AI688" s="3">
        <f t="shared" ref="AI688:AI751" ca="1" si="118">AH688-AG688</f>
        <v>0</v>
      </c>
    </row>
    <row r="689" spans="7:35" ht="15.75" thickBot="1" x14ac:dyDescent="0.3">
      <c r="G689" s="3">
        <f t="shared" si="110"/>
        <v>227</v>
      </c>
      <c r="H689" s="106">
        <f t="shared" si="109"/>
        <v>44787</v>
      </c>
      <c r="I689" s="133">
        <f>HLOOKUP($H$4,'Met Data'!$A$2:$F$368,G689,FALSE)</f>
        <v>10.715517241379301</v>
      </c>
      <c r="J689" s="131">
        <f ca="1">HLOOKUP($H$4,'Met Data'!$H$2:$M$368,G689,FALSE)*L689</f>
        <v>5.1034482758620596</v>
      </c>
      <c r="K689" s="107">
        <f>HLOOKUP($H$4,'Met Data'!$O$2:$T$368,G689,FALSE)</f>
        <v>1.8143744354657301</v>
      </c>
      <c r="L689">
        <f t="shared" ca="1" si="111"/>
        <v>1</v>
      </c>
      <c r="N689" t="b">
        <f t="shared" ca="1" si="112"/>
        <v>0</v>
      </c>
      <c r="O689" t="b">
        <f t="shared" ca="1" si="113"/>
        <v>0</v>
      </c>
      <c r="P689">
        <f ca="1"/>
        <v>44934</v>
      </c>
      <c r="Q689">
        <f ca="1"/>
        <v>121.32577465693717</v>
      </c>
      <c r="R689">
        <f ca="1"/>
        <v>6.22525044254729E-2</v>
      </c>
      <c r="S689">
        <f ca="1"/>
        <v>8.2150360801716744E-29</v>
      </c>
      <c r="T689">
        <f ca="1"/>
        <v>0.41952935885016701</v>
      </c>
      <c r="U689">
        <f ca="1"/>
        <v>0</v>
      </c>
      <c r="V689">
        <f ca="1"/>
        <v>111.17410373143601</v>
      </c>
      <c r="W689">
        <f ca="1"/>
        <v>76.8611087525979</v>
      </c>
      <c r="X689">
        <f ca="1"/>
        <v>0</v>
      </c>
      <c r="Y689">
        <f ca="1"/>
        <v>0.64504481353477383</v>
      </c>
      <c r="Z689">
        <f ca="1"/>
        <v>0</v>
      </c>
      <c r="AA689">
        <f ca="1"/>
        <v>0</v>
      </c>
      <c r="AB689">
        <f ca="1"/>
        <v>3.7353727147617102E-2</v>
      </c>
      <c r="AD689" s="2">
        <f t="shared" ca="1" si="114"/>
        <v>44934</v>
      </c>
      <c r="AE689" s="46">
        <f t="shared" ca="1" si="115"/>
        <v>0</v>
      </c>
      <c r="AG689" s="72">
        <f t="shared" ca="1" si="116"/>
        <v>121.38802716136264</v>
      </c>
      <c r="AH689" s="72">
        <f t="shared" ca="1" si="117"/>
        <v>121.38802716136264</v>
      </c>
      <c r="AI689" s="3">
        <f t="shared" ca="1" si="118"/>
        <v>0</v>
      </c>
    </row>
    <row r="690" spans="7:35" ht="15.75" thickBot="1" x14ac:dyDescent="0.3">
      <c r="G690" s="3">
        <f t="shared" si="110"/>
        <v>228</v>
      </c>
      <c r="H690" s="106">
        <f t="shared" si="109"/>
        <v>44788</v>
      </c>
      <c r="I690" s="133">
        <f>HLOOKUP($H$4,'Met Data'!$A$2:$F$368,G690,FALSE)</f>
        <v>10.171666666666599</v>
      </c>
      <c r="J690" s="131">
        <f ca="1">HLOOKUP($H$4,'Met Data'!$H$2:$M$368,G690,FALSE)*L690</f>
        <v>5.0933333333333302</v>
      </c>
      <c r="K690" s="107">
        <f>HLOOKUP($H$4,'Met Data'!$O$2:$T$368,G690,FALSE)</f>
        <v>1.7504322855227901</v>
      </c>
      <c r="L690">
        <f t="shared" ca="1" si="111"/>
        <v>1</v>
      </c>
      <c r="N690" t="b">
        <f t="shared" ca="1" si="112"/>
        <v>0</v>
      </c>
      <c r="O690" t="b">
        <f t="shared" ca="1" si="113"/>
        <v>0</v>
      </c>
      <c r="P690">
        <f ca="1"/>
        <v>44935</v>
      </c>
      <c r="Q690">
        <f ca="1"/>
        <v>121.69440078649258</v>
      </c>
      <c r="R690">
        <f ca="1"/>
        <v>5.9131635610739898E-2</v>
      </c>
      <c r="S690">
        <f ca="1"/>
        <v>7.1561860205327593E-29</v>
      </c>
      <c r="T690">
        <f ca="1"/>
        <v>0.42775776516614838</v>
      </c>
      <c r="U690">
        <f ca="1"/>
        <v>0</v>
      </c>
      <c r="V690">
        <f ca="1"/>
        <v>111.233235367047</v>
      </c>
      <c r="W690">
        <f ca="1"/>
        <v>76.901989883390499</v>
      </c>
      <c r="X690">
        <f ca="1"/>
        <v>0</v>
      </c>
      <c r="Y690">
        <f ca="1"/>
        <v>0.6475360245898355</v>
      </c>
      <c r="Z690">
        <f ca="1"/>
        <v>0</v>
      </c>
      <c r="AA690">
        <f ca="1"/>
        <v>0</v>
      </c>
      <c r="AB690">
        <f ca="1"/>
        <v>1.8584843654308E-2</v>
      </c>
      <c r="AD690" s="2">
        <f t="shared" ca="1" si="114"/>
        <v>44935</v>
      </c>
      <c r="AE690" s="46">
        <f t="shared" ca="1" si="115"/>
        <v>0</v>
      </c>
      <c r="AG690" s="72">
        <f t="shared" ca="1" si="116"/>
        <v>121.75353242210332</v>
      </c>
      <c r="AH690" s="72">
        <f t="shared" ca="1" si="117"/>
        <v>121.75353242210332</v>
      </c>
      <c r="AI690" s="3">
        <f t="shared" ca="1" si="118"/>
        <v>0</v>
      </c>
    </row>
    <row r="691" spans="7:35" ht="15.75" thickBot="1" x14ac:dyDescent="0.3">
      <c r="G691" s="3">
        <f t="shared" si="110"/>
        <v>229</v>
      </c>
      <c r="H691" s="106">
        <f t="shared" si="109"/>
        <v>44789</v>
      </c>
      <c r="I691" s="133">
        <f>HLOOKUP($H$4,'Met Data'!$A$2:$F$368,G691,FALSE)</f>
        <v>10.203333333333299</v>
      </c>
      <c r="J691" s="131">
        <f ca="1">HLOOKUP($H$4,'Met Data'!$H$2:$M$368,G691,FALSE)*L691</f>
        <v>4.3433333333333302</v>
      </c>
      <c r="K691" s="107">
        <f>HLOOKUP($H$4,'Met Data'!$O$2:$T$368,G691,FALSE)</f>
        <v>1.72694084936311</v>
      </c>
      <c r="L691">
        <f t="shared" ca="1" si="111"/>
        <v>1</v>
      </c>
      <c r="N691" t="b">
        <f t="shared" ca="1" si="112"/>
        <v>0</v>
      </c>
      <c r="O691" t="b">
        <f t="shared" ca="1" si="113"/>
        <v>0</v>
      </c>
      <c r="P691">
        <f ca="1"/>
        <v>44936</v>
      </c>
      <c r="Q691">
        <f ca="1"/>
        <v>122.05447016414864</v>
      </c>
      <c r="R691">
        <f ca="1"/>
        <v>5.5033822943769899E-2</v>
      </c>
      <c r="S691">
        <f ca="1"/>
        <v>5.9403222914158188E-29</v>
      </c>
      <c r="T691">
        <f ca="1"/>
        <v>0.41510320059982736</v>
      </c>
      <c r="U691">
        <f ca="1"/>
        <v>0</v>
      </c>
      <c r="V691">
        <f ca="1"/>
        <v>111.288269189991</v>
      </c>
      <c r="W691">
        <f ca="1"/>
        <v>76.940037958512093</v>
      </c>
      <c r="X691">
        <f ca="1"/>
        <v>0</v>
      </c>
      <c r="Y691">
        <f ca="1"/>
        <v>0.63373144472899434</v>
      </c>
      <c r="Z691">
        <f ca="1"/>
        <v>0</v>
      </c>
      <c r="AA691">
        <f ca="1"/>
        <v>0</v>
      </c>
      <c r="AB691">
        <f ca="1"/>
        <v>0</v>
      </c>
      <c r="AD691" s="2">
        <f t="shared" ca="1" si="114"/>
        <v>44936</v>
      </c>
      <c r="AE691" s="46">
        <f t="shared" ca="1" si="115"/>
        <v>0</v>
      </c>
      <c r="AG691" s="72">
        <f t="shared" ca="1" si="116"/>
        <v>122.10950398709241</v>
      </c>
      <c r="AH691" s="72">
        <f t="shared" ca="1" si="117"/>
        <v>122.10950398709241</v>
      </c>
      <c r="AI691" s="3">
        <f t="shared" ca="1" si="118"/>
        <v>0</v>
      </c>
    </row>
    <row r="692" spans="7:35" ht="15.75" thickBot="1" x14ac:dyDescent="0.3">
      <c r="G692" s="3">
        <f t="shared" si="110"/>
        <v>230</v>
      </c>
      <c r="H692" s="106">
        <f t="shared" si="109"/>
        <v>44790</v>
      </c>
      <c r="I692" s="133">
        <f>HLOOKUP($H$4,'Met Data'!$A$2:$F$368,G692,FALSE)</f>
        <v>10.0833333333333</v>
      </c>
      <c r="J692" s="131">
        <f ca="1">HLOOKUP($H$4,'Met Data'!$H$2:$M$368,G692,FALSE)*L692</f>
        <v>5.3333333333333304</v>
      </c>
      <c r="K692" s="107">
        <f>HLOOKUP($H$4,'Met Data'!$O$2:$T$368,G692,FALSE)</f>
        <v>1.9911176675537099</v>
      </c>
      <c r="L692">
        <f t="shared" ca="1" si="111"/>
        <v>1</v>
      </c>
      <c r="N692" t="e">
        <f t="shared" ca="1" si="112"/>
        <v>#N/A</v>
      </c>
      <c r="O692" t="e">
        <f t="shared" ca="1" si="113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4"/>
        <v>0</v>
      </c>
      <c r="AE692" s="46">
        <f t="shared" ca="1" si="115"/>
        <v>0</v>
      </c>
      <c r="AG692" s="72" t="e">
        <f t="shared" ca="1" si="116"/>
        <v>#N/A</v>
      </c>
      <c r="AH692" s="72" t="e">
        <f t="shared" ca="1" si="117"/>
        <v>#N/A</v>
      </c>
      <c r="AI692" s="3" t="e">
        <f t="shared" ca="1" si="118"/>
        <v>#N/A</v>
      </c>
    </row>
    <row r="693" spans="7:35" ht="15.75" thickBot="1" x14ac:dyDescent="0.3">
      <c r="G693" s="3">
        <f t="shared" si="110"/>
        <v>231</v>
      </c>
      <c r="H693" s="106">
        <f t="shared" si="109"/>
        <v>44791</v>
      </c>
      <c r="I693" s="133">
        <f>HLOOKUP($H$4,'Met Data'!$A$2:$F$368,G693,FALSE)</f>
        <v>10.0833333333333</v>
      </c>
      <c r="J693" s="131">
        <f ca="1">HLOOKUP($H$4,'Met Data'!$H$2:$M$368,G693,FALSE)*L693</f>
        <v>3.9433333333333298</v>
      </c>
      <c r="K693" s="107">
        <f>HLOOKUP($H$4,'Met Data'!$O$2:$T$368,G693,FALSE)</f>
        <v>1.888960132222</v>
      </c>
      <c r="L693">
        <f t="shared" ca="1" si="111"/>
        <v>1</v>
      </c>
      <c r="N693" t="e">
        <f t="shared" ca="1" si="112"/>
        <v>#N/A</v>
      </c>
      <c r="O693" t="e">
        <f t="shared" ca="1" si="113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4"/>
        <v>0</v>
      </c>
      <c r="AE693" s="46">
        <f t="shared" ca="1" si="115"/>
        <v>0</v>
      </c>
      <c r="AG693" s="72" t="e">
        <f t="shared" ca="1" si="116"/>
        <v>#N/A</v>
      </c>
      <c r="AH693" s="72" t="e">
        <f t="shared" ca="1" si="117"/>
        <v>#N/A</v>
      </c>
      <c r="AI693" s="3" t="e">
        <f t="shared" ca="1" si="118"/>
        <v>#N/A</v>
      </c>
    </row>
    <row r="694" spans="7:35" ht="15.75" thickBot="1" x14ac:dyDescent="0.3">
      <c r="G694" s="3">
        <f t="shared" si="110"/>
        <v>232</v>
      </c>
      <c r="H694" s="106">
        <f t="shared" si="109"/>
        <v>44792</v>
      </c>
      <c r="I694" s="133">
        <f>HLOOKUP($H$4,'Met Data'!$A$2:$F$368,G694,FALSE)</f>
        <v>10.1383333333333</v>
      </c>
      <c r="J694" s="131">
        <f ca="1">HLOOKUP($H$4,'Met Data'!$H$2:$M$368,G694,FALSE)*L694</f>
        <v>3.5733333333333301</v>
      </c>
      <c r="K694" s="107">
        <f>HLOOKUP($H$4,'Met Data'!$O$2:$T$368,G694,FALSE)</f>
        <v>1.8335933724759199</v>
      </c>
      <c r="L694">
        <f t="shared" ca="1" si="111"/>
        <v>1</v>
      </c>
      <c r="N694" t="e">
        <f t="shared" ca="1" si="112"/>
        <v>#N/A</v>
      </c>
      <c r="O694" t="e">
        <f t="shared" ca="1" si="113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4"/>
        <v>0</v>
      </c>
      <c r="AE694" s="46">
        <f t="shared" ca="1" si="115"/>
        <v>0</v>
      </c>
      <c r="AG694" s="72" t="e">
        <f t="shared" ca="1" si="116"/>
        <v>#N/A</v>
      </c>
      <c r="AH694" s="72" t="e">
        <f t="shared" ca="1" si="117"/>
        <v>#N/A</v>
      </c>
      <c r="AI694" s="3" t="e">
        <f t="shared" ca="1" si="118"/>
        <v>#N/A</v>
      </c>
    </row>
    <row r="695" spans="7:35" ht="15.75" thickBot="1" x14ac:dyDescent="0.3">
      <c r="G695" s="3">
        <f t="shared" si="110"/>
        <v>233</v>
      </c>
      <c r="H695" s="106">
        <f t="shared" si="109"/>
        <v>44793</v>
      </c>
      <c r="I695" s="133">
        <f>HLOOKUP($H$4,'Met Data'!$A$2:$F$368,G695,FALSE)</f>
        <v>10.421666666666599</v>
      </c>
      <c r="J695" s="131">
        <f ca="1">HLOOKUP($H$4,'Met Data'!$H$2:$M$368,G695,FALSE)*L695</f>
        <v>4.8033333333333301</v>
      </c>
      <c r="K695" s="107">
        <f>HLOOKUP($H$4,'Met Data'!$O$2:$T$368,G695,FALSE)</f>
        <v>1.7788236818437999</v>
      </c>
      <c r="L695">
        <f t="shared" ca="1" si="111"/>
        <v>1</v>
      </c>
      <c r="N695" t="e">
        <f t="shared" ca="1" si="112"/>
        <v>#N/A</v>
      </c>
      <c r="O695" t="e">
        <f t="shared" ca="1" si="113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4"/>
        <v>0</v>
      </c>
      <c r="AE695" s="46">
        <f t="shared" ca="1" si="115"/>
        <v>0</v>
      </c>
      <c r="AG695" s="72" t="e">
        <f t="shared" ca="1" si="116"/>
        <v>#N/A</v>
      </c>
      <c r="AH695" s="72" t="e">
        <f t="shared" ca="1" si="117"/>
        <v>#N/A</v>
      </c>
      <c r="AI695" s="3" t="e">
        <f t="shared" ca="1" si="118"/>
        <v>#N/A</v>
      </c>
    </row>
    <row r="696" spans="7:35" ht="15.75" thickBot="1" x14ac:dyDescent="0.3">
      <c r="G696" s="3">
        <f t="shared" si="110"/>
        <v>234</v>
      </c>
      <c r="H696" s="106">
        <f t="shared" si="109"/>
        <v>44794</v>
      </c>
      <c r="I696" s="133">
        <f>HLOOKUP($H$4,'Met Data'!$A$2:$F$368,G696,FALSE)</f>
        <v>10.703333333333299</v>
      </c>
      <c r="J696" s="131">
        <f ca="1">HLOOKUP($H$4,'Met Data'!$H$2:$M$368,G696,FALSE)*L696</f>
        <v>3.9833333333333298</v>
      </c>
      <c r="K696" s="107">
        <f>HLOOKUP($H$4,'Met Data'!$O$2:$T$368,G696,FALSE)</f>
        <v>1.7879198703522201</v>
      </c>
      <c r="L696">
        <f t="shared" ca="1" si="111"/>
        <v>1</v>
      </c>
      <c r="N696" t="e">
        <f t="shared" ca="1" si="112"/>
        <v>#N/A</v>
      </c>
      <c r="O696" t="e">
        <f t="shared" ca="1" si="113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4"/>
        <v>0</v>
      </c>
      <c r="AE696" s="46">
        <f t="shared" ca="1" si="115"/>
        <v>0</v>
      </c>
      <c r="AG696" s="72" t="e">
        <f t="shared" ca="1" si="116"/>
        <v>#N/A</v>
      </c>
      <c r="AH696" s="72" t="e">
        <f t="shared" ca="1" si="117"/>
        <v>#N/A</v>
      </c>
      <c r="AI696" s="3" t="e">
        <f t="shared" ca="1" si="118"/>
        <v>#N/A</v>
      </c>
    </row>
    <row r="697" spans="7:35" ht="15.75" thickBot="1" x14ac:dyDescent="0.3">
      <c r="G697" s="3">
        <f t="shared" si="110"/>
        <v>235</v>
      </c>
      <c r="H697" s="106">
        <f t="shared" si="109"/>
        <v>44795</v>
      </c>
      <c r="I697" s="133">
        <f>HLOOKUP($H$4,'Met Data'!$A$2:$F$368,G697,FALSE)</f>
        <v>10.8266666666666</v>
      </c>
      <c r="J697" s="131">
        <f ca="1">HLOOKUP($H$4,'Met Data'!$H$2:$M$368,G697,FALSE)*L697</f>
        <v>3.93</v>
      </c>
      <c r="K697" s="107">
        <f>HLOOKUP($H$4,'Met Data'!$O$2:$T$368,G697,FALSE)</f>
        <v>1.8884109943012299</v>
      </c>
      <c r="L697">
        <f t="shared" ca="1" si="111"/>
        <v>1</v>
      </c>
      <c r="N697" t="e">
        <f t="shared" ca="1" si="112"/>
        <v>#N/A</v>
      </c>
      <c r="O697" t="e">
        <f t="shared" ca="1" si="113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4"/>
        <v>0</v>
      </c>
      <c r="AE697" s="46">
        <f t="shared" ca="1" si="115"/>
        <v>0</v>
      </c>
      <c r="AG697" s="72" t="e">
        <f t="shared" ca="1" si="116"/>
        <v>#N/A</v>
      </c>
      <c r="AH697" s="72" t="e">
        <f t="shared" ca="1" si="117"/>
        <v>#N/A</v>
      </c>
      <c r="AI697" s="3" t="e">
        <f t="shared" ca="1" si="118"/>
        <v>#N/A</v>
      </c>
    </row>
    <row r="698" spans="7:35" ht="15.75" thickBot="1" x14ac:dyDescent="0.3">
      <c r="G698" s="3">
        <f t="shared" si="110"/>
        <v>236</v>
      </c>
      <c r="H698" s="106">
        <f t="shared" si="109"/>
        <v>44796</v>
      </c>
      <c r="I698" s="133">
        <f>HLOOKUP($H$4,'Met Data'!$A$2:$F$368,G698,FALSE)</f>
        <v>11.0766666666666</v>
      </c>
      <c r="J698" s="131">
        <f ca="1">HLOOKUP($H$4,'Met Data'!$H$2:$M$368,G698,FALSE)*L698</f>
        <v>3.45</v>
      </c>
      <c r="K698" s="107">
        <f>HLOOKUP($H$4,'Met Data'!$O$2:$T$368,G698,FALSE)</f>
        <v>2.20927169374758</v>
      </c>
      <c r="L698">
        <f t="shared" ca="1" si="111"/>
        <v>1</v>
      </c>
      <c r="N698" t="e">
        <f t="shared" ca="1" si="112"/>
        <v>#N/A</v>
      </c>
      <c r="O698" t="e">
        <f t="shared" ca="1" si="113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4"/>
        <v>0</v>
      </c>
      <c r="AE698" s="46">
        <f t="shared" ca="1" si="115"/>
        <v>0</v>
      </c>
      <c r="AG698" s="72" t="e">
        <f t="shared" ca="1" si="116"/>
        <v>#N/A</v>
      </c>
      <c r="AH698" s="72" t="e">
        <f t="shared" ca="1" si="117"/>
        <v>#N/A</v>
      </c>
      <c r="AI698" s="3" t="e">
        <f t="shared" ca="1" si="118"/>
        <v>#N/A</v>
      </c>
    </row>
    <row r="699" spans="7:35" ht="15.75" thickBot="1" x14ac:dyDescent="0.3">
      <c r="G699" s="3">
        <f t="shared" si="110"/>
        <v>237</v>
      </c>
      <c r="H699" s="106">
        <f t="shared" si="109"/>
        <v>44797</v>
      </c>
      <c r="I699" s="133">
        <f>HLOOKUP($H$4,'Met Data'!$A$2:$F$368,G699,FALSE)</f>
        <v>11.088333333333299</v>
      </c>
      <c r="J699" s="131">
        <f ca="1">HLOOKUP($H$4,'Met Data'!$H$2:$M$368,G699,FALSE)*L699</f>
        <v>3.2366666666666601</v>
      </c>
      <c r="K699" s="107">
        <f>HLOOKUP($H$4,'Met Data'!$O$2:$T$368,G699,FALSE)</f>
        <v>1.9660073359530601</v>
      </c>
      <c r="L699">
        <f t="shared" ca="1" si="111"/>
        <v>1</v>
      </c>
      <c r="N699" t="e">
        <f t="shared" ca="1" si="112"/>
        <v>#N/A</v>
      </c>
      <c r="O699" t="e">
        <f t="shared" ca="1" si="113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4"/>
        <v>0</v>
      </c>
      <c r="AE699" s="46">
        <f t="shared" ca="1" si="115"/>
        <v>0</v>
      </c>
      <c r="AG699" s="72" t="e">
        <f t="shared" ca="1" si="116"/>
        <v>#N/A</v>
      </c>
      <c r="AH699" s="72" t="e">
        <f t="shared" ca="1" si="117"/>
        <v>#N/A</v>
      </c>
      <c r="AI699" s="3" t="e">
        <f t="shared" ca="1" si="118"/>
        <v>#N/A</v>
      </c>
    </row>
    <row r="700" spans="7:35" ht="15.75" thickBot="1" x14ac:dyDescent="0.3">
      <c r="G700" s="3">
        <f t="shared" si="110"/>
        <v>238</v>
      </c>
      <c r="H700" s="106">
        <f t="shared" si="109"/>
        <v>44798</v>
      </c>
      <c r="I700" s="133">
        <f>HLOOKUP($H$4,'Met Data'!$A$2:$F$368,G700,FALSE)</f>
        <v>11.283333333333299</v>
      </c>
      <c r="J700" s="131">
        <f ca="1">HLOOKUP($H$4,'Met Data'!$H$2:$M$368,G700,FALSE)*L700</f>
        <v>7.0266666666666602</v>
      </c>
      <c r="K700" s="107">
        <f>HLOOKUP($H$4,'Met Data'!$O$2:$T$368,G700,FALSE)</f>
        <v>1.72961358813406</v>
      </c>
      <c r="L700">
        <f t="shared" ca="1" si="111"/>
        <v>1</v>
      </c>
      <c r="N700" t="e">
        <f t="shared" ca="1" si="112"/>
        <v>#N/A</v>
      </c>
      <c r="O700" t="e">
        <f t="shared" ca="1" si="113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4"/>
        <v>0</v>
      </c>
      <c r="AE700" s="46">
        <f t="shared" ca="1" si="115"/>
        <v>0</v>
      </c>
      <c r="AG700" s="72" t="e">
        <f t="shared" ca="1" si="116"/>
        <v>#N/A</v>
      </c>
      <c r="AH700" s="72" t="e">
        <f t="shared" ca="1" si="117"/>
        <v>#N/A</v>
      </c>
      <c r="AI700" s="3" t="e">
        <f t="shared" ca="1" si="118"/>
        <v>#N/A</v>
      </c>
    </row>
    <row r="701" spans="7:35" ht="15.75" thickBot="1" x14ac:dyDescent="0.3">
      <c r="G701" s="3">
        <f t="shared" si="110"/>
        <v>239</v>
      </c>
      <c r="H701" s="106">
        <f t="shared" si="109"/>
        <v>44799</v>
      </c>
      <c r="I701" s="133">
        <f>HLOOKUP($H$4,'Met Data'!$A$2:$F$368,G701,FALSE)</f>
        <v>11.1383333333333</v>
      </c>
      <c r="J701" s="131">
        <f ca="1">HLOOKUP($H$4,'Met Data'!$H$2:$M$368,G701,FALSE)*L701</f>
        <v>4.5666666666666602</v>
      </c>
      <c r="K701" s="107">
        <f>HLOOKUP($H$4,'Met Data'!$O$2:$T$368,G701,FALSE)</f>
        <v>2.0311984249146202</v>
      </c>
      <c r="L701">
        <f t="shared" ca="1" si="111"/>
        <v>1</v>
      </c>
      <c r="N701" t="e">
        <f t="shared" ca="1" si="112"/>
        <v>#N/A</v>
      </c>
      <c r="O701" t="e">
        <f t="shared" ca="1" si="113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4"/>
        <v>0</v>
      </c>
      <c r="AE701" s="46">
        <f t="shared" ca="1" si="115"/>
        <v>0</v>
      </c>
      <c r="AG701" s="72" t="e">
        <f t="shared" ca="1" si="116"/>
        <v>#N/A</v>
      </c>
      <c r="AH701" s="72" t="e">
        <f t="shared" ca="1" si="117"/>
        <v>#N/A</v>
      </c>
      <c r="AI701" s="3" t="e">
        <f t="shared" ca="1" si="118"/>
        <v>#N/A</v>
      </c>
    </row>
    <row r="702" spans="7:35" ht="15.75" thickBot="1" x14ac:dyDescent="0.3">
      <c r="G702" s="3">
        <f t="shared" si="110"/>
        <v>240</v>
      </c>
      <c r="H702" s="106">
        <f t="shared" si="109"/>
        <v>44800</v>
      </c>
      <c r="I702" s="133">
        <f>HLOOKUP($H$4,'Met Data'!$A$2:$F$368,G702,FALSE)</f>
        <v>11.1133333333333</v>
      </c>
      <c r="J702" s="131">
        <f ca="1">HLOOKUP($H$4,'Met Data'!$H$2:$M$368,G702,FALSE)*L702</f>
        <v>2.8866666666666601</v>
      </c>
      <c r="K702" s="107">
        <f>HLOOKUP($H$4,'Met Data'!$O$2:$T$368,G702,FALSE)</f>
        <v>2.0005217214048798</v>
      </c>
      <c r="L702">
        <f t="shared" ca="1" si="111"/>
        <v>1</v>
      </c>
      <c r="N702" t="e">
        <f t="shared" ca="1" si="112"/>
        <v>#N/A</v>
      </c>
      <c r="O702" t="e">
        <f t="shared" ca="1" si="113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4"/>
        <v>0</v>
      </c>
      <c r="AE702" s="46">
        <f t="shared" ca="1" si="115"/>
        <v>0</v>
      </c>
      <c r="AG702" s="72" t="e">
        <f t="shared" ca="1" si="116"/>
        <v>#N/A</v>
      </c>
      <c r="AH702" s="72" t="e">
        <f t="shared" ca="1" si="117"/>
        <v>#N/A</v>
      </c>
      <c r="AI702" s="3" t="e">
        <f t="shared" ca="1" si="118"/>
        <v>#N/A</v>
      </c>
    </row>
    <row r="703" spans="7:35" ht="15.75" thickBot="1" x14ac:dyDescent="0.3">
      <c r="G703" s="3">
        <f t="shared" si="110"/>
        <v>241</v>
      </c>
      <c r="H703" s="106">
        <f t="shared" si="109"/>
        <v>44801</v>
      </c>
      <c r="I703" s="133">
        <f>HLOOKUP($H$4,'Met Data'!$A$2:$F$368,G703,FALSE)</f>
        <v>10.7724137931034</v>
      </c>
      <c r="J703" s="131">
        <f ca="1">HLOOKUP($H$4,'Met Data'!$H$2:$M$368,G703,FALSE)*L703</f>
        <v>2.4862068965517201</v>
      </c>
      <c r="K703" s="107">
        <f>HLOOKUP($H$4,'Met Data'!$O$2:$T$368,G703,FALSE)</f>
        <v>2.19808146037672</v>
      </c>
      <c r="L703">
        <f t="shared" ca="1" si="111"/>
        <v>1</v>
      </c>
      <c r="N703" t="e">
        <f t="shared" ca="1" si="112"/>
        <v>#N/A</v>
      </c>
      <c r="O703" t="e">
        <f t="shared" ca="1" si="113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4"/>
        <v>0</v>
      </c>
      <c r="AE703" s="46">
        <f t="shared" ca="1" si="115"/>
        <v>0</v>
      </c>
      <c r="AG703" s="72" t="e">
        <f t="shared" ca="1" si="116"/>
        <v>#N/A</v>
      </c>
      <c r="AH703" s="72" t="e">
        <f t="shared" ca="1" si="117"/>
        <v>#N/A</v>
      </c>
      <c r="AI703" s="3" t="e">
        <f t="shared" ca="1" si="118"/>
        <v>#N/A</v>
      </c>
    </row>
    <row r="704" spans="7:35" ht="15.75" thickBot="1" x14ac:dyDescent="0.3">
      <c r="G704" s="3">
        <f t="shared" si="110"/>
        <v>242</v>
      </c>
      <c r="H704" s="106">
        <f t="shared" si="109"/>
        <v>44802</v>
      </c>
      <c r="I704" s="133">
        <f>HLOOKUP($H$4,'Met Data'!$A$2:$F$368,G704,FALSE)</f>
        <v>10.753448275862</v>
      </c>
      <c r="J704" s="131">
        <f ca="1">HLOOKUP($H$4,'Met Data'!$H$2:$M$368,G704,FALSE)*L704</f>
        <v>2.4068965517241301</v>
      </c>
      <c r="K704" s="107">
        <f>HLOOKUP($H$4,'Met Data'!$O$2:$T$368,G704,FALSE)</f>
        <v>2.1823268558862501</v>
      </c>
      <c r="L704">
        <f t="shared" ca="1" si="111"/>
        <v>1</v>
      </c>
      <c r="N704" t="e">
        <f t="shared" ca="1" si="112"/>
        <v>#N/A</v>
      </c>
      <c r="O704" t="e">
        <f t="shared" ca="1" si="113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4"/>
        <v>0</v>
      </c>
      <c r="AE704" s="46">
        <f t="shared" ca="1" si="115"/>
        <v>0</v>
      </c>
      <c r="AG704" s="72" t="e">
        <f t="shared" ca="1" si="116"/>
        <v>#N/A</v>
      </c>
      <c r="AH704" s="72" t="e">
        <f t="shared" ca="1" si="117"/>
        <v>#N/A</v>
      </c>
      <c r="AI704" s="3" t="e">
        <f t="shared" ca="1" si="118"/>
        <v>#N/A</v>
      </c>
    </row>
    <row r="705" spans="7:35" ht="15.75" thickBot="1" x14ac:dyDescent="0.3">
      <c r="G705" s="3">
        <f t="shared" si="110"/>
        <v>243</v>
      </c>
      <c r="H705" s="106">
        <f t="shared" si="109"/>
        <v>44803</v>
      </c>
      <c r="I705" s="133">
        <f>HLOOKUP($H$4,'Met Data'!$A$2:$F$368,G705,FALSE)</f>
        <v>10.891379310344799</v>
      </c>
      <c r="J705" s="131">
        <f ca="1">HLOOKUP($H$4,'Met Data'!$H$2:$M$368,G705,FALSE)*L705</f>
        <v>2.9931034482758601</v>
      </c>
      <c r="K705" s="107">
        <f>HLOOKUP($H$4,'Met Data'!$O$2:$T$368,G705,FALSE)</f>
        <v>1.8307871864441201</v>
      </c>
      <c r="L705">
        <f t="shared" ca="1" si="111"/>
        <v>1</v>
      </c>
      <c r="N705" t="e">
        <f t="shared" ca="1" si="112"/>
        <v>#N/A</v>
      </c>
      <c r="O705" t="e">
        <f t="shared" ca="1" si="113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4"/>
        <v>0</v>
      </c>
      <c r="AE705" s="46">
        <f t="shared" ca="1" si="115"/>
        <v>0</v>
      </c>
      <c r="AG705" s="72" t="e">
        <f t="shared" ca="1" si="116"/>
        <v>#N/A</v>
      </c>
      <c r="AH705" s="72" t="e">
        <f t="shared" ca="1" si="117"/>
        <v>#N/A</v>
      </c>
      <c r="AI705" s="3" t="e">
        <f t="shared" ca="1" si="118"/>
        <v>#N/A</v>
      </c>
    </row>
    <row r="706" spans="7:35" ht="15.75" thickBot="1" x14ac:dyDescent="0.3">
      <c r="G706" s="3">
        <f t="shared" si="110"/>
        <v>244</v>
      </c>
      <c r="H706" s="106">
        <f t="shared" si="109"/>
        <v>44804</v>
      </c>
      <c r="I706" s="133">
        <f>HLOOKUP($H$4,'Met Data'!$A$2:$F$368,G706,FALSE)</f>
        <v>10.953448275862</v>
      </c>
      <c r="J706" s="131">
        <f ca="1">HLOOKUP($H$4,'Met Data'!$H$2:$M$368,G706,FALSE)*L706</f>
        <v>4.8862068965517196</v>
      </c>
      <c r="K706" s="107">
        <f>HLOOKUP($H$4,'Met Data'!$O$2:$T$368,G706,FALSE)</f>
        <v>2.1498109306225701</v>
      </c>
      <c r="L706">
        <f t="shared" ca="1" si="111"/>
        <v>1</v>
      </c>
      <c r="N706" t="e">
        <f t="shared" ca="1" si="112"/>
        <v>#N/A</v>
      </c>
      <c r="O706" t="e">
        <f t="shared" ca="1" si="113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4"/>
        <v>0</v>
      </c>
      <c r="AE706" s="46">
        <f t="shared" ca="1" si="115"/>
        <v>0</v>
      </c>
      <c r="AG706" s="72" t="e">
        <f t="shared" ca="1" si="116"/>
        <v>#N/A</v>
      </c>
      <c r="AH706" s="72" t="e">
        <f t="shared" ca="1" si="117"/>
        <v>#N/A</v>
      </c>
      <c r="AI706" s="3" t="e">
        <f t="shared" ca="1" si="118"/>
        <v>#N/A</v>
      </c>
    </row>
    <row r="707" spans="7:35" ht="15.75" thickBot="1" x14ac:dyDescent="0.3">
      <c r="G707" s="3">
        <f t="shared" si="110"/>
        <v>245</v>
      </c>
      <c r="H707" s="106">
        <f t="shared" si="109"/>
        <v>44805</v>
      </c>
      <c r="I707" s="133">
        <f>HLOOKUP($H$4,'Met Data'!$A$2:$F$368,G707,FALSE)</f>
        <v>10.803333333333301</v>
      </c>
      <c r="J707" s="131">
        <f ca="1">HLOOKUP($H$4,'Met Data'!$H$2:$M$368,G707,FALSE)*L707</f>
        <v>3.05</v>
      </c>
      <c r="K707" s="107">
        <f>HLOOKUP($H$4,'Met Data'!$O$2:$T$368,G707,FALSE)</f>
        <v>2.1147026396135802</v>
      </c>
      <c r="L707">
        <f t="shared" ca="1" si="111"/>
        <v>1</v>
      </c>
      <c r="N707" t="e">
        <f t="shared" ca="1" si="112"/>
        <v>#N/A</v>
      </c>
      <c r="O707" t="e">
        <f t="shared" ca="1" si="113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4"/>
        <v>0</v>
      </c>
      <c r="AE707" s="46">
        <f t="shared" ca="1" si="115"/>
        <v>0</v>
      </c>
      <c r="AG707" s="72" t="e">
        <f t="shared" ca="1" si="116"/>
        <v>#N/A</v>
      </c>
      <c r="AH707" s="72" t="e">
        <f t="shared" ca="1" si="117"/>
        <v>#N/A</v>
      </c>
      <c r="AI707" s="3" t="e">
        <f t="shared" ca="1" si="118"/>
        <v>#N/A</v>
      </c>
    </row>
    <row r="708" spans="7:35" ht="15.75" thickBot="1" x14ac:dyDescent="0.3">
      <c r="G708" s="3">
        <f t="shared" si="110"/>
        <v>246</v>
      </c>
      <c r="H708" s="106">
        <f t="shared" si="109"/>
        <v>44806</v>
      </c>
      <c r="I708" s="133">
        <f>HLOOKUP($H$4,'Met Data'!$A$2:$F$368,G708,FALSE)</f>
        <v>10.862068965517199</v>
      </c>
      <c r="J708" s="131">
        <f ca="1">HLOOKUP($H$4,'Met Data'!$H$2:$M$368,G708,FALSE)*L708</f>
        <v>2.8035714285714199</v>
      </c>
      <c r="K708" s="107">
        <f>HLOOKUP($H$4,'Met Data'!$O$2:$T$368,G708,FALSE)</f>
        <v>2.04836351360946</v>
      </c>
      <c r="L708">
        <f t="shared" ca="1" si="111"/>
        <v>1</v>
      </c>
      <c r="N708" t="e">
        <f t="shared" ca="1" si="112"/>
        <v>#N/A</v>
      </c>
      <c r="O708" t="e">
        <f t="shared" ca="1" si="113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4"/>
        <v>0</v>
      </c>
      <c r="AE708" s="46">
        <f t="shared" ca="1" si="115"/>
        <v>0</v>
      </c>
      <c r="AG708" s="72" t="e">
        <f t="shared" ca="1" si="116"/>
        <v>#N/A</v>
      </c>
      <c r="AH708" s="72" t="e">
        <f t="shared" ca="1" si="117"/>
        <v>#N/A</v>
      </c>
      <c r="AI708" s="3" t="e">
        <f t="shared" ca="1" si="118"/>
        <v>#N/A</v>
      </c>
    </row>
    <row r="709" spans="7:35" ht="15.75" thickBot="1" x14ac:dyDescent="0.3">
      <c r="G709" s="3">
        <f t="shared" si="110"/>
        <v>247</v>
      </c>
      <c r="H709" s="106">
        <f t="shared" si="109"/>
        <v>44807</v>
      </c>
      <c r="I709" s="133">
        <f>HLOOKUP($H$4,'Met Data'!$A$2:$F$368,G709,FALSE)</f>
        <v>11.4379310344827</v>
      </c>
      <c r="J709" s="131">
        <f ca="1">HLOOKUP($H$4,'Met Data'!$H$2:$M$368,G709,FALSE)*L709</f>
        <v>2.2964285714285699</v>
      </c>
      <c r="K709" s="107">
        <f>HLOOKUP($H$4,'Met Data'!$O$2:$T$368,G709,FALSE)</f>
        <v>2.1933906940536101</v>
      </c>
      <c r="L709">
        <f t="shared" ca="1" si="111"/>
        <v>1</v>
      </c>
      <c r="N709" t="e">
        <f t="shared" ca="1" si="112"/>
        <v>#N/A</v>
      </c>
      <c r="O709" t="e">
        <f t="shared" ca="1" si="113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4"/>
        <v>0</v>
      </c>
      <c r="AE709" s="46">
        <f t="shared" ca="1" si="115"/>
        <v>0</v>
      </c>
      <c r="AG709" s="72" t="e">
        <f t="shared" ca="1" si="116"/>
        <v>#N/A</v>
      </c>
      <c r="AH709" s="72" t="e">
        <f t="shared" ca="1" si="117"/>
        <v>#N/A</v>
      </c>
      <c r="AI709" s="3" t="e">
        <f t="shared" ca="1" si="118"/>
        <v>#N/A</v>
      </c>
    </row>
    <row r="710" spans="7:35" ht="15.75" thickBot="1" x14ac:dyDescent="0.3">
      <c r="G710" s="3">
        <f t="shared" si="110"/>
        <v>248</v>
      </c>
      <c r="H710" s="106">
        <f t="shared" si="109"/>
        <v>44808</v>
      </c>
      <c r="I710" s="133">
        <f>HLOOKUP($H$4,'Met Data'!$A$2:$F$368,G710,FALSE)</f>
        <v>11.5448275862068</v>
      </c>
      <c r="J710" s="131">
        <f ca="1">HLOOKUP($H$4,'Met Data'!$H$2:$M$368,G710,FALSE)*L710</f>
        <v>3.6892857142857101</v>
      </c>
      <c r="K710" s="107">
        <f>HLOOKUP($H$4,'Met Data'!$O$2:$T$368,G710,FALSE)</f>
        <v>2.0025541274337399</v>
      </c>
      <c r="L710">
        <f t="shared" ca="1" si="111"/>
        <v>1</v>
      </c>
      <c r="N710" t="e">
        <f t="shared" ca="1" si="112"/>
        <v>#N/A</v>
      </c>
      <c r="O710" t="e">
        <f t="shared" ca="1" si="113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4"/>
        <v>0</v>
      </c>
      <c r="AE710" s="46">
        <f t="shared" ca="1" si="115"/>
        <v>0</v>
      </c>
      <c r="AG710" s="72" t="e">
        <f t="shared" ca="1" si="116"/>
        <v>#N/A</v>
      </c>
      <c r="AH710" s="72" t="e">
        <f t="shared" ca="1" si="117"/>
        <v>#N/A</v>
      </c>
      <c r="AI710" s="3" t="e">
        <f t="shared" ca="1" si="118"/>
        <v>#N/A</v>
      </c>
    </row>
    <row r="711" spans="7:35" ht="15.75" thickBot="1" x14ac:dyDescent="0.3">
      <c r="G711" s="3">
        <f t="shared" si="110"/>
        <v>249</v>
      </c>
      <c r="H711" s="106">
        <f t="shared" si="109"/>
        <v>44809</v>
      </c>
      <c r="I711" s="133">
        <f>HLOOKUP($H$4,'Met Data'!$A$2:$F$368,G711,FALSE)</f>
        <v>11.734482758620601</v>
      </c>
      <c r="J711" s="131">
        <f ca="1">HLOOKUP($H$4,'Met Data'!$H$2:$M$368,G711,FALSE)*L711</f>
        <v>5.6892857142857096</v>
      </c>
      <c r="K711" s="107">
        <f>HLOOKUP($H$4,'Met Data'!$O$2:$T$368,G711,FALSE)</f>
        <v>2.0261980789565999</v>
      </c>
      <c r="L711">
        <f t="shared" ca="1" si="111"/>
        <v>1</v>
      </c>
      <c r="N711" t="e">
        <f t="shared" ca="1" si="112"/>
        <v>#N/A</v>
      </c>
      <c r="O711" t="e">
        <f t="shared" ca="1" si="113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4"/>
        <v>0</v>
      </c>
      <c r="AE711" s="46">
        <f t="shared" ca="1" si="115"/>
        <v>0</v>
      </c>
      <c r="AG711" s="72" t="e">
        <f t="shared" ca="1" si="116"/>
        <v>#N/A</v>
      </c>
      <c r="AH711" s="72" t="e">
        <f t="shared" ca="1" si="117"/>
        <v>#N/A</v>
      </c>
      <c r="AI711" s="3" t="e">
        <f t="shared" ca="1" si="118"/>
        <v>#N/A</v>
      </c>
    </row>
    <row r="712" spans="7:35" ht="15.75" thickBot="1" x14ac:dyDescent="0.3">
      <c r="G712" s="3">
        <f t="shared" si="110"/>
        <v>250</v>
      </c>
      <c r="H712" s="106">
        <f t="shared" ref="H712:H775" si="119">H711+1</f>
        <v>44810</v>
      </c>
      <c r="I712" s="133">
        <f>HLOOKUP($H$4,'Met Data'!$A$2:$F$368,G712,FALSE)</f>
        <v>11.682758620689601</v>
      </c>
      <c r="J712" s="131">
        <f ca="1">HLOOKUP($H$4,'Met Data'!$H$2:$M$368,G712,FALSE)*L712</f>
        <v>3.97586206896551</v>
      </c>
      <c r="K712" s="107">
        <f>HLOOKUP($H$4,'Met Data'!$O$2:$T$368,G712,FALSE)</f>
        <v>2.26836536246158</v>
      </c>
      <c r="L712">
        <f t="shared" ca="1" si="111"/>
        <v>1</v>
      </c>
      <c r="N712" t="e">
        <f t="shared" ca="1" si="112"/>
        <v>#N/A</v>
      </c>
      <c r="O712" t="e">
        <f t="shared" ca="1" si="113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4"/>
        <v>0</v>
      </c>
      <c r="AE712" s="46">
        <f t="shared" ca="1" si="115"/>
        <v>0</v>
      </c>
      <c r="AG712" s="72" t="e">
        <f t="shared" ca="1" si="116"/>
        <v>#N/A</v>
      </c>
      <c r="AH712" s="72" t="e">
        <f t="shared" ca="1" si="117"/>
        <v>#N/A</v>
      </c>
      <c r="AI712" s="3" t="e">
        <f t="shared" ca="1" si="118"/>
        <v>#N/A</v>
      </c>
    </row>
    <row r="713" spans="7:35" ht="15.75" thickBot="1" x14ac:dyDescent="0.3">
      <c r="G713" s="3">
        <f t="shared" si="110"/>
        <v>251</v>
      </c>
      <c r="H713" s="106">
        <f t="shared" si="119"/>
        <v>44811</v>
      </c>
      <c r="I713" s="133">
        <f>HLOOKUP($H$4,'Met Data'!$A$2:$F$368,G713,FALSE)</f>
        <v>11.389655172413701</v>
      </c>
      <c r="J713" s="131">
        <f ca="1">HLOOKUP($H$4,'Met Data'!$H$2:$M$368,G713,FALSE)*L713</f>
        <v>2.6793103448275799</v>
      </c>
      <c r="K713" s="107">
        <f>HLOOKUP($H$4,'Met Data'!$O$2:$T$368,G713,FALSE)</f>
        <v>2.1403968231495001</v>
      </c>
      <c r="L713">
        <f t="shared" ca="1" si="111"/>
        <v>1</v>
      </c>
      <c r="N713" t="e">
        <f t="shared" ca="1" si="112"/>
        <v>#N/A</v>
      </c>
      <c r="O713" t="e">
        <f t="shared" ca="1" si="113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4"/>
        <v>0</v>
      </c>
      <c r="AE713" s="46">
        <f t="shared" ca="1" si="115"/>
        <v>0</v>
      </c>
      <c r="AG713" s="72" t="e">
        <f t="shared" ca="1" si="116"/>
        <v>#N/A</v>
      </c>
      <c r="AH713" s="72" t="e">
        <f t="shared" ca="1" si="117"/>
        <v>#N/A</v>
      </c>
      <c r="AI713" s="3" t="e">
        <f t="shared" ca="1" si="118"/>
        <v>#N/A</v>
      </c>
    </row>
    <row r="714" spans="7:35" ht="15.75" thickBot="1" x14ac:dyDescent="0.3">
      <c r="G714" s="3">
        <f t="shared" si="110"/>
        <v>252</v>
      </c>
      <c r="H714" s="106">
        <f t="shared" si="119"/>
        <v>44812</v>
      </c>
      <c r="I714" s="133">
        <f>HLOOKUP($H$4,'Met Data'!$A$2:$F$368,G714,FALSE)</f>
        <v>11.834482758620601</v>
      </c>
      <c r="J714" s="131">
        <f ca="1">HLOOKUP($H$4,'Met Data'!$H$2:$M$368,G714,FALSE)*L714</f>
        <v>4.4310344827586201</v>
      </c>
      <c r="K714" s="107">
        <f>HLOOKUP($H$4,'Met Data'!$O$2:$T$368,G714,FALSE)</f>
        <v>2.4179314095726698</v>
      </c>
      <c r="L714">
        <f t="shared" ca="1" si="111"/>
        <v>1</v>
      </c>
      <c r="N714" t="e">
        <f t="shared" ca="1" si="112"/>
        <v>#N/A</v>
      </c>
      <c r="O714" t="e">
        <f t="shared" ca="1" si="113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4"/>
        <v>0</v>
      </c>
      <c r="AE714" s="46">
        <f t="shared" ca="1" si="115"/>
        <v>0</v>
      </c>
      <c r="AG714" s="72" t="e">
        <f t="shared" ca="1" si="116"/>
        <v>#N/A</v>
      </c>
      <c r="AH714" s="72" t="e">
        <f t="shared" ca="1" si="117"/>
        <v>#N/A</v>
      </c>
      <c r="AI714" s="3" t="e">
        <f t="shared" ca="1" si="118"/>
        <v>#N/A</v>
      </c>
    </row>
    <row r="715" spans="7:35" ht="15.75" thickBot="1" x14ac:dyDescent="0.3">
      <c r="G715" s="3">
        <f t="shared" si="110"/>
        <v>253</v>
      </c>
      <c r="H715" s="106">
        <f t="shared" si="119"/>
        <v>44813</v>
      </c>
      <c r="I715" s="133">
        <f>HLOOKUP($H$4,'Met Data'!$A$2:$F$368,G715,FALSE)</f>
        <v>11.465</v>
      </c>
      <c r="J715" s="131">
        <f ca="1">HLOOKUP($H$4,'Met Data'!$H$2:$M$368,G715,FALSE)*L715</f>
        <v>3.6827586206896501</v>
      </c>
      <c r="K715" s="107">
        <f>HLOOKUP($H$4,'Met Data'!$O$2:$T$368,G715,FALSE)</f>
        <v>2.2362909221430498</v>
      </c>
      <c r="L715">
        <f t="shared" ca="1" si="111"/>
        <v>1</v>
      </c>
      <c r="N715" t="e">
        <f t="shared" ca="1" si="112"/>
        <v>#N/A</v>
      </c>
      <c r="O715" t="e">
        <f t="shared" ca="1" si="113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4"/>
        <v>0</v>
      </c>
      <c r="AE715" s="46">
        <f t="shared" ca="1" si="115"/>
        <v>0</v>
      </c>
      <c r="AG715" s="72" t="e">
        <f t="shared" ca="1" si="116"/>
        <v>#N/A</v>
      </c>
      <c r="AH715" s="72" t="e">
        <f t="shared" ca="1" si="117"/>
        <v>#N/A</v>
      </c>
      <c r="AI715" s="3" t="e">
        <f t="shared" ca="1" si="118"/>
        <v>#N/A</v>
      </c>
    </row>
    <row r="716" spans="7:35" ht="15.75" thickBot="1" x14ac:dyDescent="0.3">
      <c r="G716" s="3">
        <f t="shared" si="110"/>
        <v>254</v>
      </c>
      <c r="H716" s="106">
        <f t="shared" si="119"/>
        <v>44814</v>
      </c>
      <c r="I716" s="133">
        <f>HLOOKUP($H$4,'Met Data'!$A$2:$F$368,G716,FALSE)</f>
        <v>11.62</v>
      </c>
      <c r="J716" s="131">
        <f ca="1">HLOOKUP($H$4,'Met Data'!$H$2:$M$368,G716,FALSE)*L716</f>
        <v>1.66333333333333</v>
      </c>
      <c r="K716" s="107">
        <f>HLOOKUP($H$4,'Met Data'!$O$2:$T$368,G716,FALSE)</f>
        <v>2.5120136328346701</v>
      </c>
      <c r="L716">
        <f t="shared" ca="1" si="111"/>
        <v>1</v>
      </c>
      <c r="N716" t="e">
        <f t="shared" ca="1" si="112"/>
        <v>#N/A</v>
      </c>
      <c r="O716" t="e">
        <f t="shared" ca="1" si="113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4"/>
        <v>0</v>
      </c>
      <c r="AE716" s="46">
        <f t="shared" ca="1" si="115"/>
        <v>0</v>
      </c>
      <c r="AG716" s="72" t="e">
        <f t="shared" ca="1" si="116"/>
        <v>#N/A</v>
      </c>
      <c r="AH716" s="72" t="e">
        <f t="shared" ca="1" si="117"/>
        <v>#N/A</v>
      </c>
      <c r="AI716" s="3" t="e">
        <f t="shared" ca="1" si="118"/>
        <v>#N/A</v>
      </c>
    </row>
    <row r="717" spans="7:35" ht="15.75" thickBot="1" x14ac:dyDescent="0.3">
      <c r="G717" s="3">
        <f t="shared" si="110"/>
        <v>255</v>
      </c>
      <c r="H717" s="106">
        <f t="shared" si="119"/>
        <v>44815</v>
      </c>
      <c r="I717" s="133">
        <f>HLOOKUP($H$4,'Met Data'!$A$2:$F$368,G717,FALSE)</f>
        <v>11.7633333333333</v>
      </c>
      <c r="J717" s="131">
        <f ca="1">HLOOKUP($H$4,'Met Data'!$H$2:$M$368,G717,FALSE)*L717</f>
        <v>3.2833333333333301</v>
      </c>
      <c r="K717" s="107">
        <f>HLOOKUP($H$4,'Met Data'!$O$2:$T$368,G717,FALSE)</f>
        <v>2.3151045080086101</v>
      </c>
      <c r="L717">
        <f t="shared" ca="1" si="111"/>
        <v>1</v>
      </c>
      <c r="N717" t="e">
        <f t="shared" ca="1" si="112"/>
        <v>#N/A</v>
      </c>
      <c r="O717" t="e">
        <f t="shared" ca="1" si="113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4"/>
        <v>0</v>
      </c>
      <c r="AE717" s="46">
        <f t="shared" ca="1" si="115"/>
        <v>0</v>
      </c>
      <c r="AG717" s="72" t="e">
        <f t="shared" ca="1" si="116"/>
        <v>#N/A</v>
      </c>
      <c r="AH717" s="72" t="e">
        <f t="shared" ca="1" si="117"/>
        <v>#N/A</v>
      </c>
      <c r="AI717" s="3" t="e">
        <f t="shared" ca="1" si="118"/>
        <v>#N/A</v>
      </c>
    </row>
    <row r="718" spans="7:35" ht="15.75" thickBot="1" x14ac:dyDescent="0.3">
      <c r="G718" s="3">
        <f t="shared" si="110"/>
        <v>256</v>
      </c>
      <c r="H718" s="106">
        <f t="shared" si="119"/>
        <v>44816</v>
      </c>
      <c r="I718" s="133">
        <f>HLOOKUP($H$4,'Met Data'!$A$2:$F$368,G718,FALSE)</f>
        <v>12.158333333333299</v>
      </c>
      <c r="J718" s="131">
        <f ca="1">HLOOKUP($H$4,'Met Data'!$H$2:$M$368,G718,FALSE)*L718</f>
        <v>3.8833333333333302</v>
      </c>
      <c r="K718" s="107">
        <f>HLOOKUP($H$4,'Met Data'!$O$2:$T$368,G718,FALSE)</f>
        <v>2.3727724062230302</v>
      </c>
      <c r="L718">
        <f t="shared" ca="1" si="111"/>
        <v>1</v>
      </c>
      <c r="N718" t="e">
        <f t="shared" ca="1" si="112"/>
        <v>#N/A</v>
      </c>
      <c r="O718" t="e">
        <f t="shared" ca="1" si="113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4"/>
        <v>0</v>
      </c>
      <c r="AE718" s="46">
        <f t="shared" ca="1" si="115"/>
        <v>0</v>
      </c>
      <c r="AG718" s="72" t="e">
        <f t="shared" ca="1" si="116"/>
        <v>#N/A</v>
      </c>
      <c r="AH718" s="72" t="e">
        <f t="shared" ca="1" si="117"/>
        <v>#N/A</v>
      </c>
      <c r="AI718" s="3" t="e">
        <f t="shared" ca="1" si="118"/>
        <v>#N/A</v>
      </c>
    </row>
    <row r="719" spans="7:35" ht="15.75" thickBot="1" x14ac:dyDescent="0.3">
      <c r="G719" s="3">
        <f t="shared" si="110"/>
        <v>257</v>
      </c>
      <c r="H719" s="106">
        <f t="shared" si="119"/>
        <v>44817</v>
      </c>
      <c r="I719" s="133">
        <f>HLOOKUP($H$4,'Met Data'!$A$2:$F$368,G719,FALSE)</f>
        <v>11.908333333333299</v>
      </c>
      <c r="J719" s="131">
        <f ca="1">HLOOKUP($H$4,'Met Data'!$H$2:$M$368,G719,FALSE)*L719</f>
        <v>5.26</v>
      </c>
      <c r="K719" s="107">
        <f>HLOOKUP($H$4,'Met Data'!$O$2:$T$368,G719,FALSE)</f>
        <v>2.4036248389024699</v>
      </c>
      <c r="L719">
        <f t="shared" ca="1" si="111"/>
        <v>1</v>
      </c>
      <c r="N719" t="e">
        <f t="shared" ca="1" si="112"/>
        <v>#N/A</v>
      </c>
      <c r="O719" t="e">
        <f t="shared" ca="1" si="113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4"/>
        <v>0</v>
      </c>
      <c r="AE719" s="46">
        <f t="shared" ca="1" si="115"/>
        <v>0</v>
      </c>
      <c r="AG719" s="72" t="e">
        <f t="shared" ca="1" si="116"/>
        <v>#N/A</v>
      </c>
      <c r="AH719" s="72" t="e">
        <f t="shared" ca="1" si="117"/>
        <v>#N/A</v>
      </c>
      <c r="AI719" s="3" t="e">
        <f t="shared" ca="1" si="118"/>
        <v>#N/A</v>
      </c>
    </row>
    <row r="720" spans="7:35" ht="15.75" thickBot="1" x14ac:dyDescent="0.3">
      <c r="G720" s="3">
        <f t="shared" si="110"/>
        <v>258</v>
      </c>
      <c r="H720" s="106">
        <f t="shared" si="119"/>
        <v>44818</v>
      </c>
      <c r="I720" s="133">
        <f>HLOOKUP($H$4,'Met Data'!$A$2:$F$368,G720,FALSE)</f>
        <v>12.074999999999999</v>
      </c>
      <c r="J720" s="131">
        <f ca="1">HLOOKUP($H$4,'Met Data'!$H$2:$M$368,G720,FALSE)*L720</f>
        <v>3.6933333333333298</v>
      </c>
      <c r="K720" s="107">
        <f>HLOOKUP($H$4,'Met Data'!$O$2:$T$368,G720,FALSE)</f>
        <v>2.56639010677653</v>
      </c>
      <c r="L720">
        <f t="shared" ca="1" si="111"/>
        <v>1</v>
      </c>
      <c r="N720" t="e">
        <f t="shared" ca="1" si="112"/>
        <v>#N/A</v>
      </c>
      <c r="O720" t="e">
        <f t="shared" ca="1" si="113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4"/>
        <v>0</v>
      </c>
      <c r="AE720" s="46">
        <f t="shared" ca="1" si="115"/>
        <v>0</v>
      </c>
      <c r="AG720" s="72" t="e">
        <f t="shared" ca="1" si="116"/>
        <v>#N/A</v>
      </c>
      <c r="AH720" s="72" t="e">
        <f t="shared" ca="1" si="117"/>
        <v>#N/A</v>
      </c>
      <c r="AI720" s="3" t="e">
        <f t="shared" ca="1" si="118"/>
        <v>#N/A</v>
      </c>
    </row>
    <row r="721" spans="7:35" ht="15.75" thickBot="1" x14ac:dyDescent="0.3">
      <c r="G721" s="3">
        <f t="shared" si="110"/>
        <v>259</v>
      </c>
      <c r="H721" s="106">
        <f t="shared" si="119"/>
        <v>44819</v>
      </c>
      <c r="I721" s="133">
        <f>HLOOKUP($H$4,'Met Data'!$A$2:$F$368,G721,FALSE)</f>
        <v>12.3883333333333</v>
      </c>
      <c r="J721" s="131">
        <f ca="1">HLOOKUP($H$4,'Met Data'!$H$2:$M$368,G721,FALSE)*L721</f>
        <v>3.26</v>
      </c>
      <c r="K721" s="107">
        <f>HLOOKUP($H$4,'Met Data'!$O$2:$T$368,G721,FALSE)</f>
        <v>2.3157931057843801</v>
      </c>
      <c r="L721">
        <f t="shared" ca="1" si="111"/>
        <v>1</v>
      </c>
      <c r="N721" t="e">
        <f t="shared" ca="1" si="112"/>
        <v>#N/A</v>
      </c>
      <c r="O721" t="e">
        <f t="shared" ca="1" si="113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4"/>
        <v>0</v>
      </c>
      <c r="AE721" s="46">
        <f t="shared" ca="1" si="115"/>
        <v>0</v>
      </c>
      <c r="AG721" s="72" t="e">
        <f t="shared" ca="1" si="116"/>
        <v>#N/A</v>
      </c>
      <c r="AH721" s="72" t="e">
        <f t="shared" ca="1" si="117"/>
        <v>#N/A</v>
      </c>
      <c r="AI721" s="3" t="e">
        <f t="shared" ca="1" si="118"/>
        <v>#N/A</v>
      </c>
    </row>
    <row r="722" spans="7:35" ht="15.75" thickBot="1" x14ac:dyDescent="0.3">
      <c r="G722" s="3">
        <f t="shared" si="110"/>
        <v>260</v>
      </c>
      <c r="H722" s="106">
        <f t="shared" si="119"/>
        <v>44820</v>
      </c>
      <c r="I722" s="133">
        <f>HLOOKUP($H$4,'Met Data'!$A$2:$F$368,G722,FALSE)</f>
        <v>12.5766666666666</v>
      </c>
      <c r="J722" s="131">
        <f ca="1">HLOOKUP($H$4,'Met Data'!$H$2:$M$368,G722,FALSE)*L722</f>
        <v>3.5999999999999899</v>
      </c>
      <c r="K722" s="107">
        <f>HLOOKUP($H$4,'Met Data'!$O$2:$T$368,G722,FALSE)</f>
        <v>2.2894884287258899</v>
      </c>
      <c r="L722">
        <f t="shared" ca="1" si="111"/>
        <v>1</v>
      </c>
      <c r="N722" t="e">
        <f t="shared" ca="1" si="112"/>
        <v>#N/A</v>
      </c>
      <c r="O722" t="e">
        <f t="shared" ca="1" si="113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4"/>
        <v>0</v>
      </c>
      <c r="AE722" s="46">
        <f t="shared" ca="1" si="115"/>
        <v>0</v>
      </c>
      <c r="AG722" s="72" t="e">
        <f t="shared" ca="1" si="116"/>
        <v>#N/A</v>
      </c>
      <c r="AH722" s="72" t="e">
        <f t="shared" ca="1" si="117"/>
        <v>#N/A</v>
      </c>
      <c r="AI722" s="3" t="e">
        <f t="shared" ca="1" si="118"/>
        <v>#N/A</v>
      </c>
    </row>
    <row r="723" spans="7:35" ht="15.75" thickBot="1" x14ac:dyDescent="0.3">
      <c r="G723" s="3">
        <f t="shared" si="110"/>
        <v>261</v>
      </c>
      <c r="H723" s="106">
        <f t="shared" si="119"/>
        <v>44821</v>
      </c>
      <c r="I723" s="133">
        <f>HLOOKUP($H$4,'Met Data'!$A$2:$F$368,G723,FALSE)</f>
        <v>12.482258064516101</v>
      </c>
      <c r="J723" s="131">
        <f ca="1">HLOOKUP($H$4,'Met Data'!$H$2:$M$368,G723,FALSE)*L723</f>
        <v>2.73870967741935</v>
      </c>
      <c r="K723" s="107">
        <f>HLOOKUP($H$4,'Met Data'!$O$2:$T$368,G723,FALSE)</f>
        <v>2.42321708135252</v>
      </c>
      <c r="L723">
        <f t="shared" ca="1" si="111"/>
        <v>1</v>
      </c>
      <c r="N723" t="e">
        <f t="shared" ca="1" si="112"/>
        <v>#N/A</v>
      </c>
      <c r="O723" t="e">
        <f t="shared" ca="1" si="113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4"/>
        <v>0</v>
      </c>
      <c r="AE723" s="46">
        <f t="shared" ca="1" si="115"/>
        <v>0</v>
      </c>
      <c r="AG723" s="72" t="e">
        <f t="shared" ca="1" si="116"/>
        <v>#N/A</v>
      </c>
      <c r="AH723" s="72" t="e">
        <f t="shared" ca="1" si="117"/>
        <v>#N/A</v>
      </c>
      <c r="AI723" s="3" t="e">
        <f t="shared" ca="1" si="118"/>
        <v>#N/A</v>
      </c>
    </row>
    <row r="724" spans="7:35" ht="15.75" thickBot="1" x14ac:dyDescent="0.3">
      <c r="G724" s="3">
        <f t="shared" si="110"/>
        <v>262</v>
      </c>
      <c r="H724" s="106">
        <f t="shared" si="119"/>
        <v>44822</v>
      </c>
      <c r="I724" s="133">
        <f>HLOOKUP($H$4,'Met Data'!$A$2:$F$368,G724,FALSE)</f>
        <v>12.261290322580599</v>
      </c>
      <c r="J724" s="131">
        <f ca="1">HLOOKUP($H$4,'Met Data'!$H$2:$M$368,G724,FALSE)*L724</f>
        <v>2.5741935483870901</v>
      </c>
      <c r="K724" s="107">
        <f>HLOOKUP($H$4,'Met Data'!$O$2:$T$368,G724,FALSE)</f>
        <v>2.45933848636487</v>
      </c>
      <c r="L724">
        <f t="shared" ca="1" si="111"/>
        <v>1</v>
      </c>
      <c r="N724" t="e">
        <f t="shared" ca="1" si="112"/>
        <v>#N/A</v>
      </c>
      <c r="O724" t="e">
        <f t="shared" ca="1" si="113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4"/>
        <v>0</v>
      </c>
      <c r="AE724" s="46">
        <f t="shared" ca="1" si="115"/>
        <v>0</v>
      </c>
      <c r="AG724" s="72" t="e">
        <f t="shared" ca="1" si="116"/>
        <v>#N/A</v>
      </c>
      <c r="AH724" s="72" t="e">
        <f t="shared" ca="1" si="117"/>
        <v>#N/A</v>
      </c>
      <c r="AI724" s="3" t="e">
        <f t="shared" ca="1" si="118"/>
        <v>#N/A</v>
      </c>
    </row>
    <row r="725" spans="7:35" ht="15.75" thickBot="1" x14ac:dyDescent="0.3">
      <c r="G725" s="3">
        <f t="shared" si="110"/>
        <v>263</v>
      </c>
      <c r="H725" s="106">
        <f t="shared" si="119"/>
        <v>44823</v>
      </c>
      <c r="I725" s="133">
        <f>HLOOKUP($H$4,'Met Data'!$A$2:$F$368,G725,FALSE)</f>
        <v>12.1677419354838</v>
      </c>
      <c r="J725" s="131">
        <f ca="1">HLOOKUP($H$4,'Met Data'!$H$2:$M$368,G725,FALSE)*L725</f>
        <v>3.5774193548387001</v>
      </c>
      <c r="K725" s="107">
        <f>HLOOKUP($H$4,'Met Data'!$O$2:$T$368,G725,FALSE)</f>
        <v>2.2883058912546601</v>
      </c>
      <c r="L725">
        <f t="shared" ca="1" si="111"/>
        <v>1</v>
      </c>
      <c r="N725" t="e">
        <f t="shared" ca="1" si="112"/>
        <v>#N/A</v>
      </c>
      <c r="O725" t="e">
        <f t="shared" ca="1" si="113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4"/>
        <v>0</v>
      </c>
      <c r="AE725" s="46">
        <f t="shared" ca="1" si="115"/>
        <v>0</v>
      </c>
      <c r="AG725" s="72" t="e">
        <f t="shared" ca="1" si="116"/>
        <v>#N/A</v>
      </c>
      <c r="AH725" s="72" t="e">
        <f t="shared" ca="1" si="117"/>
        <v>#N/A</v>
      </c>
      <c r="AI725" s="3" t="e">
        <f t="shared" ca="1" si="118"/>
        <v>#N/A</v>
      </c>
    </row>
    <row r="726" spans="7:35" ht="15.75" thickBot="1" x14ac:dyDescent="0.3">
      <c r="G726" s="3">
        <f t="shared" si="110"/>
        <v>264</v>
      </c>
      <c r="H726" s="106">
        <f t="shared" si="119"/>
        <v>44824</v>
      </c>
      <c r="I726" s="133">
        <f>HLOOKUP($H$4,'Met Data'!$A$2:$F$368,G726,FALSE)</f>
        <v>12.1064516129032</v>
      </c>
      <c r="J726" s="131">
        <f ca="1">HLOOKUP($H$4,'Met Data'!$H$2:$M$368,G726,FALSE)*L726</f>
        <v>2.6774193548387002</v>
      </c>
      <c r="K726" s="107">
        <f>HLOOKUP($H$4,'Met Data'!$O$2:$T$368,G726,FALSE)</f>
        <v>2.6656714596224198</v>
      </c>
      <c r="L726">
        <f t="shared" ca="1" si="111"/>
        <v>1</v>
      </c>
      <c r="N726" t="e">
        <f t="shared" ca="1" si="112"/>
        <v>#N/A</v>
      </c>
      <c r="O726" t="e">
        <f t="shared" ca="1" si="113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4"/>
        <v>0</v>
      </c>
      <c r="AE726" s="46">
        <f t="shared" ca="1" si="115"/>
        <v>0</v>
      </c>
      <c r="AG726" s="72" t="e">
        <f t="shared" ca="1" si="116"/>
        <v>#N/A</v>
      </c>
      <c r="AH726" s="72" t="e">
        <f t="shared" ca="1" si="117"/>
        <v>#N/A</v>
      </c>
      <c r="AI726" s="3" t="e">
        <f t="shared" ca="1" si="118"/>
        <v>#N/A</v>
      </c>
    </row>
    <row r="727" spans="7:35" ht="15.75" thickBot="1" x14ac:dyDescent="0.3">
      <c r="G727" s="3">
        <f t="shared" si="110"/>
        <v>265</v>
      </c>
      <c r="H727" s="106">
        <f t="shared" si="119"/>
        <v>44825</v>
      </c>
      <c r="I727" s="133">
        <f>HLOOKUP($H$4,'Met Data'!$A$2:$F$368,G727,FALSE)</f>
        <v>12.012903225806401</v>
      </c>
      <c r="J727" s="131">
        <f ca="1">HLOOKUP($H$4,'Met Data'!$H$2:$M$368,G727,FALSE)*L727</f>
        <v>2.8193548387096699</v>
      </c>
      <c r="K727" s="107">
        <f>HLOOKUP($H$4,'Met Data'!$O$2:$T$368,G727,FALSE)</f>
        <v>2.6640837362866301</v>
      </c>
      <c r="L727">
        <f t="shared" ca="1" si="111"/>
        <v>1</v>
      </c>
      <c r="N727" t="e">
        <f t="shared" ca="1" si="112"/>
        <v>#N/A</v>
      </c>
      <c r="O727" t="e">
        <f t="shared" ca="1" si="113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4"/>
        <v>0</v>
      </c>
      <c r="AE727" s="46">
        <f t="shared" ca="1" si="115"/>
        <v>0</v>
      </c>
      <c r="AG727" s="72" t="e">
        <f t="shared" ca="1" si="116"/>
        <v>#N/A</v>
      </c>
      <c r="AH727" s="72" t="e">
        <f t="shared" ca="1" si="117"/>
        <v>#N/A</v>
      </c>
      <c r="AI727" s="3" t="e">
        <f t="shared" ca="1" si="118"/>
        <v>#N/A</v>
      </c>
    </row>
    <row r="728" spans="7:35" ht="15.75" thickBot="1" x14ac:dyDescent="0.3">
      <c r="G728" s="3">
        <f t="shared" si="110"/>
        <v>266</v>
      </c>
      <c r="H728" s="106">
        <f t="shared" si="119"/>
        <v>44826</v>
      </c>
      <c r="I728" s="133">
        <f>HLOOKUP($H$4,'Met Data'!$A$2:$F$368,G728,FALSE)</f>
        <v>12.1612903225806</v>
      </c>
      <c r="J728" s="131">
        <f ca="1">HLOOKUP($H$4,'Met Data'!$H$2:$M$368,G728,FALSE)*L728</f>
        <v>4.2935483870967701</v>
      </c>
      <c r="K728" s="107">
        <f>HLOOKUP($H$4,'Met Data'!$O$2:$T$368,G728,FALSE)</f>
        <v>2.5405503102234701</v>
      </c>
      <c r="L728">
        <f t="shared" ca="1" si="111"/>
        <v>1</v>
      </c>
      <c r="N728" t="e">
        <f t="shared" ca="1" si="112"/>
        <v>#N/A</v>
      </c>
      <c r="O728" t="e">
        <f t="shared" ca="1" si="113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4"/>
        <v>0</v>
      </c>
      <c r="AE728" s="46">
        <f t="shared" ca="1" si="115"/>
        <v>0</v>
      </c>
      <c r="AG728" s="72" t="e">
        <f t="shared" ca="1" si="116"/>
        <v>#N/A</v>
      </c>
      <c r="AH728" s="72" t="e">
        <f t="shared" ca="1" si="117"/>
        <v>#N/A</v>
      </c>
      <c r="AI728" s="3" t="e">
        <f t="shared" ca="1" si="118"/>
        <v>#N/A</v>
      </c>
    </row>
    <row r="729" spans="7:35" ht="15.75" thickBot="1" x14ac:dyDescent="0.3">
      <c r="G729" s="3">
        <f t="shared" si="110"/>
        <v>267</v>
      </c>
      <c r="H729" s="106">
        <f t="shared" si="119"/>
        <v>44827</v>
      </c>
      <c r="I729" s="133">
        <f>HLOOKUP($H$4,'Met Data'!$A$2:$F$368,G729,FALSE)</f>
        <v>12.285483870967701</v>
      </c>
      <c r="J729" s="131">
        <f ca="1">HLOOKUP($H$4,'Met Data'!$H$2:$M$368,G729,FALSE)*L729</f>
        <v>3.69677419354838</v>
      </c>
      <c r="K729" s="107">
        <f>HLOOKUP($H$4,'Met Data'!$O$2:$T$368,G729,FALSE)</f>
        <v>2.75659518409562</v>
      </c>
      <c r="L729">
        <f t="shared" ca="1" si="111"/>
        <v>1</v>
      </c>
      <c r="N729" t="e">
        <f t="shared" ca="1" si="112"/>
        <v>#N/A</v>
      </c>
      <c r="O729" t="e">
        <f t="shared" ca="1" si="113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4"/>
        <v>0</v>
      </c>
      <c r="AE729" s="46">
        <f t="shared" ca="1" si="115"/>
        <v>0</v>
      </c>
      <c r="AG729" s="72" t="e">
        <f t="shared" ca="1" si="116"/>
        <v>#N/A</v>
      </c>
      <c r="AH729" s="72" t="e">
        <f t="shared" ca="1" si="117"/>
        <v>#N/A</v>
      </c>
      <c r="AI729" s="3" t="e">
        <f t="shared" ca="1" si="118"/>
        <v>#N/A</v>
      </c>
    </row>
    <row r="730" spans="7:35" ht="15.75" thickBot="1" x14ac:dyDescent="0.3">
      <c r="G730" s="3">
        <f t="shared" si="110"/>
        <v>268</v>
      </c>
      <c r="H730" s="106">
        <f t="shared" si="119"/>
        <v>44828</v>
      </c>
      <c r="I730" s="133">
        <f>HLOOKUP($H$4,'Met Data'!$A$2:$F$368,G730,FALSE)</f>
        <v>12.7274193548387</v>
      </c>
      <c r="J730" s="131">
        <f ca="1">HLOOKUP($H$4,'Met Data'!$H$2:$M$368,G730,FALSE)*L730</f>
        <v>4.4354838709677402</v>
      </c>
      <c r="K730" s="107">
        <f>HLOOKUP($H$4,'Met Data'!$O$2:$T$368,G730,FALSE)</f>
        <v>2.4043238309259301</v>
      </c>
      <c r="L730">
        <f t="shared" ca="1" si="111"/>
        <v>1</v>
      </c>
      <c r="N730" t="e">
        <f t="shared" ca="1" si="112"/>
        <v>#N/A</v>
      </c>
      <c r="O730" t="e">
        <f t="shared" ca="1" si="113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4"/>
        <v>0</v>
      </c>
      <c r="AE730" s="46">
        <f t="shared" ca="1" si="115"/>
        <v>0</v>
      </c>
      <c r="AG730" s="72" t="e">
        <f t="shared" ca="1" si="116"/>
        <v>#N/A</v>
      </c>
      <c r="AH730" s="72" t="e">
        <f t="shared" ca="1" si="117"/>
        <v>#N/A</v>
      </c>
      <c r="AI730" s="3" t="e">
        <f t="shared" ca="1" si="118"/>
        <v>#N/A</v>
      </c>
    </row>
    <row r="731" spans="7:35" ht="15.75" thickBot="1" x14ac:dyDescent="0.3">
      <c r="G731" s="3">
        <f t="shared" si="110"/>
        <v>269</v>
      </c>
      <c r="H731" s="106">
        <f t="shared" si="119"/>
        <v>44829</v>
      </c>
      <c r="I731" s="133">
        <f>HLOOKUP($H$4,'Met Data'!$A$2:$F$368,G731,FALSE)</f>
        <v>12.4338709677419</v>
      </c>
      <c r="J731" s="131">
        <f ca="1">HLOOKUP($H$4,'Met Data'!$H$2:$M$368,G731,FALSE)*L731</f>
        <v>3.1290322580645098</v>
      </c>
      <c r="K731" s="107">
        <f>HLOOKUP($H$4,'Met Data'!$O$2:$T$368,G731,FALSE)</f>
        <v>2.32653952570764</v>
      </c>
      <c r="L731">
        <f t="shared" ca="1" si="111"/>
        <v>1</v>
      </c>
      <c r="N731" t="e">
        <f t="shared" ca="1" si="112"/>
        <v>#N/A</v>
      </c>
      <c r="O731" t="e">
        <f t="shared" ca="1" si="113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4"/>
        <v>0</v>
      </c>
      <c r="AE731" s="46">
        <f t="shared" ca="1" si="115"/>
        <v>0</v>
      </c>
      <c r="AG731" s="72" t="e">
        <f t="shared" ca="1" si="116"/>
        <v>#N/A</v>
      </c>
      <c r="AH731" s="72" t="e">
        <f t="shared" ca="1" si="117"/>
        <v>#N/A</v>
      </c>
      <c r="AI731" s="3" t="e">
        <f t="shared" ca="1" si="118"/>
        <v>#N/A</v>
      </c>
    </row>
    <row r="732" spans="7:35" ht="15.75" thickBot="1" x14ac:dyDescent="0.3">
      <c r="G732" s="3">
        <f t="shared" si="110"/>
        <v>270</v>
      </c>
      <c r="H732" s="106">
        <f t="shared" si="119"/>
        <v>44830</v>
      </c>
      <c r="I732" s="133">
        <f>HLOOKUP($H$4,'Met Data'!$A$2:$F$368,G732,FALSE)</f>
        <v>12.341666666666599</v>
      </c>
      <c r="J732" s="131">
        <f ca="1">HLOOKUP($H$4,'Met Data'!$H$2:$M$368,G732,FALSE)*L732</f>
        <v>4.32666666666666</v>
      </c>
      <c r="K732" s="107">
        <f>HLOOKUP($H$4,'Met Data'!$O$2:$T$368,G732,FALSE)</f>
        <v>2.5198296361703401</v>
      </c>
      <c r="L732">
        <f t="shared" ca="1" si="111"/>
        <v>1</v>
      </c>
      <c r="N732" t="e">
        <f t="shared" ca="1" si="112"/>
        <v>#N/A</v>
      </c>
      <c r="O732" t="e">
        <f t="shared" ca="1" si="113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4"/>
        <v>0</v>
      </c>
      <c r="AE732" s="46">
        <f t="shared" ca="1" si="115"/>
        <v>0</v>
      </c>
      <c r="AG732" s="72" t="e">
        <f t="shared" ca="1" si="116"/>
        <v>#N/A</v>
      </c>
      <c r="AH732" s="72" t="e">
        <f t="shared" ca="1" si="117"/>
        <v>#N/A</v>
      </c>
      <c r="AI732" s="3" t="e">
        <f t="shared" ca="1" si="118"/>
        <v>#N/A</v>
      </c>
    </row>
    <row r="733" spans="7:35" ht="15.75" thickBot="1" x14ac:dyDescent="0.3">
      <c r="G733" s="3">
        <f t="shared" si="110"/>
        <v>271</v>
      </c>
      <c r="H733" s="106">
        <f t="shared" si="119"/>
        <v>44831</v>
      </c>
      <c r="I733" s="133">
        <f>HLOOKUP($H$4,'Met Data'!$A$2:$F$368,G733,FALSE)</f>
        <v>12.7183333333333</v>
      </c>
      <c r="J733" s="131">
        <f ca="1">HLOOKUP($H$4,'Met Data'!$H$2:$M$368,G733,FALSE)*L733</f>
        <v>2.83</v>
      </c>
      <c r="K733" s="107">
        <f>HLOOKUP($H$4,'Met Data'!$O$2:$T$368,G733,FALSE)</f>
        <v>2.6371707298843199</v>
      </c>
      <c r="L733">
        <f t="shared" ca="1" si="111"/>
        <v>1</v>
      </c>
      <c r="N733" t="e">
        <f t="shared" ca="1" si="112"/>
        <v>#N/A</v>
      </c>
      <c r="O733" t="e">
        <f t="shared" ca="1" si="113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4"/>
        <v>0</v>
      </c>
      <c r="AE733" s="46">
        <f t="shared" ca="1" si="115"/>
        <v>0</v>
      </c>
      <c r="AG733" s="72" t="e">
        <f t="shared" ca="1" si="116"/>
        <v>#N/A</v>
      </c>
      <c r="AH733" s="72" t="e">
        <f t="shared" ca="1" si="117"/>
        <v>#N/A</v>
      </c>
      <c r="AI733" s="3" t="e">
        <f t="shared" ca="1" si="118"/>
        <v>#N/A</v>
      </c>
    </row>
    <row r="734" spans="7:35" ht="15.75" thickBot="1" x14ac:dyDescent="0.3">
      <c r="G734" s="3">
        <f t="shared" si="110"/>
        <v>272</v>
      </c>
      <c r="H734" s="106">
        <f t="shared" si="119"/>
        <v>44832</v>
      </c>
      <c r="I734" s="133">
        <f>HLOOKUP($H$4,'Met Data'!$A$2:$F$368,G734,FALSE)</f>
        <v>13.04</v>
      </c>
      <c r="J734" s="131">
        <f ca="1">HLOOKUP($H$4,'Met Data'!$H$2:$M$368,G734,FALSE)*L734</f>
        <v>4.2233333333333301</v>
      </c>
      <c r="K734" s="107">
        <f>HLOOKUP($H$4,'Met Data'!$O$2:$T$368,G734,FALSE)</f>
        <v>2.4067153885809098</v>
      </c>
      <c r="L734">
        <f t="shared" ca="1" si="111"/>
        <v>1</v>
      </c>
      <c r="N734" t="e">
        <f t="shared" ca="1" si="112"/>
        <v>#N/A</v>
      </c>
      <c r="O734" t="e">
        <f t="shared" ca="1" si="113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4"/>
        <v>0</v>
      </c>
      <c r="AE734" s="46">
        <f t="shared" ca="1" si="115"/>
        <v>0</v>
      </c>
      <c r="AG734" s="72" t="e">
        <f t="shared" ca="1" si="116"/>
        <v>#N/A</v>
      </c>
      <c r="AH734" s="72" t="e">
        <f t="shared" ca="1" si="117"/>
        <v>#N/A</v>
      </c>
      <c r="AI734" s="3" t="e">
        <f t="shared" ca="1" si="118"/>
        <v>#N/A</v>
      </c>
    </row>
    <row r="735" spans="7:35" ht="15.75" thickBot="1" x14ac:dyDescent="0.3">
      <c r="G735" s="3">
        <f t="shared" si="110"/>
        <v>273</v>
      </c>
      <c r="H735" s="106">
        <f t="shared" si="119"/>
        <v>44833</v>
      </c>
      <c r="I735" s="133">
        <f>HLOOKUP($H$4,'Met Data'!$A$2:$F$368,G735,FALSE)</f>
        <v>13.381034482758601</v>
      </c>
      <c r="J735" s="131">
        <f ca="1">HLOOKUP($H$4,'Met Data'!$H$2:$M$368,G735,FALSE)*L735</f>
        <v>3.7620689655172401</v>
      </c>
      <c r="K735" s="107">
        <f>HLOOKUP($H$4,'Met Data'!$O$2:$T$368,G735,FALSE)</f>
        <v>2.71659484771267</v>
      </c>
      <c r="L735">
        <f t="shared" ca="1" si="111"/>
        <v>1</v>
      </c>
      <c r="N735" t="e">
        <f t="shared" ca="1" si="112"/>
        <v>#N/A</v>
      </c>
      <c r="O735" t="e">
        <f t="shared" ca="1" si="113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4"/>
        <v>0</v>
      </c>
      <c r="AE735" s="46">
        <f t="shared" ca="1" si="115"/>
        <v>0</v>
      </c>
      <c r="AG735" s="72" t="e">
        <f t="shared" ca="1" si="116"/>
        <v>#N/A</v>
      </c>
      <c r="AH735" s="72" t="e">
        <f t="shared" ca="1" si="117"/>
        <v>#N/A</v>
      </c>
      <c r="AI735" s="3" t="e">
        <f t="shared" ca="1" si="118"/>
        <v>#N/A</v>
      </c>
    </row>
    <row r="736" spans="7:35" ht="15.75" thickBot="1" x14ac:dyDescent="0.3">
      <c r="G736" s="3">
        <f t="shared" si="110"/>
        <v>274</v>
      </c>
      <c r="H736" s="106">
        <f t="shared" si="119"/>
        <v>44834</v>
      </c>
      <c r="I736" s="133">
        <f>HLOOKUP($H$4,'Met Data'!$A$2:$F$368,G736,FALSE)</f>
        <v>13.274137931034399</v>
      </c>
      <c r="J736" s="131">
        <f ca="1">HLOOKUP($H$4,'Met Data'!$H$2:$M$368,G736,FALSE)*L736</f>
        <v>5.4793103448275797</v>
      </c>
      <c r="K736" s="107">
        <f>HLOOKUP($H$4,'Met Data'!$O$2:$T$368,G736,FALSE)</f>
        <v>2.6496213239398698</v>
      </c>
      <c r="L736">
        <f t="shared" ca="1" si="111"/>
        <v>1</v>
      </c>
      <c r="N736" t="e">
        <f t="shared" ca="1" si="112"/>
        <v>#N/A</v>
      </c>
      <c r="O736" t="e">
        <f t="shared" ca="1" si="113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4"/>
        <v>0</v>
      </c>
      <c r="AE736" s="46">
        <f t="shared" ca="1" si="115"/>
        <v>0</v>
      </c>
      <c r="AG736" s="72" t="e">
        <f t="shared" ca="1" si="116"/>
        <v>#N/A</v>
      </c>
      <c r="AH736" s="72" t="e">
        <f t="shared" ca="1" si="117"/>
        <v>#N/A</v>
      </c>
      <c r="AI736" s="3" t="e">
        <f t="shared" ca="1" si="118"/>
        <v>#N/A</v>
      </c>
    </row>
    <row r="737" spans="7:35" ht="15.75" thickBot="1" x14ac:dyDescent="0.3">
      <c r="G737" s="3">
        <f t="shared" si="110"/>
        <v>275</v>
      </c>
      <c r="H737" s="106">
        <f t="shared" si="119"/>
        <v>44835</v>
      </c>
      <c r="I737" s="133">
        <f>HLOOKUP($H$4,'Met Data'!$A$2:$F$368,G737,FALSE)</f>
        <v>13.0233333333333</v>
      </c>
      <c r="J737" s="131">
        <f ca="1">HLOOKUP($H$4,'Met Data'!$H$2:$M$368,G737,FALSE)*L737</f>
        <v>7.2033333333333296</v>
      </c>
      <c r="K737" s="107">
        <f>HLOOKUP($H$4,'Met Data'!$O$2:$T$368,G737,FALSE)</f>
        <v>2.7120872842053001</v>
      </c>
      <c r="L737">
        <f t="shared" ca="1" si="111"/>
        <v>1</v>
      </c>
      <c r="N737" t="e">
        <f t="shared" ca="1" si="112"/>
        <v>#N/A</v>
      </c>
      <c r="O737" t="e">
        <f t="shared" ca="1" si="113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4"/>
        <v>0</v>
      </c>
      <c r="AE737" s="46">
        <f t="shared" ca="1" si="115"/>
        <v>0</v>
      </c>
      <c r="AG737" s="72" t="e">
        <f t="shared" ca="1" si="116"/>
        <v>#N/A</v>
      </c>
      <c r="AH737" s="72" t="e">
        <f t="shared" ca="1" si="117"/>
        <v>#N/A</v>
      </c>
      <c r="AI737" s="3" t="e">
        <f t="shared" ca="1" si="118"/>
        <v>#N/A</v>
      </c>
    </row>
    <row r="738" spans="7:35" ht="15.75" thickBot="1" x14ac:dyDescent="0.3">
      <c r="G738" s="3">
        <f t="shared" si="110"/>
        <v>276</v>
      </c>
      <c r="H738" s="106">
        <f t="shared" si="119"/>
        <v>44836</v>
      </c>
      <c r="I738" s="133">
        <f>HLOOKUP($H$4,'Met Data'!$A$2:$F$368,G738,FALSE)</f>
        <v>12.938333333333301</v>
      </c>
      <c r="J738" s="131">
        <f ca="1">HLOOKUP($H$4,'Met Data'!$H$2:$M$368,G738,FALSE)*L738</f>
        <v>4.3633333333333297</v>
      </c>
      <c r="K738" s="107">
        <f>HLOOKUP($H$4,'Met Data'!$O$2:$T$368,G738,FALSE)</f>
        <v>2.5284096014561799</v>
      </c>
      <c r="L738">
        <f t="shared" ca="1" si="111"/>
        <v>1</v>
      </c>
      <c r="N738" t="e">
        <f t="shared" ca="1" si="112"/>
        <v>#N/A</v>
      </c>
      <c r="O738" t="e">
        <f t="shared" ca="1" si="113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4"/>
        <v>0</v>
      </c>
      <c r="AE738" s="46">
        <f t="shared" ca="1" si="115"/>
        <v>0</v>
      </c>
      <c r="AG738" s="72" t="e">
        <f t="shared" ca="1" si="116"/>
        <v>#N/A</v>
      </c>
      <c r="AH738" s="72" t="e">
        <f t="shared" ca="1" si="117"/>
        <v>#N/A</v>
      </c>
      <c r="AI738" s="3" t="e">
        <f t="shared" ca="1" si="118"/>
        <v>#N/A</v>
      </c>
    </row>
    <row r="739" spans="7:35" ht="15.75" thickBot="1" x14ac:dyDescent="0.3">
      <c r="G739" s="3">
        <f t="shared" si="110"/>
        <v>277</v>
      </c>
      <c r="H739" s="106">
        <f t="shared" si="119"/>
        <v>44837</v>
      </c>
      <c r="I739" s="133">
        <f>HLOOKUP($H$4,'Met Data'!$A$2:$F$368,G739,FALSE)</f>
        <v>13.2433333333333</v>
      </c>
      <c r="J739" s="131">
        <f ca="1">HLOOKUP($H$4,'Met Data'!$H$2:$M$368,G739,FALSE)*L739</f>
        <v>5.1333333333333302</v>
      </c>
      <c r="K739" s="107">
        <f>HLOOKUP($H$4,'Met Data'!$O$2:$T$368,G739,FALSE)</f>
        <v>2.88480468453885</v>
      </c>
      <c r="L739">
        <f t="shared" ca="1" si="111"/>
        <v>1</v>
      </c>
      <c r="N739" t="e">
        <f t="shared" ca="1" si="112"/>
        <v>#N/A</v>
      </c>
      <c r="O739" t="e">
        <f t="shared" ca="1" si="113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4"/>
        <v>0</v>
      </c>
      <c r="AE739" s="46">
        <f t="shared" ca="1" si="115"/>
        <v>0</v>
      </c>
      <c r="AG739" s="72" t="e">
        <f t="shared" ca="1" si="116"/>
        <v>#N/A</v>
      </c>
      <c r="AH739" s="72" t="e">
        <f t="shared" ca="1" si="117"/>
        <v>#N/A</v>
      </c>
      <c r="AI739" s="3" t="e">
        <f t="shared" ca="1" si="118"/>
        <v>#N/A</v>
      </c>
    </row>
    <row r="740" spans="7:35" ht="15.75" thickBot="1" x14ac:dyDescent="0.3">
      <c r="G740" s="3">
        <f t="shared" si="110"/>
        <v>278</v>
      </c>
      <c r="H740" s="106">
        <f t="shared" si="119"/>
        <v>44838</v>
      </c>
      <c r="I740" s="133">
        <f>HLOOKUP($H$4,'Met Data'!$A$2:$F$368,G740,FALSE)</f>
        <v>12.85</v>
      </c>
      <c r="J740" s="131">
        <f ca="1">HLOOKUP($H$4,'Met Data'!$H$2:$M$368,G740,FALSE)*L740</f>
        <v>2.5033333333333299</v>
      </c>
      <c r="K740" s="107">
        <f>HLOOKUP($H$4,'Met Data'!$O$2:$T$368,G740,FALSE)</f>
        <v>2.7808067783335901</v>
      </c>
      <c r="L740">
        <f t="shared" ca="1" si="111"/>
        <v>1</v>
      </c>
      <c r="N740" t="e">
        <f t="shared" ca="1" si="112"/>
        <v>#N/A</v>
      </c>
      <c r="O740" t="e">
        <f t="shared" ca="1" si="113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4"/>
        <v>0</v>
      </c>
      <c r="AE740" s="46">
        <f t="shared" ca="1" si="115"/>
        <v>0</v>
      </c>
      <c r="AG740" s="72" t="e">
        <f t="shared" ca="1" si="116"/>
        <v>#N/A</v>
      </c>
      <c r="AH740" s="72" t="e">
        <f t="shared" ca="1" si="117"/>
        <v>#N/A</v>
      </c>
      <c r="AI740" s="3" t="e">
        <f t="shared" ca="1" si="118"/>
        <v>#N/A</v>
      </c>
    </row>
    <row r="741" spans="7:35" ht="15.75" thickBot="1" x14ac:dyDescent="0.3">
      <c r="G741" s="3">
        <f t="shared" si="110"/>
        <v>279</v>
      </c>
      <c r="H741" s="106">
        <f t="shared" si="119"/>
        <v>44839</v>
      </c>
      <c r="I741" s="133">
        <f>HLOOKUP($H$4,'Met Data'!$A$2:$F$368,G741,FALSE)</f>
        <v>12.875806451612901</v>
      </c>
      <c r="J741" s="131">
        <f ca="1">HLOOKUP($H$4,'Met Data'!$H$2:$M$368,G741,FALSE)*L741</f>
        <v>4.1354838709677404</v>
      </c>
      <c r="K741" s="107">
        <f>HLOOKUP($H$4,'Met Data'!$O$2:$T$368,G741,FALSE)</f>
        <v>3.0772949163384999</v>
      </c>
      <c r="L741">
        <f t="shared" ca="1" si="111"/>
        <v>1</v>
      </c>
      <c r="N741" t="e">
        <f t="shared" ca="1" si="112"/>
        <v>#N/A</v>
      </c>
      <c r="O741" t="e">
        <f t="shared" ca="1" si="113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4"/>
        <v>0</v>
      </c>
      <c r="AE741" s="46">
        <f t="shared" ca="1" si="115"/>
        <v>0</v>
      </c>
      <c r="AG741" s="72" t="e">
        <f t="shared" ca="1" si="116"/>
        <v>#N/A</v>
      </c>
      <c r="AH741" s="72" t="e">
        <f t="shared" ca="1" si="117"/>
        <v>#N/A</v>
      </c>
      <c r="AI741" s="3" t="e">
        <f t="shared" ca="1" si="118"/>
        <v>#N/A</v>
      </c>
    </row>
    <row r="742" spans="7:35" ht="15.75" thickBot="1" x14ac:dyDescent="0.3">
      <c r="G742" s="3">
        <f t="shared" si="110"/>
        <v>280</v>
      </c>
      <c r="H742" s="106">
        <f t="shared" si="119"/>
        <v>44840</v>
      </c>
      <c r="I742" s="133">
        <f>HLOOKUP($H$4,'Met Data'!$A$2:$F$368,G742,FALSE)</f>
        <v>12.9966666666666</v>
      </c>
      <c r="J742" s="131">
        <f ca="1">HLOOKUP($H$4,'Met Data'!$H$2:$M$368,G742,FALSE)*L742</f>
        <v>2.96999999999999</v>
      </c>
      <c r="K742" s="107">
        <f>HLOOKUP($H$4,'Met Data'!$O$2:$T$368,G742,FALSE)</f>
        <v>3.1690364753373701</v>
      </c>
      <c r="L742">
        <f t="shared" ca="1" si="111"/>
        <v>1</v>
      </c>
      <c r="N742" t="e">
        <f t="shared" ca="1" si="112"/>
        <v>#N/A</v>
      </c>
      <c r="O742" t="e">
        <f t="shared" ca="1" si="113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4"/>
        <v>0</v>
      </c>
      <c r="AE742" s="46">
        <f t="shared" ca="1" si="115"/>
        <v>0</v>
      </c>
      <c r="AG742" s="72" t="e">
        <f t="shared" ca="1" si="116"/>
        <v>#N/A</v>
      </c>
      <c r="AH742" s="72" t="e">
        <f t="shared" ca="1" si="117"/>
        <v>#N/A</v>
      </c>
      <c r="AI742" s="3" t="e">
        <f t="shared" ca="1" si="118"/>
        <v>#N/A</v>
      </c>
    </row>
    <row r="743" spans="7:35" ht="15.75" thickBot="1" x14ac:dyDescent="0.3">
      <c r="G743" s="3">
        <f t="shared" si="110"/>
        <v>281</v>
      </c>
      <c r="H743" s="106">
        <f t="shared" si="119"/>
        <v>44841</v>
      </c>
      <c r="I743" s="133">
        <f>HLOOKUP($H$4,'Met Data'!$A$2:$F$368,G743,FALSE)</f>
        <v>12.7633333333333</v>
      </c>
      <c r="J743" s="131">
        <f ca="1">HLOOKUP($H$4,'Met Data'!$H$2:$M$368,G743,FALSE)*L743</f>
        <v>2.61</v>
      </c>
      <c r="K743" s="107">
        <f>HLOOKUP($H$4,'Met Data'!$O$2:$T$368,G743,FALSE)</f>
        <v>2.8220150579732999</v>
      </c>
      <c r="L743">
        <f t="shared" ca="1" si="111"/>
        <v>1</v>
      </c>
      <c r="N743" t="e">
        <f t="shared" ca="1" si="112"/>
        <v>#N/A</v>
      </c>
      <c r="O743" t="e">
        <f t="shared" ca="1" si="113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4"/>
        <v>0</v>
      </c>
      <c r="AE743" s="46">
        <f t="shared" ca="1" si="115"/>
        <v>0</v>
      </c>
      <c r="AG743" s="72" t="e">
        <f t="shared" ca="1" si="116"/>
        <v>#N/A</v>
      </c>
      <c r="AH743" s="72" t="e">
        <f t="shared" ca="1" si="117"/>
        <v>#N/A</v>
      </c>
      <c r="AI743" s="3" t="e">
        <f t="shared" ca="1" si="118"/>
        <v>#N/A</v>
      </c>
    </row>
    <row r="744" spans="7:35" ht="15.75" thickBot="1" x14ac:dyDescent="0.3">
      <c r="G744" s="3">
        <f t="shared" si="110"/>
        <v>282</v>
      </c>
      <c r="H744" s="106">
        <f t="shared" si="119"/>
        <v>44842</v>
      </c>
      <c r="I744" s="133">
        <f>HLOOKUP($H$4,'Met Data'!$A$2:$F$368,G744,FALSE)</f>
        <v>13.4816666666666</v>
      </c>
      <c r="J744" s="131">
        <f ca="1">HLOOKUP($H$4,'Met Data'!$H$2:$M$368,G744,FALSE)*L744</f>
        <v>4.0666666666666602</v>
      </c>
      <c r="K744" s="107">
        <f>HLOOKUP($H$4,'Met Data'!$O$2:$T$368,G744,FALSE)</f>
        <v>2.68549157073894</v>
      </c>
      <c r="L744">
        <f t="shared" ca="1" si="111"/>
        <v>1</v>
      </c>
      <c r="N744" t="e">
        <f t="shared" ca="1" si="112"/>
        <v>#N/A</v>
      </c>
      <c r="O744" t="e">
        <f t="shared" ca="1" si="113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4"/>
        <v>0</v>
      </c>
      <c r="AE744" s="46">
        <f t="shared" ca="1" si="115"/>
        <v>0</v>
      </c>
      <c r="AG744" s="72" t="e">
        <f t="shared" ca="1" si="116"/>
        <v>#N/A</v>
      </c>
      <c r="AH744" s="72" t="e">
        <f t="shared" ca="1" si="117"/>
        <v>#N/A</v>
      </c>
      <c r="AI744" s="3" t="e">
        <f t="shared" ca="1" si="118"/>
        <v>#N/A</v>
      </c>
    </row>
    <row r="745" spans="7:35" ht="15.75" thickBot="1" x14ac:dyDescent="0.3">
      <c r="G745" s="3">
        <f t="shared" si="110"/>
        <v>283</v>
      </c>
      <c r="H745" s="106">
        <f t="shared" si="119"/>
        <v>44843</v>
      </c>
      <c r="I745" s="133">
        <f>HLOOKUP($H$4,'Met Data'!$A$2:$F$368,G745,FALSE)</f>
        <v>13.6933333333333</v>
      </c>
      <c r="J745" s="131">
        <f ca="1">HLOOKUP($H$4,'Met Data'!$H$2:$M$368,G745,FALSE)*L745</f>
        <v>4.22</v>
      </c>
      <c r="K745" s="107">
        <f>HLOOKUP($H$4,'Met Data'!$O$2:$T$368,G745,FALSE)</f>
        <v>2.6969590648562201</v>
      </c>
      <c r="L745">
        <f t="shared" ca="1" si="111"/>
        <v>1</v>
      </c>
      <c r="N745" t="e">
        <f t="shared" ca="1" si="112"/>
        <v>#N/A</v>
      </c>
      <c r="O745" t="e">
        <f t="shared" ca="1" si="113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4"/>
        <v>0</v>
      </c>
      <c r="AE745" s="46">
        <f t="shared" ca="1" si="115"/>
        <v>0</v>
      </c>
      <c r="AG745" s="72" t="e">
        <f t="shared" ca="1" si="116"/>
        <v>#N/A</v>
      </c>
      <c r="AH745" s="72" t="e">
        <f t="shared" ca="1" si="117"/>
        <v>#N/A</v>
      </c>
      <c r="AI745" s="3" t="e">
        <f t="shared" ca="1" si="118"/>
        <v>#N/A</v>
      </c>
    </row>
    <row r="746" spans="7:35" ht="15.75" thickBot="1" x14ac:dyDescent="0.3">
      <c r="G746" s="3">
        <f t="shared" si="110"/>
        <v>284</v>
      </c>
      <c r="H746" s="106">
        <f t="shared" si="119"/>
        <v>44844</v>
      </c>
      <c r="I746" s="133">
        <f>HLOOKUP($H$4,'Met Data'!$A$2:$F$368,G746,FALSE)</f>
        <v>12.9568965517241</v>
      </c>
      <c r="J746" s="131">
        <f ca="1">HLOOKUP($H$4,'Met Data'!$H$2:$M$368,G746,FALSE)*L746</f>
        <v>4.5966666666666596</v>
      </c>
      <c r="K746" s="107">
        <f>HLOOKUP($H$4,'Met Data'!$O$2:$T$368,G746,FALSE)</f>
        <v>2.9040985917251398</v>
      </c>
      <c r="L746">
        <f t="shared" ca="1" si="111"/>
        <v>1</v>
      </c>
      <c r="N746" t="e">
        <f t="shared" ca="1" si="112"/>
        <v>#N/A</v>
      </c>
      <c r="O746" t="e">
        <f t="shared" ca="1" si="113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4"/>
        <v>0</v>
      </c>
      <c r="AE746" s="46">
        <f t="shared" ca="1" si="115"/>
        <v>0</v>
      </c>
      <c r="AG746" s="72" t="e">
        <f t="shared" ca="1" si="116"/>
        <v>#N/A</v>
      </c>
      <c r="AH746" s="72" t="e">
        <f t="shared" ca="1" si="117"/>
        <v>#N/A</v>
      </c>
      <c r="AI746" s="3" t="e">
        <f t="shared" ca="1" si="118"/>
        <v>#N/A</v>
      </c>
    </row>
    <row r="747" spans="7:35" ht="15.75" thickBot="1" x14ac:dyDescent="0.3">
      <c r="G747" s="3">
        <f t="shared" si="110"/>
        <v>285</v>
      </c>
      <c r="H747" s="106">
        <f t="shared" si="119"/>
        <v>44845</v>
      </c>
      <c r="I747" s="133">
        <f>HLOOKUP($H$4,'Met Data'!$A$2:$F$368,G747,FALSE)</f>
        <v>13.2293103448275</v>
      </c>
      <c r="J747" s="131">
        <f ca="1">HLOOKUP($H$4,'Met Data'!$H$2:$M$368,G747,FALSE)*L747</f>
        <v>2.3896551724137902</v>
      </c>
      <c r="K747" s="107">
        <f>HLOOKUP($H$4,'Met Data'!$O$2:$T$368,G747,FALSE)</f>
        <v>2.90858576113735</v>
      </c>
      <c r="L747">
        <f t="shared" ca="1" si="111"/>
        <v>1</v>
      </c>
      <c r="N747" t="e">
        <f t="shared" ca="1" si="112"/>
        <v>#N/A</v>
      </c>
      <c r="O747" t="e">
        <f t="shared" ca="1" si="113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4"/>
        <v>0</v>
      </c>
      <c r="AE747" s="46">
        <f t="shared" ca="1" si="115"/>
        <v>0</v>
      </c>
      <c r="AG747" s="72" t="e">
        <f t="shared" ca="1" si="116"/>
        <v>#N/A</v>
      </c>
      <c r="AH747" s="72" t="e">
        <f t="shared" ca="1" si="117"/>
        <v>#N/A</v>
      </c>
      <c r="AI747" s="3" t="e">
        <f t="shared" ca="1" si="118"/>
        <v>#N/A</v>
      </c>
    </row>
    <row r="748" spans="7:35" ht="15.75" thickBot="1" x14ac:dyDescent="0.3">
      <c r="G748" s="3">
        <f t="shared" si="110"/>
        <v>286</v>
      </c>
      <c r="H748" s="106">
        <f t="shared" si="119"/>
        <v>44846</v>
      </c>
      <c r="I748" s="133">
        <f>HLOOKUP($H$4,'Met Data'!$A$2:$F$368,G748,FALSE)</f>
        <v>13.7431034482758</v>
      </c>
      <c r="J748" s="131">
        <f ca="1">HLOOKUP($H$4,'Met Data'!$H$2:$M$368,G748,FALSE)*L748</f>
        <v>5.39310344827586</v>
      </c>
      <c r="K748" s="107">
        <f>HLOOKUP($H$4,'Met Data'!$O$2:$T$368,G748,FALSE)</f>
        <v>2.9187130451018599</v>
      </c>
      <c r="L748">
        <f t="shared" ca="1" si="111"/>
        <v>1</v>
      </c>
      <c r="N748" t="e">
        <f t="shared" ca="1" si="112"/>
        <v>#N/A</v>
      </c>
      <c r="O748" t="e">
        <f t="shared" ca="1" si="113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4"/>
        <v>0</v>
      </c>
      <c r="AE748" s="46">
        <f t="shared" ca="1" si="115"/>
        <v>0</v>
      </c>
      <c r="AG748" s="72" t="e">
        <f t="shared" ca="1" si="116"/>
        <v>#N/A</v>
      </c>
      <c r="AH748" s="72" t="e">
        <f t="shared" ca="1" si="117"/>
        <v>#N/A</v>
      </c>
      <c r="AI748" s="3" t="e">
        <f t="shared" ca="1" si="118"/>
        <v>#N/A</v>
      </c>
    </row>
    <row r="749" spans="7:35" ht="15.75" thickBot="1" x14ac:dyDescent="0.3">
      <c r="G749" s="3">
        <f t="shared" si="110"/>
        <v>287</v>
      </c>
      <c r="H749" s="106">
        <f t="shared" si="119"/>
        <v>44847</v>
      </c>
      <c r="I749" s="133">
        <f>HLOOKUP($H$4,'Met Data'!$A$2:$F$368,G749,FALSE)</f>
        <v>13.6551724137931</v>
      </c>
      <c r="J749" s="131">
        <f ca="1">HLOOKUP($H$4,'Met Data'!$H$2:$M$368,G749,FALSE)*L749</f>
        <v>4.9586206896551701</v>
      </c>
      <c r="K749" s="107">
        <f>HLOOKUP($H$4,'Met Data'!$O$2:$T$368,G749,FALSE)</f>
        <v>2.9944315874670302</v>
      </c>
      <c r="L749">
        <f t="shared" ca="1" si="111"/>
        <v>1</v>
      </c>
      <c r="N749" t="e">
        <f t="shared" ca="1" si="112"/>
        <v>#N/A</v>
      </c>
      <c r="O749" t="e">
        <f t="shared" ca="1" si="113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4"/>
        <v>0</v>
      </c>
      <c r="AE749" s="46">
        <f t="shared" ca="1" si="115"/>
        <v>0</v>
      </c>
      <c r="AG749" s="72" t="e">
        <f t="shared" ca="1" si="116"/>
        <v>#N/A</v>
      </c>
      <c r="AH749" s="72" t="e">
        <f t="shared" ca="1" si="117"/>
        <v>#N/A</v>
      </c>
      <c r="AI749" s="3" t="e">
        <f t="shared" ca="1" si="118"/>
        <v>#N/A</v>
      </c>
    </row>
    <row r="750" spans="7:35" ht="15.75" thickBot="1" x14ac:dyDescent="0.3">
      <c r="G750" s="3">
        <f t="shared" si="110"/>
        <v>288</v>
      </c>
      <c r="H750" s="106">
        <f t="shared" si="119"/>
        <v>44848</v>
      </c>
      <c r="I750" s="133">
        <f>HLOOKUP($H$4,'Met Data'!$A$2:$F$368,G750,FALSE)</f>
        <v>13.334482758620601</v>
      </c>
      <c r="J750" s="131">
        <f ca="1">HLOOKUP($H$4,'Met Data'!$H$2:$M$368,G750,FALSE)*L750</f>
        <v>5.6758620689655102</v>
      </c>
      <c r="K750" s="107">
        <f>HLOOKUP($H$4,'Met Data'!$O$2:$T$368,G750,FALSE)</f>
        <v>2.9220059834019998</v>
      </c>
      <c r="L750">
        <f t="shared" ca="1" si="111"/>
        <v>1</v>
      </c>
      <c r="N750" t="e">
        <f t="shared" ca="1" si="112"/>
        <v>#N/A</v>
      </c>
      <c r="O750" t="e">
        <f t="shared" ca="1" si="113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4"/>
        <v>0</v>
      </c>
      <c r="AE750" s="46">
        <f t="shared" ca="1" si="115"/>
        <v>0</v>
      </c>
      <c r="AG750" s="72" t="e">
        <f t="shared" ca="1" si="116"/>
        <v>#N/A</v>
      </c>
      <c r="AH750" s="72" t="e">
        <f t="shared" ca="1" si="117"/>
        <v>#N/A</v>
      </c>
      <c r="AI750" s="3" t="e">
        <f t="shared" ca="1" si="118"/>
        <v>#N/A</v>
      </c>
    </row>
    <row r="751" spans="7:35" ht="15.75" thickBot="1" x14ac:dyDescent="0.3">
      <c r="G751" s="3">
        <f t="shared" si="110"/>
        <v>289</v>
      </c>
      <c r="H751" s="106">
        <f t="shared" si="119"/>
        <v>44849</v>
      </c>
      <c r="I751" s="133">
        <f>HLOOKUP($H$4,'Met Data'!$A$2:$F$368,G751,FALSE)</f>
        <v>13.0379310344827</v>
      </c>
      <c r="J751" s="131">
        <f ca="1">HLOOKUP($H$4,'Met Data'!$H$2:$M$368,G751,FALSE)*L751</f>
        <v>5.9344827586206899</v>
      </c>
      <c r="K751" s="107">
        <f>HLOOKUP($H$4,'Met Data'!$O$2:$T$368,G751,FALSE)</f>
        <v>3.1812494285264998</v>
      </c>
      <c r="L751">
        <f t="shared" ca="1" si="111"/>
        <v>1</v>
      </c>
      <c r="N751" t="e">
        <f t="shared" ca="1" si="112"/>
        <v>#N/A</v>
      </c>
      <c r="O751" t="e">
        <f t="shared" ca="1" si="113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4"/>
        <v>0</v>
      </c>
      <c r="AE751" s="46">
        <f t="shared" ca="1" si="115"/>
        <v>0</v>
      </c>
      <c r="AG751" s="72" t="e">
        <f t="shared" ca="1" si="116"/>
        <v>#N/A</v>
      </c>
      <c r="AH751" s="72" t="e">
        <f t="shared" ca="1" si="117"/>
        <v>#N/A</v>
      </c>
      <c r="AI751" s="3" t="e">
        <f t="shared" ca="1" si="118"/>
        <v>#N/A</v>
      </c>
    </row>
    <row r="752" spans="7:35" ht="15.75" thickBot="1" x14ac:dyDescent="0.3">
      <c r="G752" s="3">
        <f t="shared" ref="G752:G815" si="120">H752-DATE(YEAR(H752),1,0)+1</f>
        <v>290</v>
      </c>
      <c r="H752" s="106">
        <f t="shared" si="119"/>
        <v>44850</v>
      </c>
      <c r="I752" s="133">
        <f>HLOOKUP($H$4,'Met Data'!$A$2:$F$368,G752,FALSE)</f>
        <v>13.094827586206801</v>
      </c>
      <c r="J752" s="131">
        <f ca="1">HLOOKUP($H$4,'Met Data'!$H$2:$M$368,G752,FALSE)*L752</f>
        <v>3.2862068965517199</v>
      </c>
      <c r="K752" s="107">
        <f>HLOOKUP($H$4,'Met Data'!$O$2:$T$368,G752,FALSE)</f>
        <v>3.1846462671739202</v>
      </c>
      <c r="L752">
        <f t="shared" ref="L752:L815" ca="1" si="121">IF(H752&lt;$B$31,$J$3,$J$4)</f>
        <v>1</v>
      </c>
      <c r="N752" t="e">
        <f t="shared" ref="N752:N815" ca="1" si="122">IF(P752&lt;$P$3,TRUE,FALSE)</f>
        <v>#N/A</v>
      </c>
      <c r="O752" t="e">
        <f t="shared" ref="O752:O815" ca="1" si="123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4">IFERROR(P752,$AD$4)</f>
        <v>0</v>
      </c>
      <c r="AE752" s="46">
        <f t="shared" ref="AE752:AE815" ca="1" si="125">IFERROR(U752,0)</f>
        <v>0</v>
      </c>
      <c r="AG752" s="72" t="e">
        <f t="shared" ref="AG752:AG815" ca="1" si="126">Q751+S752+T752+U752</f>
        <v>#N/A</v>
      </c>
      <c r="AH752" s="72" t="e">
        <f t="shared" ref="AH752:AH815" ca="1" si="127">Q752+R752+X752</f>
        <v>#N/A</v>
      </c>
      <c r="AI752" s="3" t="e">
        <f t="shared" ref="AI752:AI815" ca="1" si="128">AH752-AG752</f>
        <v>#N/A</v>
      </c>
    </row>
    <row r="753" spans="7:35" ht="15.75" thickBot="1" x14ac:dyDescent="0.3">
      <c r="G753" s="3">
        <f t="shared" si="120"/>
        <v>291</v>
      </c>
      <c r="H753" s="106">
        <f t="shared" si="119"/>
        <v>44851</v>
      </c>
      <c r="I753" s="133">
        <f>HLOOKUP($H$4,'Met Data'!$A$2:$F$368,G753,FALSE)</f>
        <v>13.6775862068965</v>
      </c>
      <c r="J753" s="131">
        <f ca="1">HLOOKUP($H$4,'Met Data'!$H$2:$M$368,G753,FALSE)*L753</f>
        <v>3.4241379310344802</v>
      </c>
      <c r="K753" s="107">
        <f>HLOOKUP($H$4,'Met Data'!$O$2:$T$368,G753,FALSE)</f>
        <v>3.2300602691540199</v>
      </c>
      <c r="L753">
        <f t="shared" ca="1" si="121"/>
        <v>1</v>
      </c>
      <c r="N753" t="e">
        <f t="shared" ca="1" si="122"/>
        <v>#N/A</v>
      </c>
      <c r="O753" t="e">
        <f t="shared" ca="1" si="123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4"/>
        <v>0</v>
      </c>
      <c r="AE753" s="46">
        <f t="shared" ca="1" si="125"/>
        <v>0</v>
      </c>
      <c r="AG753" s="72" t="e">
        <f t="shared" ca="1" si="126"/>
        <v>#N/A</v>
      </c>
      <c r="AH753" s="72" t="e">
        <f t="shared" ca="1" si="127"/>
        <v>#N/A</v>
      </c>
      <c r="AI753" s="3" t="e">
        <f t="shared" ca="1" si="128"/>
        <v>#N/A</v>
      </c>
    </row>
    <row r="754" spans="7:35" ht="15.75" thickBot="1" x14ac:dyDescent="0.3">
      <c r="G754" s="3">
        <f t="shared" si="120"/>
        <v>292</v>
      </c>
      <c r="H754" s="106">
        <f t="shared" si="119"/>
        <v>44852</v>
      </c>
      <c r="I754" s="133">
        <f>HLOOKUP($H$4,'Met Data'!$A$2:$F$368,G754,FALSE)</f>
        <v>13.189655172413699</v>
      </c>
      <c r="J754" s="131">
        <f ca="1">HLOOKUP($H$4,'Met Data'!$H$2:$M$368,G754,FALSE)*L754</f>
        <v>3.6586206896551698</v>
      </c>
      <c r="K754" s="107">
        <f>HLOOKUP($H$4,'Met Data'!$O$2:$T$368,G754,FALSE)</f>
        <v>2.98673361950474</v>
      </c>
      <c r="L754">
        <f t="shared" ca="1" si="121"/>
        <v>1</v>
      </c>
      <c r="N754" t="e">
        <f t="shared" ca="1" si="122"/>
        <v>#N/A</v>
      </c>
      <c r="O754" t="e">
        <f t="shared" ca="1" si="123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4"/>
        <v>0</v>
      </c>
      <c r="AE754" s="46">
        <f t="shared" ca="1" si="125"/>
        <v>0</v>
      </c>
      <c r="AG754" s="72" t="e">
        <f t="shared" ca="1" si="126"/>
        <v>#N/A</v>
      </c>
      <c r="AH754" s="72" t="e">
        <f t="shared" ca="1" si="127"/>
        <v>#N/A</v>
      </c>
      <c r="AI754" s="3" t="e">
        <f t="shared" ca="1" si="128"/>
        <v>#N/A</v>
      </c>
    </row>
    <row r="755" spans="7:35" ht="15.75" thickBot="1" x14ac:dyDescent="0.3">
      <c r="G755" s="3">
        <f t="shared" si="120"/>
        <v>293</v>
      </c>
      <c r="H755" s="106">
        <f t="shared" si="119"/>
        <v>44853</v>
      </c>
      <c r="I755" s="133">
        <f>HLOOKUP($H$4,'Met Data'!$A$2:$F$368,G755,FALSE)</f>
        <v>12.9428571428571</v>
      </c>
      <c r="J755" s="131">
        <f ca="1">HLOOKUP($H$4,'Met Data'!$H$2:$M$368,G755,FALSE)*L755</f>
        <v>2.3892857142857098</v>
      </c>
      <c r="K755" s="107">
        <f>HLOOKUP($H$4,'Met Data'!$O$2:$T$368,G755,FALSE)</f>
        <v>3.3877860671285598</v>
      </c>
      <c r="L755">
        <f t="shared" ca="1" si="121"/>
        <v>1</v>
      </c>
      <c r="N755" t="e">
        <f t="shared" ca="1" si="122"/>
        <v>#N/A</v>
      </c>
      <c r="O755" t="e">
        <f t="shared" ca="1" si="123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4"/>
        <v>0</v>
      </c>
      <c r="AE755" s="46">
        <f t="shared" ca="1" si="125"/>
        <v>0</v>
      </c>
      <c r="AG755" s="72" t="e">
        <f t="shared" ca="1" si="126"/>
        <v>#N/A</v>
      </c>
      <c r="AH755" s="72" t="e">
        <f t="shared" ca="1" si="127"/>
        <v>#N/A</v>
      </c>
      <c r="AI755" s="3" t="e">
        <f t="shared" ca="1" si="128"/>
        <v>#N/A</v>
      </c>
    </row>
    <row r="756" spans="7:35" ht="15.75" thickBot="1" x14ac:dyDescent="0.3">
      <c r="G756" s="3">
        <f t="shared" si="120"/>
        <v>294</v>
      </c>
      <c r="H756" s="106">
        <f t="shared" si="119"/>
        <v>44854</v>
      </c>
      <c r="I756" s="133">
        <f>HLOOKUP($H$4,'Met Data'!$A$2:$F$368,G756,FALSE)</f>
        <v>12.819642857142799</v>
      </c>
      <c r="J756" s="131">
        <f ca="1">HLOOKUP($H$4,'Met Data'!$H$2:$M$368,G756,FALSE)*L756</f>
        <v>1.6142857142857101</v>
      </c>
      <c r="K756" s="107">
        <f>HLOOKUP($H$4,'Met Data'!$O$2:$T$368,G756,FALSE)</f>
        <v>3.30175747979975</v>
      </c>
      <c r="L756">
        <f t="shared" ca="1" si="121"/>
        <v>1</v>
      </c>
      <c r="N756" t="e">
        <f t="shared" ca="1" si="122"/>
        <v>#N/A</v>
      </c>
      <c r="O756" t="e">
        <f t="shared" ca="1" si="123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4"/>
        <v>0</v>
      </c>
      <c r="AE756" s="46">
        <f t="shared" ca="1" si="125"/>
        <v>0</v>
      </c>
      <c r="AG756" s="72" t="e">
        <f t="shared" ca="1" si="126"/>
        <v>#N/A</v>
      </c>
      <c r="AH756" s="72" t="e">
        <f t="shared" ca="1" si="127"/>
        <v>#N/A</v>
      </c>
      <c r="AI756" s="3" t="e">
        <f t="shared" ca="1" si="128"/>
        <v>#N/A</v>
      </c>
    </row>
    <row r="757" spans="7:35" ht="15.75" thickBot="1" x14ac:dyDescent="0.3">
      <c r="G757" s="3">
        <f t="shared" si="120"/>
        <v>295</v>
      </c>
      <c r="H757" s="106">
        <f t="shared" si="119"/>
        <v>44855</v>
      </c>
      <c r="I757" s="133">
        <f>HLOOKUP($H$4,'Met Data'!$A$2:$F$368,G757,FALSE)</f>
        <v>13.2785714285714</v>
      </c>
      <c r="J757" s="131">
        <f ca="1">HLOOKUP($H$4,'Met Data'!$H$2:$M$368,G757,FALSE)*L757</f>
        <v>2.9214285714285699</v>
      </c>
      <c r="K757" s="107">
        <f>HLOOKUP($H$4,'Met Data'!$O$2:$T$368,G757,FALSE)</f>
        <v>2.9372247945615499</v>
      </c>
      <c r="L757">
        <f t="shared" ca="1" si="121"/>
        <v>1</v>
      </c>
      <c r="N757" t="e">
        <f t="shared" ca="1" si="122"/>
        <v>#N/A</v>
      </c>
      <c r="O757" t="e">
        <f t="shared" ca="1" si="123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4"/>
        <v>0</v>
      </c>
      <c r="AE757" s="46">
        <f t="shared" ca="1" si="125"/>
        <v>0</v>
      </c>
      <c r="AG757" s="72" t="e">
        <f t="shared" ca="1" si="126"/>
        <v>#N/A</v>
      </c>
      <c r="AH757" s="72" t="e">
        <f t="shared" ca="1" si="127"/>
        <v>#N/A</v>
      </c>
      <c r="AI757" s="3" t="e">
        <f t="shared" ca="1" si="128"/>
        <v>#N/A</v>
      </c>
    </row>
    <row r="758" spans="7:35" ht="15.75" thickBot="1" x14ac:dyDescent="0.3">
      <c r="G758" s="3">
        <f t="shared" si="120"/>
        <v>296</v>
      </c>
      <c r="H758" s="106">
        <f t="shared" si="119"/>
        <v>44856</v>
      </c>
      <c r="I758" s="133">
        <f>HLOOKUP($H$4,'Met Data'!$A$2:$F$368,G758,FALSE)</f>
        <v>13.5625</v>
      </c>
      <c r="J758" s="131">
        <f ca="1">HLOOKUP($H$4,'Met Data'!$H$2:$M$368,G758,FALSE)*L758</f>
        <v>3.3499999999999899</v>
      </c>
      <c r="K758" s="107">
        <f>HLOOKUP($H$4,'Met Data'!$O$2:$T$368,G758,FALSE)</f>
        <v>2.9112128548041598</v>
      </c>
      <c r="L758">
        <f t="shared" ca="1" si="121"/>
        <v>1</v>
      </c>
      <c r="N758" t="e">
        <f t="shared" ca="1" si="122"/>
        <v>#N/A</v>
      </c>
      <c r="O758" t="e">
        <f t="shared" ca="1" si="123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4"/>
        <v>0</v>
      </c>
      <c r="AE758" s="46">
        <f t="shared" ca="1" si="125"/>
        <v>0</v>
      </c>
      <c r="AG758" s="72" t="e">
        <f t="shared" ca="1" si="126"/>
        <v>#N/A</v>
      </c>
      <c r="AH758" s="72" t="e">
        <f t="shared" ca="1" si="127"/>
        <v>#N/A</v>
      </c>
      <c r="AI758" s="3" t="e">
        <f t="shared" ca="1" si="128"/>
        <v>#N/A</v>
      </c>
    </row>
    <row r="759" spans="7:35" ht="15.75" thickBot="1" x14ac:dyDescent="0.3">
      <c r="G759" s="3">
        <f t="shared" si="120"/>
        <v>297</v>
      </c>
      <c r="H759" s="106">
        <f t="shared" si="119"/>
        <v>44857</v>
      </c>
      <c r="I759" s="133">
        <f>HLOOKUP($H$4,'Met Data'!$A$2:$F$368,G759,FALSE)</f>
        <v>13.9310344827586</v>
      </c>
      <c r="J759" s="131">
        <f ca="1">HLOOKUP($H$4,'Met Data'!$H$2:$M$368,G759,FALSE)*L759</f>
        <v>4.6137931034482698</v>
      </c>
      <c r="K759" s="107">
        <f>HLOOKUP($H$4,'Met Data'!$O$2:$T$368,G759,FALSE)</f>
        <v>3.5318790230099002</v>
      </c>
      <c r="L759">
        <f t="shared" ca="1" si="121"/>
        <v>1</v>
      </c>
      <c r="N759" t="e">
        <f t="shared" ca="1" si="122"/>
        <v>#N/A</v>
      </c>
      <c r="O759" t="e">
        <f t="shared" ca="1" si="123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4"/>
        <v>0</v>
      </c>
      <c r="AE759" s="46">
        <f t="shared" ca="1" si="125"/>
        <v>0</v>
      </c>
      <c r="AG759" s="72" t="e">
        <f t="shared" ca="1" si="126"/>
        <v>#N/A</v>
      </c>
      <c r="AH759" s="72" t="e">
        <f t="shared" ca="1" si="127"/>
        <v>#N/A</v>
      </c>
      <c r="AI759" s="3" t="e">
        <f t="shared" ca="1" si="128"/>
        <v>#N/A</v>
      </c>
    </row>
    <row r="760" spans="7:35" ht="15.75" thickBot="1" x14ac:dyDescent="0.3">
      <c r="G760" s="3">
        <f t="shared" si="120"/>
        <v>298</v>
      </c>
      <c r="H760" s="106">
        <f t="shared" si="119"/>
        <v>44858</v>
      </c>
      <c r="I760" s="133">
        <f>HLOOKUP($H$4,'Met Data'!$A$2:$F$368,G760,FALSE)</f>
        <v>13.336206896551699</v>
      </c>
      <c r="J760" s="131">
        <f ca="1">HLOOKUP($H$4,'Met Data'!$H$2:$M$368,G760,FALSE)*L760</f>
        <v>3.30689655172413</v>
      </c>
      <c r="K760" s="107">
        <f>HLOOKUP($H$4,'Met Data'!$O$2:$T$368,G760,FALSE)</f>
        <v>3.2578637469081699</v>
      </c>
      <c r="L760">
        <f t="shared" ca="1" si="121"/>
        <v>1</v>
      </c>
      <c r="N760" t="e">
        <f t="shared" ca="1" si="122"/>
        <v>#N/A</v>
      </c>
      <c r="O760" t="e">
        <f t="shared" ca="1" si="123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4"/>
        <v>0</v>
      </c>
      <c r="AE760" s="46">
        <f t="shared" ca="1" si="125"/>
        <v>0</v>
      </c>
      <c r="AG760" s="72" t="e">
        <f t="shared" ca="1" si="126"/>
        <v>#N/A</v>
      </c>
      <c r="AH760" s="72" t="e">
        <f t="shared" ca="1" si="127"/>
        <v>#N/A</v>
      </c>
      <c r="AI760" s="3" t="e">
        <f t="shared" ca="1" si="128"/>
        <v>#N/A</v>
      </c>
    </row>
    <row r="761" spans="7:35" ht="15.75" thickBot="1" x14ac:dyDescent="0.3">
      <c r="G761" s="3">
        <f t="shared" si="120"/>
        <v>299</v>
      </c>
      <c r="H761" s="106">
        <f t="shared" si="119"/>
        <v>44859</v>
      </c>
      <c r="I761" s="133">
        <f>HLOOKUP($H$4,'Met Data'!$A$2:$F$368,G761,FALSE)</f>
        <v>13.789655172413701</v>
      </c>
      <c r="J761" s="131">
        <f ca="1">HLOOKUP($H$4,'Met Data'!$H$2:$M$368,G761,FALSE)*L761</f>
        <v>1.8172413793103399</v>
      </c>
      <c r="K761" s="107">
        <f>HLOOKUP($H$4,'Met Data'!$O$2:$T$368,G761,FALSE)</f>
        <v>3.4101531049699898</v>
      </c>
      <c r="L761">
        <f t="shared" ca="1" si="121"/>
        <v>1</v>
      </c>
      <c r="N761" t="e">
        <f t="shared" ca="1" si="122"/>
        <v>#N/A</v>
      </c>
      <c r="O761" t="e">
        <f t="shared" ca="1" si="123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4"/>
        <v>0</v>
      </c>
      <c r="AE761" s="46">
        <f t="shared" ca="1" si="125"/>
        <v>0</v>
      </c>
      <c r="AG761" s="72" t="e">
        <f t="shared" ca="1" si="126"/>
        <v>#N/A</v>
      </c>
      <c r="AH761" s="72" t="e">
        <f t="shared" ca="1" si="127"/>
        <v>#N/A</v>
      </c>
      <c r="AI761" s="3" t="e">
        <f t="shared" ca="1" si="128"/>
        <v>#N/A</v>
      </c>
    </row>
    <row r="762" spans="7:35" ht="15.75" thickBot="1" x14ac:dyDescent="0.3">
      <c r="G762" s="3">
        <f t="shared" si="120"/>
        <v>300</v>
      </c>
      <c r="H762" s="106">
        <f t="shared" si="119"/>
        <v>44860</v>
      </c>
      <c r="I762" s="133">
        <f>HLOOKUP($H$4,'Met Data'!$A$2:$F$368,G762,FALSE)</f>
        <v>14.0810344827586</v>
      </c>
      <c r="J762" s="131">
        <f ca="1">HLOOKUP($H$4,'Met Data'!$H$2:$M$368,G762,FALSE)*L762</f>
        <v>0.78965517241379302</v>
      </c>
      <c r="K762" s="107">
        <f>HLOOKUP($H$4,'Met Data'!$O$2:$T$368,G762,FALSE)</f>
        <v>3.2764418127891499</v>
      </c>
      <c r="L762">
        <f t="shared" ca="1" si="121"/>
        <v>1</v>
      </c>
      <c r="N762" t="e">
        <f t="shared" ca="1" si="122"/>
        <v>#N/A</v>
      </c>
      <c r="O762" t="e">
        <f t="shared" ca="1" si="123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4"/>
        <v>0</v>
      </c>
      <c r="AE762" s="46">
        <f t="shared" ca="1" si="125"/>
        <v>0</v>
      </c>
      <c r="AG762" s="72" t="e">
        <f t="shared" ca="1" si="126"/>
        <v>#N/A</v>
      </c>
      <c r="AH762" s="72" t="e">
        <f t="shared" ca="1" si="127"/>
        <v>#N/A</v>
      </c>
      <c r="AI762" s="3" t="e">
        <f t="shared" ca="1" si="128"/>
        <v>#N/A</v>
      </c>
    </row>
    <row r="763" spans="7:35" ht="15.75" thickBot="1" x14ac:dyDescent="0.3">
      <c r="G763" s="3">
        <f t="shared" si="120"/>
        <v>301</v>
      </c>
      <c r="H763" s="106">
        <f t="shared" si="119"/>
        <v>44861</v>
      </c>
      <c r="I763" s="133">
        <f>HLOOKUP($H$4,'Met Data'!$A$2:$F$368,G763,FALSE)</f>
        <v>14.8396551724137</v>
      </c>
      <c r="J763" s="131">
        <f ca="1">HLOOKUP($H$4,'Met Data'!$H$2:$M$368,G763,FALSE)*L763</f>
        <v>3.4241379310344802</v>
      </c>
      <c r="K763" s="107">
        <f>HLOOKUP($H$4,'Met Data'!$O$2:$T$368,G763,FALSE)</f>
        <v>3.3023555527193</v>
      </c>
      <c r="L763">
        <f t="shared" ca="1" si="121"/>
        <v>1</v>
      </c>
      <c r="N763" t="e">
        <f t="shared" ca="1" si="122"/>
        <v>#N/A</v>
      </c>
      <c r="O763" t="e">
        <f t="shared" ca="1" si="123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4"/>
        <v>0</v>
      </c>
      <c r="AE763" s="46">
        <f t="shared" ca="1" si="125"/>
        <v>0</v>
      </c>
      <c r="AG763" s="72" t="e">
        <f t="shared" ca="1" si="126"/>
        <v>#N/A</v>
      </c>
      <c r="AH763" s="72" t="e">
        <f t="shared" ca="1" si="127"/>
        <v>#N/A</v>
      </c>
      <c r="AI763" s="3" t="e">
        <f t="shared" ca="1" si="128"/>
        <v>#N/A</v>
      </c>
    </row>
    <row r="764" spans="7:35" ht="15.75" thickBot="1" x14ac:dyDescent="0.3">
      <c r="G764" s="3">
        <f t="shared" si="120"/>
        <v>302</v>
      </c>
      <c r="H764" s="106">
        <f t="shared" si="119"/>
        <v>44862</v>
      </c>
      <c r="I764" s="133">
        <f>HLOOKUP($H$4,'Met Data'!$A$2:$F$368,G764,FALSE)</f>
        <v>14.274137931034399</v>
      </c>
      <c r="J764" s="131">
        <f ca="1">HLOOKUP($H$4,'Met Data'!$H$2:$M$368,G764,FALSE)*L764</f>
        <v>4.16206896551724</v>
      </c>
      <c r="K764" s="107">
        <f>HLOOKUP($H$4,'Met Data'!$O$2:$T$368,G764,FALSE)</f>
        <v>2.9394492851949701</v>
      </c>
      <c r="L764">
        <f t="shared" ca="1" si="121"/>
        <v>1</v>
      </c>
      <c r="N764" t="e">
        <f t="shared" ca="1" si="122"/>
        <v>#N/A</v>
      </c>
      <c r="O764" t="e">
        <f t="shared" ca="1" si="123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4"/>
        <v>0</v>
      </c>
      <c r="AE764" s="46">
        <f t="shared" ca="1" si="125"/>
        <v>0</v>
      </c>
      <c r="AG764" s="72" t="e">
        <f t="shared" ca="1" si="126"/>
        <v>#N/A</v>
      </c>
      <c r="AH764" s="72" t="e">
        <f t="shared" ca="1" si="127"/>
        <v>#N/A</v>
      </c>
      <c r="AI764" s="3" t="e">
        <f t="shared" ca="1" si="128"/>
        <v>#N/A</v>
      </c>
    </row>
    <row r="765" spans="7:35" ht="15.75" thickBot="1" x14ac:dyDescent="0.3">
      <c r="G765" s="3">
        <f t="shared" si="120"/>
        <v>303</v>
      </c>
      <c r="H765" s="106">
        <f t="shared" si="119"/>
        <v>44863</v>
      </c>
      <c r="I765" s="133">
        <f>HLOOKUP($H$4,'Met Data'!$A$2:$F$368,G765,FALSE)</f>
        <v>14.29</v>
      </c>
      <c r="J765" s="131">
        <f ca="1">HLOOKUP($H$4,'Met Data'!$H$2:$M$368,G765,FALSE)*L765</f>
        <v>2.4933333333333301</v>
      </c>
      <c r="K765" s="107">
        <f>HLOOKUP($H$4,'Met Data'!$O$2:$T$368,G765,FALSE)</f>
        <v>3.1793308523033601</v>
      </c>
      <c r="L765">
        <f t="shared" ca="1" si="121"/>
        <v>1</v>
      </c>
      <c r="N765" t="e">
        <f t="shared" ca="1" si="122"/>
        <v>#N/A</v>
      </c>
      <c r="O765" t="e">
        <f t="shared" ca="1" si="123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4"/>
        <v>0</v>
      </c>
      <c r="AE765" s="46">
        <f t="shared" ca="1" si="125"/>
        <v>0</v>
      </c>
      <c r="AG765" s="72" t="e">
        <f t="shared" ca="1" si="126"/>
        <v>#N/A</v>
      </c>
      <c r="AH765" s="72" t="e">
        <f t="shared" ca="1" si="127"/>
        <v>#N/A</v>
      </c>
      <c r="AI765" s="3" t="e">
        <f t="shared" ca="1" si="128"/>
        <v>#N/A</v>
      </c>
    </row>
    <row r="766" spans="7:35" ht="15.75" thickBot="1" x14ac:dyDescent="0.3">
      <c r="G766" s="3">
        <f t="shared" si="120"/>
        <v>304</v>
      </c>
      <c r="H766" s="106">
        <f t="shared" si="119"/>
        <v>44864</v>
      </c>
      <c r="I766" s="133">
        <f>HLOOKUP($H$4,'Met Data'!$A$2:$F$368,G766,FALSE)</f>
        <v>14.715</v>
      </c>
      <c r="J766" s="131">
        <f ca="1">HLOOKUP($H$4,'Met Data'!$H$2:$M$368,G766,FALSE)*L766</f>
        <v>1.99</v>
      </c>
      <c r="K766" s="107">
        <f>HLOOKUP($H$4,'Met Data'!$O$2:$T$368,G766,FALSE)</f>
        <v>3.2908149619424898</v>
      </c>
      <c r="L766">
        <f t="shared" ca="1" si="121"/>
        <v>1</v>
      </c>
      <c r="N766" t="e">
        <f t="shared" ca="1" si="122"/>
        <v>#N/A</v>
      </c>
      <c r="O766" t="e">
        <f t="shared" ca="1" si="123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4"/>
        <v>0</v>
      </c>
      <c r="AE766" s="46">
        <f t="shared" ca="1" si="125"/>
        <v>0</v>
      </c>
      <c r="AG766" s="72" t="e">
        <f t="shared" ca="1" si="126"/>
        <v>#N/A</v>
      </c>
      <c r="AH766" s="72" t="e">
        <f t="shared" ca="1" si="127"/>
        <v>#N/A</v>
      </c>
      <c r="AI766" s="3" t="e">
        <f t="shared" ca="1" si="128"/>
        <v>#N/A</v>
      </c>
    </row>
    <row r="767" spans="7:35" ht="15.75" thickBot="1" x14ac:dyDescent="0.3">
      <c r="G767" s="3">
        <f t="shared" si="120"/>
        <v>305</v>
      </c>
      <c r="H767" s="106">
        <f t="shared" si="119"/>
        <v>44865</v>
      </c>
      <c r="I767" s="133">
        <f>HLOOKUP($H$4,'Met Data'!$A$2:$F$368,G767,FALSE)</f>
        <v>14.5266666666666</v>
      </c>
      <c r="J767" s="131">
        <f ca="1">HLOOKUP($H$4,'Met Data'!$H$2:$M$368,G767,FALSE)*L767</f>
        <v>1.75</v>
      </c>
      <c r="K767" s="107">
        <f>HLOOKUP($H$4,'Met Data'!$O$2:$T$368,G767,FALSE)</f>
        <v>3.7910621493299299</v>
      </c>
      <c r="L767">
        <f t="shared" ca="1" si="121"/>
        <v>1</v>
      </c>
      <c r="N767" t="e">
        <f t="shared" ca="1" si="122"/>
        <v>#N/A</v>
      </c>
      <c r="O767" t="e">
        <f t="shared" ca="1" si="123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4"/>
        <v>0</v>
      </c>
      <c r="AE767" s="46">
        <f t="shared" ca="1" si="125"/>
        <v>0</v>
      </c>
      <c r="AG767" s="72" t="e">
        <f t="shared" ca="1" si="126"/>
        <v>#N/A</v>
      </c>
      <c r="AH767" s="72" t="e">
        <f t="shared" ca="1" si="127"/>
        <v>#N/A</v>
      </c>
      <c r="AI767" s="3" t="e">
        <f t="shared" ca="1" si="128"/>
        <v>#N/A</v>
      </c>
    </row>
    <row r="768" spans="7:35" ht="15.75" thickBot="1" x14ac:dyDescent="0.3">
      <c r="G768" s="3">
        <f t="shared" si="120"/>
        <v>306</v>
      </c>
      <c r="H768" s="106">
        <f t="shared" si="119"/>
        <v>44866</v>
      </c>
      <c r="I768" s="133">
        <f>HLOOKUP($H$4,'Met Data'!$A$2:$F$368,G768,FALSE)</f>
        <v>14.0416666666666</v>
      </c>
      <c r="J768" s="131">
        <f ca="1">HLOOKUP($H$4,'Met Data'!$H$2:$M$368,G768,FALSE)*L768</f>
        <v>2.11666666666666</v>
      </c>
      <c r="K768" s="107">
        <f>HLOOKUP($H$4,'Met Data'!$O$2:$T$368,G768,FALSE)</f>
        <v>3.7273958064413302</v>
      </c>
      <c r="L768">
        <f t="shared" ca="1" si="121"/>
        <v>1</v>
      </c>
      <c r="N768" t="e">
        <f t="shared" ca="1" si="122"/>
        <v>#N/A</v>
      </c>
      <c r="O768" t="e">
        <f t="shared" ca="1" si="123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4"/>
        <v>0</v>
      </c>
      <c r="AE768" s="46">
        <f t="shared" ca="1" si="125"/>
        <v>0</v>
      </c>
      <c r="AG768" s="72" t="e">
        <f t="shared" ca="1" si="126"/>
        <v>#N/A</v>
      </c>
      <c r="AH768" s="72" t="e">
        <f t="shared" ca="1" si="127"/>
        <v>#N/A</v>
      </c>
      <c r="AI768" s="3" t="e">
        <f t="shared" ca="1" si="128"/>
        <v>#N/A</v>
      </c>
    </row>
    <row r="769" spans="7:35" ht="15.75" thickBot="1" x14ac:dyDescent="0.3">
      <c r="G769" s="3">
        <f t="shared" si="120"/>
        <v>307</v>
      </c>
      <c r="H769" s="106">
        <f t="shared" si="119"/>
        <v>44867</v>
      </c>
      <c r="I769" s="133">
        <f>HLOOKUP($H$4,'Met Data'!$A$2:$F$368,G769,FALSE)</f>
        <v>14.098333333333301</v>
      </c>
      <c r="J769" s="131">
        <f ca="1">HLOOKUP($H$4,'Met Data'!$H$2:$M$368,G769,FALSE)*L769</f>
        <v>0.94</v>
      </c>
      <c r="K769" s="107">
        <f>HLOOKUP($H$4,'Met Data'!$O$2:$T$368,G769,FALSE)</f>
        <v>3.7508089301659</v>
      </c>
      <c r="L769">
        <f t="shared" ca="1" si="121"/>
        <v>1</v>
      </c>
      <c r="N769" t="e">
        <f t="shared" ca="1" si="122"/>
        <v>#N/A</v>
      </c>
      <c r="O769" t="e">
        <f t="shared" ca="1" si="123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4"/>
        <v>0</v>
      </c>
      <c r="AE769" s="46">
        <f t="shared" ca="1" si="125"/>
        <v>0</v>
      </c>
      <c r="AG769" s="72" t="e">
        <f t="shared" ca="1" si="126"/>
        <v>#N/A</v>
      </c>
      <c r="AH769" s="72" t="e">
        <f t="shared" ca="1" si="127"/>
        <v>#N/A</v>
      </c>
      <c r="AI769" s="3" t="e">
        <f t="shared" ca="1" si="128"/>
        <v>#N/A</v>
      </c>
    </row>
    <row r="770" spans="7:35" ht="15.75" thickBot="1" x14ac:dyDescent="0.3">
      <c r="G770" s="3">
        <f t="shared" si="120"/>
        <v>308</v>
      </c>
      <c r="H770" s="106">
        <f t="shared" si="119"/>
        <v>44868</v>
      </c>
      <c r="I770" s="133">
        <f>HLOOKUP($H$4,'Met Data'!$A$2:$F$368,G770,FALSE)</f>
        <v>13.9933333333333</v>
      </c>
      <c r="J770" s="131">
        <f ca="1">HLOOKUP($H$4,'Met Data'!$H$2:$M$368,G770,FALSE)*L770</f>
        <v>2.42</v>
      </c>
      <c r="K770" s="107">
        <f>HLOOKUP($H$4,'Met Data'!$O$2:$T$368,G770,FALSE)</f>
        <v>3.2496546498492198</v>
      </c>
      <c r="L770">
        <f t="shared" ca="1" si="121"/>
        <v>1</v>
      </c>
      <c r="N770" t="e">
        <f t="shared" ca="1" si="122"/>
        <v>#N/A</v>
      </c>
      <c r="O770" t="e">
        <f t="shared" ca="1" si="123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4"/>
        <v>0</v>
      </c>
      <c r="AE770" s="46">
        <f t="shared" ca="1" si="125"/>
        <v>0</v>
      </c>
      <c r="AG770" s="72" t="e">
        <f t="shared" ca="1" si="126"/>
        <v>#N/A</v>
      </c>
      <c r="AH770" s="72" t="e">
        <f t="shared" ca="1" si="127"/>
        <v>#N/A</v>
      </c>
      <c r="AI770" s="3" t="e">
        <f t="shared" ca="1" si="128"/>
        <v>#N/A</v>
      </c>
    </row>
    <row r="771" spans="7:35" ht="15.75" thickBot="1" x14ac:dyDescent="0.3">
      <c r="G771" s="3">
        <f t="shared" si="120"/>
        <v>309</v>
      </c>
      <c r="H771" s="106">
        <f t="shared" si="119"/>
        <v>44869</v>
      </c>
      <c r="I771" s="133">
        <f>HLOOKUP($H$4,'Met Data'!$A$2:$F$368,G771,FALSE)</f>
        <v>14.2016666666666</v>
      </c>
      <c r="J771" s="131">
        <f ca="1">HLOOKUP($H$4,'Met Data'!$H$2:$M$368,G771,FALSE)*L771</f>
        <v>3.21999999999999</v>
      </c>
      <c r="K771" s="107">
        <f>HLOOKUP($H$4,'Met Data'!$O$2:$T$368,G771,FALSE)</f>
        <v>3.3917308243993398</v>
      </c>
      <c r="L771">
        <f t="shared" ca="1" si="121"/>
        <v>1</v>
      </c>
      <c r="N771" t="e">
        <f t="shared" ca="1" si="122"/>
        <v>#N/A</v>
      </c>
      <c r="O771" t="e">
        <f t="shared" ca="1" si="123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4"/>
        <v>0</v>
      </c>
      <c r="AE771" s="46">
        <f t="shared" ca="1" si="125"/>
        <v>0</v>
      </c>
      <c r="AG771" s="72" t="e">
        <f t="shared" ca="1" si="126"/>
        <v>#N/A</v>
      </c>
      <c r="AH771" s="72" t="e">
        <f t="shared" ca="1" si="127"/>
        <v>#N/A</v>
      </c>
      <c r="AI771" s="3" t="e">
        <f t="shared" ca="1" si="128"/>
        <v>#N/A</v>
      </c>
    </row>
    <row r="772" spans="7:35" ht="15.75" thickBot="1" x14ac:dyDescent="0.3">
      <c r="G772" s="3">
        <f t="shared" si="120"/>
        <v>310</v>
      </c>
      <c r="H772" s="106">
        <f t="shared" si="119"/>
        <v>44870</v>
      </c>
      <c r="I772" s="133">
        <f>HLOOKUP($H$4,'Met Data'!$A$2:$F$368,G772,FALSE)</f>
        <v>14.5483333333333</v>
      </c>
      <c r="J772" s="131">
        <f ca="1">HLOOKUP($H$4,'Met Data'!$H$2:$M$368,G772,FALSE)*L772</f>
        <v>6.2166666666666597</v>
      </c>
      <c r="K772" s="107">
        <f>HLOOKUP($H$4,'Met Data'!$O$2:$T$368,G772,FALSE)</f>
        <v>3.4940085056696999</v>
      </c>
      <c r="L772">
        <f t="shared" ca="1" si="121"/>
        <v>1</v>
      </c>
      <c r="N772" t="e">
        <f t="shared" ca="1" si="122"/>
        <v>#N/A</v>
      </c>
      <c r="O772" t="e">
        <f t="shared" ca="1" si="123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4"/>
        <v>0</v>
      </c>
      <c r="AE772" s="46">
        <f t="shared" ca="1" si="125"/>
        <v>0</v>
      </c>
      <c r="AG772" s="72" t="e">
        <f t="shared" ca="1" si="126"/>
        <v>#N/A</v>
      </c>
      <c r="AH772" s="72" t="e">
        <f t="shared" ca="1" si="127"/>
        <v>#N/A</v>
      </c>
      <c r="AI772" s="3" t="e">
        <f t="shared" ca="1" si="128"/>
        <v>#N/A</v>
      </c>
    </row>
    <row r="773" spans="7:35" ht="15.75" thickBot="1" x14ac:dyDescent="0.3">
      <c r="G773" s="3">
        <f t="shared" si="120"/>
        <v>311</v>
      </c>
      <c r="H773" s="106">
        <f t="shared" si="119"/>
        <v>44871</v>
      </c>
      <c r="I773" s="133">
        <f>HLOOKUP($H$4,'Met Data'!$A$2:$F$368,G773,FALSE)</f>
        <v>14.156666666666601</v>
      </c>
      <c r="J773" s="131">
        <f ca="1">HLOOKUP($H$4,'Met Data'!$H$2:$M$368,G773,FALSE)*L773</f>
        <v>4.1999999999999904</v>
      </c>
      <c r="K773" s="107">
        <f>HLOOKUP($H$4,'Met Data'!$O$2:$T$368,G773,FALSE)</f>
        <v>3.6290518837480299</v>
      </c>
      <c r="L773">
        <f t="shared" ca="1" si="121"/>
        <v>1</v>
      </c>
      <c r="N773" t="e">
        <f t="shared" ca="1" si="122"/>
        <v>#N/A</v>
      </c>
      <c r="O773" t="e">
        <f t="shared" ca="1" si="123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4"/>
        <v>0</v>
      </c>
      <c r="AE773" s="46">
        <f t="shared" ca="1" si="125"/>
        <v>0</v>
      </c>
      <c r="AG773" s="72" t="e">
        <f t="shared" ca="1" si="126"/>
        <v>#N/A</v>
      </c>
      <c r="AH773" s="72" t="e">
        <f t="shared" ca="1" si="127"/>
        <v>#N/A</v>
      </c>
      <c r="AI773" s="3" t="e">
        <f t="shared" ca="1" si="128"/>
        <v>#N/A</v>
      </c>
    </row>
    <row r="774" spans="7:35" ht="15.75" thickBot="1" x14ac:dyDescent="0.3">
      <c r="G774" s="3">
        <f t="shared" si="120"/>
        <v>312</v>
      </c>
      <c r="H774" s="106">
        <f t="shared" si="119"/>
        <v>44872</v>
      </c>
      <c r="I774" s="133">
        <f>HLOOKUP($H$4,'Met Data'!$A$2:$F$368,G774,FALSE)</f>
        <v>14.466666666666599</v>
      </c>
      <c r="J774" s="131">
        <f ca="1">HLOOKUP($H$4,'Met Data'!$H$2:$M$368,G774,FALSE)*L774</f>
        <v>4.18333333333333</v>
      </c>
      <c r="K774" s="107">
        <f>HLOOKUP($H$4,'Met Data'!$O$2:$T$368,G774,FALSE)</f>
        <v>3.3196725038188899</v>
      </c>
      <c r="L774">
        <f t="shared" ca="1" si="121"/>
        <v>1</v>
      </c>
      <c r="N774" t="e">
        <f t="shared" ca="1" si="122"/>
        <v>#N/A</v>
      </c>
      <c r="O774" t="e">
        <f t="shared" ca="1" si="123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4"/>
        <v>0</v>
      </c>
      <c r="AE774" s="46">
        <f t="shared" ca="1" si="125"/>
        <v>0</v>
      </c>
      <c r="AG774" s="72" t="e">
        <f t="shared" ca="1" si="126"/>
        <v>#N/A</v>
      </c>
      <c r="AH774" s="72" t="e">
        <f t="shared" ca="1" si="127"/>
        <v>#N/A</v>
      </c>
      <c r="AI774" s="3" t="e">
        <f t="shared" ca="1" si="128"/>
        <v>#N/A</v>
      </c>
    </row>
    <row r="775" spans="7:35" ht="15.75" thickBot="1" x14ac:dyDescent="0.3">
      <c r="G775" s="3">
        <f t="shared" si="120"/>
        <v>313</v>
      </c>
      <c r="H775" s="106">
        <f t="shared" si="119"/>
        <v>44873</v>
      </c>
      <c r="I775" s="133">
        <f>HLOOKUP($H$4,'Met Data'!$A$2:$F$368,G775,FALSE)</f>
        <v>14.7283333333333</v>
      </c>
      <c r="J775" s="131">
        <f ca="1">HLOOKUP($H$4,'Met Data'!$H$2:$M$368,G775,FALSE)*L775</f>
        <v>3.4833333333333298</v>
      </c>
      <c r="K775" s="107">
        <f>HLOOKUP($H$4,'Met Data'!$O$2:$T$368,G775,FALSE)</f>
        <v>3.5694722560107999</v>
      </c>
      <c r="L775">
        <f t="shared" ca="1" si="121"/>
        <v>1</v>
      </c>
      <c r="N775" t="e">
        <f t="shared" ca="1" si="122"/>
        <v>#N/A</v>
      </c>
      <c r="O775" t="e">
        <f t="shared" ca="1" si="123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4"/>
        <v>0</v>
      </c>
      <c r="AE775" s="46">
        <f t="shared" ca="1" si="125"/>
        <v>0</v>
      </c>
      <c r="AG775" s="72" t="e">
        <f t="shared" ca="1" si="126"/>
        <v>#N/A</v>
      </c>
      <c r="AH775" s="72" t="e">
        <f t="shared" ca="1" si="127"/>
        <v>#N/A</v>
      </c>
      <c r="AI775" s="3" t="e">
        <f t="shared" ca="1" si="128"/>
        <v>#N/A</v>
      </c>
    </row>
    <row r="776" spans="7:35" ht="15.75" thickBot="1" x14ac:dyDescent="0.3">
      <c r="G776" s="3">
        <f t="shared" si="120"/>
        <v>314</v>
      </c>
      <c r="H776" s="106">
        <f t="shared" ref="H776:H839" si="129">H775+1</f>
        <v>44874</v>
      </c>
      <c r="I776" s="133">
        <f>HLOOKUP($H$4,'Met Data'!$A$2:$F$368,G776,FALSE)</f>
        <v>14.37</v>
      </c>
      <c r="J776" s="131">
        <f ca="1">HLOOKUP($H$4,'Met Data'!$H$2:$M$368,G776,FALSE)*L776</f>
        <v>3.5433333333333299</v>
      </c>
      <c r="K776" s="107">
        <f>HLOOKUP($H$4,'Met Data'!$O$2:$T$368,G776,FALSE)</f>
        <v>3.5998767062500399</v>
      </c>
      <c r="L776">
        <f t="shared" ca="1" si="121"/>
        <v>1</v>
      </c>
      <c r="N776" t="e">
        <f t="shared" ca="1" si="122"/>
        <v>#N/A</v>
      </c>
      <c r="O776" t="e">
        <f t="shared" ca="1" si="123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4"/>
        <v>0</v>
      </c>
      <c r="AE776" s="46">
        <f t="shared" ca="1" si="125"/>
        <v>0</v>
      </c>
      <c r="AG776" s="72" t="e">
        <f t="shared" ca="1" si="126"/>
        <v>#N/A</v>
      </c>
      <c r="AH776" s="72" t="e">
        <f t="shared" ca="1" si="127"/>
        <v>#N/A</v>
      </c>
      <c r="AI776" s="3" t="e">
        <f t="shared" ca="1" si="128"/>
        <v>#N/A</v>
      </c>
    </row>
    <row r="777" spans="7:35" ht="15.75" thickBot="1" x14ac:dyDescent="0.3">
      <c r="G777" s="3">
        <f t="shared" si="120"/>
        <v>315</v>
      </c>
      <c r="H777" s="106">
        <f t="shared" si="129"/>
        <v>44875</v>
      </c>
      <c r="I777" s="133">
        <f>HLOOKUP($H$4,'Met Data'!$A$2:$F$368,G777,FALSE)</f>
        <v>14.7216666666666</v>
      </c>
      <c r="J777" s="131">
        <f ca="1">HLOOKUP($H$4,'Met Data'!$H$2:$M$368,G777,FALSE)*L777</f>
        <v>2.9033333333333302</v>
      </c>
      <c r="K777" s="107">
        <f>HLOOKUP($H$4,'Met Data'!$O$2:$T$368,G777,FALSE)</f>
        <v>3.8854632375309301</v>
      </c>
      <c r="L777">
        <f t="shared" ca="1" si="121"/>
        <v>1</v>
      </c>
      <c r="N777" t="e">
        <f t="shared" ca="1" si="122"/>
        <v>#N/A</v>
      </c>
      <c r="O777" t="e">
        <f t="shared" ca="1" si="123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4"/>
        <v>0</v>
      </c>
      <c r="AE777" s="46">
        <f t="shared" ca="1" si="125"/>
        <v>0</v>
      </c>
      <c r="AG777" s="72" t="e">
        <f t="shared" ca="1" si="126"/>
        <v>#N/A</v>
      </c>
      <c r="AH777" s="72" t="e">
        <f t="shared" ca="1" si="127"/>
        <v>#N/A</v>
      </c>
      <c r="AI777" s="3" t="e">
        <f t="shared" ca="1" si="128"/>
        <v>#N/A</v>
      </c>
    </row>
    <row r="778" spans="7:35" ht="15.75" thickBot="1" x14ac:dyDescent="0.3">
      <c r="G778" s="3">
        <f t="shared" si="120"/>
        <v>316</v>
      </c>
      <c r="H778" s="106">
        <f t="shared" si="129"/>
        <v>44876</v>
      </c>
      <c r="I778" s="133">
        <f>HLOOKUP($H$4,'Met Data'!$A$2:$F$368,G778,FALSE)</f>
        <v>14.816666666666601</v>
      </c>
      <c r="J778" s="131">
        <f ca="1">HLOOKUP($H$4,'Met Data'!$H$2:$M$368,G778,FALSE)*L778</f>
        <v>1.5433333333333299</v>
      </c>
      <c r="K778" s="107">
        <f>HLOOKUP($H$4,'Met Data'!$O$2:$T$368,G778,FALSE)</f>
        <v>3.4766729681443</v>
      </c>
      <c r="L778">
        <f t="shared" ca="1" si="121"/>
        <v>1</v>
      </c>
      <c r="N778" t="e">
        <f t="shared" ca="1" si="122"/>
        <v>#N/A</v>
      </c>
      <c r="O778" t="e">
        <f t="shared" ca="1" si="123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4"/>
        <v>0</v>
      </c>
      <c r="AE778" s="46">
        <f t="shared" ca="1" si="125"/>
        <v>0</v>
      </c>
      <c r="AG778" s="72" t="e">
        <f t="shared" ca="1" si="126"/>
        <v>#N/A</v>
      </c>
      <c r="AH778" s="72" t="e">
        <f t="shared" ca="1" si="127"/>
        <v>#N/A</v>
      </c>
      <c r="AI778" s="3" t="e">
        <f t="shared" ca="1" si="128"/>
        <v>#N/A</v>
      </c>
    </row>
    <row r="779" spans="7:35" ht="15.75" thickBot="1" x14ac:dyDescent="0.3">
      <c r="G779" s="3">
        <f t="shared" si="120"/>
        <v>317</v>
      </c>
      <c r="H779" s="106">
        <f t="shared" si="129"/>
        <v>44877</v>
      </c>
      <c r="I779" s="133">
        <f>HLOOKUP($H$4,'Met Data'!$A$2:$F$368,G779,FALSE)</f>
        <v>14.7883333333333</v>
      </c>
      <c r="J779" s="131">
        <f ca="1">HLOOKUP($H$4,'Met Data'!$H$2:$M$368,G779,FALSE)*L779</f>
        <v>3.6066666666666598</v>
      </c>
      <c r="K779" s="107">
        <f>HLOOKUP($H$4,'Met Data'!$O$2:$T$368,G779,FALSE)</f>
        <v>3.49823939059966</v>
      </c>
      <c r="L779">
        <f t="shared" ca="1" si="121"/>
        <v>1</v>
      </c>
      <c r="N779" t="e">
        <f t="shared" ca="1" si="122"/>
        <v>#N/A</v>
      </c>
      <c r="O779" t="e">
        <f t="shared" ca="1" si="123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4"/>
        <v>0</v>
      </c>
      <c r="AE779" s="46">
        <f t="shared" ca="1" si="125"/>
        <v>0</v>
      </c>
      <c r="AG779" s="72" t="e">
        <f t="shared" ca="1" si="126"/>
        <v>#N/A</v>
      </c>
      <c r="AH779" s="72" t="e">
        <f t="shared" ca="1" si="127"/>
        <v>#N/A</v>
      </c>
      <c r="AI779" s="3" t="e">
        <f t="shared" ca="1" si="128"/>
        <v>#N/A</v>
      </c>
    </row>
    <row r="780" spans="7:35" ht="15.75" thickBot="1" x14ac:dyDescent="0.3">
      <c r="G780" s="3">
        <f t="shared" si="120"/>
        <v>318</v>
      </c>
      <c r="H780" s="106">
        <f t="shared" si="129"/>
        <v>44878</v>
      </c>
      <c r="I780" s="133">
        <f>HLOOKUP($H$4,'Met Data'!$A$2:$F$368,G780,FALSE)</f>
        <v>14.5583333333333</v>
      </c>
      <c r="J780" s="131">
        <f ca="1">HLOOKUP($H$4,'Met Data'!$H$2:$M$368,G780,FALSE)*L780</f>
        <v>3.0633333333333299</v>
      </c>
      <c r="K780" s="107">
        <f>HLOOKUP($H$4,'Met Data'!$O$2:$T$368,G780,FALSE)</f>
        <v>3.8424324154218401</v>
      </c>
      <c r="L780">
        <f t="shared" ca="1" si="121"/>
        <v>1</v>
      </c>
      <c r="N780" t="e">
        <f t="shared" ca="1" si="122"/>
        <v>#N/A</v>
      </c>
      <c r="O780" t="e">
        <f t="shared" ca="1" si="123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4"/>
        <v>0</v>
      </c>
      <c r="AE780" s="46">
        <f t="shared" ca="1" si="125"/>
        <v>0</v>
      </c>
      <c r="AG780" s="72" t="e">
        <f t="shared" ca="1" si="126"/>
        <v>#N/A</v>
      </c>
      <c r="AH780" s="72" t="e">
        <f t="shared" ca="1" si="127"/>
        <v>#N/A</v>
      </c>
      <c r="AI780" s="3" t="e">
        <f t="shared" ca="1" si="128"/>
        <v>#N/A</v>
      </c>
    </row>
    <row r="781" spans="7:35" ht="15.75" thickBot="1" x14ac:dyDescent="0.3">
      <c r="G781" s="3">
        <f t="shared" si="120"/>
        <v>319</v>
      </c>
      <c r="H781" s="106">
        <f t="shared" si="129"/>
        <v>44879</v>
      </c>
      <c r="I781" s="133">
        <f>HLOOKUP($H$4,'Met Data'!$A$2:$F$368,G781,FALSE)</f>
        <v>14.5066666666666</v>
      </c>
      <c r="J781" s="131">
        <f ca="1">HLOOKUP($H$4,'Met Data'!$H$2:$M$368,G781,FALSE)*L781</f>
        <v>3.2933333333333299</v>
      </c>
      <c r="K781" s="107">
        <f>HLOOKUP($H$4,'Met Data'!$O$2:$T$368,G781,FALSE)</f>
        <v>3.93837814578281</v>
      </c>
      <c r="L781">
        <f t="shared" ca="1" si="121"/>
        <v>1</v>
      </c>
      <c r="N781" t="e">
        <f t="shared" ca="1" si="122"/>
        <v>#N/A</v>
      </c>
      <c r="O781" t="e">
        <f t="shared" ca="1" si="123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4"/>
        <v>0</v>
      </c>
      <c r="AE781" s="46">
        <f t="shared" ca="1" si="125"/>
        <v>0</v>
      </c>
      <c r="AG781" s="72" t="e">
        <f t="shared" ca="1" si="126"/>
        <v>#N/A</v>
      </c>
      <c r="AH781" s="72" t="e">
        <f t="shared" ca="1" si="127"/>
        <v>#N/A</v>
      </c>
      <c r="AI781" s="3" t="e">
        <f t="shared" ca="1" si="128"/>
        <v>#N/A</v>
      </c>
    </row>
    <row r="782" spans="7:35" ht="15.75" thickBot="1" x14ac:dyDescent="0.3">
      <c r="G782" s="3">
        <f t="shared" si="120"/>
        <v>320</v>
      </c>
      <c r="H782" s="106">
        <f t="shared" si="129"/>
        <v>44880</v>
      </c>
      <c r="I782" s="133">
        <f>HLOOKUP($H$4,'Met Data'!$A$2:$F$368,G782,FALSE)</f>
        <v>14.8633333333333</v>
      </c>
      <c r="J782" s="131">
        <f ca="1">HLOOKUP($H$4,'Met Data'!$H$2:$M$368,G782,FALSE)*L782</f>
        <v>2.0666666666666602</v>
      </c>
      <c r="K782" s="107">
        <f>HLOOKUP($H$4,'Met Data'!$O$2:$T$368,G782,FALSE)</f>
        <v>3.82063419166102</v>
      </c>
      <c r="L782">
        <f t="shared" ca="1" si="121"/>
        <v>1</v>
      </c>
      <c r="N782" t="e">
        <f t="shared" ca="1" si="122"/>
        <v>#N/A</v>
      </c>
      <c r="O782" t="e">
        <f t="shared" ca="1" si="123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4"/>
        <v>0</v>
      </c>
      <c r="AE782" s="46">
        <f t="shared" ca="1" si="125"/>
        <v>0</v>
      </c>
      <c r="AG782" s="72" t="e">
        <f t="shared" ca="1" si="126"/>
        <v>#N/A</v>
      </c>
      <c r="AH782" s="72" t="e">
        <f t="shared" ca="1" si="127"/>
        <v>#N/A</v>
      </c>
      <c r="AI782" s="3" t="e">
        <f t="shared" ca="1" si="128"/>
        <v>#N/A</v>
      </c>
    </row>
    <row r="783" spans="7:35" ht="15.75" thickBot="1" x14ac:dyDescent="0.3">
      <c r="G783" s="3">
        <f t="shared" si="120"/>
        <v>321</v>
      </c>
      <c r="H783" s="106">
        <f t="shared" si="129"/>
        <v>44881</v>
      </c>
      <c r="I783" s="133">
        <f>HLOOKUP($H$4,'Met Data'!$A$2:$F$368,G783,FALSE)</f>
        <v>15.191666666666601</v>
      </c>
      <c r="J783" s="131">
        <f ca="1">HLOOKUP($H$4,'Met Data'!$H$2:$M$368,G783,FALSE)*L783</f>
        <v>4.1233333333333304</v>
      </c>
      <c r="K783" s="107">
        <f>HLOOKUP($H$4,'Met Data'!$O$2:$T$368,G783,FALSE)</f>
        <v>3.4660928584042798</v>
      </c>
      <c r="L783">
        <f t="shared" ca="1" si="121"/>
        <v>1</v>
      </c>
      <c r="N783" t="e">
        <f t="shared" ca="1" si="122"/>
        <v>#N/A</v>
      </c>
      <c r="O783" t="e">
        <f t="shared" ca="1" si="123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4"/>
        <v>0</v>
      </c>
      <c r="AE783" s="46">
        <f t="shared" ca="1" si="125"/>
        <v>0</v>
      </c>
      <c r="AG783" s="72" t="e">
        <f t="shared" ca="1" si="126"/>
        <v>#N/A</v>
      </c>
      <c r="AH783" s="72" t="e">
        <f t="shared" ca="1" si="127"/>
        <v>#N/A</v>
      </c>
      <c r="AI783" s="3" t="e">
        <f t="shared" ca="1" si="128"/>
        <v>#N/A</v>
      </c>
    </row>
    <row r="784" spans="7:35" ht="15.75" thickBot="1" x14ac:dyDescent="0.3">
      <c r="G784" s="3">
        <f t="shared" si="120"/>
        <v>322</v>
      </c>
      <c r="H784" s="106">
        <f t="shared" si="129"/>
        <v>44882</v>
      </c>
      <c r="I784" s="133">
        <f>HLOOKUP($H$4,'Met Data'!$A$2:$F$368,G784,FALSE)</f>
        <v>14.805</v>
      </c>
      <c r="J784" s="131">
        <f ca="1">HLOOKUP($H$4,'Met Data'!$H$2:$M$368,G784,FALSE)*L784</f>
        <v>2.0999999999999899</v>
      </c>
      <c r="K784" s="107">
        <f>HLOOKUP($H$4,'Met Data'!$O$2:$T$368,G784,FALSE)</f>
        <v>3.7178898330930501</v>
      </c>
      <c r="L784">
        <f t="shared" ca="1" si="121"/>
        <v>1</v>
      </c>
      <c r="N784" t="e">
        <f t="shared" ca="1" si="122"/>
        <v>#N/A</v>
      </c>
      <c r="O784" t="e">
        <f t="shared" ca="1" si="123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4"/>
        <v>0</v>
      </c>
      <c r="AE784" s="46">
        <f t="shared" ca="1" si="125"/>
        <v>0</v>
      </c>
      <c r="AG784" s="72" t="e">
        <f t="shared" ca="1" si="126"/>
        <v>#N/A</v>
      </c>
      <c r="AH784" s="72" t="e">
        <f t="shared" ca="1" si="127"/>
        <v>#N/A</v>
      </c>
      <c r="AI784" s="3" t="e">
        <f t="shared" ca="1" si="128"/>
        <v>#N/A</v>
      </c>
    </row>
    <row r="785" spans="7:35" ht="15.75" thickBot="1" x14ac:dyDescent="0.3">
      <c r="G785" s="3">
        <f t="shared" si="120"/>
        <v>323</v>
      </c>
      <c r="H785" s="106">
        <f t="shared" si="129"/>
        <v>44883</v>
      </c>
      <c r="I785" s="133">
        <f>HLOOKUP($H$4,'Met Data'!$A$2:$F$368,G785,FALSE)</f>
        <v>14.4366666666666</v>
      </c>
      <c r="J785" s="131">
        <f ca="1">HLOOKUP($H$4,'Met Data'!$H$2:$M$368,G785,FALSE)*L785</f>
        <v>2.25</v>
      </c>
      <c r="K785" s="107">
        <f>HLOOKUP($H$4,'Met Data'!$O$2:$T$368,G785,FALSE)</f>
        <v>3.8903759726723899</v>
      </c>
      <c r="L785">
        <f t="shared" ca="1" si="121"/>
        <v>1</v>
      </c>
      <c r="N785" t="e">
        <f t="shared" ca="1" si="122"/>
        <v>#N/A</v>
      </c>
      <c r="O785" t="e">
        <f t="shared" ca="1" si="123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4"/>
        <v>0</v>
      </c>
      <c r="AE785" s="46">
        <f t="shared" ca="1" si="125"/>
        <v>0</v>
      </c>
      <c r="AG785" s="72" t="e">
        <f t="shared" ca="1" si="126"/>
        <v>#N/A</v>
      </c>
      <c r="AH785" s="72" t="e">
        <f t="shared" ca="1" si="127"/>
        <v>#N/A</v>
      </c>
      <c r="AI785" s="3" t="e">
        <f t="shared" ca="1" si="128"/>
        <v>#N/A</v>
      </c>
    </row>
    <row r="786" spans="7:35" ht="15.75" thickBot="1" x14ac:dyDescent="0.3">
      <c r="G786" s="3">
        <f t="shared" si="120"/>
        <v>324</v>
      </c>
      <c r="H786" s="106">
        <f t="shared" si="129"/>
        <v>44884</v>
      </c>
      <c r="I786" s="133">
        <f>HLOOKUP($H$4,'Met Data'!$A$2:$F$368,G786,FALSE)</f>
        <v>14.4133333333333</v>
      </c>
      <c r="J786" s="131">
        <f ca="1">HLOOKUP($H$4,'Met Data'!$H$2:$M$368,G786,FALSE)*L786</f>
        <v>1.6566666666666601</v>
      </c>
      <c r="K786" s="107">
        <f>HLOOKUP($H$4,'Met Data'!$O$2:$T$368,G786,FALSE)</f>
        <v>3.9105195639997401</v>
      </c>
      <c r="L786">
        <f t="shared" ca="1" si="121"/>
        <v>1</v>
      </c>
      <c r="N786" t="e">
        <f t="shared" ca="1" si="122"/>
        <v>#N/A</v>
      </c>
      <c r="O786" t="e">
        <f t="shared" ca="1" si="123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4"/>
        <v>0</v>
      </c>
      <c r="AE786" s="46">
        <f t="shared" ca="1" si="125"/>
        <v>0</v>
      </c>
      <c r="AG786" s="72" t="e">
        <f t="shared" ca="1" si="126"/>
        <v>#N/A</v>
      </c>
      <c r="AH786" s="72" t="e">
        <f t="shared" ca="1" si="127"/>
        <v>#N/A</v>
      </c>
      <c r="AI786" s="3" t="e">
        <f t="shared" ca="1" si="128"/>
        <v>#N/A</v>
      </c>
    </row>
    <row r="787" spans="7:35" ht="15.75" thickBot="1" x14ac:dyDescent="0.3">
      <c r="G787" s="3">
        <f t="shared" si="120"/>
        <v>325</v>
      </c>
      <c r="H787" s="106">
        <f t="shared" si="129"/>
        <v>44885</v>
      </c>
      <c r="I787" s="133">
        <f>HLOOKUP($H$4,'Met Data'!$A$2:$F$368,G787,FALSE)</f>
        <v>14.8266666666666</v>
      </c>
      <c r="J787" s="131">
        <f ca="1">HLOOKUP($H$4,'Met Data'!$H$2:$M$368,G787,FALSE)*L787</f>
        <v>2.4166666666666599</v>
      </c>
      <c r="K787" s="107">
        <f>HLOOKUP($H$4,'Met Data'!$O$2:$T$368,G787,FALSE)</f>
        <v>3.75734672122165</v>
      </c>
      <c r="L787">
        <f t="shared" ca="1" si="121"/>
        <v>1</v>
      </c>
      <c r="N787" t="e">
        <f t="shared" ca="1" si="122"/>
        <v>#N/A</v>
      </c>
      <c r="O787" t="e">
        <f t="shared" ca="1" si="123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4"/>
        <v>0</v>
      </c>
      <c r="AE787" s="46">
        <f t="shared" ca="1" si="125"/>
        <v>0</v>
      </c>
      <c r="AG787" s="72" t="e">
        <f t="shared" ca="1" si="126"/>
        <v>#N/A</v>
      </c>
      <c r="AH787" s="72" t="e">
        <f t="shared" ca="1" si="127"/>
        <v>#N/A</v>
      </c>
      <c r="AI787" s="3" t="e">
        <f t="shared" ca="1" si="128"/>
        <v>#N/A</v>
      </c>
    </row>
    <row r="788" spans="7:35" ht="15.75" thickBot="1" x14ac:dyDescent="0.3">
      <c r="G788" s="3">
        <f t="shared" si="120"/>
        <v>326</v>
      </c>
      <c r="H788" s="106">
        <f t="shared" si="129"/>
        <v>44886</v>
      </c>
      <c r="I788" s="133">
        <f>HLOOKUP($H$4,'Met Data'!$A$2:$F$368,G788,FALSE)</f>
        <v>14.899999999999901</v>
      </c>
      <c r="J788" s="131">
        <f ca="1">HLOOKUP($H$4,'Met Data'!$H$2:$M$368,G788,FALSE)*L788</f>
        <v>2.8366666666666598</v>
      </c>
      <c r="K788" s="107">
        <f>HLOOKUP($H$4,'Met Data'!$O$2:$T$368,G788,FALSE)</f>
        <v>3.5492721007612098</v>
      </c>
      <c r="L788">
        <f t="shared" ca="1" si="121"/>
        <v>1</v>
      </c>
      <c r="N788" t="e">
        <f t="shared" ca="1" si="122"/>
        <v>#N/A</v>
      </c>
      <c r="O788" t="e">
        <f t="shared" ca="1" si="123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4"/>
        <v>0</v>
      </c>
      <c r="AE788" s="46">
        <f t="shared" ca="1" si="125"/>
        <v>0</v>
      </c>
      <c r="AG788" s="72" t="e">
        <f t="shared" ca="1" si="126"/>
        <v>#N/A</v>
      </c>
      <c r="AH788" s="72" t="e">
        <f t="shared" ca="1" si="127"/>
        <v>#N/A</v>
      </c>
      <c r="AI788" s="3" t="e">
        <f t="shared" ca="1" si="128"/>
        <v>#N/A</v>
      </c>
    </row>
    <row r="789" spans="7:35" ht="15.75" thickBot="1" x14ac:dyDescent="0.3">
      <c r="G789" s="3">
        <f t="shared" si="120"/>
        <v>327</v>
      </c>
      <c r="H789" s="106">
        <f t="shared" si="129"/>
        <v>44887</v>
      </c>
      <c r="I789" s="133">
        <f>HLOOKUP($H$4,'Met Data'!$A$2:$F$368,G789,FALSE)</f>
        <v>15.125</v>
      </c>
      <c r="J789" s="131">
        <f ca="1">HLOOKUP($H$4,'Met Data'!$H$2:$M$368,G789,FALSE)*L789</f>
        <v>4.0966666666666596</v>
      </c>
      <c r="K789" s="107">
        <f>HLOOKUP($H$4,'Met Data'!$O$2:$T$368,G789,FALSE)</f>
        <v>3.6984174874033999</v>
      </c>
      <c r="L789">
        <f t="shared" ca="1" si="121"/>
        <v>1</v>
      </c>
      <c r="N789" t="e">
        <f t="shared" ca="1" si="122"/>
        <v>#N/A</v>
      </c>
      <c r="O789" t="e">
        <f t="shared" ca="1" si="123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4"/>
        <v>0</v>
      </c>
      <c r="AE789" s="46">
        <f t="shared" ca="1" si="125"/>
        <v>0</v>
      </c>
      <c r="AG789" s="72" t="e">
        <f t="shared" ca="1" si="126"/>
        <v>#N/A</v>
      </c>
      <c r="AH789" s="72" t="e">
        <f t="shared" ca="1" si="127"/>
        <v>#N/A</v>
      </c>
      <c r="AI789" s="3" t="e">
        <f t="shared" ca="1" si="128"/>
        <v>#N/A</v>
      </c>
    </row>
    <row r="790" spans="7:35" ht="15.75" thickBot="1" x14ac:dyDescent="0.3">
      <c r="G790" s="3">
        <f t="shared" si="120"/>
        <v>328</v>
      </c>
      <c r="H790" s="106">
        <f t="shared" si="129"/>
        <v>44888</v>
      </c>
      <c r="I790" s="133">
        <f>HLOOKUP($H$4,'Met Data'!$A$2:$F$368,G790,FALSE)</f>
        <v>15.358333333333301</v>
      </c>
      <c r="J790" s="131">
        <f ca="1">HLOOKUP($H$4,'Met Data'!$H$2:$M$368,G790,FALSE)*L790</f>
        <v>3.04</v>
      </c>
      <c r="K790" s="107">
        <f>HLOOKUP($H$4,'Met Data'!$O$2:$T$368,G790,FALSE)</f>
        <v>3.9426742076693699</v>
      </c>
      <c r="L790">
        <f t="shared" ca="1" si="121"/>
        <v>1</v>
      </c>
      <c r="N790" t="e">
        <f t="shared" ca="1" si="122"/>
        <v>#N/A</v>
      </c>
      <c r="O790" t="e">
        <f t="shared" ca="1" si="123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4"/>
        <v>0</v>
      </c>
      <c r="AE790" s="46">
        <f t="shared" ca="1" si="125"/>
        <v>0</v>
      </c>
      <c r="AG790" s="72" t="e">
        <f t="shared" ca="1" si="126"/>
        <v>#N/A</v>
      </c>
      <c r="AH790" s="72" t="e">
        <f t="shared" ca="1" si="127"/>
        <v>#N/A</v>
      </c>
      <c r="AI790" s="3" t="e">
        <f t="shared" ca="1" si="128"/>
        <v>#N/A</v>
      </c>
    </row>
    <row r="791" spans="7:35" ht="15.75" thickBot="1" x14ac:dyDescent="0.3">
      <c r="G791" s="3">
        <f t="shared" si="120"/>
        <v>329</v>
      </c>
      <c r="H791" s="106">
        <f t="shared" si="129"/>
        <v>44889</v>
      </c>
      <c r="I791" s="133">
        <f>HLOOKUP($H$4,'Met Data'!$A$2:$F$368,G791,FALSE)</f>
        <v>15.2051724137931</v>
      </c>
      <c r="J791" s="131">
        <f ca="1">HLOOKUP($H$4,'Met Data'!$H$2:$M$368,G791,FALSE)*L791</f>
        <v>2.4655172413793101</v>
      </c>
      <c r="K791" s="107">
        <f>HLOOKUP($H$4,'Met Data'!$O$2:$T$368,G791,FALSE)</f>
        <v>3.7475647250722499</v>
      </c>
      <c r="L791">
        <f t="shared" ca="1" si="121"/>
        <v>1</v>
      </c>
      <c r="N791" t="e">
        <f t="shared" ca="1" si="122"/>
        <v>#N/A</v>
      </c>
      <c r="O791" t="e">
        <f t="shared" ca="1" si="123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4"/>
        <v>0</v>
      </c>
      <c r="AE791" s="46">
        <f t="shared" ca="1" si="125"/>
        <v>0</v>
      </c>
      <c r="AG791" s="72" t="e">
        <f t="shared" ca="1" si="126"/>
        <v>#N/A</v>
      </c>
      <c r="AH791" s="72" t="e">
        <f t="shared" ca="1" si="127"/>
        <v>#N/A</v>
      </c>
      <c r="AI791" s="3" t="e">
        <f t="shared" ca="1" si="128"/>
        <v>#N/A</v>
      </c>
    </row>
    <row r="792" spans="7:35" ht="15.75" thickBot="1" x14ac:dyDescent="0.3">
      <c r="G792" s="3">
        <f t="shared" si="120"/>
        <v>330</v>
      </c>
      <c r="H792" s="106">
        <f t="shared" si="129"/>
        <v>44890</v>
      </c>
      <c r="I792" s="133">
        <f>HLOOKUP($H$4,'Met Data'!$A$2:$F$368,G792,FALSE)</f>
        <v>15.834482758620601</v>
      </c>
      <c r="J792" s="131">
        <f ca="1">HLOOKUP($H$4,'Met Data'!$H$2:$M$368,G792,FALSE)*L792</f>
        <v>2.7965517241379301</v>
      </c>
      <c r="K792" s="107">
        <f>HLOOKUP($H$4,'Met Data'!$O$2:$T$368,G792,FALSE)</f>
        <v>4.1132182691665697</v>
      </c>
      <c r="L792">
        <f t="shared" ca="1" si="121"/>
        <v>1</v>
      </c>
      <c r="N792" t="e">
        <f t="shared" ca="1" si="122"/>
        <v>#N/A</v>
      </c>
      <c r="O792" t="e">
        <f t="shared" ca="1" si="123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4"/>
        <v>0</v>
      </c>
      <c r="AE792" s="46">
        <f t="shared" ca="1" si="125"/>
        <v>0</v>
      </c>
      <c r="AG792" s="72" t="e">
        <f t="shared" ca="1" si="126"/>
        <v>#N/A</v>
      </c>
      <c r="AH792" s="72" t="e">
        <f t="shared" ca="1" si="127"/>
        <v>#N/A</v>
      </c>
      <c r="AI792" s="3" t="e">
        <f t="shared" ca="1" si="128"/>
        <v>#N/A</v>
      </c>
    </row>
    <row r="793" spans="7:35" ht="15.75" thickBot="1" x14ac:dyDescent="0.3">
      <c r="G793" s="3">
        <f t="shared" si="120"/>
        <v>331</v>
      </c>
      <c r="H793" s="106">
        <f t="shared" si="129"/>
        <v>44891</v>
      </c>
      <c r="I793" s="133">
        <f>HLOOKUP($H$4,'Met Data'!$A$2:$F$368,G793,FALSE)</f>
        <v>15.876666666666599</v>
      </c>
      <c r="J793" s="131">
        <f ca="1">HLOOKUP($H$4,'Met Data'!$H$2:$M$368,G793,FALSE)*L793</f>
        <v>2.2666666666666599</v>
      </c>
      <c r="K793" s="107">
        <f>HLOOKUP($H$4,'Met Data'!$O$2:$T$368,G793,FALSE)</f>
        <v>4.0838977840275996</v>
      </c>
      <c r="L793">
        <f t="shared" ca="1" si="121"/>
        <v>1</v>
      </c>
      <c r="N793" t="e">
        <f t="shared" ca="1" si="122"/>
        <v>#N/A</v>
      </c>
      <c r="O793" t="e">
        <f t="shared" ca="1" si="123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4"/>
        <v>0</v>
      </c>
      <c r="AE793" s="46">
        <f t="shared" ca="1" si="125"/>
        <v>0</v>
      </c>
      <c r="AG793" s="72" t="e">
        <f t="shared" ca="1" si="126"/>
        <v>#N/A</v>
      </c>
      <c r="AH793" s="72" t="e">
        <f t="shared" ca="1" si="127"/>
        <v>#N/A</v>
      </c>
      <c r="AI793" s="3" t="e">
        <f t="shared" ca="1" si="128"/>
        <v>#N/A</v>
      </c>
    </row>
    <row r="794" spans="7:35" ht="15.75" thickBot="1" x14ac:dyDescent="0.3">
      <c r="G794" s="3">
        <f t="shared" si="120"/>
        <v>332</v>
      </c>
      <c r="H794" s="106">
        <f t="shared" si="129"/>
        <v>44892</v>
      </c>
      <c r="I794" s="133">
        <f>HLOOKUP($H$4,'Met Data'!$A$2:$F$368,G794,FALSE)</f>
        <v>15.52</v>
      </c>
      <c r="J794" s="131">
        <f ca="1">HLOOKUP($H$4,'Met Data'!$H$2:$M$368,G794,FALSE)*L794</f>
        <v>3.6933333333333298</v>
      </c>
      <c r="K794" s="107">
        <f>HLOOKUP($H$4,'Met Data'!$O$2:$T$368,G794,FALSE)</f>
        <v>4.2967341086411999</v>
      </c>
      <c r="L794">
        <f t="shared" ca="1" si="121"/>
        <v>1</v>
      </c>
      <c r="N794" t="e">
        <f t="shared" ca="1" si="122"/>
        <v>#N/A</v>
      </c>
      <c r="O794" t="e">
        <f t="shared" ca="1" si="123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4"/>
        <v>0</v>
      </c>
      <c r="AE794" s="46">
        <f t="shared" ca="1" si="125"/>
        <v>0</v>
      </c>
      <c r="AG794" s="72" t="e">
        <f t="shared" ca="1" si="126"/>
        <v>#N/A</v>
      </c>
      <c r="AH794" s="72" t="e">
        <f t="shared" ca="1" si="127"/>
        <v>#N/A</v>
      </c>
      <c r="AI794" s="3" t="e">
        <f t="shared" ca="1" si="128"/>
        <v>#N/A</v>
      </c>
    </row>
    <row r="795" spans="7:35" ht="15.75" thickBot="1" x14ac:dyDescent="0.3">
      <c r="G795" s="3">
        <f t="shared" si="120"/>
        <v>333</v>
      </c>
      <c r="H795" s="106">
        <f t="shared" si="129"/>
        <v>44893</v>
      </c>
      <c r="I795" s="133">
        <f>HLOOKUP($H$4,'Met Data'!$A$2:$F$368,G795,FALSE)</f>
        <v>15.438333333333301</v>
      </c>
      <c r="J795" s="131">
        <f ca="1">HLOOKUP($H$4,'Met Data'!$H$2:$M$368,G795,FALSE)*L795</f>
        <v>4.5933333333333302</v>
      </c>
      <c r="K795" s="107">
        <f>HLOOKUP($H$4,'Met Data'!$O$2:$T$368,G795,FALSE)</f>
        <v>3.7863185649490698</v>
      </c>
      <c r="L795">
        <f t="shared" ca="1" si="121"/>
        <v>1</v>
      </c>
      <c r="N795" t="e">
        <f t="shared" ca="1" si="122"/>
        <v>#N/A</v>
      </c>
      <c r="O795" t="e">
        <f t="shared" ca="1" si="123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4"/>
        <v>0</v>
      </c>
      <c r="AE795" s="46">
        <f t="shared" ca="1" si="125"/>
        <v>0</v>
      </c>
      <c r="AG795" s="72" t="e">
        <f t="shared" ca="1" si="126"/>
        <v>#N/A</v>
      </c>
      <c r="AH795" s="72" t="e">
        <f t="shared" ca="1" si="127"/>
        <v>#N/A</v>
      </c>
      <c r="AI795" s="3" t="e">
        <f t="shared" ca="1" si="128"/>
        <v>#N/A</v>
      </c>
    </row>
    <row r="796" spans="7:35" ht="15.75" thickBot="1" x14ac:dyDescent="0.3">
      <c r="G796" s="3">
        <f t="shared" si="120"/>
        <v>334</v>
      </c>
      <c r="H796" s="106">
        <f t="shared" si="129"/>
        <v>44894</v>
      </c>
      <c r="I796" s="133">
        <f>HLOOKUP($H$4,'Met Data'!$A$2:$F$368,G796,FALSE)</f>
        <v>15.551724137931</v>
      </c>
      <c r="J796" s="131">
        <f ca="1">HLOOKUP($H$4,'Met Data'!$H$2:$M$368,G796,FALSE)*L796</f>
        <v>2.63448275862069</v>
      </c>
      <c r="K796" s="107">
        <f>HLOOKUP($H$4,'Met Data'!$O$2:$T$368,G796,FALSE)</f>
        <v>3.91369181219603</v>
      </c>
      <c r="L796">
        <f t="shared" ca="1" si="121"/>
        <v>1</v>
      </c>
      <c r="N796" t="e">
        <f t="shared" ca="1" si="122"/>
        <v>#N/A</v>
      </c>
      <c r="O796" t="e">
        <f t="shared" ca="1" si="123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4"/>
        <v>0</v>
      </c>
      <c r="AE796" s="46">
        <f t="shared" ca="1" si="125"/>
        <v>0</v>
      </c>
      <c r="AG796" s="72" t="e">
        <f t="shared" ca="1" si="126"/>
        <v>#N/A</v>
      </c>
      <c r="AH796" s="72" t="e">
        <f t="shared" ca="1" si="127"/>
        <v>#N/A</v>
      </c>
      <c r="AI796" s="3" t="e">
        <f t="shared" ca="1" si="128"/>
        <v>#N/A</v>
      </c>
    </row>
    <row r="797" spans="7:35" ht="15.75" thickBot="1" x14ac:dyDescent="0.3">
      <c r="G797" s="3">
        <f t="shared" si="120"/>
        <v>335</v>
      </c>
      <c r="H797" s="106">
        <f t="shared" si="129"/>
        <v>44895</v>
      </c>
      <c r="I797" s="133">
        <f>HLOOKUP($H$4,'Met Data'!$A$2:$F$368,G797,FALSE)</f>
        <v>15.832758620689599</v>
      </c>
      <c r="J797" s="131">
        <f ca="1">HLOOKUP($H$4,'Met Data'!$H$2:$M$368,G797,FALSE)*L797</f>
        <v>2.4931034482758601</v>
      </c>
      <c r="K797" s="107">
        <f>HLOOKUP($H$4,'Met Data'!$O$2:$T$368,G797,FALSE)</f>
        <v>3.5204814386258598</v>
      </c>
      <c r="L797">
        <f t="shared" ca="1" si="121"/>
        <v>1</v>
      </c>
      <c r="N797" t="e">
        <f t="shared" ca="1" si="122"/>
        <v>#N/A</v>
      </c>
      <c r="O797" t="e">
        <f t="shared" ca="1" si="123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4"/>
        <v>0</v>
      </c>
      <c r="AE797" s="46">
        <f t="shared" ca="1" si="125"/>
        <v>0</v>
      </c>
      <c r="AG797" s="72" t="e">
        <f t="shared" ca="1" si="126"/>
        <v>#N/A</v>
      </c>
      <c r="AH797" s="72" t="e">
        <f t="shared" ca="1" si="127"/>
        <v>#N/A</v>
      </c>
      <c r="AI797" s="3" t="e">
        <f t="shared" ca="1" si="128"/>
        <v>#N/A</v>
      </c>
    </row>
    <row r="798" spans="7:35" ht="15.75" thickBot="1" x14ac:dyDescent="0.3">
      <c r="G798" s="3">
        <f t="shared" si="120"/>
        <v>336</v>
      </c>
      <c r="H798" s="106">
        <f t="shared" si="129"/>
        <v>44896</v>
      </c>
      <c r="I798" s="133">
        <f>HLOOKUP($H$4,'Met Data'!$A$2:$F$368,G798,FALSE)</f>
        <v>16.082758620689599</v>
      </c>
      <c r="J798" s="131">
        <f ca="1">HLOOKUP($H$4,'Met Data'!$H$2:$M$368,G798,FALSE)*L798</f>
        <v>1.7689655172413701</v>
      </c>
      <c r="K798" s="107">
        <f>HLOOKUP($H$4,'Met Data'!$O$2:$T$368,G798,FALSE)</f>
        <v>4.0516623269738101</v>
      </c>
      <c r="L798">
        <f t="shared" ca="1" si="121"/>
        <v>1</v>
      </c>
      <c r="N798" t="e">
        <f t="shared" ca="1" si="122"/>
        <v>#N/A</v>
      </c>
      <c r="O798" t="e">
        <f t="shared" ca="1" si="123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4"/>
        <v>0</v>
      </c>
      <c r="AE798" s="46">
        <f t="shared" ca="1" si="125"/>
        <v>0</v>
      </c>
      <c r="AG798" s="72" t="e">
        <f t="shared" ca="1" si="126"/>
        <v>#N/A</v>
      </c>
      <c r="AH798" s="72" t="e">
        <f t="shared" ca="1" si="127"/>
        <v>#N/A</v>
      </c>
      <c r="AI798" s="3" t="e">
        <f t="shared" ca="1" si="128"/>
        <v>#N/A</v>
      </c>
    </row>
    <row r="799" spans="7:35" ht="15.75" thickBot="1" x14ac:dyDescent="0.3">
      <c r="G799" s="3">
        <f t="shared" si="120"/>
        <v>337</v>
      </c>
      <c r="H799" s="106">
        <f t="shared" si="129"/>
        <v>44897</v>
      </c>
      <c r="I799" s="133">
        <f>HLOOKUP($H$4,'Met Data'!$A$2:$F$368,G799,FALSE)</f>
        <v>16.4931034482758</v>
      </c>
      <c r="J799" s="131">
        <f ca="1">HLOOKUP($H$4,'Met Data'!$H$2:$M$368,G799,FALSE)*L799</f>
        <v>5.1137931034482698</v>
      </c>
      <c r="K799" s="107">
        <f>HLOOKUP($H$4,'Met Data'!$O$2:$T$368,G799,FALSE)</f>
        <v>3.5036176940509298</v>
      </c>
      <c r="L799">
        <f t="shared" ca="1" si="121"/>
        <v>1</v>
      </c>
      <c r="N799" t="e">
        <f t="shared" ca="1" si="122"/>
        <v>#N/A</v>
      </c>
      <c r="O799" t="e">
        <f t="shared" ca="1" si="123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4"/>
        <v>0</v>
      </c>
      <c r="AE799" s="46">
        <f t="shared" ca="1" si="125"/>
        <v>0</v>
      </c>
      <c r="AG799" s="72" t="e">
        <f t="shared" ca="1" si="126"/>
        <v>#N/A</v>
      </c>
      <c r="AH799" s="72" t="e">
        <f t="shared" ca="1" si="127"/>
        <v>#N/A</v>
      </c>
      <c r="AI799" s="3" t="e">
        <f t="shared" ca="1" si="128"/>
        <v>#N/A</v>
      </c>
    </row>
    <row r="800" spans="7:35" ht="15.75" thickBot="1" x14ac:dyDescent="0.3">
      <c r="G800" s="3">
        <f t="shared" si="120"/>
        <v>338</v>
      </c>
      <c r="H800" s="106">
        <f t="shared" si="129"/>
        <v>44898</v>
      </c>
      <c r="I800" s="133">
        <f>HLOOKUP($H$4,'Met Data'!$A$2:$F$368,G800,FALSE)</f>
        <v>16.78</v>
      </c>
      <c r="J800" s="131">
        <f ca="1">HLOOKUP($H$4,'Met Data'!$H$2:$M$368,G800,FALSE)*L800</f>
        <v>1.71</v>
      </c>
      <c r="K800" s="107">
        <f>HLOOKUP($H$4,'Met Data'!$O$2:$T$368,G800,FALSE)</f>
        <v>3.8786861346319301</v>
      </c>
      <c r="L800">
        <f t="shared" ca="1" si="121"/>
        <v>1</v>
      </c>
      <c r="N800" t="e">
        <f t="shared" ca="1" si="122"/>
        <v>#N/A</v>
      </c>
      <c r="O800" t="e">
        <f t="shared" ca="1" si="123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4"/>
        <v>0</v>
      </c>
      <c r="AE800" s="46">
        <f t="shared" ca="1" si="125"/>
        <v>0</v>
      </c>
      <c r="AG800" s="72" t="e">
        <f t="shared" ca="1" si="126"/>
        <v>#N/A</v>
      </c>
      <c r="AH800" s="72" t="e">
        <f t="shared" ca="1" si="127"/>
        <v>#N/A</v>
      </c>
      <c r="AI800" s="3" t="e">
        <f t="shared" ca="1" si="128"/>
        <v>#N/A</v>
      </c>
    </row>
    <row r="801" spans="7:35" ht="15.75" thickBot="1" x14ac:dyDescent="0.3">
      <c r="G801" s="3">
        <f t="shared" si="120"/>
        <v>339</v>
      </c>
      <c r="H801" s="106">
        <f t="shared" si="129"/>
        <v>44899</v>
      </c>
      <c r="I801" s="133">
        <f>HLOOKUP($H$4,'Met Data'!$A$2:$F$368,G801,FALSE)</f>
        <v>16.8266666666666</v>
      </c>
      <c r="J801" s="131">
        <f ca="1">HLOOKUP($H$4,'Met Data'!$H$2:$M$368,G801,FALSE)*L801</f>
        <v>6.0433333333333303</v>
      </c>
      <c r="K801" s="107">
        <f>HLOOKUP($H$4,'Met Data'!$O$2:$T$368,G801,FALSE)</f>
        <v>3.6269671816345701</v>
      </c>
      <c r="L801">
        <f t="shared" ca="1" si="121"/>
        <v>1</v>
      </c>
      <c r="N801" t="e">
        <f t="shared" ca="1" si="122"/>
        <v>#N/A</v>
      </c>
      <c r="O801" t="e">
        <f t="shared" ca="1" si="123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4"/>
        <v>0</v>
      </c>
      <c r="AE801" s="46">
        <f t="shared" ca="1" si="125"/>
        <v>0</v>
      </c>
      <c r="AG801" s="72" t="e">
        <f t="shared" ca="1" si="126"/>
        <v>#N/A</v>
      </c>
      <c r="AH801" s="72" t="e">
        <f t="shared" ca="1" si="127"/>
        <v>#N/A</v>
      </c>
      <c r="AI801" s="3" t="e">
        <f t="shared" ca="1" si="128"/>
        <v>#N/A</v>
      </c>
    </row>
    <row r="802" spans="7:35" ht="15.75" thickBot="1" x14ac:dyDescent="0.3">
      <c r="G802" s="3">
        <f t="shared" si="120"/>
        <v>340</v>
      </c>
      <c r="H802" s="106">
        <f t="shared" si="129"/>
        <v>44900</v>
      </c>
      <c r="I802" s="133">
        <f>HLOOKUP($H$4,'Met Data'!$A$2:$F$368,G802,FALSE)</f>
        <v>16.6516666666666</v>
      </c>
      <c r="J802" s="131">
        <f ca="1">HLOOKUP($H$4,'Met Data'!$H$2:$M$368,G802,FALSE)*L802</f>
        <v>4.9033333333333298</v>
      </c>
      <c r="K802" s="107">
        <f>HLOOKUP($H$4,'Met Data'!$O$2:$T$368,G802,FALSE)</f>
        <v>3.8159631078200702</v>
      </c>
      <c r="L802">
        <f t="shared" ca="1" si="121"/>
        <v>1</v>
      </c>
      <c r="N802" t="e">
        <f t="shared" ca="1" si="122"/>
        <v>#N/A</v>
      </c>
      <c r="O802" t="e">
        <f t="shared" ca="1" si="123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4"/>
        <v>0</v>
      </c>
      <c r="AE802" s="46">
        <f t="shared" ca="1" si="125"/>
        <v>0</v>
      </c>
      <c r="AG802" s="72" t="e">
        <f t="shared" ca="1" si="126"/>
        <v>#N/A</v>
      </c>
      <c r="AH802" s="72" t="e">
        <f t="shared" ca="1" si="127"/>
        <v>#N/A</v>
      </c>
      <c r="AI802" s="3" t="e">
        <f t="shared" ca="1" si="128"/>
        <v>#N/A</v>
      </c>
    </row>
    <row r="803" spans="7:35" ht="15.75" thickBot="1" x14ac:dyDescent="0.3">
      <c r="G803" s="3">
        <f t="shared" si="120"/>
        <v>341</v>
      </c>
      <c r="H803" s="106">
        <f t="shared" si="129"/>
        <v>44901</v>
      </c>
      <c r="I803" s="133">
        <f>HLOOKUP($H$4,'Met Data'!$A$2:$F$368,G803,FALSE)</f>
        <v>16.68</v>
      </c>
      <c r="J803" s="131">
        <f ca="1">HLOOKUP($H$4,'Met Data'!$H$2:$M$368,G803,FALSE)*L803</f>
        <v>3.7299999999999902</v>
      </c>
      <c r="K803" s="107">
        <f>HLOOKUP($H$4,'Met Data'!$O$2:$T$368,G803,FALSE)</f>
        <v>3.9805130657979602</v>
      </c>
      <c r="L803">
        <f t="shared" ca="1" si="121"/>
        <v>1</v>
      </c>
      <c r="N803" t="e">
        <f t="shared" ca="1" si="122"/>
        <v>#N/A</v>
      </c>
      <c r="O803" t="e">
        <f t="shared" ca="1" si="123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4"/>
        <v>0</v>
      </c>
      <c r="AE803" s="46">
        <f t="shared" ca="1" si="125"/>
        <v>0</v>
      </c>
      <c r="AG803" s="72" t="e">
        <f t="shared" ca="1" si="126"/>
        <v>#N/A</v>
      </c>
      <c r="AH803" s="72" t="e">
        <f t="shared" ca="1" si="127"/>
        <v>#N/A</v>
      </c>
      <c r="AI803" s="3" t="e">
        <f t="shared" ca="1" si="128"/>
        <v>#N/A</v>
      </c>
    </row>
    <row r="804" spans="7:35" ht="15.75" thickBot="1" x14ac:dyDescent="0.3">
      <c r="G804" s="3">
        <f t="shared" si="120"/>
        <v>342</v>
      </c>
      <c r="H804" s="106">
        <f t="shared" si="129"/>
        <v>44902</v>
      </c>
      <c r="I804" s="133">
        <f>HLOOKUP($H$4,'Met Data'!$A$2:$F$368,G804,FALSE)</f>
        <v>16.158333333333299</v>
      </c>
      <c r="J804" s="131">
        <f ca="1">HLOOKUP($H$4,'Met Data'!$H$2:$M$368,G804,FALSE)*L804</f>
        <v>3.96999999999999</v>
      </c>
      <c r="K804" s="107">
        <f>HLOOKUP($H$4,'Met Data'!$O$2:$T$368,G804,FALSE)</f>
        <v>3.9985245379954399</v>
      </c>
      <c r="L804">
        <f t="shared" ca="1" si="121"/>
        <v>1</v>
      </c>
      <c r="N804" t="e">
        <f t="shared" ca="1" si="122"/>
        <v>#N/A</v>
      </c>
      <c r="O804" t="e">
        <f t="shared" ca="1" si="123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4"/>
        <v>0</v>
      </c>
      <c r="AE804" s="46">
        <f t="shared" ca="1" si="125"/>
        <v>0</v>
      </c>
      <c r="AG804" s="72" t="e">
        <f t="shared" ca="1" si="126"/>
        <v>#N/A</v>
      </c>
      <c r="AH804" s="72" t="e">
        <f t="shared" ca="1" si="127"/>
        <v>#N/A</v>
      </c>
      <c r="AI804" s="3" t="e">
        <f t="shared" ca="1" si="128"/>
        <v>#N/A</v>
      </c>
    </row>
    <row r="805" spans="7:35" ht="15.75" thickBot="1" x14ac:dyDescent="0.3">
      <c r="G805" s="3">
        <f t="shared" si="120"/>
        <v>343</v>
      </c>
      <c r="H805" s="106">
        <f t="shared" si="129"/>
        <v>44903</v>
      </c>
      <c r="I805" s="133">
        <f>HLOOKUP($H$4,'Met Data'!$A$2:$F$368,G805,FALSE)</f>
        <v>16.105</v>
      </c>
      <c r="J805" s="131">
        <f ca="1">HLOOKUP($H$4,'Met Data'!$H$2:$M$368,G805,FALSE)*L805</f>
        <v>2.43333333333333</v>
      </c>
      <c r="K805" s="107">
        <f>HLOOKUP($H$4,'Met Data'!$O$2:$T$368,G805,FALSE)</f>
        <v>4.0668482894046898</v>
      </c>
      <c r="L805">
        <f t="shared" ca="1" si="121"/>
        <v>1</v>
      </c>
      <c r="N805" t="e">
        <f t="shared" ca="1" si="122"/>
        <v>#N/A</v>
      </c>
      <c r="O805" t="e">
        <f t="shared" ca="1" si="123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4"/>
        <v>0</v>
      </c>
      <c r="AE805" s="46">
        <f t="shared" ca="1" si="125"/>
        <v>0</v>
      </c>
      <c r="AG805" s="72" t="e">
        <f t="shared" ca="1" si="126"/>
        <v>#N/A</v>
      </c>
      <c r="AH805" s="72" t="e">
        <f t="shared" ca="1" si="127"/>
        <v>#N/A</v>
      </c>
      <c r="AI805" s="3" t="e">
        <f t="shared" ca="1" si="128"/>
        <v>#N/A</v>
      </c>
    </row>
    <row r="806" spans="7:35" ht="15.75" thickBot="1" x14ac:dyDescent="0.3">
      <c r="G806" s="3">
        <f t="shared" si="120"/>
        <v>344</v>
      </c>
      <c r="H806" s="106">
        <f t="shared" si="129"/>
        <v>44904</v>
      </c>
      <c r="I806" s="133">
        <f>HLOOKUP($H$4,'Met Data'!$A$2:$F$368,G806,FALSE)</f>
        <v>16.565000000000001</v>
      </c>
      <c r="J806" s="131">
        <f ca="1">HLOOKUP($H$4,'Met Data'!$H$2:$M$368,G806,FALSE)*L806</f>
        <v>1.57666666666666</v>
      </c>
      <c r="K806" s="107">
        <f>HLOOKUP($H$4,'Met Data'!$O$2:$T$368,G806,FALSE)</f>
        <v>4.3303303245888296</v>
      </c>
      <c r="L806">
        <f t="shared" ca="1" si="121"/>
        <v>1</v>
      </c>
      <c r="N806" t="e">
        <f t="shared" ca="1" si="122"/>
        <v>#N/A</v>
      </c>
      <c r="O806" t="e">
        <f t="shared" ca="1" si="123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4"/>
        <v>0</v>
      </c>
      <c r="AE806" s="46">
        <f t="shared" ca="1" si="125"/>
        <v>0</v>
      </c>
      <c r="AG806" s="72" t="e">
        <f t="shared" ca="1" si="126"/>
        <v>#N/A</v>
      </c>
      <c r="AH806" s="72" t="e">
        <f t="shared" ca="1" si="127"/>
        <v>#N/A</v>
      </c>
      <c r="AI806" s="3" t="e">
        <f t="shared" ca="1" si="128"/>
        <v>#N/A</v>
      </c>
    </row>
    <row r="807" spans="7:35" ht="15.75" thickBot="1" x14ac:dyDescent="0.3">
      <c r="G807" s="3">
        <f t="shared" si="120"/>
        <v>345</v>
      </c>
      <c r="H807" s="106">
        <f t="shared" si="129"/>
        <v>44905</v>
      </c>
      <c r="I807" s="133">
        <f>HLOOKUP($H$4,'Met Data'!$A$2:$F$368,G807,FALSE)</f>
        <v>16.483333333333299</v>
      </c>
      <c r="J807" s="131">
        <f ca="1">HLOOKUP($H$4,'Met Data'!$H$2:$M$368,G807,FALSE)*L807</f>
        <v>2.9733333333333301</v>
      </c>
      <c r="K807" s="107">
        <f>HLOOKUP($H$4,'Met Data'!$O$2:$T$368,G807,FALSE)</f>
        <v>4.0534379567104599</v>
      </c>
      <c r="L807">
        <f t="shared" ca="1" si="121"/>
        <v>1</v>
      </c>
      <c r="N807" t="e">
        <f t="shared" ca="1" si="122"/>
        <v>#N/A</v>
      </c>
      <c r="O807" t="e">
        <f t="shared" ca="1" si="123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4"/>
        <v>0</v>
      </c>
      <c r="AE807" s="46">
        <f t="shared" ca="1" si="125"/>
        <v>0</v>
      </c>
      <c r="AG807" s="72" t="e">
        <f t="shared" ca="1" si="126"/>
        <v>#N/A</v>
      </c>
      <c r="AH807" s="72" t="e">
        <f t="shared" ca="1" si="127"/>
        <v>#N/A</v>
      </c>
      <c r="AI807" s="3" t="e">
        <f t="shared" ca="1" si="128"/>
        <v>#N/A</v>
      </c>
    </row>
    <row r="808" spans="7:35" ht="15.75" thickBot="1" x14ac:dyDescent="0.3">
      <c r="G808" s="3">
        <f t="shared" si="120"/>
        <v>346</v>
      </c>
      <c r="H808" s="106">
        <f t="shared" si="129"/>
        <v>44906</v>
      </c>
      <c r="I808" s="133">
        <f>HLOOKUP($H$4,'Met Data'!$A$2:$F$368,G808,FALSE)</f>
        <v>17.015000000000001</v>
      </c>
      <c r="J808" s="131">
        <f ca="1">HLOOKUP($H$4,'Met Data'!$H$2:$M$368,G808,FALSE)*L808</f>
        <v>1.12666666666666</v>
      </c>
      <c r="K808" s="107">
        <f>HLOOKUP($H$4,'Met Data'!$O$2:$T$368,G808,FALSE)</f>
        <v>4.1505313677650202</v>
      </c>
      <c r="L808">
        <f t="shared" ca="1" si="121"/>
        <v>1</v>
      </c>
      <c r="N808" t="e">
        <f t="shared" ca="1" si="122"/>
        <v>#N/A</v>
      </c>
      <c r="O808" t="e">
        <f t="shared" ca="1" si="123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4"/>
        <v>0</v>
      </c>
      <c r="AE808" s="46">
        <f t="shared" ca="1" si="125"/>
        <v>0</v>
      </c>
      <c r="AG808" s="72" t="e">
        <f t="shared" ca="1" si="126"/>
        <v>#N/A</v>
      </c>
      <c r="AH808" s="72" t="e">
        <f t="shared" ca="1" si="127"/>
        <v>#N/A</v>
      </c>
      <c r="AI808" s="3" t="e">
        <f t="shared" ca="1" si="128"/>
        <v>#N/A</v>
      </c>
    </row>
    <row r="809" spans="7:35" ht="15.75" thickBot="1" x14ac:dyDescent="0.3">
      <c r="G809" s="3">
        <f t="shared" si="120"/>
        <v>347</v>
      </c>
      <c r="H809" s="106">
        <f t="shared" si="129"/>
        <v>44907</v>
      </c>
      <c r="I809" s="133">
        <f>HLOOKUP($H$4,'Met Data'!$A$2:$F$368,G809,FALSE)</f>
        <v>17.483333333333299</v>
      </c>
      <c r="J809" s="131">
        <f ca="1">HLOOKUP($H$4,'Met Data'!$H$2:$M$368,G809,FALSE)*L809</f>
        <v>1.9166666666666601</v>
      </c>
      <c r="K809" s="107">
        <f>HLOOKUP($H$4,'Met Data'!$O$2:$T$368,G809,FALSE)</f>
        <v>3.8850422651579102</v>
      </c>
      <c r="L809">
        <f t="shared" ca="1" si="121"/>
        <v>1</v>
      </c>
      <c r="N809" t="e">
        <f t="shared" ca="1" si="122"/>
        <v>#N/A</v>
      </c>
      <c r="O809" t="e">
        <f t="shared" ca="1" si="123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4"/>
        <v>0</v>
      </c>
      <c r="AE809" s="46">
        <f t="shared" ca="1" si="125"/>
        <v>0</v>
      </c>
      <c r="AG809" s="72" t="e">
        <f t="shared" ca="1" si="126"/>
        <v>#N/A</v>
      </c>
      <c r="AH809" s="72" t="e">
        <f t="shared" ca="1" si="127"/>
        <v>#N/A</v>
      </c>
      <c r="AI809" s="3" t="e">
        <f t="shared" ca="1" si="128"/>
        <v>#N/A</v>
      </c>
    </row>
    <row r="810" spans="7:35" ht="15.75" thickBot="1" x14ac:dyDescent="0.3">
      <c r="G810" s="3">
        <f t="shared" si="120"/>
        <v>348</v>
      </c>
      <c r="H810" s="106">
        <f t="shared" si="129"/>
        <v>44908</v>
      </c>
      <c r="I810" s="133">
        <f>HLOOKUP($H$4,'Met Data'!$A$2:$F$368,G810,FALSE)</f>
        <v>17.251666666666601</v>
      </c>
      <c r="J810" s="131">
        <f ca="1">HLOOKUP($H$4,'Met Data'!$H$2:$M$368,G810,FALSE)*L810</f>
        <v>1.93333333333333</v>
      </c>
      <c r="K810" s="107">
        <f>HLOOKUP($H$4,'Met Data'!$O$2:$T$368,G810,FALSE)</f>
        <v>4.3816384015384404</v>
      </c>
      <c r="L810">
        <f t="shared" ca="1" si="121"/>
        <v>1</v>
      </c>
      <c r="N810" t="e">
        <f t="shared" ca="1" si="122"/>
        <v>#N/A</v>
      </c>
      <c r="O810" t="e">
        <f t="shared" ca="1" si="123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4"/>
        <v>0</v>
      </c>
      <c r="AE810" s="46">
        <f t="shared" ca="1" si="125"/>
        <v>0</v>
      </c>
      <c r="AG810" s="72" t="e">
        <f t="shared" ca="1" si="126"/>
        <v>#N/A</v>
      </c>
      <c r="AH810" s="72" t="e">
        <f t="shared" ca="1" si="127"/>
        <v>#N/A</v>
      </c>
      <c r="AI810" s="3" t="e">
        <f t="shared" ca="1" si="128"/>
        <v>#N/A</v>
      </c>
    </row>
    <row r="811" spans="7:35" ht="15.75" thickBot="1" x14ac:dyDescent="0.3">
      <c r="G811" s="3">
        <f t="shared" si="120"/>
        <v>349</v>
      </c>
      <c r="H811" s="106">
        <f t="shared" si="129"/>
        <v>44909</v>
      </c>
      <c r="I811" s="133">
        <f>HLOOKUP($H$4,'Met Data'!$A$2:$F$368,G811,FALSE)</f>
        <v>17.1733333333333</v>
      </c>
      <c r="J811" s="131">
        <f ca="1">HLOOKUP($H$4,'Met Data'!$H$2:$M$368,G811,FALSE)*L811</f>
        <v>4.1233333333333304</v>
      </c>
      <c r="K811" s="107">
        <f>HLOOKUP($H$4,'Met Data'!$O$2:$T$368,G811,FALSE)</f>
        <v>4.03321434314394</v>
      </c>
      <c r="L811">
        <f t="shared" ca="1" si="121"/>
        <v>1</v>
      </c>
      <c r="N811" t="e">
        <f t="shared" ca="1" si="122"/>
        <v>#N/A</v>
      </c>
      <c r="O811" t="e">
        <f t="shared" ca="1" si="123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4"/>
        <v>0</v>
      </c>
      <c r="AE811" s="46">
        <f t="shared" ca="1" si="125"/>
        <v>0</v>
      </c>
      <c r="AG811" s="72" t="e">
        <f t="shared" ca="1" si="126"/>
        <v>#N/A</v>
      </c>
      <c r="AH811" s="72" t="e">
        <f t="shared" ca="1" si="127"/>
        <v>#N/A</v>
      </c>
      <c r="AI811" s="3" t="e">
        <f t="shared" ca="1" si="128"/>
        <v>#N/A</v>
      </c>
    </row>
    <row r="812" spans="7:35" ht="15.75" thickBot="1" x14ac:dyDescent="0.3">
      <c r="G812" s="3">
        <f t="shared" si="120"/>
        <v>350</v>
      </c>
      <c r="H812" s="106">
        <f t="shared" si="129"/>
        <v>44910</v>
      </c>
      <c r="I812" s="133">
        <f>HLOOKUP($H$4,'Met Data'!$A$2:$F$368,G812,FALSE)</f>
        <v>17.0068965517241</v>
      </c>
      <c r="J812" s="131">
        <f ca="1">HLOOKUP($H$4,'Met Data'!$H$2:$M$368,G812,FALSE)*L812</f>
        <v>2.5793103448275798</v>
      </c>
      <c r="K812" s="107">
        <f>HLOOKUP($H$4,'Met Data'!$O$2:$T$368,G812,FALSE)</f>
        <v>4.1838965938969297</v>
      </c>
      <c r="L812">
        <f t="shared" ca="1" si="121"/>
        <v>1</v>
      </c>
      <c r="N812" t="e">
        <f t="shared" ca="1" si="122"/>
        <v>#N/A</v>
      </c>
      <c r="O812" t="e">
        <f t="shared" ca="1" si="123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4"/>
        <v>0</v>
      </c>
      <c r="AE812" s="46">
        <f t="shared" ca="1" si="125"/>
        <v>0</v>
      </c>
      <c r="AG812" s="72" t="e">
        <f t="shared" ca="1" si="126"/>
        <v>#N/A</v>
      </c>
      <c r="AH812" s="72" t="e">
        <f t="shared" ca="1" si="127"/>
        <v>#N/A</v>
      </c>
      <c r="AI812" s="3" t="e">
        <f t="shared" ca="1" si="128"/>
        <v>#N/A</v>
      </c>
    </row>
    <row r="813" spans="7:35" ht="15.75" thickBot="1" x14ac:dyDescent="0.3">
      <c r="G813" s="3">
        <f t="shared" si="120"/>
        <v>351</v>
      </c>
      <c r="H813" s="106">
        <f t="shared" si="129"/>
        <v>44911</v>
      </c>
      <c r="I813" s="133">
        <f>HLOOKUP($H$4,'Met Data'!$A$2:$F$368,G813,FALSE)</f>
        <v>17.105172413793099</v>
      </c>
      <c r="J813" s="131">
        <f ca="1">HLOOKUP($H$4,'Met Data'!$H$2:$M$368,G813,FALSE)*L813</f>
        <v>5.3551724137930998</v>
      </c>
      <c r="K813" s="107">
        <f>HLOOKUP($H$4,'Met Data'!$O$2:$T$368,G813,FALSE)</f>
        <v>3.9954599380242</v>
      </c>
      <c r="L813">
        <f t="shared" ca="1" si="121"/>
        <v>1</v>
      </c>
      <c r="N813" t="e">
        <f t="shared" ca="1" si="122"/>
        <v>#N/A</v>
      </c>
      <c r="O813" t="e">
        <f t="shared" ca="1" si="123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4"/>
        <v>0</v>
      </c>
      <c r="AE813" s="46">
        <f t="shared" ca="1" si="125"/>
        <v>0</v>
      </c>
      <c r="AG813" s="72" t="e">
        <f t="shared" ca="1" si="126"/>
        <v>#N/A</v>
      </c>
      <c r="AH813" s="72" t="e">
        <f t="shared" ca="1" si="127"/>
        <v>#N/A</v>
      </c>
      <c r="AI813" s="3" t="e">
        <f t="shared" ca="1" si="128"/>
        <v>#N/A</v>
      </c>
    </row>
    <row r="814" spans="7:35" ht="15.75" thickBot="1" x14ac:dyDescent="0.3">
      <c r="G814" s="3">
        <f t="shared" si="120"/>
        <v>352</v>
      </c>
      <c r="H814" s="106">
        <f t="shared" si="129"/>
        <v>44912</v>
      </c>
      <c r="I814" s="133">
        <f>HLOOKUP($H$4,'Met Data'!$A$2:$F$368,G814,FALSE)</f>
        <v>17.153448275862001</v>
      </c>
      <c r="J814" s="131">
        <f ca="1">HLOOKUP($H$4,'Met Data'!$H$2:$M$368,G814,FALSE)*L814</f>
        <v>4.6827586206896497</v>
      </c>
      <c r="K814" s="107">
        <f>HLOOKUP($H$4,'Met Data'!$O$2:$T$368,G814,FALSE)</f>
        <v>4.0087446707632299</v>
      </c>
      <c r="L814">
        <f t="shared" ca="1" si="121"/>
        <v>1</v>
      </c>
      <c r="N814" t="e">
        <f t="shared" ca="1" si="122"/>
        <v>#N/A</v>
      </c>
      <c r="O814" t="e">
        <f t="shared" ca="1" si="123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4"/>
        <v>0</v>
      </c>
      <c r="AE814" s="46">
        <f t="shared" ca="1" si="125"/>
        <v>0</v>
      </c>
      <c r="AG814" s="72" t="e">
        <f t="shared" ca="1" si="126"/>
        <v>#N/A</v>
      </c>
      <c r="AH814" s="72" t="e">
        <f t="shared" ca="1" si="127"/>
        <v>#N/A</v>
      </c>
      <c r="AI814" s="3" t="e">
        <f t="shared" ca="1" si="128"/>
        <v>#N/A</v>
      </c>
    </row>
    <row r="815" spans="7:35" ht="15.75" thickBot="1" x14ac:dyDescent="0.3">
      <c r="G815" s="3">
        <f t="shared" si="120"/>
        <v>353</v>
      </c>
      <c r="H815" s="106">
        <f t="shared" si="129"/>
        <v>44913</v>
      </c>
      <c r="I815" s="133">
        <f>HLOOKUP($H$4,'Met Data'!$A$2:$F$368,G815,FALSE)</f>
        <v>16.853448275862</v>
      </c>
      <c r="J815" s="131">
        <f ca="1">HLOOKUP($H$4,'Met Data'!$H$2:$M$368,G815,FALSE)*L815</f>
        <v>4.4103448275861998</v>
      </c>
      <c r="K815" s="107">
        <f>HLOOKUP($H$4,'Met Data'!$O$2:$T$368,G815,FALSE)</f>
        <v>3.8624789224218001</v>
      </c>
      <c r="L815">
        <f t="shared" ca="1" si="121"/>
        <v>1</v>
      </c>
      <c r="N815" t="e">
        <f t="shared" ca="1" si="122"/>
        <v>#N/A</v>
      </c>
      <c r="O815" t="e">
        <f t="shared" ca="1" si="123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4"/>
        <v>0</v>
      </c>
      <c r="AE815" s="46">
        <f t="shared" ca="1" si="125"/>
        <v>0</v>
      </c>
      <c r="AG815" s="72" t="e">
        <f t="shared" ca="1" si="126"/>
        <v>#N/A</v>
      </c>
      <c r="AH815" s="72" t="e">
        <f t="shared" ca="1" si="127"/>
        <v>#N/A</v>
      </c>
      <c r="AI815" s="3" t="e">
        <f t="shared" ca="1" si="128"/>
        <v>#N/A</v>
      </c>
    </row>
    <row r="816" spans="7:35" ht="15.75" thickBot="1" x14ac:dyDescent="0.3">
      <c r="G816" s="3">
        <f t="shared" ref="G816:G879" si="130">H816-DATE(YEAR(H816),1,0)+1</f>
        <v>354</v>
      </c>
      <c r="H816" s="106">
        <f t="shared" si="129"/>
        <v>44914</v>
      </c>
      <c r="I816" s="133">
        <f>HLOOKUP($H$4,'Met Data'!$A$2:$F$368,G816,FALSE)</f>
        <v>17.030357142857099</v>
      </c>
      <c r="J816" s="131">
        <f ca="1">HLOOKUP($H$4,'Met Data'!$H$2:$M$368,G816,FALSE)*L816</f>
        <v>4.3285714285714203</v>
      </c>
      <c r="K816" s="107">
        <f>HLOOKUP($H$4,'Met Data'!$O$2:$T$368,G816,FALSE)</f>
        <v>4.1713118658622399</v>
      </c>
      <c r="L816">
        <f t="shared" ref="L816:L879" ca="1" si="131">IF(H816&lt;$B$31,$J$3,$J$4)</f>
        <v>1</v>
      </c>
      <c r="N816" t="e">
        <f t="shared" ref="N816:N879" ca="1" si="132">IF(P816&lt;$P$3,TRUE,FALSE)</f>
        <v>#N/A</v>
      </c>
      <c r="O816" t="e">
        <f t="shared" ref="O816:O879" ca="1" si="133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4">IFERROR(P816,$AD$4)</f>
        <v>0</v>
      </c>
      <c r="AE816" s="46">
        <f t="shared" ref="AE816:AE879" ca="1" si="135">IFERROR(U816,0)</f>
        <v>0</v>
      </c>
      <c r="AG816" s="72" t="e">
        <f t="shared" ref="AG816:AG879" ca="1" si="136">Q815+S816+T816+U816</f>
        <v>#N/A</v>
      </c>
      <c r="AH816" s="72" t="e">
        <f t="shared" ref="AH816:AH879" ca="1" si="137">Q816+R816+X816</f>
        <v>#N/A</v>
      </c>
      <c r="AI816" s="3" t="e">
        <f t="shared" ref="AI816:AI879" ca="1" si="138">AH816-AG816</f>
        <v>#N/A</v>
      </c>
    </row>
    <row r="817" spans="7:35" ht="15.75" thickBot="1" x14ac:dyDescent="0.3">
      <c r="G817" s="3">
        <f t="shared" si="130"/>
        <v>355</v>
      </c>
      <c r="H817" s="106">
        <f t="shared" si="129"/>
        <v>44915</v>
      </c>
      <c r="I817" s="133">
        <f>HLOOKUP($H$4,'Met Data'!$A$2:$F$368,G817,FALSE)</f>
        <v>17.3086206896551</v>
      </c>
      <c r="J817" s="131">
        <f ca="1">HLOOKUP($H$4,'Met Data'!$H$2:$M$368,G817,FALSE)*L817</f>
        <v>1.38620689655172</v>
      </c>
      <c r="K817" s="107">
        <f>HLOOKUP($H$4,'Met Data'!$O$2:$T$368,G817,FALSE)</f>
        <v>4.2492728260034598</v>
      </c>
      <c r="L817">
        <f t="shared" ca="1" si="131"/>
        <v>1</v>
      </c>
      <c r="N817" t="e">
        <f t="shared" ca="1" si="132"/>
        <v>#N/A</v>
      </c>
      <c r="O817" t="e">
        <f t="shared" ca="1" si="133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4"/>
        <v>0</v>
      </c>
      <c r="AE817" s="46">
        <f t="shared" ca="1" si="135"/>
        <v>0</v>
      </c>
      <c r="AG817" s="72" t="e">
        <f t="shared" ca="1" si="136"/>
        <v>#N/A</v>
      </c>
      <c r="AH817" s="72" t="e">
        <f t="shared" ca="1" si="137"/>
        <v>#N/A</v>
      </c>
      <c r="AI817" s="3" t="e">
        <f t="shared" ca="1" si="138"/>
        <v>#N/A</v>
      </c>
    </row>
    <row r="818" spans="7:35" ht="15.75" thickBot="1" x14ac:dyDescent="0.3">
      <c r="G818" s="3">
        <f t="shared" si="130"/>
        <v>356</v>
      </c>
      <c r="H818" s="106">
        <f t="shared" si="129"/>
        <v>44916</v>
      </c>
      <c r="I818" s="133">
        <f>HLOOKUP($H$4,'Met Data'!$A$2:$F$368,G818,FALSE)</f>
        <v>17.3086206896551</v>
      </c>
      <c r="J818" s="131">
        <f ca="1">HLOOKUP($H$4,'Met Data'!$H$2:$M$368,G818,FALSE)*L818</f>
        <v>3.66206896551724</v>
      </c>
      <c r="K818" s="107">
        <f>HLOOKUP($H$4,'Met Data'!$O$2:$T$368,G818,FALSE)</f>
        <v>3.9108587200843599</v>
      </c>
      <c r="L818">
        <f t="shared" ca="1" si="131"/>
        <v>1</v>
      </c>
      <c r="N818" t="e">
        <f t="shared" ca="1" si="132"/>
        <v>#N/A</v>
      </c>
      <c r="O818" t="e">
        <f t="shared" ca="1" si="133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4"/>
        <v>0</v>
      </c>
      <c r="AE818" s="46">
        <f t="shared" ca="1" si="135"/>
        <v>0</v>
      </c>
      <c r="AG818" s="72" t="e">
        <f t="shared" ca="1" si="136"/>
        <v>#N/A</v>
      </c>
      <c r="AH818" s="72" t="e">
        <f t="shared" ca="1" si="137"/>
        <v>#N/A</v>
      </c>
      <c r="AI818" s="3" t="e">
        <f t="shared" ca="1" si="138"/>
        <v>#N/A</v>
      </c>
    </row>
    <row r="819" spans="7:35" ht="15.75" thickBot="1" x14ac:dyDescent="0.3">
      <c r="G819" s="3">
        <f t="shared" si="130"/>
        <v>357</v>
      </c>
      <c r="H819" s="106">
        <f t="shared" si="129"/>
        <v>44917</v>
      </c>
      <c r="I819" s="133">
        <f>HLOOKUP($H$4,'Met Data'!$A$2:$F$368,G819,FALSE)</f>
        <v>17.474137931034399</v>
      </c>
      <c r="J819" s="131">
        <f ca="1">HLOOKUP($H$4,'Met Data'!$H$2:$M$368,G819,FALSE)*L819</f>
        <v>1.82758620689655</v>
      </c>
      <c r="K819" s="107">
        <f>HLOOKUP($H$4,'Met Data'!$O$2:$T$368,G819,FALSE)</f>
        <v>4.3560784704810001</v>
      </c>
      <c r="L819">
        <f t="shared" ca="1" si="131"/>
        <v>1</v>
      </c>
      <c r="N819" t="e">
        <f t="shared" ca="1" si="132"/>
        <v>#N/A</v>
      </c>
      <c r="O819" t="e">
        <f t="shared" ca="1" si="133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4"/>
        <v>0</v>
      </c>
      <c r="AE819" s="46">
        <f t="shared" ca="1" si="135"/>
        <v>0</v>
      </c>
      <c r="AG819" s="72" t="e">
        <f t="shared" ca="1" si="136"/>
        <v>#N/A</v>
      </c>
      <c r="AH819" s="72" t="e">
        <f t="shared" ca="1" si="137"/>
        <v>#N/A</v>
      </c>
      <c r="AI819" s="3" t="e">
        <f t="shared" ca="1" si="138"/>
        <v>#N/A</v>
      </c>
    </row>
    <row r="820" spans="7:35" ht="15.75" thickBot="1" x14ac:dyDescent="0.3">
      <c r="G820" s="3">
        <f t="shared" si="130"/>
        <v>358</v>
      </c>
      <c r="H820" s="106">
        <f t="shared" si="129"/>
        <v>44918</v>
      </c>
      <c r="I820" s="133">
        <f>HLOOKUP($H$4,'Met Data'!$A$2:$F$368,G820,FALSE)</f>
        <v>17.091379310344799</v>
      </c>
      <c r="J820" s="131">
        <f ca="1">HLOOKUP($H$4,'Met Data'!$H$2:$M$368,G820,FALSE)*L820</f>
        <v>2.22413793103448</v>
      </c>
      <c r="K820" s="107">
        <f>HLOOKUP($H$4,'Met Data'!$O$2:$T$368,G820,FALSE)</f>
        <v>4.1386344294122503</v>
      </c>
      <c r="L820">
        <f t="shared" ca="1" si="131"/>
        <v>1</v>
      </c>
      <c r="N820" t="e">
        <f t="shared" ca="1" si="132"/>
        <v>#N/A</v>
      </c>
      <c r="O820" t="e">
        <f t="shared" ca="1" si="133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4"/>
        <v>0</v>
      </c>
      <c r="AE820" s="46">
        <f t="shared" ca="1" si="135"/>
        <v>0</v>
      </c>
      <c r="AG820" s="72" t="e">
        <f t="shared" ca="1" si="136"/>
        <v>#N/A</v>
      </c>
      <c r="AH820" s="72" t="e">
        <f t="shared" ca="1" si="137"/>
        <v>#N/A</v>
      </c>
      <c r="AI820" s="3" t="e">
        <f t="shared" ca="1" si="138"/>
        <v>#N/A</v>
      </c>
    </row>
    <row r="821" spans="7:35" ht="15.75" thickBot="1" x14ac:dyDescent="0.3">
      <c r="G821" s="3">
        <f t="shared" si="130"/>
        <v>359</v>
      </c>
      <c r="H821" s="106">
        <f t="shared" si="129"/>
        <v>44919</v>
      </c>
      <c r="I821" s="133">
        <f>HLOOKUP($H$4,'Met Data'!$A$2:$F$368,G821,FALSE)</f>
        <v>17.2275862068965</v>
      </c>
      <c r="J821" s="131">
        <f ca="1">HLOOKUP($H$4,'Met Data'!$H$2:$M$368,G821,FALSE)*L821</f>
        <v>3.0655172413793101</v>
      </c>
      <c r="K821" s="107">
        <f>HLOOKUP($H$4,'Met Data'!$O$2:$T$368,G821,FALSE)</f>
        <v>3.7757934515094398</v>
      </c>
      <c r="L821">
        <f t="shared" ca="1" si="131"/>
        <v>1</v>
      </c>
      <c r="N821" t="e">
        <f t="shared" ca="1" si="132"/>
        <v>#N/A</v>
      </c>
      <c r="O821" t="e">
        <f t="shared" ca="1" si="133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4"/>
        <v>0</v>
      </c>
      <c r="AE821" s="46">
        <f t="shared" ca="1" si="135"/>
        <v>0</v>
      </c>
      <c r="AG821" s="72" t="e">
        <f t="shared" ca="1" si="136"/>
        <v>#N/A</v>
      </c>
      <c r="AH821" s="72" t="e">
        <f t="shared" ca="1" si="137"/>
        <v>#N/A</v>
      </c>
      <c r="AI821" s="3" t="e">
        <f t="shared" ca="1" si="138"/>
        <v>#N/A</v>
      </c>
    </row>
    <row r="822" spans="7:35" ht="15.75" thickBot="1" x14ac:dyDescent="0.3">
      <c r="G822" s="3">
        <f t="shared" si="130"/>
        <v>360</v>
      </c>
      <c r="H822" s="106">
        <f t="shared" si="129"/>
        <v>44920</v>
      </c>
      <c r="I822" s="133">
        <f>HLOOKUP($H$4,'Met Data'!$A$2:$F$368,G822,FALSE)</f>
        <v>17.475862068965501</v>
      </c>
      <c r="J822" s="131">
        <f ca="1">HLOOKUP($H$4,'Met Data'!$H$2:$M$368,G822,FALSE)*L822</f>
        <v>4.4724137931034402</v>
      </c>
      <c r="K822" s="107">
        <f>HLOOKUP($H$4,'Met Data'!$O$2:$T$368,G822,FALSE)</f>
        <v>3.82075028631309</v>
      </c>
      <c r="L822">
        <f t="shared" ca="1" si="131"/>
        <v>1</v>
      </c>
      <c r="N822" t="e">
        <f t="shared" ca="1" si="132"/>
        <v>#N/A</v>
      </c>
      <c r="O822" t="e">
        <f t="shared" ca="1" si="133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4"/>
        <v>0</v>
      </c>
      <c r="AE822" s="46">
        <f t="shared" ca="1" si="135"/>
        <v>0</v>
      </c>
      <c r="AG822" s="72" t="e">
        <f t="shared" ca="1" si="136"/>
        <v>#N/A</v>
      </c>
      <c r="AH822" s="72" t="e">
        <f t="shared" ca="1" si="137"/>
        <v>#N/A</v>
      </c>
      <c r="AI822" s="3" t="e">
        <f t="shared" ca="1" si="138"/>
        <v>#N/A</v>
      </c>
    </row>
    <row r="823" spans="7:35" ht="15.75" thickBot="1" x14ac:dyDescent="0.3">
      <c r="G823" s="3">
        <f t="shared" si="130"/>
        <v>361</v>
      </c>
      <c r="H823" s="106">
        <f t="shared" si="129"/>
        <v>44921</v>
      </c>
      <c r="I823" s="133">
        <f>HLOOKUP($H$4,'Met Data'!$A$2:$F$368,G823,FALSE)</f>
        <v>17.193103448275799</v>
      </c>
      <c r="J823" s="131">
        <f ca="1">HLOOKUP($H$4,'Met Data'!$H$2:$M$368,G823,FALSE)*L823</f>
        <v>1.2034482758620599</v>
      </c>
      <c r="K823" s="107">
        <f>HLOOKUP($H$4,'Met Data'!$O$2:$T$368,G823,FALSE)</f>
        <v>4.4822943456663404</v>
      </c>
      <c r="L823">
        <f t="shared" ca="1" si="131"/>
        <v>1</v>
      </c>
      <c r="N823" t="e">
        <f t="shared" ca="1" si="132"/>
        <v>#N/A</v>
      </c>
      <c r="O823" t="e">
        <f t="shared" ca="1" si="133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4"/>
        <v>0</v>
      </c>
      <c r="AE823" s="46">
        <f t="shared" ca="1" si="135"/>
        <v>0</v>
      </c>
      <c r="AG823" s="72" t="e">
        <f t="shared" ca="1" si="136"/>
        <v>#N/A</v>
      </c>
      <c r="AH823" s="72" t="e">
        <f t="shared" ca="1" si="137"/>
        <v>#N/A</v>
      </c>
      <c r="AI823" s="3" t="e">
        <f t="shared" ca="1" si="138"/>
        <v>#N/A</v>
      </c>
    </row>
    <row r="824" spans="7:35" ht="15.75" thickBot="1" x14ac:dyDescent="0.3">
      <c r="G824" s="3">
        <f t="shared" si="130"/>
        <v>362</v>
      </c>
      <c r="H824" s="106">
        <f t="shared" si="129"/>
        <v>44922</v>
      </c>
      <c r="I824" s="133">
        <f>HLOOKUP($H$4,'Met Data'!$A$2:$F$368,G824,FALSE)</f>
        <v>17.263793103448201</v>
      </c>
      <c r="J824" s="131">
        <f ca="1">HLOOKUP($H$4,'Met Data'!$H$2:$M$368,G824,FALSE)*L824</f>
        <v>1.9379310344827501</v>
      </c>
      <c r="K824" s="107">
        <f>HLOOKUP($H$4,'Met Data'!$O$2:$T$368,G824,FALSE)</f>
        <v>4.2854150969519402</v>
      </c>
      <c r="L824">
        <f t="shared" ca="1" si="131"/>
        <v>1</v>
      </c>
      <c r="N824" t="e">
        <f t="shared" ca="1" si="132"/>
        <v>#N/A</v>
      </c>
      <c r="O824" t="e">
        <f t="shared" ca="1" si="133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4"/>
        <v>0</v>
      </c>
      <c r="AE824" s="46">
        <f t="shared" ca="1" si="135"/>
        <v>0</v>
      </c>
      <c r="AG824" s="72" t="e">
        <f t="shared" ca="1" si="136"/>
        <v>#N/A</v>
      </c>
      <c r="AH824" s="72" t="e">
        <f t="shared" ca="1" si="137"/>
        <v>#N/A</v>
      </c>
      <c r="AI824" s="3" t="e">
        <f t="shared" ca="1" si="138"/>
        <v>#N/A</v>
      </c>
    </row>
    <row r="825" spans="7:35" ht="15.75" thickBot="1" x14ac:dyDescent="0.3">
      <c r="G825" s="3">
        <f t="shared" si="130"/>
        <v>363</v>
      </c>
      <c r="H825" s="106">
        <f t="shared" si="129"/>
        <v>44923</v>
      </c>
      <c r="I825" s="133">
        <f>HLOOKUP($H$4,'Met Data'!$A$2:$F$368,G825,FALSE)</f>
        <v>18.060344827586199</v>
      </c>
      <c r="J825" s="131">
        <f ca="1">HLOOKUP($H$4,'Met Data'!$H$2:$M$368,G825,FALSE)*L825</f>
        <v>0.81379310344827505</v>
      </c>
      <c r="K825" s="107">
        <f>HLOOKUP($H$4,'Met Data'!$O$2:$T$368,G825,FALSE)</f>
        <v>4.2768570571644897</v>
      </c>
      <c r="L825">
        <f t="shared" ca="1" si="131"/>
        <v>1</v>
      </c>
      <c r="N825" t="e">
        <f t="shared" ca="1" si="132"/>
        <v>#N/A</v>
      </c>
      <c r="O825" t="e">
        <f t="shared" ca="1" si="133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4"/>
        <v>0</v>
      </c>
      <c r="AE825" s="46">
        <f t="shared" ca="1" si="135"/>
        <v>0</v>
      </c>
      <c r="AG825" s="72" t="e">
        <f t="shared" ca="1" si="136"/>
        <v>#N/A</v>
      </c>
      <c r="AH825" s="72" t="e">
        <f t="shared" ca="1" si="137"/>
        <v>#N/A</v>
      </c>
      <c r="AI825" s="3" t="e">
        <f t="shared" ca="1" si="138"/>
        <v>#N/A</v>
      </c>
    </row>
    <row r="826" spans="7:35" ht="15.75" thickBot="1" x14ac:dyDescent="0.3">
      <c r="G826" s="3">
        <f t="shared" si="130"/>
        <v>364</v>
      </c>
      <c r="H826" s="106">
        <f t="shared" si="129"/>
        <v>44924</v>
      </c>
      <c r="I826" s="133">
        <f>HLOOKUP($H$4,'Met Data'!$A$2:$F$368,G826,FALSE)</f>
        <v>18.386206896551698</v>
      </c>
      <c r="J826" s="131">
        <f ca="1">HLOOKUP($H$4,'Met Data'!$H$2:$M$368,G826,FALSE)*L826</f>
        <v>3.0068965517241302</v>
      </c>
      <c r="K826" s="107">
        <f>HLOOKUP($H$4,'Met Data'!$O$2:$T$368,G826,FALSE)</f>
        <v>4.2622812571545499</v>
      </c>
      <c r="L826">
        <f t="shared" ca="1" si="131"/>
        <v>1</v>
      </c>
      <c r="N826" t="e">
        <f t="shared" ca="1" si="132"/>
        <v>#N/A</v>
      </c>
      <c r="O826" t="e">
        <f t="shared" ca="1" si="133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4"/>
        <v>0</v>
      </c>
      <c r="AE826" s="46">
        <f t="shared" ca="1" si="135"/>
        <v>0</v>
      </c>
      <c r="AG826" s="72" t="e">
        <f t="shared" ca="1" si="136"/>
        <v>#N/A</v>
      </c>
      <c r="AH826" s="72" t="e">
        <f t="shared" ca="1" si="137"/>
        <v>#N/A</v>
      </c>
      <c r="AI826" s="3" t="e">
        <f t="shared" ca="1" si="138"/>
        <v>#N/A</v>
      </c>
    </row>
    <row r="827" spans="7:35" ht="15.75" thickBot="1" x14ac:dyDescent="0.3">
      <c r="G827" s="3">
        <f t="shared" si="130"/>
        <v>365</v>
      </c>
      <c r="H827" s="106">
        <f t="shared" si="129"/>
        <v>44925</v>
      </c>
      <c r="I827" s="133">
        <f>HLOOKUP($H$4,'Met Data'!$A$2:$F$368,G827,FALSE)</f>
        <v>18.156896551724099</v>
      </c>
      <c r="J827" s="131">
        <f ca="1">HLOOKUP($H$4,'Met Data'!$H$2:$M$368,G827,FALSE)*L827</f>
        <v>4.4172413793103402</v>
      </c>
      <c r="K827" s="107">
        <f>HLOOKUP($H$4,'Met Data'!$O$2:$T$368,G827,FALSE)</f>
        <v>3.8040621578745699</v>
      </c>
      <c r="L827">
        <f t="shared" ca="1" si="131"/>
        <v>1</v>
      </c>
      <c r="N827" t="e">
        <f t="shared" ca="1" si="132"/>
        <v>#N/A</v>
      </c>
      <c r="O827" t="e">
        <f t="shared" ca="1" si="133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4"/>
        <v>0</v>
      </c>
      <c r="AE827" s="46">
        <f t="shared" ca="1" si="135"/>
        <v>0</v>
      </c>
      <c r="AG827" s="72" t="e">
        <f t="shared" ca="1" si="136"/>
        <v>#N/A</v>
      </c>
      <c r="AH827" s="72" t="e">
        <f t="shared" ca="1" si="137"/>
        <v>#N/A</v>
      </c>
      <c r="AI827" s="3" t="e">
        <f t="shared" ca="1" si="138"/>
        <v>#N/A</v>
      </c>
    </row>
    <row r="828" spans="7:35" ht="15.75" thickBot="1" x14ac:dyDescent="0.3">
      <c r="G828" s="3">
        <f t="shared" si="130"/>
        <v>366</v>
      </c>
      <c r="H828" s="106">
        <f t="shared" si="129"/>
        <v>44926</v>
      </c>
      <c r="I828" s="133">
        <f>HLOOKUP($H$4,'Met Data'!$A$2:$F$368,G828,FALSE)</f>
        <v>17.8086206896551</v>
      </c>
      <c r="J828" s="131">
        <f ca="1">HLOOKUP($H$4,'Met Data'!$H$2:$M$368,G828,FALSE)*L828</f>
        <v>8.7896551724137897</v>
      </c>
      <c r="K828" s="107">
        <f>HLOOKUP($H$4,'Met Data'!$O$2:$T$368,G828,FALSE)</f>
        <v>3.8298931146257198</v>
      </c>
      <c r="L828">
        <f t="shared" ca="1" si="131"/>
        <v>1</v>
      </c>
      <c r="N828" t="e">
        <f t="shared" ca="1" si="132"/>
        <v>#N/A</v>
      </c>
      <c r="O828" t="e">
        <f t="shared" ca="1" si="133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4"/>
        <v>0</v>
      </c>
      <c r="AE828" s="46">
        <f t="shared" ca="1" si="135"/>
        <v>0</v>
      </c>
      <c r="AG828" s="72" t="e">
        <f t="shared" ca="1" si="136"/>
        <v>#N/A</v>
      </c>
      <c r="AH828" s="72" t="e">
        <f t="shared" ca="1" si="137"/>
        <v>#N/A</v>
      </c>
      <c r="AI828" s="3" t="e">
        <f t="shared" ca="1" si="138"/>
        <v>#N/A</v>
      </c>
    </row>
    <row r="829" spans="7:35" ht="15.75" thickBot="1" x14ac:dyDescent="0.3">
      <c r="G829" s="3">
        <f t="shared" si="130"/>
        <v>2</v>
      </c>
      <c r="H829" s="106">
        <f t="shared" si="129"/>
        <v>44927</v>
      </c>
      <c r="I829" s="133">
        <f>HLOOKUP($H$4,'Met Data'!$A$2:$F$368,G829,FALSE)</f>
        <v>17.639655172413701</v>
      </c>
      <c r="J829" s="131">
        <f ca="1">HLOOKUP($H$4,'Met Data'!$H$2:$M$368,G829,FALSE)*L829</f>
        <v>2.9862068965517201</v>
      </c>
      <c r="K829" s="107">
        <f>HLOOKUP($H$4,'Met Data'!$O$2:$T$368,G829,FALSE)</f>
        <v>4.7314305048111098</v>
      </c>
      <c r="L829">
        <f t="shared" ca="1" si="131"/>
        <v>1</v>
      </c>
      <c r="N829" t="e">
        <f t="shared" ca="1" si="132"/>
        <v>#N/A</v>
      </c>
      <c r="O829" t="e">
        <f t="shared" ca="1" si="133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4"/>
        <v>0</v>
      </c>
      <c r="AE829" s="46">
        <f t="shared" ca="1" si="135"/>
        <v>0</v>
      </c>
      <c r="AG829" s="72" t="e">
        <f t="shared" ca="1" si="136"/>
        <v>#N/A</v>
      </c>
      <c r="AH829" s="72" t="e">
        <f t="shared" ca="1" si="137"/>
        <v>#N/A</v>
      </c>
      <c r="AI829" s="3" t="e">
        <f t="shared" ca="1" si="138"/>
        <v>#N/A</v>
      </c>
    </row>
    <row r="830" spans="7:35" ht="15.75" thickBot="1" x14ac:dyDescent="0.3">
      <c r="G830" s="3">
        <f t="shared" si="130"/>
        <v>3</v>
      </c>
      <c r="H830" s="106">
        <f t="shared" si="129"/>
        <v>44928</v>
      </c>
      <c r="I830" s="133">
        <f>HLOOKUP($H$4,'Met Data'!$A$2:$F$368,G830,FALSE)</f>
        <v>18.013793103448201</v>
      </c>
      <c r="J830" s="131">
        <f ca="1">HLOOKUP($H$4,'Met Data'!$H$2:$M$368,G830,FALSE)*L830</f>
        <v>1.4517241379310299</v>
      </c>
      <c r="K830" s="107">
        <f>HLOOKUP($H$4,'Met Data'!$O$2:$T$368,G830,FALSE)</f>
        <v>4.7184733001505199</v>
      </c>
      <c r="L830">
        <f t="shared" ca="1" si="131"/>
        <v>1</v>
      </c>
      <c r="N830" t="e">
        <f t="shared" ca="1" si="132"/>
        <v>#N/A</v>
      </c>
      <c r="O830" t="e">
        <f t="shared" ca="1" si="133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4"/>
        <v>0</v>
      </c>
      <c r="AE830" s="46">
        <f t="shared" ca="1" si="135"/>
        <v>0</v>
      </c>
      <c r="AG830" s="72" t="e">
        <f t="shared" ca="1" si="136"/>
        <v>#N/A</v>
      </c>
      <c r="AH830" s="72" t="e">
        <f t="shared" ca="1" si="137"/>
        <v>#N/A</v>
      </c>
      <c r="AI830" s="3" t="e">
        <f t="shared" ca="1" si="138"/>
        <v>#N/A</v>
      </c>
    </row>
    <row r="831" spans="7:35" ht="15.75" thickBot="1" x14ac:dyDescent="0.3">
      <c r="G831" s="3">
        <f t="shared" si="130"/>
        <v>4</v>
      </c>
      <c r="H831" s="106">
        <f t="shared" si="129"/>
        <v>44929</v>
      </c>
      <c r="I831" s="133">
        <f>HLOOKUP($H$4,'Met Data'!$A$2:$F$368,G831,FALSE)</f>
        <v>17.827586206896498</v>
      </c>
      <c r="J831" s="131">
        <f ca="1">HLOOKUP($H$4,'Met Data'!$H$2:$M$368,G831,FALSE)*L831</f>
        <v>1.27241379310344</v>
      </c>
      <c r="K831" s="107">
        <f>HLOOKUP($H$4,'Met Data'!$O$2:$T$368,G831,FALSE)</f>
        <v>4.5153833563593304</v>
      </c>
      <c r="L831">
        <f t="shared" ca="1" si="131"/>
        <v>1</v>
      </c>
      <c r="N831" t="e">
        <f t="shared" ca="1" si="132"/>
        <v>#N/A</v>
      </c>
      <c r="O831" t="e">
        <f t="shared" ca="1" si="133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4"/>
        <v>0</v>
      </c>
      <c r="AE831" s="46">
        <f t="shared" ca="1" si="135"/>
        <v>0</v>
      </c>
      <c r="AG831" s="72" t="e">
        <f t="shared" ca="1" si="136"/>
        <v>#N/A</v>
      </c>
      <c r="AH831" s="72" t="e">
        <f t="shared" ca="1" si="137"/>
        <v>#N/A</v>
      </c>
      <c r="AI831" s="3" t="e">
        <f t="shared" ca="1" si="138"/>
        <v>#N/A</v>
      </c>
    </row>
    <row r="832" spans="7:35" ht="15.75" thickBot="1" x14ac:dyDescent="0.3">
      <c r="G832" s="3">
        <f t="shared" si="130"/>
        <v>5</v>
      </c>
      <c r="H832" s="106">
        <f t="shared" si="129"/>
        <v>44930</v>
      </c>
      <c r="I832" s="133">
        <f>HLOOKUP($H$4,'Met Data'!$A$2:$F$368,G832,FALSE)</f>
        <v>18.068965517241299</v>
      </c>
      <c r="J832" s="131">
        <f ca="1">HLOOKUP($H$4,'Met Data'!$H$2:$M$368,G832,FALSE)*L832</f>
        <v>1.3206896551724101</v>
      </c>
      <c r="K832" s="107">
        <f>HLOOKUP($H$4,'Met Data'!$O$2:$T$368,G832,FALSE)</f>
        <v>4.6266971172714904</v>
      </c>
      <c r="L832">
        <f t="shared" ca="1" si="131"/>
        <v>1</v>
      </c>
      <c r="N832" t="e">
        <f t="shared" ca="1" si="132"/>
        <v>#N/A</v>
      </c>
      <c r="O832" t="e">
        <f t="shared" ca="1" si="133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4"/>
        <v>0</v>
      </c>
      <c r="AE832" s="46">
        <f t="shared" ca="1" si="135"/>
        <v>0</v>
      </c>
      <c r="AG832" s="72" t="e">
        <f t="shared" ca="1" si="136"/>
        <v>#N/A</v>
      </c>
      <c r="AH832" s="72" t="e">
        <f t="shared" ca="1" si="137"/>
        <v>#N/A</v>
      </c>
      <c r="AI832" s="3" t="e">
        <f t="shared" ca="1" si="138"/>
        <v>#N/A</v>
      </c>
    </row>
    <row r="833" spans="7:35" ht="15.75" thickBot="1" x14ac:dyDescent="0.3">
      <c r="G833" s="3">
        <f t="shared" si="130"/>
        <v>6</v>
      </c>
      <c r="H833" s="106">
        <f t="shared" si="129"/>
        <v>44931</v>
      </c>
      <c r="I833" s="133">
        <f>HLOOKUP($H$4,'Met Data'!$A$2:$F$368,G833,FALSE)</f>
        <v>17.658620689655098</v>
      </c>
      <c r="J833" s="131">
        <f ca="1">HLOOKUP($H$4,'Met Data'!$H$2:$M$368,G833,FALSE)*L833</f>
        <v>1.64137931034482</v>
      </c>
      <c r="K833" s="107">
        <f>HLOOKUP($H$4,'Met Data'!$O$2:$T$368,G833,FALSE)</f>
        <v>4.7524735832446101</v>
      </c>
      <c r="L833">
        <f t="shared" ca="1" si="131"/>
        <v>1</v>
      </c>
      <c r="N833" t="e">
        <f t="shared" ca="1" si="132"/>
        <v>#N/A</v>
      </c>
      <c r="O833" t="e">
        <f t="shared" ca="1" si="133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4"/>
        <v>0</v>
      </c>
      <c r="AE833" s="46">
        <f t="shared" ca="1" si="135"/>
        <v>0</v>
      </c>
      <c r="AG833" s="72" t="e">
        <f t="shared" ca="1" si="136"/>
        <v>#N/A</v>
      </c>
      <c r="AH833" s="72" t="e">
        <f t="shared" ca="1" si="137"/>
        <v>#N/A</v>
      </c>
      <c r="AI833" s="3" t="e">
        <f t="shared" ca="1" si="138"/>
        <v>#N/A</v>
      </c>
    </row>
    <row r="834" spans="7:35" ht="15.75" thickBot="1" x14ac:dyDescent="0.3">
      <c r="G834" s="3">
        <f t="shared" si="130"/>
        <v>7</v>
      </c>
      <c r="H834" s="106">
        <f t="shared" si="129"/>
        <v>44932</v>
      </c>
      <c r="I834" s="133">
        <f>HLOOKUP($H$4,'Met Data'!$A$2:$F$368,G834,FALSE)</f>
        <v>17.7431034482758</v>
      </c>
      <c r="J834" s="131">
        <f ca="1">HLOOKUP($H$4,'Met Data'!$H$2:$M$368,G834,FALSE)*L834</f>
        <v>1.8206896551724101</v>
      </c>
      <c r="K834" s="107">
        <f>HLOOKUP($H$4,'Met Data'!$O$2:$T$368,G834,FALSE)</f>
        <v>4.5675277776113097</v>
      </c>
      <c r="L834">
        <f t="shared" ca="1" si="131"/>
        <v>1</v>
      </c>
      <c r="N834" t="e">
        <f t="shared" ca="1" si="132"/>
        <v>#N/A</v>
      </c>
      <c r="O834" t="e">
        <f t="shared" ca="1" si="133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4"/>
        <v>0</v>
      </c>
      <c r="AE834" s="46">
        <f t="shared" ca="1" si="135"/>
        <v>0</v>
      </c>
      <c r="AG834" s="72" t="e">
        <f t="shared" ca="1" si="136"/>
        <v>#N/A</v>
      </c>
      <c r="AH834" s="72" t="e">
        <f t="shared" ca="1" si="137"/>
        <v>#N/A</v>
      </c>
      <c r="AI834" s="3" t="e">
        <f t="shared" ca="1" si="138"/>
        <v>#N/A</v>
      </c>
    </row>
    <row r="835" spans="7:35" ht="15.75" thickBot="1" x14ac:dyDescent="0.3">
      <c r="G835" s="3">
        <f t="shared" si="130"/>
        <v>8</v>
      </c>
      <c r="H835" s="106">
        <f t="shared" si="129"/>
        <v>44933</v>
      </c>
      <c r="I835" s="133">
        <f>HLOOKUP($H$4,'Met Data'!$A$2:$F$368,G835,FALSE)</f>
        <v>18.181034482758601</v>
      </c>
      <c r="J835" s="131">
        <f ca="1">HLOOKUP($H$4,'Met Data'!$H$2:$M$368,G835,FALSE)*L835</f>
        <v>1.4896551724137901</v>
      </c>
      <c r="K835" s="107">
        <f>HLOOKUP($H$4,'Met Data'!$O$2:$T$368,G835,FALSE)</f>
        <v>4.0945523595888398</v>
      </c>
      <c r="L835">
        <f t="shared" ca="1" si="131"/>
        <v>1</v>
      </c>
      <c r="N835" t="e">
        <f t="shared" ca="1" si="132"/>
        <v>#N/A</v>
      </c>
      <c r="O835" t="e">
        <f t="shared" ca="1" si="133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4"/>
        <v>0</v>
      </c>
      <c r="AE835" s="46">
        <f t="shared" ca="1" si="135"/>
        <v>0</v>
      </c>
      <c r="AG835" s="72" t="e">
        <f t="shared" ca="1" si="136"/>
        <v>#N/A</v>
      </c>
      <c r="AH835" s="72" t="e">
        <f t="shared" ca="1" si="137"/>
        <v>#N/A</v>
      </c>
      <c r="AI835" s="3" t="e">
        <f t="shared" ca="1" si="138"/>
        <v>#N/A</v>
      </c>
    </row>
    <row r="836" spans="7:35" ht="15.75" thickBot="1" x14ac:dyDescent="0.3">
      <c r="G836" s="3">
        <f t="shared" si="130"/>
        <v>9</v>
      </c>
      <c r="H836" s="106">
        <f t="shared" si="129"/>
        <v>44934</v>
      </c>
      <c r="I836" s="133">
        <f>HLOOKUP($H$4,'Met Data'!$A$2:$F$368,G836,FALSE)</f>
        <v>18.393103448275799</v>
      </c>
      <c r="J836" s="131">
        <f ca="1">HLOOKUP($H$4,'Met Data'!$H$2:$M$368,G836,FALSE)*L836</f>
        <v>2.69655172413793</v>
      </c>
      <c r="K836" s="107">
        <f>HLOOKUP($H$4,'Met Data'!$O$2:$T$368,G836,FALSE)</f>
        <v>4.0360392602952304</v>
      </c>
      <c r="L836">
        <f t="shared" ca="1" si="131"/>
        <v>1</v>
      </c>
      <c r="N836" t="e">
        <f t="shared" ca="1" si="132"/>
        <v>#N/A</v>
      </c>
      <c r="O836" t="e">
        <f t="shared" ca="1" si="133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4"/>
        <v>0</v>
      </c>
      <c r="AE836" s="46">
        <f t="shared" ca="1" si="135"/>
        <v>0</v>
      </c>
      <c r="AG836" s="72" t="e">
        <f t="shared" ca="1" si="136"/>
        <v>#N/A</v>
      </c>
      <c r="AH836" s="72" t="e">
        <f t="shared" ca="1" si="137"/>
        <v>#N/A</v>
      </c>
      <c r="AI836" s="3" t="e">
        <f t="shared" ca="1" si="138"/>
        <v>#N/A</v>
      </c>
    </row>
    <row r="837" spans="7:35" ht="15.75" thickBot="1" x14ac:dyDescent="0.3">
      <c r="G837" s="3">
        <f t="shared" si="130"/>
        <v>10</v>
      </c>
      <c r="H837" s="106">
        <f t="shared" si="129"/>
        <v>44935</v>
      </c>
      <c r="I837" s="133">
        <f>HLOOKUP($H$4,'Met Data'!$A$2:$F$368,G837,FALSE)</f>
        <v>18.6103448275862</v>
      </c>
      <c r="J837" s="131">
        <f ca="1">HLOOKUP($H$4,'Met Data'!$H$2:$M$368,G837,FALSE)*L837</f>
        <v>3.0103448275861999</v>
      </c>
      <c r="K837" s="107">
        <f>HLOOKUP($H$4,'Met Data'!$O$2:$T$368,G837,FALSE)</f>
        <v>4.1608753956650997</v>
      </c>
      <c r="L837">
        <f t="shared" ca="1" si="131"/>
        <v>1</v>
      </c>
      <c r="N837" t="e">
        <f t="shared" ca="1" si="132"/>
        <v>#N/A</v>
      </c>
      <c r="O837" t="e">
        <f t="shared" ca="1" si="133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4"/>
        <v>0</v>
      </c>
      <c r="AE837" s="46">
        <f t="shared" ca="1" si="135"/>
        <v>0</v>
      </c>
      <c r="AG837" s="72" t="e">
        <f t="shared" ca="1" si="136"/>
        <v>#N/A</v>
      </c>
      <c r="AH837" s="72" t="e">
        <f t="shared" ca="1" si="137"/>
        <v>#N/A</v>
      </c>
      <c r="AI837" s="3" t="e">
        <f t="shared" ca="1" si="138"/>
        <v>#N/A</v>
      </c>
    </row>
    <row r="838" spans="7:35" ht="15.75" thickBot="1" x14ac:dyDescent="0.3">
      <c r="G838" s="3">
        <f t="shared" si="130"/>
        <v>11</v>
      </c>
      <c r="H838" s="106">
        <f t="shared" si="129"/>
        <v>44936</v>
      </c>
      <c r="I838" s="133">
        <f>HLOOKUP($H$4,'Met Data'!$A$2:$F$368,G838,FALSE)</f>
        <v>18.453448275862002</v>
      </c>
      <c r="J838" s="131">
        <f ca="1">HLOOKUP($H$4,'Met Data'!$H$2:$M$368,G838,FALSE)*L838</f>
        <v>1.2689655172413701</v>
      </c>
      <c r="K838" s="107">
        <f>HLOOKUP($H$4,'Met Data'!$O$2:$T$368,G838,FALSE)</f>
        <v>4.5179186785714496</v>
      </c>
      <c r="L838">
        <f t="shared" ca="1" si="131"/>
        <v>1</v>
      </c>
      <c r="N838" t="e">
        <f t="shared" ca="1" si="132"/>
        <v>#N/A</v>
      </c>
      <c r="O838" t="e">
        <f t="shared" ca="1" si="133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4"/>
        <v>0</v>
      </c>
      <c r="AE838" s="46">
        <f t="shared" ca="1" si="135"/>
        <v>0</v>
      </c>
      <c r="AG838" s="72" t="e">
        <f t="shared" ca="1" si="136"/>
        <v>#N/A</v>
      </c>
      <c r="AH838" s="72" t="e">
        <f t="shared" ca="1" si="137"/>
        <v>#N/A</v>
      </c>
      <c r="AI838" s="3" t="e">
        <f t="shared" ca="1" si="138"/>
        <v>#N/A</v>
      </c>
    </row>
    <row r="839" spans="7:35" ht="15.75" thickBot="1" x14ac:dyDescent="0.3">
      <c r="G839" s="3">
        <f t="shared" si="130"/>
        <v>12</v>
      </c>
      <c r="H839" s="106">
        <f t="shared" si="129"/>
        <v>44937</v>
      </c>
      <c r="I839" s="133">
        <f>HLOOKUP($H$4,'Met Data'!$A$2:$F$368,G839,FALSE)</f>
        <v>18.186206896551699</v>
      </c>
      <c r="J839" s="131">
        <f ca="1">HLOOKUP($H$4,'Met Data'!$H$2:$M$368,G839,FALSE)*L839</f>
        <v>1.3413793103448199</v>
      </c>
      <c r="K839" s="107">
        <f>HLOOKUP($H$4,'Met Data'!$O$2:$T$368,G839,FALSE)</f>
        <v>4.5303746944186001</v>
      </c>
      <c r="L839">
        <f t="shared" ca="1" si="131"/>
        <v>1</v>
      </c>
      <c r="N839" t="e">
        <f t="shared" ca="1" si="132"/>
        <v>#N/A</v>
      </c>
      <c r="O839" t="e">
        <f t="shared" ca="1" si="133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4"/>
        <v>0</v>
      </c>
      <c r="AE839" s="46">
        <f t="shared" ca="1" si="135"/>
        <v>0</v>
      </c>
      <c r="AG839" s="72" t="e">
        <f t="shared" ca="1" si="136"/>
        <v>#N/A</v>
      </c>
      <c r="AH839" s="72" t="e">
        <f t="shared" ca="1" si="137"/>
        <v>#N/A</v>
      </c>
      <c r="AI839" s="3" t="e">
        <f t="shared" ca="1" si="138"/>
        <v>#N/A</v>
      </c>
    </row>
    <row r="840" spans="7:35" ht="15.75" thickBot="1" x14ac:dyDescent="0.3">
      <c r="G840" s="3">
        <f t="shared" si="130"/>
        <v>13</v>
      </c>
      <c r="H840" s="106">
        <f t="shared" ref="H840:H903" si="139">H839+1</f>
        <v>44938</v>
      </c>
      <c r="I840" s="133">
        <f>HLOOKUP($H$4,'Met Data'!$A$2:$F$368,G840,FALSE)</f>
        <v>18.314999999999898</v>
      </c>
      <c r="J840" s="131">
        <f ca="1">HLOOKUP($H$4,'Met Data'!$H$2:$M$368,G840,FALSE)*L840</f>
        <v>0.95</v>
      </c>
      <c r="K840" s="107">
        <f>HLOOKUP($H$4,'Met Data'!$O$2:$T$368,G840,FALSE)</f>
        <v>4.1021279144140701</v>
      </c>
      <c r="L840">
        <f t="shared" ca="1" si="131"/>
        <v>1</v>
      </c>
      <c r="N840" t="e">
        <f t="shared" ca="1" si="132"/>
        <v>#N/A</v>
      </c>
      <c r="O840" t="e">
        <f t="shared" ca="1" si="133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4"/>
        <v>0</v>
      </c>
      <c r="AE840" s="46">
        <f t="shared" ca="1" si="135"/>
        <v>0</v>
      </c>
      <c r="AG840" s="72" t="e">
        <f t="shared" ca="1" si="136"/>
        <v>#N/A</v>
      </c>
      <c r="AH840" s="72" t="e">
        <f t="shared" ca="1" si="137"/>
        <v>#N/A</v>
      </c>
      <c r="AI840" s="3" t="e">
        <f t="shared" ca="1" si="138"/>
        <v>#N/A</v>
      </c>
    </row>
    <row r="841" spans="7:35" ht="15.75" thickBot="1" x14ac:dyDescent="0.3">
      <c r="G841" s="3">
        <f t="shared" si="130"/>
        <v>14</v>
      </c>
      <c r="H841" s="106">
        <f t="shared" si="139"/>
        <v>44939</v>
      </c>
      <c r="I841" s="133">
        <f>HLOOKUP($H$4,'Met Data'!$A$2:$F$368,G841,FALSE)</f>
        <v>18.473333333333301</v>
      </c>
      <c r="J841" s="131">
        <f ca="1">HLOOKUP($H$4,'Met Data'!$H$2:$M$368,G841,FALSE)*L841</f>
        <v>3.7233333333333301</v>
      </c>
      <c r="K841" s="107">
        <f>HLOOKUP($H$4,'Met Data'!$O$2:$T$368,G841,FALSE)</f>
        <v>4.3613860913388498</v>
      </c>
      <c r="L841">
        <f t="shared" ca="1" si="131"/>
        <v>1</v>
      </c>
      <c r="N841" t="e">
        <f t="shared" ca="1" si="132"/>
        <v>#N/A</v>
      </c>
      <c r="O841" t="e">
        <f t="shared" ca="1" si="133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4"/>
        <v>0</v>
      </c>
      <c r="AE841" s="46">
        <f t="shared" ca="1" si="135"/>
        <v>0</v>
      </c>
      <c r="AG841" s="72" t="e">
        <f t="shared" ca="1" si="136"/>
        <v>#N/A</v>
      </c>
      <c r="AH841" s="72" t="e">
        <f t="shared" ca="1" si="137"/>
        <v>#N/A</v>
      </c>
      <c r="AI841" s="3" t="e">
        <f t="shared" ca="1" si="138"/>
        <v>#N/A</v>
      </c>
    </row>
    <row r="842" spans="7:35" ht="15.75" thickBot="1" x14ac:dyDescent="0.3">
      <c r="G842" s="3">
        <f t="shared" si="130"/>
        <v>15</v>
      </c>
      <c r="H842" s="106">
        <f t="shared" si="139"/>
        <v>44940</v>
      </c>
      <c r="I842" s="133">
        <f>HLOOKUP($H$4,'Met Data'!$A$2:$F$368,G842,FALSE)</f>
        <v>18.684999999999999</v>
      </c>
      <c r="J842" s="131">
        <f ca="1">HLOOKUP($H$4,'Met Data'!$H$2:$M$368,G842,FALSE)*L842</f>
        <v>2.2466666666666599</v>
      </c>
      <c r="K842" s="107">
        <f>HLOOKUP($H$4,'Met Data'!$O$2:$T$368,G842,FALSE)</f>
        <v>4.5029029229169799</v>
      </c>
      <c r="L842">
        <f t="shared" ca="1" si="131"/>
        <v>1</v>
      </c>
      <c r="N842" t="e">
        <f t="shared" ca="1" si="132"/>
        <v>#N/A</v>
      </c>
      <c r="O842" t="e">
        <f t="shared" ca="1" si="133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4"/>
        <v>0</v>
      </c>
      <c r="AE842" s="46">
        <f t="shared" ca="1" si="135"/>
        <v>0</v>
      </c>
      <c r="AG842" s="72" t="e">
        <f t="shared" ca="1" si="136"/>
        <v>#N/A</v>
      </c>
      <c r="AH842" s="72" t="e">
        <f t="shared" ca="1" si="137"/>
        <v>#N/A</v>
      </c>
      <c r="AI842" s="3" t="e">
        <f t="shared" ca="1" si="138"/>
        <v>#N/A</v>
      </c>
    </row>
    <row r="843" spans="7:35" ht="15.75" thickBot="1" x14ac:dyDescent="0.3">
      <c r="G843" s="3">
        <f t="shared" si="130"/>
        <v>16</v>
      </c>
      <c r="H843" s="106">
        <f t="shared" si="139"/>
        <v>44941</v>
      </c>
      <c r="I843" s="133">
        <f>HLOOKUP($H$4,'Met Data'!$A$2:$F$368,G843,FALSE)</f>
        <v>18.661666666666601</v>
      </c>
      <c r="J843" s="131">
        <f ca="1">HLOOKUP($H$4,'Met Data'!$H$2:$M$368,G843,FALSE)*L843</f>
        <v>1.3333333333333299</v>
      </c>
      <c r="K843" s="107">
        <f>HLOOKUP($H$4,'Met Data'!$O$2:$T$368,G843,FALSE)</f>
        <v>4.6368762557636201</v>
      </c>
      <c r="L843">
        <f t="shared" ca="1" si="131"/>
        <v>1</v>
      </c>
      <c r="N843" t="e">
        <f t="shared" ca="1" si="132"/>
        <v>#N/A</v>
      </c>
      <c r="O843" t="e">
        <f t="shared" ca="1" si="133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4"/>
        <v>0</v>
      </c>
      <c r="AE843" s="46">
        <f t="shared" ca="1" si="135"/>
        <v>0</v>
      </c>
      <c r="AG843" s="72" t="e">
        <f t="shared" ca="1" si="136"/>
        <v>#N/A</v>
      </c>
      <c r="AH843" s="72" t="e">
        <f t="shared" ca="1" si="137"/>
        <v>#N/A</v>
      </c>
      <c r="AI843" s="3" t="e">
        <f t="shared" ca="1" si="138"/>
        <v>#N/A</v>
      </c>
    </row>
    <row r="844" spans="7:35" ht="15.75" thickBot="1" x14ac:dyDescent="0.3">
      <c r="G844" s="3">
        <f t="shared" si="130"/>
        <v>17</v>
      </c>
      <c r="H844" s="106">
        <f t="shared" si="139"/>
        <v>44942</v>
      </c>
      <c r="I844" s="133">
        <f>HLOOKUP($H$4,'Met Data'!$A$2:$F$368,G844,FALSE)</f>
        <v>18.636666666666599</v>
      </c>
      <c r="J844" s="131">
        <f ca="1">HLOOKUP($H$4,'Met Data'!$H$2:$M$368,G844,FALSE)*L844</f>
        <v>3.0133333333333301</v>
      </c>
      <c r="K844" s="107">
        <f>HLOOKUP($H$4,'Met Data'!$O$2:$T$368,G844,FALSE)</f>
        <v>4.4386060395545801</v>
      </c>
      <c r="L844">
        <f t="shared" ca="1" si="131"/>
        <v>1</v>
      </c>
      <c r="N844" t="e">
        <f t="shared" ca="1" si="132"/>
        <v>#N/A</v>
      </c>
      <c r="O844" t="e">
        <f t="shared" ca="1" si="133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4"/>
        <v>0</v>
      </c>
      <c r="AE844" s="46">
        <f t="shared" ca="1" si="135"/>
        <v>0</v>
      </c>
      <c r="AG844" s="72" t="e">
        <f t="shared" ca="1" si="136"/>
        <v>#N/A</v>
      </c>
      <c r="AH844" s="72" t="e">
        <f t="shared" ca="1" si="137"/>
        <v>#N/A</v>
      </c>
      <c r="AI844" s="3" t="e">
        <f t="shared" ca="1" si="138"/>
        <v>#N/A</v>
      </c>
    </row>
    <row r="845" spans="7:35" ht="15.75" thickBot="1" x14ac:dyDescent="0.3">
      <c r="G845" s="3">
        <f t="shared" si="130"/>
        <v>18</v>
      </c>
      <c r="H845" s="106">
        <f t="shared" si="139"/>
        <v>44943</v>
      </c>
      <c r="I845" s="133">
        <f>HLOOKUP($H$4,'Met Data'!$A$2:$F$368,G845,FALSE)</f>
        <v>18.4233333333333</v>
      </c>
      <c r="J845" s="131">
        <f ca="1">HLOOKUP($H$4,'Met Data'!$H$2:$M$368,G845,FALSE)*L845</f>
        <v>2.7833333333333301</v>
      </c>
      <c r="K845" s="107">
        <f>HLOOKUP($H$4,'Met Data'!$O$2:$T$368,G845,FALSE)</f>
        <v>4.10260332014568</v>
      </c>
      <c r="L845">
        <f t="shared" ca="1" si="131"/>
        <v>1</v>
      </c>
      <c r="N845" t="e">
        <f t="shared" ca="1" si="132"/>
        <v>#N/A</v>
      </c>
      <c r="O845" t="e">
        <f t="shared" ca="1" si="133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4"/>
        <v>0</v>
      </c>
      <c r="AE845" s="46">
        <f t="shared" ca="1" si="135"/>
        <v>0</v>
      </c>
      <c r="AG845" s="72" t="e">
        <f t="shared" ca="1" si="136"/>
        <v>#N/A</v>
      </c>
      <c r="AH845" s="72" t="e">
        <f t="shared" ca="1" si="137"/>
        <v>#N/A</v>
      </c>
      <c r="AI845" s="3" t="e">
        <f t="shared" ca="1" si="138"/>
        <v>#N/A</v>
      </c>
    </row>
    <row r="846" spans="7:35" ht="15.75" thickBot="1" x14ac:dyDescent="0.3">
      <c r="G846" s="3">
        <f t="shared" si="130"/>
        <v>19</v>
      </c>
      <c r="H846" s="106">
        <f t="shared" si="139"/>
        <v>44944</v>
      </c>
      <c r="I846" s="133">
        <f>HLOOKUP($H$4,'Met Data'!$A$2:$F$368,G846,FALSE)</f>
        <v>18.466666666666601</v>
      </c>
      <c r="J846" s="131">
        <f ca="1">HLOOKUP($H$4,'Met Data'!$H$2:$M$368,G846,FALSE)*L846</f>
        <v>2.1566666666666601</v>
      </c>
      <c r="K846" s="107">
        <f>HLOOKUP($H$4,'Met Data'!$O$2:$T$368,G846,FALSE)</f>
        <v>4.3976375931712202</v>
      </c>
      <c r="L846">
        <f t="shared" ca="1" si="131"/>
        <v>1</v>
      </c>
      <c r="N846" t="e">
        <f t="shared" ca="1" si="132"/>
        <v>#N/A</v>
      </c>
      <c r="O846" t="e">
        <f t="shared" ca="1" si="133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4"/>
        <v>0</v>
      </c>
      <c r="AE846" s="46">
        <f t="shared" ca="1" si="135"/>
        <v>0</v>
      </c>
      <c r="AG846" s="72" t="e">
        <f t="shared" ca="1" si="136"/>
        <v>#N/A</v>
      </c>
      <c r="AH846" s="72" t="e">
        <f t="shared" ca="1" si="137"/>
        <v>#N/A</v>
      </c>
      <c r="AI846" s="3" t="e">
        <f t="shared" ca="1" si="138"/>
        <v>#N/A</v>
      </c>
    </row>
    <row r="847" spans="7:35" ht="15.75" thickBot="1" x14ac:dyDescent="0.3">
      <c r="G847" s="3">
        <f t="shared" si="130"/>
        <v>20</v>
      </c>
      <c r="H847" s="106">
        <f t="shared" si="139"/>
        <v>44945</v>
      </c>
      <c r="I847" s="133">
        <f>HLOOKUP($H$4,'Met Data'!$A$2:$F$368,G847,FALSE)</f>
        <v>18.754999999999999</v>
      </c>
      <c r="J847" s="131">
        <f ca="1">HLOOKUP($H$4,'Met Data'!$H$2:$M$368,G847,FALSE)*L847</f>
        <v>2.2333333333333298</v>
      </c>
      <c r="K847" s="107">
        <f>HLOOKUP($H$4,'Met Data'!$O$2:$T$368,G847,FALSE)</f>
        <v>4.5811789756342201</v>
      </c>
      <c r="L847">
        <f t="shared" ca="1" si="131"/>
        <v>1</v>
      </c>
      <c r="N847" t="e">
        <f t="shared" ca="1" si="132"/>
        <v>#N/A</v>
      </c>
      <c r="O847" t="e">
        <f t="shared" ca="1" si="133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4"/>
        <v>0</v>
      </c>
      <c r="AE847" s="46">
        <f t="shared" ca="1" si="135"/>
        <v>0</v>
      </c>
      <c r="AG847" s="72" t="e">
        <f t="shared" ca="1" si="136"/>
        <v>#N/A</v>
      </c>
      <c r="AH847" s="72" t="e">
        <f t="shared" ca="1" si="137"/>
        <v>#N/A</v>
      </c>
      <c r="AI847" s="3" t="e">
        <f t="shared" ca="1" si="138"/>
        <v>#N/A</v>
      </c>
    </row>
    <row r="848" spans="7:35" ht="15.75" thickBot="1" x14ac:dyDescent="0.3">
      <c r="G848" s="3">
        <f t="shared" si="130"/>
        <v>21</v>
      </c>
      <c r="H848" s="106">
        <f t="shared" si="139"/>
        <v>44946</v>
      </c>
      <c r="I848" s="133">
        <f>HLOOKUP($H$4,'Met Data'!$A$2:$F$368,G848,FALSE)</f>
        <v>18.6933333333333</v>
      </c>
      <c r="J848" s="131">
        <f ca="1">HLOOKUP($H$4,'Met Data'!$H$2:$M$368,G848,FALSE)*L848</f>
        <v>1.02666666666666</v>
      </c>
      <c r="K848" s="107">
        <f>HLOOKUP($H$4,'Met Data'!$O$2:$T$368,G848,FALSE)</f>
        <v>4.23484882575071</v>
      </c>
      <c r="L848">
        <f t="shared" ca="1" si="131"/>
        <v>1</v>
      </c>
      <c r="N848" t="e">
        <f t="shared" ca="1" si="132"/>
        <v>#N/A</v>
      </c>
      <c r="O848" t="e">
        <f t="shared" ca="1" si="133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4"/>
        <v>0</v>
      </c>
      <c r="AE848" s="46">
        <f t="shared" ca="1" si="135"/>
        <v>0</v>
      </c>
      <c r="AG848" s="72" t="e">
        <f t="shared" ca="1" si="136"/>
        <v>#N/A</v>
      </c>
      <c r="AH848" s="72" t="e">
        <f t="shared" ca="1" si="137"/>
        <v>#N/A</v>
      </c>
      <c r="AI848" s="3" t="e">
        <f t="shared" ca="1" si="138"/>
        <v>#N/A</v>
      </c>
    </row>
    <row r="849" spans="7:35" ht="15.75" thickBot="1" x14ac:dyDescent="0.3">
      <c r="G849" s="3">
        <f t="shared" si="130"/>
        <v>22</v>
      </c>
      <c r="H849" s="106">
        <f t="shared" si="139"/>
        <v>44947</v>
      </c>
      <c r="I849" s="133">
        <f>HLOOKUP($H$4,'Met Data'!$A$2:$F$368,G849,FALSE)</f>
        <v>18.914999999999999</v>
      </c>
      <c r="J849" s="131">
        <f ca="1">HLOOKUP($H$4,'Met Data'!$H$2:$M$368,G849,FALSE)*L849</f>
        <v>8.4066666666666592</v>
      </c>
      <c r="K849" s="107">
        <f>HLOOKUP($H$4,'Met Data'!$O$2:$T$368,G849,FALSE)</f>
        <v>4.2358684276247196</v>
      </c>
      <c r="L849">
        <f t="shared" ca="1" si="131"/>
        <v>1</v>
      </c>
      <c r="N849" t="e">
        <f t="shared" ca="1" si="132"/>
        <v>#N/A</v>
      </c>
      <c r="O849" t="e">
        <f t="shared" ca="1" si="133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4"/>
        <v>0</v>
      </c>
      <c r="AE849" s="46">
        <f t="shared" ca="1" si="135"/>
        <v>0</v>
      </c>
      <c r="AG849" s="72" t="e">
        <f t="shared" ca="1" si="136"/>
        <v>#N/A</v>
      </c>
      <c r="AH849" s="72" t="e">
        <f t="shared" ca="1" si="137"/>
        <v>#N/A</v>
      </c>
      <c r="AI849" s="3" t="e">
        <f t="shared" ca="1" si="138"/>
        <v>#N/A</v>
      </c>
    </row>
    <row r="850" spans="7:35" ht="15.75" thickBot="1" x14ac:dyDescent="0.3">
      <c r="G850" s="3">
        <f t="shared" si="130"/>
        <v>23</v>
      </c>
      <c r="H850" s="106">
        <f t="shared" si="139"/>
        <v>44948</v>
      </c>
      <c r="I850" s="133">
        <f>HLOOKUP($H$4,'Met Data'!$A$2:$F$368,G850,FALSE)</f>
        <v>19.0133333333333</v>
      </c>
      <c r="J850" s="131">
        <f ca="1">HLOOKUP($H$4,'Met Data'!$H$2:$M$368,G850,FALSE)*L850</f>
        <v>3.7366666666666601</v>
      </c>
      <c r="K850" s="107">
        <f>HLOOKUP($H$4,'Met Data'!$O$2:$T$368,G850,FALSE)</f>
        <v>4.0376213451036698</v>
      </c>
      <c r="L850">
        <f t="shared" ca="1" si="131"/>
        <v>1</v>
      </c>
      <c r="N850" t="e">
        <f t="shared" ca="1" si="132"/>
        <v>#N/A</v>
      </c>
      <c r="O850" t="e">
        <f t="shared" ca="1" si="133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4"/>
        <v>0</v>
      </c>
      <c r="AE850" s="46">
        <f t="shared" ca="1" si="135"/>
        <v>0</v>
      </c>
      <c r="AG850" s="72" t="e">
        <f t="shared" ca="1" si="136"/>
        <v>#N/A</v>
      </c>
      <c r="AH850" s="72" t="e">
        <f t="shared" ca="1" si="137"/>
        <v>#N/A</v>
      </c>
      <c r="AI850" s="3" t="e">
        <f t="shared" ca="1" si="138"/>
        <v>#N/A</v>
      </c>
    </row>
    <row r="851" spans="7:35" ht="15.75" thickBot="1" x14ac:dyDescent="0.3">
      <c r="G851" s="3">
        <f t="shared" si="130"/>
        <v>24</v>
      </c>
      <c r="H851" s="106">
        <f t="shared" si="139"/>
        <v>44949</v>
      </c>
      <c r="I851" s="133">
        <f>HLOOKUP($H$4,'Met Data'!$A$2:$F$368,G851,FALSE)</f>
        <v>19.03</v>
      </c>
      <c r="J851" s="131">
        <f ca="1">HLOOKUP($H$4,'Met Data'!$H$2:$M$368,G851,FALSE)*L851</f>
        <v>2.4266666666666601</v>
      </c>
      <c r="K851" s="107">
        <f>HLOOKUP($H$4,'Met Data'!$O$2:$T$368,G851,FALSE)</f>
        <v>4.3725520099572401</v>
      </c>
      <c r="L851">
        <f t="shared" ca="1" si="131"/>
        <v>1</v>
      </c>
      <c r="N851" t="e">
        <f t="shared" ca="1" si="132"/>
        <v>#N/A</v>
      </c>
      <c r="O851" t="e">
        <f t="shared" ca="1" si="133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4"/>
        <v>0</v>
      </c>
      <c r="AE851" s="46">
        <f t="shared" ca="1" si="135"/>
        <v>0</v>
      </c>
      <c r="AG851" s="72" t="e">
        <f t="shared" ca="1" si="136"/>
        <v>#N/A</v>
      </c>
      <c r="AH851" s="72" t="e">
        <f t="shared" ca="1" si="137"/>
        <v>#N/A</v>
      </c>
      <c r="AI851" s="3" t="e">
        <f t="shared" ca="1" si="138"/>
        <v>#N/A</v>
      </c>
    </row>
    <row r="852" spans="7:35" ht="15.75" thickBot="1" x14ac:dyDescent="0.3">
      <c r="G852" s="3">
        <f t="shared" si="130"/>
        <v>25</v>
      </c>
      <c r="H852" s="106">
        <f t="shared" si="139"/>
        <v>44950</v>
      </c>
      <c r="I852" s="133">
        <f>HLOOKUP($H$4,'Met Data'!$A$2:$F$368,G852,FALSE)</f>
        <v>19.07</v>
      </c>
      <c r="J852" s="131">
        <f ca="1">HLOOKUP($H$4,'Met Data'!$H$2:$M$368,G852,FALSE)*L852</f>
        <v>3.4166666666666599</v>
      </c>
      <c r="K852" s="107">
        <f>HLOOKUP($H$4,'Met Data'!$O$2:$T$368,G852,FALSE)</f>
        <v>4.19340465226154</v>
      </c>
      <c r="L852">
        <f t="shared" ca="1" si="131"/>
        <v>1</v>
      </c>
      <c r="N852" t="e">
        <f t="shared" ca="1" si="132"/>
        <v>#N/A</v>
      </c>
      <c r="O852" t="e">
        <f t="shared" ca="1" si="133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4"/>
        <v>0</v>
      </c>
      <c r="AE852" s="46">
        <f t="shared" ca="1" si="135"/>
        <v>0</v>
      </c>
      <c r="AG852" s="72" t="e">
        <f t="shared" ca="1" si="136"/>
        <v>#N/A</v>
      </c>
      <c r="AH852" s="72" t="e">
        <f t="shared" ca="1" si="137"/>
        <v>#N/A</v>
      </c>
      <c r="AI852" s="3" t="e">
        <f t="shared" ca="1" si="138"/>
        <v>#N/A</v>
      </c>
    </row>
    <row r="853" spans="7:35" ht="15.75" thickBot="1" x14ac:dyDescent="0.3">
      <c r="G853" s="3">
        <f t="shared" si="130"/>
        <v>26</v>
      </c>
      <c r="H853" s="106">
        <f t="shared" si="139"/>
        <v>44951</v>
      </c>
      <c r="I853" s="133">
        <f>HLOOKUP($H$4,'Met Data'!$A$2:$F$368,G853,FALSE)</f>
        <v>19.3</v>
      </c>
      <c r="J853" s="131">
        <f ca="1">HLOOKUP($H$4,'Met Data'!$H$2:$M$368,G853,FALSE)*L853</f>
        <v>3.70333333333333</v>
      </c>
      <c r="K853" s="107">
        <f>HLOOKUP($H$4,'Met Data'!$O$2:$T$368,G853,FALSE)</f>
        <v>4.6119458181628401</v>
      </c>
      <c r="L853">
        <f t="shared" ca="1" si="131"/>
        <v>1</v>
      </c>
      <c r="N853" t="e">
        <f t="shared" ca="1" si="132"/>
        <v>#N/A</v>
      </c>
      <c r="O853" t="e">
        <f t="shared" ca="1" si="133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4"/>
        <v>0</v>
      </c>
      <c r="AE853" s="46">
        <f t="shared" ca="1" si="135"/>
        <v>0</v>
      </c>
      <c r="AG853" s="72" t="e">
        <f t="shared" ca="1" si="136"/>
        <v>#N/A</v>
      </c>
      <c r="AH853" s="72" t="e">
        <f t="shared" ca="1" si="137"/>
        <v>#N/A</v>
      </c>
      <c r="AI853" s="3" t="e">
        <f t="shared" ca="1" si="138"/>
        <v>#N/A</v>
      </c>
    </row>
    <row r="854" spans="7:35" ht="15.75" thickBot="1" x14ac:dyDescent="0.3">
      <c r="G854" s="3">
        <f t="shared" si="130"/>
        <v>27</v>
      </c>
      <c r="H854" s="106">
        <f t="shared" si="139"/>
        <v>44952</v>
      </c>
      <c r="I854" s="133">
        <f>HLOOKUP($H$4,'Met Data'!$A$2:$F$368,G854,FALSE)</f>
        <v>19.418333333333301</v>
      </c>
      <c r="J854" s="131">
        <f ca="1">HLOOKUP($H$4,'Met Data'!$H$2:$M$368,G854,FALSE)*L854</f>
        <v>1.2566666666666599</v>
      </c>
      <c r="K854" s="107">
        <f>HLOOKUP($H$4,'Met Data'!$O$2:$T$368,G854,FALSE)</f>
        <v>4.4486726941054897</v>
      </c>
      <c r="L854">
        <f t="shared" ca="1" si="131"/>
        <v>1</v>
      </c>
      <c r="N854" t="e">
        <f t="shared" ca="1" si="132"/>
        <v>#N/A</v>
      </c>
      <c r="O854" t="e">
        <f t="shared" ca="1" si="133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4"/>
        <v>0</v>
      </c>
      <c r="AE854" s="46">
        <f t="shared" ca="1" si="135"/>
        <v>0</v>
      </c>
      <c r="AG854" s="72" t="e">
        <f t="shared" ca="1" si="136"/>
        <v>#N/A</v>
      </c>
      <c r="AH854" s="72" t="e">
        <f t="shared" ca="1" si="137"/>
        <v>#N/A</v>
      </c>
      <c r="AI854" s="3" t="e">
        <f t="shared" ca="1" si="138"/>
        <v>#N/A</v>
      </c>
    </row>
    <row r="855" spans="7:35" ht="15.75" thickBot="1" x14ac:dyDescent="0.3">
      <c r="G855" s="3">
        <f t="shared" si="130"/>
        <v>28</v>
      </c>
      <c r="H855" s="106">
        <f t="shared" si="139"/>
        <v>44953</v>
      </c>
      <c r="I855" s="133">
        <f>HLOOKUP($H$4,'Met Data'!$A$2:$F$368,G855,FALSE)</f>
        <v>19.086666666666599</v>
      </c>
      <c r="J855" s="131">
        <f ca="1">HLOOKUP($H$4,'Met Data'!$H$2:$M$368,G855,FALSE)*L855</f>
        <v>2.65</v>
      </c>
      <c r="K855" s="107">
        <f>HLOOKUP($H$4,'Met Data'!$O$2:$T$368,G855,FALSE)</f>
        <v>4.6925683722845504</v>
      </c>
      <c r="L855">
        <f t="shared" ca="1" si="131"/>
        <v>1</v>
      </c>
      <c r="N855" t="e">
        <f t="shared" ca="1" si="132"/>
        <v>#N/A</v>
      </c>
      <c r="O855" t="e">
        <f t="shared" ca="1" si="133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4"/>
        <v>0</v>
      </c>
      <c r="AE855" s="46">
        <f t="shared" ca="1" si="135"/>
        <v>0</v>
      </c>
      <c r="AG855" s="72" t="e">
        <f t="shared" ca="1" si="136"/>
        <v>#N/A</v>
      </c>
      <c r="AH855" s="72" t="e">
        <f t="shared" ca="1" si="137"/>
        <v>#N/A</v>
      </c>
      <c r="AI855" s="3" t="e">
        <f t="shared" ca="1" si="138"/>
        <v>#N/A</v>
      </c>
    </row>
    <row r="856" spans="7:35" ht="15.75" thickBot="1" x14ac:dyDescent="0.3">
      <c r="G856" s="3">
        <f t="shared" si="130"/>
        <v>29</v>
      </c>
      <c r="H856" s="106">
        <f t="shared" si="139"/>
        <v>44954</v>
      </c>
      <c r="I856" s="133">
        <f>HLOOKUP($H$4,'Met Data'!$A$2:$F$368,G856,FALSE)</f>
        <v>19.248333333333299</v>
      </c>
      <c r="J856" s="131">
        <f ca="1">HLOOKUP($H$4,'Met Data'!$H$2:$M$368,G856,FALSE)*L856</f>
        <v>1.81</v>
      </c>
      <c r="K856" s="107">
        <f>HLOOKUP($H$4,'Met Data'!$O$2:$T$368,G856,FALSE)</f>
        <v>4.8021312602016</v>
      </c>
      <c r="L856">
        <f t="shared" ca="1" si="131"/>
        <v>1</v>
      </c>
      <c r="N856" t="e">
        <f t="shared" ca="1" si="132"/>
        <v>#N/A</v>
      </c>
      <c r="O856" t="e">
        <f t="shared" ca="1" si="133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4"/>
        <v>0</v>
      </c>
      <c r="AE856" s="46">
        <f t="shared" ca="1" si="135"/>
        <v>0</v>
      </c>
      <c r="AG856" s="72" t="e">
        <f t="shared" ca="1" si="136"/>
        <v>#N/A</v>
      </c>
      <c r="AH856" s="72" t="e">
        <f t="shared" ca="1" si="137"/>
        <v>#N/A</v>
      </c>
      <c r="AI856" s="3" t="e">
        <f t="shared" ca="1" si="138"/>
        <v>#N/A</v>
      </c>
    </row>
    <row r="857" spans="7:35" ht="15.75" thickBot="1" x14ac:dyDescent="0.3">
      <c r="G857" s="3">
        <f t="shared" si="130"/>
        <v>30</v>
      </c>
      <c r="H857" s="106">
        <f t="shared" si="139"/>
        <v>44955</v>
      </c>
      <c r="I857" s="133">
        <f>HLOOKUP($H$4,'Met Data'!$A$2:$F$368,G857,FALSE)</f>
        <v>19.486666666666601</v>
      </c>
      <c r="J857" s="131">
        <f ca="1">HLOOKUP($H$4,'Met Data'!$H$2:$M$368,G857,FALSE)*L857</f>
        <v>2.1066666666666598</v>
      </c>
      <c r="K857" s="107">
        <f>HLOOKUP($H$4,'Met Data'!$O$2:$T$368,G857,FALSE)</f>
        <v>4.81456570354226</v>
      </c>
      <c r="L857">
        <f t="shared" ca="1" si="131"/>
        <v>1</v>
      </c>
      <c r="N857" t="e">
        <f t="shared" ca="1" si="132"/>
        <v>#N/A</v>
      </c>
      <c r="O857" t="e">
        <f t="shared" ca="1" si="133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4"/>
        <v>0</v>
      </c>
      <c r="AE857" s="46">
        <f t="shared" ca="1" si="135"/>
        <v>0</v>
      </c>
      <c r="AG857" s="72" t="e">
        <f t="shared" ca="1" si="136"/>
        <v>#N/A</v>
      </c>
      <c r="AH857" s="72" t="e">
        <f t="shared" ca="1" si="137"/>
        <v>#N/A</v>
      </c>
      <c r="AI857" s="3" t="e">
        <f t="shared" ca="1" si="138"/>
        <v>#N/A</v>
      </c>
    </row>
    <row r="858" spans="7:35" ht="15.75" thickBot="1" x14ac:dyDescent="0.3">
      <c r="G858" s="3">
        <f t="shared" si="130"/>
        <v>31</v>
      </c>
      <c r="H858" s="106">
        <f t="shared" si="139"/>
        <v>44956</v>
      </c>
      <c r="I858" s="133">
        <f>HLOOKUP($H$4,'Met Data'!$A$2:$F$368,G858,FALSE)</f>
        <v>19.725000000000001</v>
      </c>
      <c r="J858" s="131">
        <f ca="1">HLOOKUP($H$4,'Met Data'!$H$2:$M$368,G858,FALSE)*L858</f>
        <v>3.1033333333333299</v>
      </c>
      <c r="K858" s="107">
        <f>HLOOKUP($H$4,'Met Data'!$O$2:$T$368,G858,FALSE)</f>
        <v>4.4640725934925003</v>
      </c>
      <c r="L858">
        <f t="shared" ca="1" si="131"/>
        <v>1</v>
      </c>
      <c r="N858" t="e">
        <f t="shared" ca="1" si="132"/>
        <v>#N/A</v>
      </c>
      <c r="O858" t="e">
        <f t="shared" ca="1" si="133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4"/>
        <v>0</v>
      </c>
      <c r="AE858" s="46">
        <f t="shared" ca="1" si="135"/>
        <v>0</v>
      </c>
      <c r="AG858" s="72" t="e">
        <f t="shared" ca="1" si="136"/>
        <v>#N/A</v>
      </c>
      <c r="AH858" s="72" t="e">
        <f t="shared" ca="1" si="137"/>
        <v>#N/A</v>
      </c>
      <c r="AI858" s="3" t="e">
        <f t="shared" ca="1" si="138"/>
        <v>#N/A</v>
      </c>
    </row>
    <row r="859" spans="7:35" ht="15.75" thickBot="1" x14ac:dyDescent="0.3">
      <c r="G859" s="3">
        <f t="shared" si="130"/>
        <v>32</v>
      </c>
      <c r="H859" s="106">
        <f t="shared" si="139"/>
        <v>44957</v>
      </c>
      <c r="I859" s="133">
        <f>HLOOKUP($H$4,'Met Data'!$A$2:$F$368,G859,FALSE)</f>
        <v>19.670000000000002</v>
      </c>
      <c r="J859" s="131">
        <f ca="1">HLOOKUP($H$4,'Met Data'!$H$2:$M$368,G859,FALSE)*L859</f>
        <v>2.7466666666666599</v>
      </c>
      <c r="K859" s="107">
        <f>HLOOKUP($H$4,'Met Data'!$O$2:$T$368,G859,FALSE)</f>
        <v>4.1799437739427896</v>
      </c>
      <c r="L859">
        <f t="shared" ca="1" si="131"/>
        <v>1</v>
      </c>
      <c r="N859" t="e">
        <f t="shared" ca="1" si="132"/>
        <v>#N/A</v>
      </c>
      <c r="O859" t="e">
        <f t="shared" ca="1" si="133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4"/>
        <v>0</v>
      </c>
      <c r="AE859" s="46">
        <f t="shared" ca="1" si="135"/>
        <v>0</v>
      </c>
      <c r="AG859" s="72" t="e">
        <f t="shared" ca="1" si="136"/>
        <v>#N/A</v>
      </c>
      <c r="AH859" s="72" t="e">
        <f t="shared" ca="1" si="137"/>
        <v>#N/A</v>
      </c>
      <c r="AI859" s="3" t="e">
        <f t="shared" ca="1" si="138"/>
        <v>#N/A</v>
      </c>
    </row>
    <row r="860" spans="7:35" ht="15.75" thickBot="1" x14ac:dyDescent="0.3">
      <c r="G860" s="3">
        <f t="shared" si="130"/>
        <v>33</v>
      </c>
      <c r="H860" s="106">
        <f t="shared" si="139"/>
        <v>44958</v>
      </c>
      <c r="I860" s="133">
        <f>HLOOKUP($H$4,'Met Data'!$A$2:$F$368,G860,FALSE)</f>
        <v>19.770689655172401</v>
      </c>
      <c r="J860" s="131">
        <f ca="1">HLOOKUP($H$4,'Met Data'!$H$2:$M$368,G860,FALSE)*L860</f>
        <v>1.1103448275862</v>
      </c>
      <c r="K860" s="107">
        <f>HLOOKUP($H$4,'Met Data'!$O$2:$T$368,G860,FALSE)</f>
        <v>4.5867414057587403</v>
      </c>
      <c r="L860">
        <f t="shared" ca="1" si="131"/>
        <v>1</v>
      </c>
      <c r="N860" t="e">
        <f t="shared" ca="1" si="132"/>
        <v>#N/A</v>
      </c>
      <c r="O860" t="e">
        <f t="shared" ca="1" si="133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4"/>
        <v>0</v>
      </c>
      <c r="AE860" s="46">
        <f t="shared" ca="1" si="135"/>
        <v>0</v>
      </c>
      <c r="AG860" s="72" t="e">
        <f t="shared" ca="1" si="136"/>
        <v>#N/A</v>
      </c>
      <c r="AH860" s="72" t="e">
        <f t="shared" ca="1" si="137"/>
        <v>#N/A</v>
      </c>
      <c r="AI860" s="3" t="e">
        <f t="shared" ca="1" si="138"/>
        <v>#N/A</v>
      </c>
    </row>
    <row r="861" spans="7:35" ht="15.75" thickBot="1" x14ac:dyDescent="0.3">
      <c r="G861" s="3">
        <f t="shared" si="130"/>
        <v>34</v>
      </c>
      <c r="H861" s="106">
        <f t="shared" si="139"/>
        <v>44959</v>
      </c>
      <c r="I861" s="133">
        <f>HLOOKUP($H$4,'Met Data'!$A$2:$F$368,G861,FALSE)</f>
        <v>19.548275862068898</v>
      </c>
      <c r="J861" s="131">
        <f ca="1">HLOOKUP($H$4,'Met Data'!$H$2:$M$368,G861,FALSE)*L861</f>
        <v>4.0620689655172404</v>
      </c>
      <c r="K861" s="107">
        <f>HLOOKUP($H$4,'Met Data'!$O$2:$T$368,G861,FALSE)</f>
        <v>4.65070177511826</v>
      </c>
      <c r="L861">
        <f t="shared" ca="1" si="131"/>
        <v>1</v>
      </c>
      <c r="N861" t="e">
        <f t="shared" ca="1" si="132"/>
        <v>#N/A</v>
      </c>
      <c r="O861" t="e">
        <f t="shared" ca="1" si="133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4"/>
        <v>0</v>
      </c>
      <c r="AE861" s="46">
        <f t="shared" ca="1" si="135"/>
        <v>0</v>
      </c>
      <c r="AG861" s="72" t="e">
        <f t="shared" ca="1" si="136"/>
        <v>#N/A</v>
      </c>
      <c r="AH861" s="72" t="e">
        <f t="shared" ca="1" si="137"/>
        <v>#N/A</v>
      </c>
      <c r="AI861" s="3" t="e">
        <f t="shared" ca="1" si="138"/>
        <v>#N/A</v>
      </c>
    </row>
    <row r="862" spans="7:35" ht="15.75" thickBot="1" x14ac:dyDescent="0.3">
      <c r="G862" s="3">
        <f t="shared" si="130"/>
        <v>35</v>
      </c>
      <c r="H862" s="106">
        <f t="shared" si="139"/>
        <v>44960</v>
      </c>
      <c r="I862" s="133">
        <f>HLOOKUP($H$4,'Met Data'!$A$2:$F$368,G862,FALSE)</f>
        <v>19.325862068965499</v>
      </c>
      <c r="J862" s="131">
        <f ca="1">HLOOKUP($H$4,'Met Data'!$H$2:$M$368,G862,FALSE)*L862</f>
        <v>1.00344827586206</v>
      </c>
      <c r="K862" s="107">
        <f>HLOOKUP($H$4,'Met Data'!$O$2:$T$368,G862,FALSE)</f>
        <v>4.2568283320677196</v>
      </c>
      <c r="L862">
        <f t="shared" ca="1" si="131"/>
        <v>1</v>
      </c>
      <c r="N862" t="e">
        <f t="shared" ca="1" si="132"/>
        <v>#N/A</v>
      </c>
      <c r="O862" t="e">
        <f t="shared" ca="1" si="133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4"/>
        <v>0</v>
      </c>
      <c r="AE862" s="46">
        <f t="shared" ca="1" si="135"/>
        <v>0</v>
      </c>
      <c r="AG862" s="72" t="e">
        <f t="shared" ca="1" si="136"/>
        <v>#N/A</v>
      </c>
      <c r="AH862" s="72" t="e">
        <f t="shared" ca="1" si="137"/>
        <v>#N/A</v>
      </c>
      <c r="AI862" s="3" t="e">
        <f t="shared" ca="1" si="138"/>
        <v>#N/A</v>
      </c>
    </row>
    <row r="863" spans="7:35" ht="15.75" thickBot="1" x14ac:dyDescent="0.3">
      <c r="G863" s="3">
        <f t="shared" si="130"/>
        <v>36</v>
      </c>
      <c r="H863" s="106">
        <f t="shared" si="139"/>
        <v>44961</v>
      </c>
      <c r="I863" s="133">
        <f>HLOOKUP($H$4,'Met Data'!$A$2:$F$368,G863,FALSE)</f>
        <v>18.712068965517201</v>
      </c>
      <c r="J863" s="131">
        <f ca="1">HLOOKUP($H$4,'Met Data'!$H$2:$M$368,G863,FALSE)*L863</f>
        <v>4.7586206896551699</v>
      </c>
      <c r="K863" s="107">
        <f>HLOOKUP($H$4,'Met Data'!$O$2:$T$368,G863,FALSE)</f>
        <v>3.6726350990735899</v>
      </c>
      <c r="L863">
        <f t="shared" ca="1" si="131"/>
        <v>1</v>
      </c>
      <c r="N863" t="e">
        <f t="shared" ca="1" si="132"/>
        <v>#N/A</v>
      </c>
      <c r="O863" t="e">
        <f t="shared" ca="1" si="133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4"/>
        <v>0</v>
      </c>
      <c r="AE863" s="46">
        <f t="shared" ca="1" si="135"/>
        <v>0</v>
      </c>
      <c r="AG863" s="72" t="e">
        <f t="shared" ca="1" si="136"/>
        <v>#N/A</v>
      </c>
      <c r="AH863" s="72" t="e">
        <f t="shared" ca="1" si="137"/>
        <v>#N/A</v>
      </c>
      <c r="AI863" s="3" t="e">
        <f t="shared" ca="1" si="138"/>
        <v>#N/A</v>
      </c>
    </row>
    <row r="864" spans="7:35" ht="15.75" thickBot="1" x14ac:dyDescent="0.3">
      <c r="G864" s="3">
        <f t="shared" si="130"/>
        <v>37</v>
      </c>
      <c r="H864" s="106">
        <f t="shared" si="139"/>
        <v>44962</v>
      </c>
      <c r="I864" s="133">
        <f>HLOOKUP($H$4,'Met Data'!$A$2:$F$368,G864,FALSE)</f>
        <v>19.178333333333299</v>
      </c>
      <c r="J864" s="131">
        <f ca="1">HLOOKUP($H$4,'Met Data'!$H$2:$M$368,G864,FALSE)*L864</f>
        <v>2.2833333333333301</v>
      </c>
      <c r="K864" s="107">
        <f>HLOOKUP($H$4,'Met Data'!$O$2:$T$368,G864,FALSE)</f>
        <v>4.0355922642947899</v>
      </c>
      <c r="L864">
        <f t="shared" ca="1" si="131"/>
        <v>1</v>
      </c>
      <c r="N864" t="e">
        <f t="shared" ca="1" si="132"/>
        <v>#N/A</v>
      </c>
      <c r="O864" t="e">
        <f t="shared" ca="1" si="133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4"/>
        <v>0</v>
      </c>
      <c r="AE864" s="46">
        <f t="shared" ca="1" si="135"/>
        <v>0</v>
      </c>
      <c r="AG864" s="72" t="e">
        <f t="shared" ca="1" si="136"/>
        <v>#N/A</v>
      </c>
      <c r="AH864" s="72" t="e">
        <f t="shared" ca="1" si="137"/>
        <v>#N/A</v>
      </c>
      <c r="AI864" s="3" t="e">
        <f t="shared" ca="1" si="138"/>
        <v>#N/A</v>
      </c>
    </row>
    <row r="865" spans="7:35" ht="15.75" thickBot="1" x14ac:dyDescent="0.3">
      <c r="G865" s="3">
        <f t="shared" si="130"/>
        <v>38</v>
      </c>
      <c r="H865" s="106">
        <f t="shared" si="139"/>
        <v>44963</v>
      </c>
      <c r="I865" s="133">
        <f>HLOOKUP($H$4,'Met Data'!$A$2:$F$368,G865,FALSE)</f>
        <v>19.063333333333301</v>
      </c>
      <c r="J865" s="131">
        <f ca="1">HLOOKUP($H$4,'Met Data'!$H$2:$M$368,G865,FALSE)*L865</f>
        <v>0.35</v>
      </c>
      <c r="K865" s="107">
        <f>HLOOKUP($H$4,'Met Data'!$O$2:$T$368,G865,FALSE)</f>
        <v>4.5836031413853302</v>
      </c>
      <c r="L865">
        <f t="shared" ca="1" si="131"/>
        <v>1</v>
      </c>
      <c r="N865" t="e">
        <f t="shared" ca="1" si="132"/>
        <v>#N/A</v>
      </c>
      <c r="O865" t="e">
        <f t="shared" ca="1" si="133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4"/>
        <v>0</v>
      </c>
      <c r="AE865" s="46">
        <f t="shared" ca="1" si="135"/>
        <v>0</v>
      </c>
      <c r="AG865" s="72" t="e">
        <f t="shared" ca="1" si="136"/>
        <v>#N/A</v>
      </c>
      <c r="AH865" s="72" t="e">
        <f t="shared" ca="1" si="137"/>
        <v>#N/A</v>
      </c>
      <c r="AI865" s="3" t="e">
        <f t="shared" ca="1" si="138"/>
        <v>#N/A</v>
      </c>
    </row>
    <row r="866" spans="7:35" ht="15.75" thickBot="1" x14ac:dyDescent="0.3">
      <c r="G866" s="3">
        <f t="shared" si="130"/>
        <v>39</v>
      </c>
      <c r="H866" s="106">
        <f t="shared" si="139"/>
        <v>44964</v>
      </c>
      <c r="I866" s="133">
        <f>HLOOKUP($H$4,'Met Data'!$A$2:$F$368,G866,FALSE)</f>
        <v>19.164999999999999</v>
      </c>
      <c r="J866" s="131">
        <f ca="1">HLOOKUP($H$4,'Met Data'!$H$2:$M$368,G866,FALSE)*L866</f>
        <v>0.80666666666666598</v>
      </c>
      <c r="K866" s="107">
        <f>HLOOKUP($H$4,'Met Data'!$O$2:$T$368,G866,FALSE)</f>
        <v>4.2844164584952198</v>
      </c>
      <c r="L866">
        <f t="shared" ca="1" si="131"/>
        <v>1</v>
      </c>
      <c r="N866" t="e">
        <f t="shared" ca="1" si="132"/>
        <v>#N/A</v>
      </c>
      <c r="O866" t="e">
        <f t="shared" ca="1" si="133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4"/>
        <v>0</v>
      </c>
      <c r="AE866" s="46">
        <f t="shared" ca="1" si="135"/>
        <v>0</v>
      </c>
      <c r="AG866" s="72" t="e">
        <f t="shared" ca="1" si="136"/>
        <v>#N/A</v>
      </c>
      <c r="AH866" s="72" t="e">
        <f t="shared" ca="1" si="137"/>
        <v>#N/A</v>
      </c>
      <c r="AI866" s="3" t="e">
        <f t="shared" ca="1" si="138"/>
        <v>#N/A</v>
      </c>
    </row>
    <row r="867" spans="7:35" ht="15.75" thickBot="1" x14ac:dyDescent="0.3">
      <c r="G867" s="3">
        <f t="shared" si="130"/>
        <v>40</v>
      </c>
      <c r="H867" s="106">
        <f t="shared" si="139"/>
        <v>44965</v>
      </c>
      <c r="I867" s="133">
        <f>HLOOKUP($H$4,'Met Data'!$A$2:$F$368,G867,FALSE)</f>
        <v>19.145</v>
      </c>
      <c r="J867" s="131">
        <f ca="1">HLOOKUP($H$4,'Met Data'!$H$2:$M$368,G867,FALSE)*L867</f>
        <v>2.1066666666666598</v>
      </c>
      <c r="K867" s="107">
        <f>HLOOKUP($H$4,'Met Data'!$O$2:$T$368,G867,FALSE)</f>
        <v>4.0819751344129296</v>
      </c>
      <c r="L867">
        <f t="shared" ca="1" si="131"/>
        <v>1</v>
      </c>
      <c r="N867" t="e">
        <f t="shared" ca="1" si="132"/>
        <v>#N/A</v>
      </c>
      <c r="O867" t="e">
        <f t="shared" ca="1" si="133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4"/>
        <v>0</v>
      </c>
      <c r="AE867" s="46">
        <f t="shared" ca="1" si="135"/>
        <v>0</v>
      </c>
      <c r="AG867" s="72" t="e">
        <f t="shared" ca="1" si="136"/>
        <v>#N/A</v>
      </c>
      <c r="AH867" s="72" t="e">
        <f t="shared" ca="1" si="137"/>
        <v>#N/A</v>
      </c>
      <c r="AI867" s="3" t="e">
        <f t="shared" ca="1" si="138"/>
        <v>#N/A</v>
      </c>
    </row>
    <row r="868" spans="7:35" ht="15.75" thickBot="1" x14ac:dyDescent="0.3">
      <c r="G868" s="3">
        <f t="shared" si="130"/>
        <v>41</v>
      </c>
      <c r="H868" s="106">
        <f t="shared" si="139"/>
        <v>44966</v>
      </c>
      <c r="I868" s="133">
        <f>HLOOKUP($H$4,'Met Data'!$A$2:$F$368,G868,FALSE)</f>
        <v>19.28</v>
      </c>
      <c r="J868" s="131">
        <f ca="1">HLOOKUP($H$4,'Met Data'!$H$2:$M$368,G868,FALSE)*L868</f>
        <v>1.1200000000000001</v>
      </c>
      <c r="K868" s="107">
        <f>HLOOKUP($H$4,'Met Data'!$O$2:$T$368,G868,FALSE)</f>
        <v>4.260490854165</v>
      </c>
      <c r="L868">
        <f t="shared" ca="1" si="131"/>
        <v>1</v>
      </c>
      <c r="N868" t="e">
        <f t="shared" ca="1" si="132"/>
        <v>#N/A</v>
      </c>
      <c r="O868" t="e">
        <f t="shared" ca="1" si="133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4"/>
        <v>0</v>
      </c>
      <c r="AE868" s="46">
        <f t="shared" ca="1" si="135"/>
        <v>0</v>
      </c>
      <c r="AG868" s="72" t="e">
        <f t="shared" ca="1" si="136"/>
        <v>#N/A</v>
      </c>
      <c r="AH868" s="72" t="e">
        <f t="shared" ca="1" si="137"/>
        <v>#N/A</v>
      </c>
      <c r="AI868" s="3" t="e">
        <f t="shared" ca="1" si="138"/>
        <v>#N/A</v>
      </c>
    </row>
    <row r="869" spans="7:35" ht="15.75" thickBot="1" x14ac:dyDescent="0.3">
      <c r="G869" s="3">
        <f t="shared" si="130"/>
        <v>42</v>
      </c>
      <c r="H869" s="106">
        <f t="shared" si="139"/>
        <v>44967</v>
      </c>
      <c r="I869" s="133">
        <f>HLOOKUP($H$4,'Met Data'!$A$2:$F$368,G869,FALSE)</f>
        <v>19.6533333333333</v>
      </c>
      <c r="J869" s="131">
        <f ca="1">HLOOKUP($H$4,'Met Data'!$H$2:$M$368,G869,FALSE)*L869</f>
        <v>1.4866666666666599</v>
      </c>
      <c r="K869" s="107">
        <f>HLOOKUP($H$4,'Met Data'!$O$2:$T$368,G869,FALSE)</f>
        <v>3.7833097987788902</v>
      </c>
      <c r="L869">
        <f t="shared" ca="1" si="131"/>
        <v>1</v>
      </c>
      <c r="N869" t="e">
        <f t="shared" ca="1" si="132"/>
        <v>#N/A</v>
      </c>
      <c r="O869" t="e">
        <f t="shared" ca="1" si="133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4"/>
        <v>0</v>
      </c>
      <c r="AE869" s="46">
        <f t="shared" ca="1" si="135"/>
        <v>0</v>
      </c>
      <c r="AG869" s="72" t="e">
        <f t="shared" ca="1" si="136"/>
        <v>#N/A</v>
      </c>
      <c r="AH869" s="72" t="e">
        <f t="shared" ca="1" si="137"/>
        <v>#N/A</v>
      </c>
      <c r="AI869" s="3" t="e">
        <f t="shared" ca="1" si="138"/>
        <v>#N/A</v>
      </c>
    </row>
    <row r="870" spans="7:35" ht="15.75" thickBot="1" x14ac:dyDescent="0.3">
      <c r="G870" s="3">
        <f t="shared" si="130"/>
        <v>43</v>
      </c>
      <c r="H870" s="106">
        <f t="shared" si="139"/>
        <v>44968</v>
      </c>
      <c r="I870" s="133">
        <f>HLOOKUP($H$4,'Met Data'!$A$2:$F$368,G870,FALSE)</f>
        <v>19.843333333333302</v>
      </c>
      <c r="J870" s="131">
        <f ca="1">HLOOKUP($H$4,'Met Data'!$H$2:$M$368,G870,FALSE)*L870</f>
        <v>2.3199999999999998</v>
      </c>
      <c r="K870" s="107">
        <f>HLOOKUP($H$4,'Met Data'!$O$2:$T$368,G870,FALSE)</f>
        <v>3.6396000191553801</v>
      </c>
      <c r="L870">
        <f t="shared" ca="1" si="131"/>
        <v>1</v>
      </c>
      <c r="N870" t="e">
        <f t="shared" ca="1" si="132"/>
        <v>#N/A</v>
      </c>
      <c r="O870" t="e">
        <f t="shared" ca="1" si="133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4"/>
        <v>0</v>
      </c>
      <c r="AE870" s="46">
        <f t="shared" ca="1" si="135"/>
        <v>0</v>
      </c>
      <c r="AG870" s="72" t="e">
        <f t="shared" ca="1" si="136"/>
        <v>#N/A</v>
      </c>
      <c r="AH870" s="72" t="e">
        <f t="shared" ca="1" si="137"/>
        <v>#N/A</v>
      </c>
      <c r="AI870" s="3" t="e">
        <f t="shared" ca="1" si="138"/>
        <v>#N/A</v>
      </c>
    </row>
    <row r="871" spans="7:35" ht="15.75" thickBot="1" x14ac:dyDescent="0.3">
      <c r="G871" s="3">
        <f t="shared" si="130"/>
        <v>44</v>
      </c>
      <c r="H871" s="106">
        <f t="shared" si="139"/>
        <v>44969</v>
      </c>
      <c r="I871" s="133">
        <f>HLOOKUP($H$4,'Met Data'!$A$2:$F$368,G871,FALSE)</f>
        <v>19.767241379310299</v>
      </c>
      <c r="J871" s="131">
        <f ca="1">HLOOKUP($H$4,'Met Data'!$H$2:$M$368,G871,FALSE)*L871</f>
        <v>2.6066666666666598</v>
      </c>
      <c r="K871" s="107">
        <f>HLOOKUP($H$4,'Met Data'!$O$2:$T$368,G871,FALSE)</f>
        <v>3.70262305339519</v>
      </c>
      <c r="L871">
        <f t="shared" ca="1" si="131"/>
        <v>1</v>
      </c>
      <c r="N871" t="e">
        <f t="shared" ca="1" si="132"/>
        <v>#N/A</v>
      </c>
      <c r="O871" t="e">
        <f t="shared" ca="1" si="133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4"/>
        <v>0</v>
      </c>
      <c r="AE871" s="46">
        <f t="shared" ca="1" si="135"/>
        <v>0</v>
      </c>
      <c r="AG871" s="72" t="e">
        <f t="shared" ca="1" si="136"/>
        <v>#N/A</v>
      </c>
      <c r="AH871" s="72" t="e">
        <f t="shared" ca="1" si="137"/>
        <v>#N/A</v>
      </c>
      <c r="AI871" s="3" t="e">
        <f t="shared" ca="1" si="138"/>
        <v>#N/A</v>
      </c>
    </row>
    <row r="872" spans="7:35" ht="15.75" thickBot="1" x14ac:dyDescent="0.3">
      <c r="G872" s="3">
        <f t="shared" si="130"/>
        <v>45</v>
      </c>
      <c r="H872" s="106">
        <f t="shared" si="139"/>
        <v>44970</v>
      </c>
      <c r="I872" s="133">
        <f>HLOOKUP($H$4,'Met Data'!$A$2:$F$368,G872,FALSE)</f>
        <v>19.5672413793103</v>
      </c>
      <c r="J872" s="131">
        <f ca="1">HLOOKUP($H$4,'Met Data'!$H$2:$M$368,G872,FALSE)*L872</f>
        <v>0.59</v>
      </c>
      <c r="K872" s="107">
        <f>HLOOKUP($H$4,'Met Data'!$O$2:$T$368,G872,FALSE)</f>
        <v>4.0784584132757997</v>
      </c>
      <c r="L872">
        <f t="shared" ca="1" si="131"/>
        <v>1</v>
      </c>
      <c r="N872" t="e">
        <f t="shared" ca="1" si="132"/>
        <v>#N/A</v>
      </c>
      <c r="O872" t="e">
        <f t="shared" ca="1" si="133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4"/>
        <v>0</v>
      </c>
      <c r="AE872" s="46">
        <f t="shared" ca="1" si="135"/>
        <v>0</v>
      </c>
      <c r="AG872" s="72" t="e">
        <f t="shared" ca="1" si="136"/>
        <v>#N/A</v>
      </c>
      <c r="AH872" s="72" t="e">
        <f t="shared" ca="1" si="137"/>
        <v>#N/A</v>
      </c>
      <c r="AI872" s="3" t="e">
        <f t="shared" ca="1" si="138"/>
        <v>#N/A</v>
      </c>
    </row>
    <row r="873" spans="7:35" ht="15.75" thickBot="1" x14ac:dyDescent="0.3">
      <c r="G873" s="3">
        <f t="shared" si="130"/>
        <v>46</v>
      </c>
      <c r="H873" s="106">
        <f t="shared" si="139"/>
        <v>44971</v>
      </c>
      <c r="I873" s="133">
        <f>HLOOKUP($H$4,'Met Data'!$A$2:$F$368,G873,FALSE)</f>
        <v>19.5910714285714</v>
      </c>
      <c r="J873" s="131">
        <f ca="1">HLOOKUP($H$4,'Met Data'!$H$2:$M$368,G873,FALSE)*L873</f>
        <v>1.8724137931034399</v>
      </c>
      <c r="K873" s="107">
        <f>HLOOKUP($H$4,'Met Data'!$O$2:$T$368,G873,FALSE)</f>
        <v>4.0775156504528702</v>
      </c>
      <c r="L873">
        <f t="shared" ca="1" si="131"/>
        <v>1</v>
      </c>
      <c r="N873" t="e">
        <f t="shared" ca="1" si="132"/>
        <v>#N/A</v>
      </c>
      <c r="O873" t="e">
        <f t="shared" ca="1" si="133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4"/>
        <v>0</v>
      </c>
      <c r="AE873" s="46">
        <f t="shared" ca="1" si="135"/>
        <v>0</v>
      </c>
      <c r="AG873" s="72" t="e">
        <f t="shared" ca="1" si="136"/>
        <v>#N/A</v>
      </c>
      <c r="AH873" s="72" t="e">
        <f t="shared" ca="1" si="137"/>
        <v>#N/A</v>
      </c>
      <c r="AI873" s="3" t="e">
        <f t="shared" ca="1" si="138"/>
        <v>#N/A</v>
      </c>
    </row>
    <row r="874" spans="7:35" ht="15.75" thickBot="1" x14ac:dyDescent="0.3">
      <c r="G874" s="3">
        <f t="shared" si="130"/>
        <v>47</v>
      </c>
      <c r="H874" s="106">
        <f t="shared" si="139"/>
        <v>44972</v>
      </c>
      <c r="I874" s="133">
        <f>HLOOKUP($H$4,'Met Data'!$A$2:$F$368,G874,FALSE)</f>
        <v>19.355357142857098</v>
      </c>
      <c r="J874" s="131">
        <f ca="1">HLOOKUP($H$4,'Met Data'!$H$2:$M$368,G874,FALSE)*L874</f>
        <v>2.8206896551724099</v>
      </c>
      <c r="K874" s="107">
        <f>HLOOKUP($H$4,'Met Data'!$O$2:$T$368,G874,FALSE)</f>
        <v>4.1796467400508099</v>
      </c>
      <c r="L874">
        <f t="shared" ca="1" si="131"/>
        <v>1</v>
      </c>
      <c r="N874" t="e">
        <f t="shared" ca="1" si="132"/>
        <v>#N/A</v>
      </c>
      <c r="O874" t="e">
        <f t="shared" ca="1" si="133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4"/>
        <v>0</v>
      </c>
      <c r="AE874" s="46">
        <f t="shared" ca="1" si="135"/>
        <v>0</v>
      </c>
      <c r="AG874" s="72" t="e">
        <f t="shared" ca="1" si="136"/>
        <v>#N/A</v>
      </c>
      <c r="AH874" s="72" t="e">
        <f t="shared" ca="1" si="137"/>
        <v>#N/A</v>
      </c>
      <c r="AI874" s="3" t="e">
        <f t="shared" ca="1" si="138"/>
        <v>#N/A</v>
      </c>
    </row>
    <row r="875" spans="7:35" ht="15.75" thickBot="1" x14ac:dyDescent="0.3">
      <c r="G875" s="3">
        <f t="shared" si="130"/>
        <v>48</v>
      </c>
      <c r="H875" s="106">
        <f t="shared" si="139"/>
        <v>44973</v>
      </c>
      <c r="I875" s="133">
        <f>HLOOKUP($H$4,'Met Data'!$A$2:$F$368,G875,FALSE)</f>
        <v>19.258928571428498</v>
      </c>
      <c r="J875" s="131">
        <f ca="1">HLOOKUP($H$4,'Met Data'!$H$2:$M$368,G875,FALSE)*L875</f>
        <v>1.80344827586206</v>
      </c>
      <c r="K875" s="107">
        <f>HLOOKUP($H$4,'Met Data'!$O$2:$T$368,G875,FALSE)</f>
        <v>3.8490703816040499</v>
      </c>
      <c r="L875">
        <f t="shared" ca="1" si="131"/>
        <v>1</v>
      </c>
      <c r="N875" t="e">
        <f t="shared" ca="1" si="132"/>
        <v>#N/A</v>
      </c>
      <c r="O875" t="e">
        <f t="shared" ca="1" si="133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4"/>
        <v>0</v>
      </c>
      <c r="AE875" s="46">
        <f t="shared" ca="1" si="135"/>
        <v>0</v>
      </c>
      <c r="AG875" s="72" t="e">
        <f t="shared" ca="1" si="136"/>
        <v>#N/A</v>
      </c>
      <c r="AH875" s="72" t="e">
        <f t="shared" ca="1" si="137"/>
        <v>#N/A</v>
      </c>
      <c r="AI875" s="3" t="e">
        <f t="shared" ca="1" si="138"/>
        <v>#N/A</v>
      </c>
    </row>
    <row r="876" spans="7:35" ht="15.75" thickBot="1" x14ac:dyDescent="0.3">
      <c r="G876" s="3">
        <f t="shared" si="130"/>
        <v>49</v>
      </c>
      <c r="H876" s="106">
        <f t="shared" si="139"/>
        <v>44974</v>
      </c>
      <c r="I876" s="133">
        <f>HLOOKUP($H$4,'Met Data'!$A$2:$F$368,G876,FALSE)</f>
        <v>19.284482758620602</v>
      </c>
      <c r="J876" s="131">
        <f ca="1">HLOOKUP($H$4,'Met Data'!$H$2:$M$368,G876,FALSE)*L876</f>
        <v>4.5</v>
      </c>
      <c r="K876" s="107">
        <f>HLOOKUP($H$4,'Met Data'!$O$2:$T$368,G876,FALSE)</f>
        <v>3.7481412243719401</v>
      </c>
      <c r="L876">
        <f t="shared" ca="1" si="131"/>
        <v>1</v>
      </c>
      <c r="N876" t="e">
        <f t="shared" ca="1" si="132"/>
        <v>#N/A</v>
      </c>
      <c r="O876" t="e">
        <f t="shared" ca="1" si="133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4"/>
        <v>0</v>
      </c>
      <c r="AE876" s="46">
        <f t="shared" ca="1" si="135"/>
        <v>0</v>
      </c>
      <c r="AG876" s="72" t="e">
        <f t="shared" ca="1" si="136"/>
        <v>#N/A</v>
      </c>
      <c r="AH876" s="72" t="e">
        <f t="shared" ca="1" si="137"/>
        <v>#N/A</v>
      </c>
      <c r="AI876" s="3" t="e">
        <f t="shared" ca="1" si="138"/>
        <v>#N/A</v>
      </c>
    </row>
    <row r="877" spans="7:35" ht="15.75" thickBot="1" x14ac:dyDescent="0.3">
      <c r="G877" s="3">
        <f t="shared" si="130"/>
        <v>50</v>
      </c>
      <c r="H877" s="106">
        <f t="shared" si="139"/>
        <v>44975</v>
      </c>
      <c r="I877" s="133">
        <f>HLOOKUP($H$4,'Met Data'!$A$2:$F$368,G877,FALSE)</f>
        <v>19.415517241379298</v>
      </c>
      <c r="J877" s="131">
        <f ca="1">HLOOKUP($H$4,'Met Data'!$H$2:$M$368,G877,FALSE)*L877</f>
        <v>1.4</v>
      </c>
      <c r="K877" s="107">
        <f>HLOOKUP($H$4,'Met Data'!$O$2:$T$368,G877,FALSE)</f>
        <v>3.8682529987421499</v>
      </c>
      <c r="L877">
        <f t="shared" ca="1" si="131"/>
        <v>1</v>
      </c>
      <c r="N877" t="e">
        <f t="shared" ca="1" si="132"/>
        <v>#N/A</v>
      </c>
      <c r="O877" t="e">
        <f t="shared" ca="1" si="133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4"/>
        <v>0</v>
      </c>
      <c r="AE877" s="46">
        <f t="shared" ca="1" si="135"/>
        <v>0</v>
      </c>
      <c r="AG877" s="72" t="e">
        <f t="shared" ca="1" si="136"/>
        <v>#N/A</v>
      </c>
      <c r="AH877" s="72" t="e">
        <f t="shared" ca="1" si="137"/>
        <v>#N/A</v>
      </c>
      <c r="AI877" s="3" t="e">
        <f t="shared" ca="1" si="138"/>
        <v>#N/A</v>
      </c>
    </row>
    <row r="878" spans="7:35" ht="15.75" thickBot="1" x14ac:dyDescent="0.3">
      <c r="G878" s="3">
        <f t="shared" si="130"/>
        <v>51</v>
      </c>
      <c r="H878" s="106">
        <f t="shared" si="139"/>
        <v>44976</v>
      </c>
      <c r="I878" s="133">
        <f>HLOOKUP($H$4,'Met Data'!$A$2:$F$368,G878,FALSE)</f>
        <v>19.4189655172413</v>
      </c>
      <c r="J878" s="131">
        <f ca="1">HLOOKUP($H$4,'Met Data'!$H$2:$M$368,G878,FALSE)*L878</f>
        <v>1.4655172413793101</v>
      </c>
      <c r="K878" s="107">
        <f>HLOOKUP($H$4,'Met Data'!$O$2:$T$368,G878,FALSE)</f>
        <v>3.6105345286952</v>
      </c>
      <c r="L878">
        <f t="shared" ca="1" si="131"/>
        <v>1</v>
      </c>
      <c r="N878" t="e">
        <f t="shared" ca="1" si="132"/>
        <v>#N/A</v>
      </c>
      <c r="O878" t="e">
        <f t="shared" ca="1" si="133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4"/>
        <v>0</v>
      </c>
      <c r="AE878" s="46">
        <f t="shared" ca="1" si="135"/>
        <v>0</v>
      </c>
      <c r="AG878" s="72" t="e">
        <f t="shared" ca="1" si="136"/>
        <v>#N/A</v>
      </c>
      <c r="AH878" s="72" t="e">
        <f t="shared" ca="1" si="137"/>
        <v>#N/A</v>
      </c>
      <c r="AI878" s="3" t="e">
        <f t="shared" ca="1" si="138"/>
        <v>#N/A</v>
      </c>
    </row>
    <row r="879" spans="7:35" ht="15.75" thickBot="1" x14ac:dyDescent="0.3">
      <c r="G879" s="3">
        <f t="shared" si="130"/>
        <v>52</v>
      </c>
      <c r="H879" s="106">
        <f t="shared" si="139"/>
        <v>44977</v>
      </c>
      <c r="I879" s="133">
        <f>HLOOKUP($H$4,'Met Data'!$A$2:$F$368,G879,FALSE)</f>
        <v>19.5068965517241</v>
      </c>
      <c r="J879" s="131">
        <f ca="1">HLOOKUP($H$4,'Met Data'!$H$2:$M$368,G879,FALSE)*L879</f>
        <v>3.8517241379310301</v>
      </c>
      <c r="K879" s="107">
        <f>HLOOKUP($H$4,'Met Data'!$O$2:$T$368,G879,FALSE)</f>
        <v>3.6240453059598501</v>
      </c>
      <c r="L879">
        <f t="shared" ca="1" si="131"/>
        <v>1</v>
      </c>
      <c r="N879" t="e">
        <f t="shared" ca="1" si="132"/>
        <v>#N/A</v>
      </c>
      <c r="O879" t="e">
        <f t="shared" ca="1" si="133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4"/>
        <v>0</v>
      </c>
      <c r="AE879" s="46">
        <f t="shared" ca="1" si="135"/>
        <v>0</v>
      </c>
      <c r="AG879" s="72" t="e">
        <f t="shared" ca="1" si="136"/>
        <v>#N/A</v>
      </c>
      <c r="AH879" s="72" t="e">
        <f t="shared" ca="1" si="137"/>
        <v>#N/A</v>
      </c>
      <c r="AI879" s="3" t="e">
        <f t="shared" ca="1" si="138"/>
        <v>#N/A</v>
      </c>
    </row>
    <row r="880" spans="7:35" ht="15.75" thickBot="1" x14ac:dyDescent="0.3">
      <c r="G880" s="3">
        <f t="shared" ref="G880:G943" si="140">H880-DATE(YEAR(H880),1,0)+1</f>
        <v>53</v>
      </c>
      <c r="H880" s="106">
        <f t="shared" si="139"/>
        <v>44978</v>
      </c>
      <c r="I880" s="133">
        <f>HLOOKUP($H$4,'Met Data'!$A$2:$F$368,G880,FALSE)</f>
        <v>19.441666666666599</v>
      </c>
      <c r="J880" s="131">
        <f ca="1">HLOOKUP($H$4,'Met Data'!$H$2:$M$368,G880,FALSE)*L880</f>
        <v>3</v>
      </c>
      <c r="K880" s="107">
        <f>HLOOKUP($H$4,'Met Data'!$O$2:$T$368,G880,FALSE)</f>
        <v>3.73403385362748</v>
      </c>
      <c r="L880">
        <f t="shared" ref="L880:L943" ca="1" si="141">IF(H880&lt;$B$31,$J$3,$J$4)</f>
        <v>1</v>
      </c>
      <c r="N880" t="e">
        <f t="shared" ref="N880:N943" ca="1" si="142">IF(P880&lt;$P$3,TRUE,FALSE)</f>
        <v>#N/A</v>
      </c>
      <c r="O880" t="e">
        <f t="shared" ref="O880:O943" ca="1" si="143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4">IFERROR(P880,$AD$4)</f>
        <v>0</v>
      </c>
      <c r="AE880" s="46">
        <f t="shared" ref="AE880:AE943" ca="1" si="145">IFERROR(U880,0)</f>
        <v>0</v>
      </c>
      <c r="AG880" s="72" t="e">
        <f t="shared" ref="AG880:AG943" ca="1" si="146">Q879+S880+T880+U880</f>
        <v>#N/A</v>
      </c>
      <c r="AH880" s="72" t="e">
        <f t="shared" ref="AH880:AH943" ca="1" si="147">Q880+R880+X880</f>
        <v>#N/A</v>
      </c>
      <c r="AI880" s="3" t="e">
        <f t="shared" ref="AI880:AI943" ca="1" si="148">AH880-AG880</f>
        <v>#N/A</v>
      </c>
    </row>
    <row r="881" spans="7:35" ht="15.75" thickBot="1" x14ac:dyDescent="0.3">
      <c r="G881" s="3">
        <f t="shared" si="140"/>
        <v>54</v>
      </c>
      <c r="H881" s="106">
        <f t="shared" si="139"/>
        <v>44979</v>
      </c>
      <c r="I881" s="133">
        <f>HLOOKUP($H$4,'Met Data'!$A$2:$F$368,G881,FALSE)</f>
        <v>19.231666666666602</v>
      </c>
      <c r="J881" s="131">
        <f ca="1">HLOOKUP($H$4,'Met Data'!$H$2:$M$368,G881,FALSE)*L881</f>
        <v>1.5333333333333301</v>
      </c>
      <c r="K881" s="107">
        <f>HLOOKUP($H$4,'Met Data'!$O$2:$T$368,G881,FALSE)</f>
        <v>3.6261565374234999</v>
      </c>
      <c r="L881">
        <f t="shared" ca="1" si="141"/>
        <v>1</v>
      </c>
      <c r="N881" t="e">
        <f t="shared" ca="1" si="142"/>
        <v>#N/A</v>
      </c>
      <c r="O881" t="e">
        <f t="shared" ca="1" si="143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4"/>
        <v>0</v>
      </c>
      <c r="AE881" s="46">
        <f t="shared" ca="1" si="145"/>
        <v>0</v>
      </c>
      <c r="AG881" s="72" t="e">
        <f t="shared" ca="1" si="146"/>
        <v>#N/A</v>
      </c>
      <c r="AH881" s="72" t="e">
        <f t="shared" ca="1" si="147"/>
        <v>#N/A</v>
      </c>
      <c r="AI881" s="3" t="e">
        <f t="shared" ca="1" si="148"/>
        <v>#N/A</v>
      </c>
    </row>
    <row r="882" spans="7:35" ht="15.75" thickBot="1" x14ac:dyDescent="0.3">
      <c r="G882" s="3">
        <f t="shared" si="140"/>
        <v>55</v>
      </c>
      <c r="H882" s="106">
        <f t="shared" si="139"/>
        <v>44980</v>
      </c>
      <c r="I882" s="133">
        <f>HLOOKUP($H$4,'Met Data'!$A$2:$F$368,G882,FALSE)</f>
        <v>19.22</v>
      </c>
      <c r="J882" s="131">
        <f ca="1">HLOOKUP($H$4,'Met Data'!$H$2:$M$368,G882,FALSE)*L882</f>
        <v>3.06</v>
      </c>
      <c r="K882" s="107">
        <f>HLOOKUP($H$4,'Met Data'!$O$2:$T$368,G882,FALSE)</f>
        <v>3.6095974227769201</v>
      </c>
      <c r="L882">
        <f t="shared" ca="1" si="141"/>
        <v>1</v>
      </c>
      <c r="N882" t="e">
        <f t="shared" ca="1" si="142"/>
        <v>#N/A</v>
      </c>
      <c r="O882" t="e">
        <f t="shared" ca="1" si="143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4"/>
        <v>0</v>
      </c>
      <c r="AE882" s="46">
        <f t="shared" ca="1" si="145"/>
        <v>0</v>
      </c>
      <c r="AG882" s="72" t="e">
        <f t="shared" ca="1" si="146"/>
        <v>#N/A</v>
      </c>
      <c r="AH882" s="72" t="e">
        <f t="shared" ca="1" si="147"/>
        <v>#N/A</v>
      </c>
      <c r="AI882" s="3" t="e">
        <f t="shared" ca="1" si="148"/>
        <v>#N/A</v>
      </c>
    </row>
    <row r="883" spans="7:35" ht="15.75" thickBot="1" x14ac:dyDescent="0.3">
      <c r="G883" s="3">
        <f t="shared" si="140"/>
        <v>56</v>
      </c>
      <c r="H883" s="106">
        <f t="shared" si="139"/>
        <v>44981</v>
      </c>
      <c r="I883" s="133">
        <f>HLOOKUP($H$4,'Met Data'!$A$2:$F$368,G883,FALSE)</f>
        <v>18.793333333333301</v>
      </c>
      <c r="J883" s="131">
        <f ca="1">HLOOKUP($H$4,'Met Data'!$H$2:$M$368,G883,FALSE)*L883</f>
        <v>1.73</v>
      </c>
      <c r="K883" s="107">
        <f>HLOOKUP($H$4,'Met Data'!$O$2:$T$368,G883,FALSE)</f>
        <v>3.9865323105658801</v>
      </c>
      <c r="L883">
        <f t="shared" ca="1" si="141"/>
        <v>1</v>
      </c>
      <c r="N883" t="e">
        <f t="shared" ca="1" si="142"/>
        <v>#N/A</v>
      </c>
      <c r="O883" t="e">
        <f t="shared" ca="1" si="143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4"/>
        <v>0</v>
      </c>
      <c r="AE883" s="46">
        <f t="shared" ca="1" si="145"/>
        <v>0</v>
      </c>
      <c r="AG883" s="72" t="e">
        <f t="shared" ca="1" si="146"/>
        <v>#N/A</v>
      </c>
      <c r="AH883" s="72" t="e">
        <f t="shared" ca="1" si="147"/>
        <v>#N/A</v>
      </c>
      <c r="AI883" s="3" t="e">
        <f t="shared" ca="1" si="148"/>
        <v>#N/A</v>
      </c>
    </row>
    <row r="884" spans="7:35" ht="15.75" thickBot="1" x14ac:dyDescent="0.3">
      <c r="G884" s="3">
        <f t="shared" si="140"/>
        <v>57</v>
      </c>
      <c r="H884" s="106">
        <f t="shared" si="139"/>
        <v>44982</v>
      </c>
      <c r="I884" s="133">
        <f>HLOOKUP($H$4,'Met Data'!$A$2:$F$368,G884,FALSE)</f>
        <v>18.3</v>
      </c>
      <c r="J884" s="131">
        <f ca="1">HLOOKUP($H$4,'Met Data'!$H$2:$M$368,G884,FALSE)*L884</f>
        <v>1.1766666666666601</v>
      </c>
      <c r="K884" s="107">
        <f>HLOOKUP($H$4,'Met Data'!$O$2:$T$368,G884,FALSE)</f>
        <v>3.88204927928038</v>
      </c>
      <c r="L884">
        <f t="shared" ca="1" si="141"/>
        <v>1</v>
      </c>
      <c r="N884" t="e">
        <f t="shared" ca="1" si="142"/>
        <v>#N/A</v>
      </c>
      <c r="O884" t="e">
        <f t="shared" ca="1" si="143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4"/>
        <v>0</v>
      </c>
      <c r="AE884" s="46">
        <f t="shared" ca="1" si="145"/>
        <v>0</v>
      </c>
      <c r="AG884" s="72" t="e">
        <f t="shared" ca="1" si="146"/>
        <v>#N/A</v>
      </c>
      <c r="AH884" s="72" t="e">
        <f t="shared" ca="1" si="147"/>
        <v>#N/A</v>
      </c>
      <c r="AI884" s="3" t="e">
        <f t="shared" ca="1" si="148"/>
        <v>#N/A</v>
      </c>
    </row>
    <row r="885" spans="7:35" ht="15.75" thickBot="1" x14ac:dyDescent="0.3">
      <c r="G885" s="3">
        <f t="shared" si="140"/>
        <v>58</v>
      </c>
      <c r="H885" s="106">
        <f t="shared" si="139"/>
        <v>44983</v>
      </c>
      <c r="I885" s="133">
        <f>HLOOKUP($H$4,'Met Data'!$A$2:$F$368,G885,FALSE)</f>
        <v>18.41</v>
      </c>
      <c r="J885" s="131">
        <f ca="1">HLOOKUP($H$4,'Met Data'!$H$2:$M$368,G885,FALSE)*L885</f>
        <v>2.0233333333333299</v>
      </c>
      <c r="K885" s="107">
        <f>HLOOKUP($H$4,'Met Data'!$O$2:$T$368,G885,FALSE)</f>
        <v>4.05937925457948</v>
      </c>
      <c r="L885">
        <f t="shared" ca="1" si="141"/>
        <v>1</v>
      </c>
      <c r="N885" t="e">
        <f t="shared" ca="1" si="142"/>
        <v>#N/A</v>
      </c>
      <c r="O885" t="e">
        <f t="shared" ca="1" si="143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4"/>
        <v>0</v>
      </c>
      <c r="AE885" s="46">
        <f t="shared" ca="1" si="145"/>
        <v>0</v>
      </c>
      <c r="AG885" s="72" t="e">
        <f t="shared" ca="1" si="146"/>
        <v>#N/A</v>
      </c>
      <c r="AH885" s="72" t="e">
        <f t="shared" ca="1" si="147"/>
        <v>#N/A</v>
      </c>
      <c r="AI885" s="3" t="e">
        <f t="shared" ca="1" si="148"/>
        <v>#N/A</v>
      </c>
    </row>
    <row r="886" spans="7:35" ht="15.75" thickBot="1" x14ac:dyDescent="0.3">
      <c r="G886" s="3">
        <f t="shared" si="140"/>
        <v>59</v>
      </c>
      <c r="H886" s="106">
        <f t="shared" si="139"/>
        <v>44984</v>
      </c>
      <c r="I886" s="133">
        <f>HLOOKUP($H$4,'Met Data'!$A$2:$F$368,G886,FALSE)</f>
        <v>18.516666666666602</v>
      </c>
      <c r="J886" s="131">
        <f ca="1">HLOOKUP($H$4,'Met Data'!$H$2:$M$368,G886,FALSE)*L886</f>
        <v>1.5499999999999901</v>
      </c>
      <c r="K886" s="107">
        <f>HLOOKUP($H$4,'Met Data'!$O$2:$T$368,G886,FALSE)</f>
        <v>3.8269283002116601</v>
      </c>
      <c r="L886">
        <f t="shared" ca="1" si="141"/>
        <v>1</v>
      </c>
      <c r="N886" t="e">
        <f t="shared" ca="1" si="142"/>
        <v>#N/A</v>
      </c>
      <c r="O886" t="e">
        <f t="shared" ca="1" si="143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4"/>
        <v>0</v>
      </c>
      <c r="AE886" s="46">
        <f t="shared" ca="1" si="145"/>
        <v>0</v>
      </c>
      <c r="AG886" s="72" t="e">
        <f t="shared" ca="1" si="146"/>
        <v>#N/A</v>
      </c>
      <c r="AH886" s="72" t="e">
        <f t="shared" ca="1" si="147"/>
        <v>#N/A</v>
      </c>
      <c r="AI886" s="3" t="e">
        <f t="shared" ca="1" si="148"/>
        <v>#N/A</v>
      </c>
    </row>
    <row r="887" spans="7:35" ht="15.75" thickBot="1" x14ac:dyDescent="0.3">
      <c r="G887" s="3">
        <f t="shared" si="140"/>
        <v>60</v>
      </c>
      <c r="H887" s="106">
        <f t="shared" si="139"/>
        <v>44985</v>
      </c>
      <c r="I887" s="133">
        <f>HLOOKUP($H$4,'Met Data'!$A$2:$F$368,G887,FALSE)</f>
        <v>18.253571428571401</v>
      </c>
      <c r="J887" s="131">
        <f ca="1">HLOOKUP($H$4,'Met Data'!$H$2:$M$368,G887,FALSE)*L887</f>
        <v>3.4793103448275802</v>
      </c>
      <c r="K887" s="107">
        <f>HLOOKUP($H$4,'Met Data'!$O$2:$T$368,G887,FALSE)</f>
        <v>3.4828962462929298</v>
      </c>
      <c r="L887">
        <f t="shared" ca="1" si="141"/>
        <v>1</v>
      </c>
      <c r="N887" t="e">
        <f t="shared" ca="1" si="142"/>
        <v>#N/A</v>
      </c>
      <c r="O887" t="e">
        <f t="shared" ca="1" si="143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4"/>
        <v>0</v>
      </c>
      <c r="AE887" s="46">
        <f t="shared" ca="1" si="145"/>
        <v>0</v>
      </c>
      <c r="AG887" s="72" t="e">
        <f t="shared" ca="1" si="146"/>
        <v>#N/A</v>
      </c>
      <c r="AH887" s="72" t="e">
        <f t="shared" ca="1" si="147"/>
        <v>#N/A</v>
      </c>
      <c r="AI887" s="3" t="e">
        <f t="shared" ca="1" si="148"/>
        <v>#N/A</v>
      </c>
    </row>
    <row r="888" spans="7:35" ht="15.75" thickBot="1" x14ac:dyDescent="0.3">
      <c r="G888" s="3">
        <f t="shared" si="140"/>
        <v>61</v>
      </c>
      <c r="H888" s="106">
        <f t="shared" si="139"/>
        <v>44986</v>
      </c>
      <c r="I888" s="133">
        <f>HLOOKUP($H$4,'Met Data'!$A$2:$F$368,G888,FALSE)</f>
        <v>18.313793103448202</v>
      </c>
      <c r="J888" s="131">
        <f ca="1">HLOOKUP($H$4,'Met Data'!$H$2:$M$368,G888,FALSE)*L888</f>
        <v>4.1758620689655102</v>
      </c>
      <c r="K888" s="107">
        <f>HLOOKUP($H$4,'Met Data'!$O$2:$T$368,G888,FALSE)</f>
        <v>3.6905226687271502</v>
      </c>
      <c r="L888">
        <f t="shared" ca="1" si="141"/>
        <v>1</v>
      </c>
      <c r="N888" t="e">
        <f t="shared" ca="1" si="142"/>
        <v>#N/A</v>
      </c>
      <c r="O888" t="e">
        <f t="shared" ca="1" si="143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4"/>
        <v>0</v>
      </c>
      <c r="AE888" s="46">
        <f t="shared" ca="1" si="145"/>
        <v>0</v>
      </c>
      <c r="AG888" s="72" t="e">
        <f t="shared" ca="1" si="146"/>
        <v>#N/A</v>
      </c>
      <c r="AH888" s="72" t="e">
        <f t="shared" ca="1" si="147"/>
        <v>#N/A</v>
      </c>
      <c r="AI888" s="3" t="e">
        <f t="shared" ca="1" si="148"/>
        <v>#N/A</v>
      </c>
    </row>
    <row r="889" spans="7:35" ht="15.75" thickBot="1" x14ac:dyDescent="0.3">
      <c r="G889" s="3">
        <f t="shared" si="140"/>
        <v>62</v>
      </c>
      <c r="H889" s="106">
        <f t="shared" si="139"/>
        <v>44987</v>
      </c>
      <c r="I889" s="133">
        <f>HLOOKUP($H$4,'Met Data'!$A$2:$F$368,G889,FALSE)</f>
        <v>18.701724137930999</v>
      </c>
      <c r="J889" s="131">
        <f ca="1">HLOOKUP($H$4,'Met Data'!$H$2:$M$368,G889,FALSE)*L889</f>
        <v>2.4379310344827498</v>
      </c>
      <c r="K889" s="107">
        <f>HLOOKUP($H$4,'Met Data'!$O$2:$T$368,G889,FALSE)</f>
        <v>3.7650592582328399</v>
      </c>
      <c r="L889">
        <f t="shared" ca="1" si="141"/>
        <v>1</v>
      </c>
      <c r="N889" t="e">
        <f t="shared" ca="1" si="142"/>
        <v>#N/A</v>
      </c>
      <c r="O889" t="e">
        <f t="shared" ca="1" si="143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4"/>
        <v>0</v>
      </c>
      <c r="AE889" s="46">
        <f t="shared" ca="1" si="145"/>
        <v>0</v>
      </c>
      <c r="AG889" s="72" t="e">
        <f t="shared" ca="1" si="146"/>
        <v>#N/A</v>
      </c>
      <c r="AH889" s="72" t="e">
        <f t="shared" ca="1" si="147"/>
        <v>#N/A</v>
      </c>
      <c r="AI889" s="3" t="e">
        <f t="shared" ca="1" si="148"/>
        <v>#N/A</v>
      </c>
    </row>
    <row r="890" spans="7:35" ht="15.75" thickBot="1" x14ac:dyDescent="0.3">
      <c r="G890" s="3">
        <f t="shared" si="140"/>
        <v>63</v>
      </c>
      <c r="H890" s="106">
        <f t="shared" si="139"/>
        <v>44988</v>
      </c>
      <c r="I890" s="133">
        <f>HLOOKUP($H$4,'Met Data'!$A$2:$F$368,G890,FALSE)</f>
        <v>18.759999999999899</v>
      </c>
      <c r="J890" s="131">
        <f ca="1">HLOOKUP($H$4,'Met Data'!$H$2:$M$368,G890,FALSE)*L890</f>
        <v>3.53666666666666</v>
      </c>
      <c r="K890" s="107">
        <f>HLOOKUP($H$4,'Met Data'!$O$2:$T$368,G890,FALSE)</f>
        <v>3.6493457095997699</v>
      </c>
      <c r="L890">
        <f t="shared" ca="1" si="141"/>
        <v>1</v>
      </c>
      <c r="N890" t="e">
        <f t="shared" ca="1" si="142"/>
        <v>#N/A</v>
      </c>
      <c r="O890" t="e">
        <f t="shared" ca="1" si="143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4"/>
        <v>0</v>
      </c>
      <c r="AE890" s="46">
        <f t="shared" ca="1" si="145"/>
        <v>0</v>
      </c>
      <c r="AG890" s="72" t="e">
        <f t="shared" ca="1" si="146"/>
        <v>#N/A</v>
      </c>
      <c r="AH890" s="72" t="e">
        <f t="shared" ca="1" si="147"/>
        <v>#N/A</v>
      </c>
      <c r="AI890" s="3" t="e">
        <f t="shared" ca="1" si="148"/>
        <v>#N/A</v>
      </c>
    </row>
    <row r="891" spans="7:35" ht="15.75" thickBot="1" x14ac:dyDescent="0.3">
      <c r="G891" s="3">
        <f t="shared" si="140"/>
        <v>64</v>
      </c>
      <c r="H891" s="106">
        <f t="shared" si="139"/>
        <v>44989</v>
      </c>
      <c r="I891" s="133">
        <f>HLOOKUP($H$4,'Met Data'!$A$2:$F$368,G891,FALSE)</f>
        <v>18.0322580645161</v>
      </c>
      <c r="J891" s="131">
        <f ca="1">HLOOKUP($H$4,'Met Data'!$H$2:$M$368,G891,FALSE)*L891</f>
        <v>5.3612903225806399</v>
      </c>
      <c r="K891" s="107">
        <f>HLOOKUP($H$4,'Met Data'!$O$2:$T$368,G891,FALSE)</f>
        <v>3.6858306163975501</v>
      </c>
      <c r="L891">
        <f t="shared" ca="1" si="141"/>
        <v>1</v>
      </c>
      <c r="N891" t="e">
        <f t="shared" ca="1" si="142"/>
        <v>#N/A</v>
      </c>
      <c r="O891" t="e">
        <f t="shared" ca="1" si="143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4"/>
        <v>0</v>
      </c>
      <c r="AE891" s="46">
        <f t="shared" ca="1" si="145"/>
        <v>0</v>
      </c>
      <c r="AG891" s="72" t="e">
        <f t="shared" ca="1" si="146"/>
        <v>#N/A</v>
      </c>
      <c r="AH891" s="72" t="e">
        <f t="shared" ca="1" si="147"/>
        <v>#N/A</v>
      </c>
      <c r="AI891" s="3" t="e">
        <f t="shared" ca="1" si="148"/>
        <v>#N/A</v>
      </c>
    </row>
    <row r="892" spans="7:35" ht="15.75" thickBot="1" x14ac:dyDescent="0.3">
      <c r="G892" s="3">
        <f t="shared" si="140"/>
        <v>65</v>
      </c>
      <c r="H892" s="106">
        <f t="shared" si="139"/>
        <v>44990</v>
      </c>
      <c r="I892" s="133">
        <f>HLOOKUP($H$4,'Met Data'!$A$2:$F$368,G892,FALSE)</f>
        <v>17.95</v>
      </c>
      <c r="J892" s="131">
        <f ca="1">HLOOKUP($H$4,'Met Data'!$H$2:$M$368,G892,FALSE)*L892</f>
        <v>2.5580645161290301</v>
      </c>
      <c r="K892" s="107">
        <f>HLOOKUP($H$4,'Met Data'!$O$2:$T$368,G892,FALSE)</f>
        <v>3.6617176102227802</v>
      </c>
      <c r="L892">
        <f t="shared" ca="1" si="141"/>
        <v>1</v>
      </c>
      <c r="N892" t="e">
        <f t="shared" ca="1" si="142"/>
        <v>#N/A</v>
      </c>
      <c r="O892" t="e">
        <f t="shared" ca="1" si="143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4"/>
        <v>0</v>
      </c>
      <c r="AE892" s="46">
        <f t="shared" ca="1" si="145"/>
        <v>0</v>
      </c>
      <c r="AG892" s="72" t="e">
        <f t="shared" ca="1" si="146"/>
        <v>#N/A</v>
      </c>
      <c r="AH892" s="72" t="e">
        <f t="shared" ca="1" si="147"/>
        <v>#N/A</v>
      </c>
      <c r="AI892" s="3" t="e">
        <f t="shared" ca="1" si="148"/>
        <v>#N/A</v>
      </c>
    </row>
    <row r="893" spans="7:35" ht="15.75" thickBot="1" x14ac:dyDescent="0.3">
      <c r="G893" s="3">
        <f t="shared" si="140"/>
        <v>66</v>
      </c>
      <c r="H893" s="106">
        <f t="shared" si="139"/>
        <v>44991</v>
      </c>
      <c r="I893" s="133">
        <f>HLOOKUP($H$4,'Met Data'!$A$2:$F$368,G893,FALSE)</f>
        <v>18.361290322580601</v>
      </c>
      <c r="J893" s="131">
        <f ca="1">HLOOKUP($H$4,'Met Data'!$H$2:$M$368,G893,FALSE)*L893</f>
        <v>2.3129032258064499</v>
      </c>
      <c r="K893" s="107">
        <f>HLOOKUP($H$4,'Met Data'!$O$2:$T$368,G893,FALSE)</f>
        <v>3.8548213926682098</v>
      </c>
      <c r="L893">
        <f t="shared" ca="1" si="141"/>
        <v>1</v>
      </c>
      <c r="N893" t="e">
        <f t="shared" ca="1" si="142"/>
        <v>#N/A</v>
      </c>
      <c r="O893" t="e">
        <f t="shared" ca="1" si="143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4"/>
        <v>0</v>
      </c>
      <c r="AE893" s="46">
        <f t="shared" ca="1" si="145"/>
        <v>0</v>
      </c>
      <c r="AG893" s="72" t="e">
        <f t="shared" ca="1" si="146"/>
        <v>#N/A</v>
      </c>
      <c r="AH893" s="72" t="e">
        <f t="shared" ca="1" si="147"/>
        <v>#N/A</v>
      </c>
      <c r="AI893" s="3" t="e">
        <f t="shared" ca="1" si="148"/>
        <v>#N/A</v>
      </c>
    </row>
    <row r="894" spans="7:35" ht="15.75" thickBot="1" x14ac:dyDescent="0.3">
      <c r="G894" s="3">
        <f t="shared" si="140"/>
        <v>67</v>
      </c>
      <c r="H894" s="106">
        <f t="shared" si="139"/>
        <v>44992</v>
      </c>
      <c r="I894" s="133">
        <f>HLOOKUP($H$4,'Met Data'!$A$2:$F$368,G894,FALSE)</f>
        <v>17.7903225806451</v>
      </c>
      <c r="J894" s="131">
        <f ca="1">HLOOKUP($H$4,'Met Data'!$H$2:$M$368,G894,FALSE)*L894</f>
        <v>2.88709677419354</v>
      </c>
      <c r="K894" s="107">
        <f>HLOOKUP($H$4,'Met Data'!$O$2:$T$368,G894,FALSE)</f>
        <v>3.4909393601542198</v>
      </c>
      <c r="L894">
        <f t="shared" ca="1" si="141"/>
        <v>1</v>
      </c>
      <c r="N894" t="e">
        <f t="shared" ca="1" si="142"/>
        <v>#N/A</v>
      </c>
      <c r="O894" t="e">
        <f t="shared" ca="1" si="143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4"/>
        <v>0</v>
      </c>
      <c r="AE894" s="46">
        <f t="shared" ca="1" si="145"/>
        <v>0</v>
      </c>
      <c r="AG894" s="72" t="e">
        <f t="shared" ca="1" si="146"/>
        <v>#N/A</v>
      </c>
      <c r="AH894" s="72" t="e">
        <f t="shared" ca="1" si="147"/>
        <v>#N/A</v>
      </c>
      <c r="AI894" s="3" t="e">
        <f t="shared" ca="1" si="148"/>
        <v>#N/A</v>
      </c>
    </row>
    <row r="895" spans="7:35" ht="15.75" thickBot="1" x14ac:dyDescent="0.3">
      <c r="G895" s="3">
        <f t="shared" si="140"/>
        <v>68</v>
      </c>
      <c r="H895" s="106">
        <f t="shared" si="139"/>
        <v>44993</v>
      </c>
      <c r="I895" s="133">
        <f>HLOOKUP($H$4,'Met Data'!$A$2:$F$368,G895,FALSE)</f>
        <v>18.141379310344799</v>
      </c>
      <c r="J895" s="131">
        <f ca="1">HLOOKUP($H$4,'Met Data'!$H$2:$M$368,G895,FALSE)*L895</f>
        <v>1.0379310344827499</v>
      </c>
      <c r="K895" s="107">
        <f>HLOOKUP($H$4,'Met Data'!$O$2:$T$368,G895,FALSE)</f>
        <v>3.8084649299222599</v>
      </c>
      <c r="L895">
        <f t="shared" ca="1" si="141"/>
        <v>1</v>
      </c>
      <c r="N895" t="e">
        <f t="shared" ca="1" si="142"/>
        <v>#N/A</v>
      </c>
      <c r="O895" t="e">
        <f t="shared" ca="1" si="143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4"/>
        <v>0</v>
      </c>
      <c r="AE895" s="46">
        <f t="shared" ca="1" si="145"/>
        <v>0</v>
      </c>
      <c r="AG895" s="72" t="e">
        <f t="shared" ca="1" si="146"/>
        <v>#N/A</v>
      </c>
      <c r="AH895" s="72" t="e">
        <f t="shared" ca="1" si="147"/>
        <v>#N/A</v>
      </c>
      <c r="AI895" s="3" t="e">
        <f t="shared" ca="1" si="148"/>
        <v>#N/A</v>
      </c>
    </row>
    <row r="896" spans="7:35" ht="15.75" thickBot="1" x14ac:dyDescent="0.3">
      <c r="G896" s="3">
        <f t="shared" si="140"/>
        <v>69</v>
      </c>
      <c r="H896" s="106">
        <f t="shared" si="139"/>
        <v>44994</v>
      </c>
      <c r="I896" s="133">
        <f>HLOOKUP($H$4,'Met Data'!$A$2:$F$368,G896,FALSE)</f>
        <v>18.3816666666666</v>
      </c>
      <c r="J896" s="131">
        <f ca="1">HLOOKUP($H$4,'Met Data'!$H$2:$M$368,G896,FALSE)*L896</f>
        <v>3.2766666666666602</v>
      </c>
      <c r="K896" s="107">
        <f>HLOOKUP($H$4,'Met Data'!$O$2:$T$368,G896,FALSE)</f>
        <v>3.6161533155938699</v>
      </c>
      <c r="L896">
        <f t="shared" ca="1" si="141"/>
        <v>1</v>
      </c>
      <c r="N896" t="e">
        <f t="shared" ca="1" si="142"/>
        <v>#N/A</v>
      </c>
      <c r="O896" t="e">
        <f t="shared" ca="1" si="143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4"/>
        <v>0</v>
      </c>
      <c r="AE896" s="46">
        <f t="shared" ca="1" si="145"/>
        <v>0</v>
      </c>
      <c r="AG896" s="72" t="e">
        <f t="shared" ca="1" si="146"/>
        <v>#N/A</v>
      </c>
      <c r="AH896" s="72" t="e">
        <f t="shared" ca="1" si="147"/>
        <v>#N/A</v>
      </c>
      <c r="AI896" s="3" t="e">
        <f t="shared" ca="1" si="148"/>
        <v>#N/A</v>
      </c>
    </row>
    <row r="897" spans="7:35" ht="15.75" thickBot="1" x14ac:dyDescent="0.3">
      <c r="G897" s="3">
        <f t="shared" si="140"/>
        <v>70</v>
      </c>
      <c r="H897" s="106">
        <f t="shared" si="139"/>
        <v>44995</v>
      </c>
      <c r="I897" s="133">
        <f>HLOOKUP($H$4,'Met Data'!$A$2:$F$368,G897,FALSE)</f>
        <v>18.100000000000001</v>
      </c>
      <c r="J897" s="131">
        <f ca="1">HLOOKUP($H$4,'Met Data'!$H$2:$M$368,G897,FALSE)*L897</f>
        <v>1.75</v>
      </c>
      <c r="K897" s="107">
        <f>HLOOKUP($H$4,'Met Data'!$O$2:$T$368,G897,FALSE)</f>
        <v>3.9222011256035199</v>
      </c>
      <c r="L897">
        <f t="shared" ca="1" si="141"/>
        <v>1</v>
      </c>
      <c r="N897" t="e">
        <f t="shared" ca="1" si="142"/>
        <v>#N/A</v>
      </c>
      <c r="O897" t="e">
        <f t="shared" ca="1" si="143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4"/>
        <v>0</v>
      </c>
      <c r="AE897" s="46">
        <f t="shared" ca="1" si="145"/>
        <v>0</v>
      </c>
      <c r="AG897" s="72" t="e">
        <f t="shared" ca="1" si="146"/>
        <v>#N/A</v>
      </c>
      <c r="AH897" s="72" t="e">
        <f t="shared" ca="1" si="147"/>
        <v>#N/A</v>
      </c>
      <c r="AI897" s="3" t="e">
        <f t="shared" ca="1" si="148"/>
        <v>#N/A</v>
      </c>
    </row>
    <row r="898" spans="7:35" ht="15.75" thickBot="1" x14ac:dyDescent="0.3">
      <c r="G898" s="3">
        <f t="shared" si="140"/>
        <v>71</v>
      </c>
      <c r="H898" s="106">
        <f t="shared" si="139"/>
        <v>44996</v>
      </c>
      <c r="I898" s="133">
        <f>HLOOKUP($H$4,'Met Data'!$A$2:$F$368,G898,FALSE)</f>
        <v>17.931666666666601</v>
      </c>
      <c r="J898" s="131">
        <f ca="1">HLOOKUP($H$4,'Met Data'!$H$2:$M$368,G898,FALSE)*L898</f>
        <v>6.9499999999999904</v>
      </c>
      <c r="K898" s="107">
        <f>HLOOKUP($H$4,'Met Data'!$O$2:$T$368,G898,FALSE)</f>
        <v>3.4661109817168501</v>
      </c>
      <c r="L898">
        <f t="shared" ca="1" si="141"/>
        <v>1</v>
      </c>
      <c r="N898" t="e">
        <f t="shared" ca="1" si="142"/>
        <v>#N/A</v>
      </c>
      <c r="O898" t="e">
        <f t="shared" ca="1" si="143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4"/>
        <v>0</v>
      </c>
      <c r="AE898" s="46">
        <f t="shared" ca="1" si="145"/>
        <v>0</v>
      </c>
      <c r="AG898" s="72" t="e">
        <f t="shared" ca="1" si="146"/>
        <v>#N/A</v>
      </c>
      <c r="AH898" s="72" t="e">
        <f t="shared" ca="1" si="147"/>
        <v>#N/A</v>
      </c>
      <c r="AI898" s="3" t="e">
        <f t="shared" ca="1" si="148"/>
        <v>#N/A</v>
      </c>
    </row>
    <row r="899" spans="7:35" ht="15.75" thickBot="1" x14ac:dyDescent="0.3">
      <c r="G899" s="3">
        <f t="shared" si="140"/>
        <v>72</v>
      </c>
      <c r="H899" s="106">
        <f t="shared" si="139"/>
        <v>44997</v>
      </c>
      <c r="I899" s="133">
        <f>HLOOKUP($H$4,'Met Data'!$A$2:$F$368,G899,FALSE)</f>
        <v>18.11</v>
      </c>
      <c r="J899" s="131">
        <f ca="1">HLOOKUP($H$4,'Met Data'!$H$2:$M$368,G899,FALSE)*L899</f>
        <v>3.0533333333333301</v>
      </c>
      <c r="K899" s="107">
        <f>HLOOKUP($H$4,'Met Data'!$O$2:$T$368,G899,FALSE)</f>
        <v>3.54178935257598</v>
      </c>
      <c r="L899">
        <f t="shared" ca="1" si="141"/>
        <v>1</v>
      </c>
      <c r="N899" t="e">
        <f t="shared" ca="1" si="142"/>
        <v>#N/A</v>
      </c>
      <c r="O899" t="e">
        <f t="shared" ca="1" si="143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4"/>
        <v>0</v>
      </c>
      <c r="AE899" s="46">
        <f t="shared" ca="1" si="145"/>
        <v>0</v>
      </c>
      <c r="AG899" s="72" t="e">
        <f t="shared" ca="1" si="146"/>
        <v>#N/A</v>
      </c>
      <c r="AH899" s="72" t="e">
        <f t="shared" ca="1" si="147"/>
        <v>#N/A</v>
      </c>
      <c r="AI899" s="3" t="e">
        <f t="shared" ca="1" si="148"/>
        <v>#N/A</v>
      </c>
    </row>
    <row r="900" spans="7:35" ht="15.75" thickBot="1" x14ac:dyDescent="0.3">
      <c r="G900" s="3">
        <f t="shared" si="140"/>
        <v>73</v>
      </c>
      <c r="H900" s="106">
        <f t="shared" si="139"/>
        <v>44998</v>
      </c>
      <c r="I900" s="133">
        <f>HLOOKUP($H$4,'Met Data'!$A$2:$F$368,G900,FALSE)</f>
        <v>17.7392857142857</v>
      </c>
      <c r="J900" s="131">
        <f ca="1">HLOOKUP($H$4,'Met Data'!$H$2:$M$368,G900,FALSE)*L900</f>
        <v>1.6892857142857101</v>
      </c>
      <c r="K900" s="107">
        <f>HLOOKUP($H$4,'Met Data'!$O$2:$T$368,G900,FALSE)</f>
        <v>3.3591305391228099</v>
      </c>
      <c r="L900">
        <f t="shared" ca="1" si="141"/>
        <v>1</v>
      </c>
      <c r="N900" t="e">
        <f t="shared" ca="1" si="142"/>
        <v>#N/A</v>
      </c>
      <c r="O900" t="e">
        <f t="shared" ca="1" si="143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4"/>
        <v>0</v>
      </c>
      <c r="AE900" s="46">
        <f t="shared" ca="1" si="145"/>
        <v>0</v>
      </c>
      <c r="AG900" s="72" t="e">
        <f t="shared" ca="1" si="146"/>
        <v>#N/A</v>
      </c>
      <c r="AH900" s="72" t="e">
        <f t="shared" ca="1" si="147"/>
        <v>#N/A</v>
      </c>
      <c r="AI900" s="3" t="e">
        <f t="shared" ca="1" si="148"/>
        <v>#N/A</v>
      </c>
    </row>
    <row r="901" spans="7:35" ht="15.75" thickBot="1" x14ac:dyDescent="0.3">
      <c r="G901" s="3">
        <f t="shared" si="140"/>
        <v>74</v>
      </c>
      <c r="H901" s="106">
        <f t="shared" si="139"/>
        <v>44999</v>
      </c>
      <c r="I901" s="133">
        <f>HLOOKUP($H$4,'Met Data'!$A$2:$F$368,G901,FALSE)</f>
        <v>17.7431034482758</v>
      </c>
      <c r="J901" s="131">
        <f ca="1">HLOOKUP($H$4,'Met Data'!$H$2:$M$368,G901,FALSE)*L901</f>
        <v>1.84</v>
      </c>
      <c r="K901" s="107">
        <f>HLOOKUP($H$4,'Met Data'!$O$2:$T$368,G901,FALSE)</f>
        <v>3.37236322021164</v>
      </c>
      <c r="L901">
        <f t="shared" ca="1" si="141"/>
        <v>1</v>
      </c>
      <c r="N901" t="e">
        <f t="shared" ca="1" si="142"/>
        <v>#N/A</v>
      </c>
      <c r="O901" t="e">
        <f t="shared" ca="1" si="143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4"/>
        <v>0</v>
      </c>
      <c r="AE901" s="46">
        <f t="shared" ca="1" si="145"/>
        <v>0</v>
      </c>
      <c r="AG901" s="72" t="e">
        <f t="shared" ca="1" si="146"/>
        <v>#N/A</v>
      </c>
      <c r="AH901" s="72" t="e">
        <f t="shared" ca="1" si="147"/>
        <v>#N/A</v>
      </c>
      <c r="AI901" s="3" t="e">
        <f t="shared" ca="1" si="148"/>
        <v>#N/A</v>
      </c>
    </row>
    <row r="902" spans="7:35" ht="15.75" thickBot="1" x14ac:dyDescent="0.3">
      <c r="G902" s="3">
        <f t="shared" si="140"/>
        <v>75</v>
      </c>
      <c r="H902" s="106">
        <f t="shared" si="139"/>
        <v>45000</v>
      </c>
      <c r="I902" s="133">
        <f>HLOOKUP($H$4,'Met Data'!$A$2:$F$368,G902,FALSE)</f>
        <v>17.582758620689599</v>
      </c>
      <c r="J902" s="131">
        <f ca="1">HLOOKUP($H$4,'Met Data'!$H$2:$M$368,G902,FALSE)*L902</f>
        <v>3.1862068965517198</v>
      </c>
      <c r="K902" s="107">
        <f>HLOOKUP($H$4,'Met Data'!$O$2:$T$368,G902,FALSE)</f>
        <v>3.1968269295082399</v>
      </c>
      <c r="L902">
        <f t="shared" ca="1" si="141"/>
        <v>1</v>
      </c>
      <c r="N902" t="e">
        <f t="shared" ca="1" si="142"/>
        <v>#N/A</v>
      </c>
      <c r="O902" t="e">
        <f t="shared" ca="1" si="143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4"/>
        <v>0</v>
      </c>
      <c r="AE902" s="46">
        <f t="shared" ca="1" si="145"/>
        <v>0</v>
      </c>
      <c r="AG902" s="72" t="e">
        <f t="shared" ca="1" si="146"/>
        <v>#N/A</v>
      </c>
      <c r="AH902" s="72" t="e">
        <f t="shared" ca="1" si="147"/>
        <v>#N/A</v>
      </c>
      <c r="AI902" s="3" t="e">
        <f t="shared" ca="1" si="148"/>
        <v>#N/A</v>
      </c>
    </row>
    <row r="903" spans="7:35" ht="15.75" thickBot="1" x14ac:dyDescent="0.3">
      <c r="G903" s="3">
        <f t="shared" si="140"/>
        <v>76</v>
      </c>
      <c r="H903" s="106">
        <f t="shared" si="139"/>
        <v>45001</v>
      </c>
      <c r="I903" s="133">
        <f>HLOOKUP($H$4,'Met Data'!$A$2:$F$368,G903,FALSE)</f>
        <v>17.724137931034399</v>
      </c>
      <c r="J903" s="131">
        <f ca="1">HLOOKUP($H$4,'Met Data'!$H$2:$M$368,G903,FALSE)*L903</f>
        <v>2.9633333333333298</v>
      </c>
      <c r="K903" s="107">
        <f>HLOOKUP($H$4,'Met Data'!$O$2:$T$368,G903,FALSE)</f>
        <v>3.15313078143424</v>
      </c>
      <c r="L903">
        <f t="shared" ca="1" si="141"/>
        <v>1</v>
      </c>
      <c r="N903" t="e">
        <f t="shared" ca="1" si="142"/>
        <v>#N/A</v>
      </c>
      <c r="O903" t="e">
        <f t="shared" ca="1" si="143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4"/>
        <v>0</v>
      </c>
      <c r="AE903" s="46">
        <f t="shared" ca="1" si="145"/>
        <v>0</v>
      </c>
      <c r="AG903" s="72" t="e">
        <f t="shared" ca="1" si="146"/>
        <v>#N/A</v>
      </c>
      <c r="AH903" s="72" t="e">
        <f t="shared" ca="1" si="147"/>
        <v>#N/A</v>
      </c>
      <c r="AI903" s="3" t="e">
        <f t="shared" ca="1" si="148"/>
        <v>#N/A</v>
      </c>
    </row>
    <row r="904" spans="7:35" ht="15.75" thickBot="1" x14ac:dyDescent="0.3">
      <c r="G904" s="3">
        <f t="shared" si="140"/>
        <v>77</v>
      </c>
      <c r="H904" s="106">
        <f t="shared" ref="H904:H967" si="149">H903+1</f>
        <v>45002</v>
      </c>
      <c r="I904" s="133">
        <f>HLOOKUP($H$4,'Met Data'!$A$2:$F$368,G904,FALSE)</f>
        <v>17.698333333333299</v>
      </c>
      <c r="J904" s="131">
        <f ca="1">HLOOKUP($H$4,'Met Data'!$H$2:$M$368,G904,FALSE)*L904</f>
        <v>2.61666666666666</v>
      </c>
      <c r="K904" s="107">
        <f>HLOOKUP($H$4,'Met Data'!$O$2:$T$368,G904,FALSE)</f>
        <v>3.4068572568745799</v>
      </c>
      <c r="L904">
        <f t="shared" ca="1" si="141"/>
        <v>1</v>
      </c>
      <c r="N904" t="e">
        <f t="shared" ca="1" si="142"/>
        <v>#N/A</v>
      </c>
      <c r="O904" t="e">
        <f t="shared" ca="1" si="143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4"/>
        <v>0</v>
      </c>
      <c r="AE904" s="46">
        <f t="shared" ca="1" si="145"/>
        <v>0</v>
      </c>
      <c r="AG904" s="72" t="e">
        <f t="shared" ca="1" si="146"/>
        <v>#N/A</v>
      </c>
      <c r="AH904" s="72" t="e">
        <f t="shared" ca="1" si="147"/>
        <v>#N/A</v>
      </c>
      <c r="AI904" s="3" t="e">
        <f t="shared" ca="1" si="148"/>
        <v>#N/A</v>
      </c>
    </row>
    <row r="905" spans="7:35" ht="15.75" thickBot="1" x14ac:dyDescent="0.3">
      <c r="G905" s="3">
        <f t="shared" si="140"/>
        <v>78</v>
      </c>
      <c r="H905" s="106">
        <f t="shared" si="149"/>
        <v>45003</v>
      </c>
      <c r="I905" s="133">
        <f>HLOOKUP($H$4,'Met Data'!$A$2:$F$368,G905,FALSE)</f>
        <v>17.62</v>
      </c>
      <c r="J905" s="131">
        <f ca="1">HLOOKUP($H$4,'Met Data'!$H$2:$M$368,G905,FALSE)*L905</f>
        <v>1.69</v>
      </c>
      <c r="K905" s="107">
        <f>HLOOKUP($H$4,'Met Data'!$O$2:$T$368,G905,FALSE)</f>
        <v>3.17632774581707</v>
      </c>
      <c r="L905">
        <f t="shared" ca="1" si="141"/>
        <v>1</v>
      </c>
      <c r="N905" t="e">
        <f t="shared" ca="1" si="142"/>
        <v>#N/A</v>
      </c>
      <c r="O905" t="e">
        <f t="shared" ca="1" si="143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4"/>
        <v>0</v>
      </c>
      <c r="AE905" s="46">
        <f t="shared" ca="1" si="145"/>
        <v>0</v>
      </c>
      <c r="AG905" s="72" t="e">
        <f t="shared" ca="1" si="146"/>
        <v>#N/A</v>
      </c>
      <c r="AH905" s="72" t="e">
        <f t="shared" ca="1" si="147"/>
        <v>#N/A</v>
      </c>
      <c r="AI905" s="3" t="e">
        <f t="shared" ca="1" si="148"/>
        <v>#N/A</v>
      </c>
    </row>
    <row r="906" spans="7:35" ht="15.75" thickBot="1" x14ac:dyDescent="0.3">
      <c r="G906" s="3">
        <f t="shared" si="140"/>
        <v>79</v>
      </c>
      <c r="H906" s="106">
        <f t="shared" si="149"/>
        <v>45004</v>
      </c>
      <c r="I906" s="133">
        <f>HLOOKUP($H$4,'Met Data'!$A$2:$F$368,G906,FALSE)</f>
        <v>17.170000000000002</v>
      </c>
      <c r="J906" s="131">
        <f ca="1">HLOOKUP($H$4,'Met Data'!$H$2:$M$368,G906,FALSE)*L906</f>
        <v>1.5166666666666599</v>
      </c>
      <c r="K906" s="107">
        <f>HLOOKUP($H$4,'Met Data'!$O$2:$T$368,G906,FALSE)</f>
        <v>3.38121466442426</v>
      </c>
      <c r="L906">
        <f t="shared" ca="1" si="141"/>
        <v>1</v>
      </c>
      <c r="N906" t="e">
        <f t="shared" ca="1" si="142"/>
        <v>#N/A</v>
      </c>
      <c r="O906" t="e">
        <f t="shared" ca="1" si="143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4"/>
        <v>0</v>
      </c>
      <c r="AE906" s="46">
        <f t="shared" ca="1" si="145"/>
        <v>0</v>
      </c>
      <c r="AG906" s="72" t="e">
        <f t="shared" ca="1" si="146"/>
        <v>#N/A</v>
      </c>
      <c r="AH906" s="72" t="e">
        <f t="shared" ca="1" si="147"/>
        <v>#N/A</v>
      </c>
      <c r="AI906" s="3" t="e">
        <f t="shared" ca="1" si="148"/>
        <v>#N/A</v>
      </c>
    </row>
    <row r="907" spans="7:35" ht="15.75" thickBot="1" x14ac:dyDescent="0.3">
      <c r="G907" s="3">
        <f t="shared" si="140"/>
        <v>80</v>
      </c>
      <c r="H907" s="106">
        <f t="shared" si="149"/>
        <v>45005</v>
      </c>
      <c r="I907" s="133">
        <f>HLOOKUP($H$4,'Met Data'!$A$2:$F$368,G907,FALSE)</f>
        <v>17.223333333333301</v>
      </c>
      <c r="J907" s="131">
        <f ca="1">HLOOKUP($H$4,'Met Data'!$H$2:$M$368,G907,FALSE)*L907</f>
        <v>3.56451612903225</v>
      </c>
      <c r="K907" s="107">
        <f>HLOOKUP($H$4,'Met Data'!$O$2:$T$368,G907,FALSE)</f>
        <v>3.2035769560803802</v>
      </c>
      <c r="L907">
        <f t="shared" ca="1" si="141"/>
        <v>1</v>
      </c>
      <c r="N907" t="e">
        <f t="shared" ca="1" si="142"/>
        <v>#N/A</v>
      </c>
      <c r="O907" t="e">
        <f t="shared" ca="1" si="143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4"/>
        <v>0</v>
      </c>
      <c r="AE907" s="46">
        <f t="shared" ca="1" si="145"/>
        <v>0</v>
      </c>
      <c r="AG907" s="72" t="e">
        <f t="shared" ca="1" si="146"/>
        <v>#N/A</v>
      </c>
      <c r="AH907" s="72" t="e">
        <f t="shared" ca="1" si="147"/>
        <v>#N/A</v>
      </c>
      <c r="AI907" s="3" t="e">
        <f t="shared" ca="1" si="148"/>
        <v>#N/A</v>
      </c>
    </row>
    <row r="908" spans="7:35" ht="15.75" thickBot="1" x14ac:dyDescent="0.3">
      <c r="G908" s="3">
        <f t="shared" si="140"/>
        <v>81</v>
      </c>
      <c r="H908" s="106">
        <f t="shared" si="149"/>
        <v>45006</v>
      </c>
      <c r="I908" s="133">
        <f>HLOOKUP($H$4,'Met Data'!$A$2:$F$368,G908,FALSE)</f>
        <v>17.498333333333299</v>
      </c>
      <c r="J908" s="131">
        <f ca="1">HLOOKUP($H$4,'Met Data'!$H$2:$M$368,G908,FALSE)*L908</f>
        <v>0.80645161290322498</v>
      </c>
      <c r="K908" s="107">
        <f>HLOOKUP($H$4,'Met Data'!$O$2:$T$368,G908,FALSE)</f>
        <v>3.31927458571925</v>
      </c>
      <c r="L908">
        <f t="shared" ca="1" si="141"/>
        <v>1</v>
      </c>
      <c r="N908" t="e">
        <f t="shared" ca="1" si="142"/>
        <v>#N/A</v>
      </c>
      <c r="O908" t="e">
        <f t="shared" ca="1" si="143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4"/>
        <v>0</v>
      </c>
      <c r="AE908" s="46">
        <f t="shared" ca="1" si="145"/>
        <v>0</v>
      </c>
      <c r="AG908" s="72" t="e">
        <f t="shared" ca="1" si="146"/>
        <v>#N/A</v>
      </c>
      <c r="AH908" s="72" t="e">
        <f t="shared" ca="1" si="147"/>
        <v>#N/A</v>
      </c>
      <c r="AI908" s="3" t="e">
        <f t="shared" ca="1" si="148"/>
        <v>#N/A</v>
      </c>
    </row>
    <row r="909" spans="7:35" ht="15.75" thickBot="1" x14ac:dyDescent="0.3">
      <c r="G909" s="3">
        <f t="shared" si="140"/>
        <v>82</v>
      </c>
      <c r="H909" s="106">
        <f t="shared" si="149"/>
        <v>45007</v>
      </c>
      <c r="I909" s="133">
        <f>HLOOKUP($H$4,'Met Data'!$A$2:$F$368,G909,FALSE)</f>
        <v>17.390322580645101</v>
      </c>
      <c r="J909" s="131">
        <f ca="1">HLOOKUP($H$4,'Met Data'!$H$2:$M$368,G909,FALSE)*L909</f>
        <v>2.8516129032258002</v>
      </c>
      <c r="K909" s="107">
        <f>HLOOKUP($H$4,'Met Data'!$O$2:$T$368,G909,FALSE)</f>
        <v>3.3284502448926401</v>
      </c>
      <c r="L909">
        <f t="shared" ca="1" si="141"/>
        <v>1</v>
      </c>
      <c r="N909" t="e">
        <f t="shared" ca="1" si="142"/>
        <v>#N/A</v>
      </c>
      <c r="O909" t="e">
        <f t="shared" ca="1" si="143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4"/>
        <v>0</v>
      </c>
      <c r="AE909" s="46">
        <f t="shared" ca="1" si="145"/>
        <v>0</v>
      </c>
      <c r="AG909" s="72" t="e">
        <f t="shared" ca="1" si="146"/>
        <v>#N/A</v>
      </c>
      <c r="AH909" s="72" t="e">
        <f t="shared" ca="1" si="147"/>
        <v>#N/A</v>
      </c>
      <c r="AI909" s="3" t="e">
        <f t="shared" ca="1" si="148"/>
        <v>#N/A</v>
      </c>
    </row>
    <row r="910" spans="7:35" ht="15.75" thickBot="1" x14ac:dyDescent="0.3">
      <c r="G910" s="3">
        <f t="shared" si="140"/>
        <v>83</v>
      </c>
      <c r="H910" s="106">
        <f t="shared" si="149"/>
        <v>45008</v>
      </c>
      <c r="I910" s="133">
        <f>HLOOKUP($H$4,'Met Data'!$A$2:$F$368,G910,FALSE)</f>
        <v>17.053333333333299</v>
      </c>
      <c r="J910" s="131">
        <f ca="1">HLOOKUP($H$4,'Met Data'!$H$2:$M$368,G910,FALSE)*L910</f>
        <v>2.9933333333333301</v>
      </c>
      <c r="K910" s="107">
        <f>HLOOKUP($H$4,'Met Data'!$O$2:$T$368,G910,FALSE)</f>
        <v>3.1676733133647299</v>
      </c>
      <c r="L910">
        <f t="shared" ca="1" si="141"/>
        <v>1</v>
      </c>
      <c r="N910" t="e">
        <f t="shared" ca="1" si="142"/>
        <v>#N/A</v>
      </c>
      <c r="O910" t="e">
        <f t="shared" ca="1" si="143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4"/>
        <v>0</v>
      </c>
      <c r="AE910" s="46">
        <f t="shared" ca="1" si="145"/>
        <v>0</v>
      </c>
      <c r="AG910" s="72" t="e">
        <f t="shared" ca="1" si="146"/>
        <v>#N/A</v>
      </c>
      <c r="AH910" s="72" t="e">
        <f t="shared" ca="1" si="147"/>
        <v>#N/A</v>
      </c>
      <c r="AI910" s="3" t="e">
        <f t="shared" ca="1" si="148"/>
        <v>#N/A</v>
      </c>
    </row>
    <row r="911" spans="7:35" ht="15.75" thickBot="1" x14ac:dyDescent="0.3">
      <c r="G911" s="3">
        <f t="shared" si="140"/>
        <v>84</v>
      </c>
      <c r="H911" s="106">
        <f t="shared" si="149"/>
        <v>45009</v>
      </c>
      <c r="I911" s="133">
        <f>HLOOKUP($H$4,'Met Data'!$A$2:$F$368,G911,FALSE)</f>
        <v>16.973333333333301</v>
      </c>
      <c r="J911" s="131">
        <f ca="1">HLOOKUP($H$4,'Met Data'!$H$2:$M$368,G911,FALSE)*L911</f>
        <v>1.83666666666666</v>
      </c>
      <c r="K911" s="107">
        <f>HLOOKUP($H$4,'Met Data'!$O$2:$T$368,G911,FALSE)</f>
        <v>3.1307694102164598</v>
      </c>
      <c r="L911">
        <f t="shared" ca="1" si="141"/>
        <v>1</v>
      </c>
      <c r="N911" t="e">
        <f t="shared" ca="1" si="142"/>
        <v>#N/A</v>
      </c>
      <c r="O911" t="e">
        <f t="shared" ca="1" si="143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4"/>
        <v>0</v>
      </c>
      <c r="AE911" s="46">
        <f t="shared" ca="1" si="145"/>
        <v>0</v>
      </c>
      <c r="AG911" s="72" t="e">
        <f t="shared" ca="1" si="146"/>
        <v>#N/A</v>
      </c>
      <c r="AH911" s="72" t="e">
        <f t="shared" ca="1" si="147"/>
        <v>#N/A</v>
      </c>
      <c r="AI911" s="3" t="e">
        <f t="shared" ca="1" si="148"/>
        <v>#N/A</v>
      </c>
    </row>
    <row r="912" spans="7:35" ht="15.75" thickBot="1" x14ac:dyDescent="0.3">
      <c r="G912" s="3">
        <f t="shared" si="140"/>
        <v>85</v>
      </c>
      <c r="H912" s="106">
        <f t="shared" si="149"/>
        <v>45010</v>
      </c>
      <c r="I912" s="133">
        <f>HLOOKUP($H$4,'Met Data'!$A$2:$F$368,G912,FALSE)</f>
        <v>16.984999999999999</v>
      </c>
      <c r="J912" s="131">
        <f ca="1">HLOOKUP($H$4,'Met Data'!$H$2:$M$368,G912,FALSE)*L912</f>
        <v>1.7666666666666599</v>
      </c>
      <c r="K912" s="107">
        <f>HLOOKUP($H$4,'Met Data'!$O$2:$T$368,G912,FALSE)</f>
        <v>2.9971927749729499</v>
      </c>
      <c r="L912">
        <f t="shared" ca="1" si="141"/>
        <v>1</v>
      </c>
      <c r="N912" t="e">
        <f t="shared" ca="1" si="142"/>
        <v>#N/A</v>
      </c>
      <c r="O912" t="e">
        <f t="shared" ca="1" si="143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4"/>
        <v>0</v>
      </c>
      <c r="AE912" s="46">
        <f t="shared" ca="1" si="145"/>
        <v>0</v>
      </c>
      <c r="AG912" s="72" t="e">
        <f t="shared" ca="1" si="146"/>
        <v>#N/A</v>
      </c>
      <c r="AH912" s="72" t="e">
        <f t="shared" ca="1" si="147"/>
        <v>#N/A</v>
      </c>
      <c r="AI912" s="3" t="e">
        <f t="shared" ca="1" si="148"/>
        <v>#N/A</v>
      </c>
    </row>
    <row r="913" spans="7:35" ht="15.75" thickBot="1" x14ac:dyDescent="0.3">
      <c r="G913" s="3">
        <f t="shared" si="140"/>
        <v>86</v>
      </c>
      <c r="H913" s="106">
        <f t="shared" si="149"/>
        <v>45011</v>
      </c>
      <c r="I913" s="133">
        <f>HLOOKUP($H$4,'Met Data'!$A$2:$F$368,G913,FALSE)</f>
        <v>17.064516129032199</v>
      </c>
      <c r="J913" s="131">
        <f ca="1">HLOOKUP($H$4,'Met Data'!$H$2:$M$368,G913,FALSE)*L913</f>
        <v>3.4354838709677402</v>
      </c>
      <c r="K913" s="107">
        <f>HLOOKUP($H$4,'Met Data'!$O$2:$T$368,G913,FALSE)</f>
        <v>3.1405308327099699</v>
      </c>
      <c r="L913">
        <f t="shared" ca="1" si="141"/>
        <v>1</v>
      </c>
      <c r="N913" t="e">
        <f t="shared" ca="1" si="142"/>
        <v>#N/A</v>
      </c>
      <c r="O913" t="e">
        <f t="shared" ca="1" si="143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4"/>
        <v>0</v>
      </c>
      <c r="AE913" s="46">
        <f t="shared" ca="1" si="145"/>
        <v>0</v>
      </c>
      <c r="AG913" s="72" t="e">
        <f t="shared" ca="1" si="146"/>
        <v>#N/A</v>
      </c>
      <c r="AH913" s="72" t="e">
        <f t="shared" ca="1" si="147"/>
        <v>#N/A</v>
      </c>
      <c r="AI913" s="3" t="e">
        <f t="shared" ca="1" si="148"/>
        <v>#N/A</v>
      </c>
    </row>
    <row r="914" spans="7:35" ht="15.75" thickBot="1" x14ac:dyDescent="0.3">
      <c r="G914" s="3">
        <f t="shared" si="140"/>
        <v>87</v>
      </c>
      <c r="H914" s="106">
        <f t="shared" si="149"/>
        <v>45012</v>
      </c>
      <c r="I914" s="133">
        <f>HLOOKUP($H$4,'Met Data'!$A$2:$F$368,G914,FALSE)</f>
        <v>17.208064516128999</v>
      </c>
      <c r="J914" s="131">
        <f ca="1">HLOOKUP($H$4,'Met Data'!$H$2:$M$368,G914,FALSE)*L914</f>
        <v>0.97419354838709604</v>
      </c>
      <c r="K914" s="107">
        <f>HLOOKUP($H$4,'Met Data'!$O$2:$T$368,G914,FALSE)</f>
        <v>3.1295018555019598</v>
      </c>
      <c r="L914">
        <f t="shared" ca="1" si="141"/>
        <v>1</v>
      </c>
      <c r="N914" t="e">
        <f t="shared" ca="1" si="142"/>
        <v>#N/A</v>
      </c>
      <c r="O914" t="e">
        <f t="shared" ca="1" si="143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4"/>
        <v>0</v>
      </c>
      <c r="AE914" s="46">
        <f t="shared" ca="1" si="145"/>
        <v>0</v>
      </c>
      <c r="AG914" s="72" t="e">
        <f t="shared" ca="1" si="146"/>
        <v>#N/A</v>
      </c>
      <c r="AH914" s="72" t="e">
        <f t="shared" ca="1" si="147"/>
        <v>#N/A</v>
      </c>
      <c r="AI914" s="3" t="e">
        <f t="shared" ca="1" si="148"/>
        <v>#N/A</v>
      </c>
    </row>
    <row r="915" spans="7:35" ht="15.75" thickBot="1" x14ac:dyDescent="0.3">
      <c r="G915" s="3">
        <f t="shared" si="140"/>
        <v>88</v>
      </c>
      <c r="H915" s="106">
        <f t="shared" si="149"/>
        <v>45013</v>
      </c>
      <c r="I915" s="133">
        <f>HLOOKUP($H$4,'Met Data'!$A$2:$F$368,G915,FALSE)</f>
        <v>17.141666666666602</v>
      </c>
      <c r="J915" s="131">
        <f ca="1">HLOOKUP($H$4,'Met Data'!$H$2:$M$368,G915,FALSE)*L915</f>
        <v>2.43225806451612</v>
      </c>
      <c r="K915" s="107">
        <f>HLOOKUP($H$4,'Met Data'!$O$2:$T$368,G915,FALSE)</f>
        <v>2.6600638405747499</v>
      </c>
      <c r="L915">
        <f t="shared" ca="1" si="141"/>
        <v>1</v>
      </c>
      <c r="N915" t="e">
        <f t="shared" ca="1" si="142"/>
        <v>#N/A</v>
      </c>
      <c r="O915" t="e">
        <f t="shared" ca="1" si="143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4"/>
        <v>0</v>
      </c>
      <c r="AE915" s="46">
        <f t="shared" ca="1" si="145"/>
        <v>0</v>
      </c>
      <c r="AG915" s="72" t="e">
        <f t="shared" ca="1" si="146"/>
        <v>#N/A</v>
      </c>
      <c r="AH915" s="72" t="e">
        <f t="shared" ca="1" si="147"/>
        <v>#N/A</v>
      </c>
      <c r="AI915" s="3" t="e">
        <f t="shared" ca="1" si="148"/>
        <v>#N/A</v>
      </c>
    </row>
    <row r="916" spans="7:35" ht="15.75" thickBot="1" x14ac:dyDescent="0.3">
      <c r="G916" s="3">
        <f t="shared" si="140"/>
        <v>89</v>
      </c>
      <c r="H916" s="106">
        <f t="shared" si="149"/>
        <v>45014</v>
      </c>
      <c r="I916" s="133">
        <f>HLOOKUP($H$4,'Met Data'!$A$2:$F$368,G916,FALSE)</f>
        <v>17.338333333333299</v>
      </c>
      <c r="J916" s="131">
        <f ca="1">HLOOKUP($H$4,'Met Data'!$H$2:$M$368,G916,FALSE)*L916</f>
        <v>2.8193548387096699</v>
      </c>
      <c r="K916" s="107">
        <f>HLOOKUP($H$4,'Met Data'!$O$2:$T$368,G916,FALSE)</f>
        <v>2.7816184084358899</v>
      </c>
      <c r="L916">
        <f t="shared" ca="1" si="141"/>
        <v>1</v>
      </c>
      <c r="N916" t="e">
        <f t="shared" ca="1" si="142"/>
        <v>#N/A</v>
      </c>
      <c r="O916" t="e">
        <f t="shared" ca="1" si="143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4"/>
        <v>0</v>
      </c>
      <c r="AE916" s="46">
        <f t="shared" ca="1" si="145"/>
        <v>0</v>
      </c>
      <c r="AG916" s="72" t="e">
        <f t="shared" ca="1" si="146"/>
        <v>#N/A</v>
      </c>
      <c r="AH916" s="72" t="e">
        <f t="shared" ca="1" si="147"/>
        <v>#N/A</v>
      </c>
      <c r="AI916" s="3" t="e">
        <f t="shared" ca="1" si="148"/>
        <v>#N/A</v>
      </c>
    </row>
    <row r="917" spans="7:35" ht="15.75" thickBot="1" x14ac:dyDescent="0.3">
      <c r="G917" s="3">
        <f t="shared" si="140"/>
        <v>90</v>
      </c>
      <c r="H917" s="106">
        <f t="shared" si="149"/>
        <v>45015</v>
      </c>
      <c r="I917" s="133">
        <f>HLOOKUP($H$4,'Met Data'!$A$2:$F$368,G917,FALSE)</f>
        <v>17.136206896551698</v>
      </c>
      <c r="J917" s="131">
        <f ca="1">HLOOKUP($H$4,'Met Data'!$H$2:$M$368,G917,FALSE)*L917</f>
        <v>1.15333333333333</v>
      </c>
      <c r="K917" s="107">
        <f>HLOOKUP($H$4,'Met Data'!$O$2:$T$368,G917,FALSE)</f>
        <v>3.16549451986696</v>
      </c>
      <c r="L917">
        <f t="shared" ca="1" si="141"/>
        <v>1</v>
      </c>
      <c r="N917" t="e">
        <f t="shared" ca="1" si="142"/>
        <v>#N/A</v>
      </c>
      <c r="O917" t="e">
        <f t="shared" ca="1" si="143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4"/>
        <v>0</v>
      </c>
      <c r="AE917" s="46">
        <f t="shared" ca="1" si="145"/>
        <v>0</v>
      </c>
      <c r="AG917" s="72" t="e">
        <f t="shared" ca="1" si="146"/>
        <v>#N/A</v>
      </c>
      <c r="AH917" s="72" t="e">
        <f t="shared" ca="1" si="147"/>
        <v>#N/A</v>
      </c>
      <c r="AI917" s="3" t="e">
        <f t="shared" ca="1" si="148"/>
        <v>#N/A</v>
      </c>
    </row>
    <row r="918" spans="7:35" ht="15.75" thickBot="1" x14ac:dyDescent="0.3">
      <c r="G918" s="3">
        <f t="shared" si="140"/>
        <v>91</v>
      </c>
      <c r="H918" s="106">
        <f t="shared" si="149"/>
        <v>45016</v>
      </c>
      <c r="I918" s="133">
        <f>HLOOKUP($H$4,'Met Data'!$A$2:$F$368,G918,FALSE)</f>
        <v>16.922413793103399</v>
      </c>
      <c r="J918" s="131">
        <f ca="1">HLOOKUP($H$4,'Met Data'!$H$2:$M$368,G918,FALSE)*L918</f>
        <v>2.9733333333333301</v>
      </c>
      <c r="K918" s="107">
        <f>HLOOKUP($H$4,'Met Data'!$O$2:$T$368,G918,FALSE)</f>
        <v>2.84233525233393</v>
      </c>
      <c r="L918">
        <f t="shared" ca="1" si="141"/>
        <v>1</v>
      </c>
      <c r="N918" t="e">
        <f t="shared" ca="1" si="142"/>
        <v>#N/A</v>
      </c>
      <c r="O918" t="e">
        <f t="shared" ca="1" si="143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4"/>
        <v>0</v>
      </c>
      <c r="AE918" s="46">
        <f t="shared" ca="1" si="145"/>
        <v>0</v>
      </c>
      <c r="AG918" s="72" t="e">
        <f t="shared" ca="1" si="146"/>
        <v>#N/A</v>
      </c>
      <c r="AH918" s="72" t="e">
        <f t="shared" ca="1" si="147"/>
        <v>#N/A</v>
      </c>
      <c r="AI918" s="3" t="e">
        <f t="shared" ca="1" si="148"/>
        <v>#N/A</v>
      </c>
    </row>
    <row r="919" spans="7:35" ht="15.75" thickBot="1" x14ac:dyDescent="0.3">
      <c r="G919" s="3">
        <f t="shared" si="140"/>
        <v>92</v>
      </c>
      <c r="H919" s="106">
        <f t="shared" si="149"/>
        <v>45017</v>
      </c>
      <c r="I919" s="133">
        <f>HLOOKUP($H$4,'Met Data'!$A$2:$F$368,G919,FALSE)</f>
        <v>16.63</v>
      </c>
      <c r="J919" s="131">
        <f ca="1">HLOOKUP($H$4,'Met Data'!$H$2:$M$368,G919,FALSE)*L919</f>
        <v>1.76451612903225</v>
      </c>
      <c r="K919" s="107">
        <f>HLOOKUP($H$4,'Met Data'!$O$2:$T$368,G919,FALSE)</f>
        <v>2.8748972399291501</v>
      </c>
      <c r="L919">
        <f t="shared" ca="1" si="141"/>
        <v>1</v>
      </c>
      <c r="N919" t="e">
        <f t="shared" ca="1" si="142"/>
        <v>#N/A</v>
      </c>
      <c r="O919" t="e">
        <f t="shared" ca="1" si="143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4"/>
        <v>0</v>
      </c>
      <c r="AE919" s="46">
        <f t="shared" ca="1" si="145"/>
        <v>0</v>
      </c>
      <c r="AG919" s="72" t="e">
        <f t="shared" ca="1" si="146"/>
        <v>#N/A</v>
      </c>
      <c r="AH919" s="72" t="e">
        <f t="shared" ca="1" si="147"/>
        <v>#N/A</v>
      </c>
      <c r="AI919" s="3" t="e">
        <f t="shared" ca="1" si="148"/>
        <v>#N/A</v>
      </c>
    </row>
    <row r="920" spans="7:35" ht="15.75" thickBot="1" x14ac:dyDescent="0.3">
      <c r="G920" s="3">
        <f t="shared" si="140"/>
        <v>93</v>
      </c>
      <c r="H920" s="106">
        <f t="shared" si="149"/>
        <v>45018</v>
      </c>
      <c r="I920" s="133">
        <f>HLOOKUP($H$4,'Met Data'!$A$2:$F$368,G920,FALSE)</f>
        <v>16.5379310344827</v>
      </c>
      <c r="J920" s="131">
        <f ca="1">HLOOKUP($H$4,'Met Data'!$H$2:$M$368,G920,FALSE)*L920</f>
        <v>3.32258064516129</v>
      </c>
      <c r="K920" s="107">
        <f>HLOOKUP($H$4,'Met Data'!$O$2:$T$368,G920,FALSE)</f>
        <v>2.5469261916112398</v>
      </c>
      <c r="L920">
        <f t="shared" ca="1" si="141"/>
        <v>1</v>
      </c>
      <c r="N920" t="e">
        <f t="shared" ca="1" si="142"/>
        <v>#N/A</v>
      </c>
      <c r="O920" t="e">
        <f t="shared" ca="1" si="143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4"/>
        <v>0</v>
      </c>
      <c r="AE920" s="46">
        <f t="shared" ca="1" si="145"/>
        <v>0</v>
      </c>
      <c r="AG920" s="72" t="e">
        <f t="shared" ca="1" si="146"/>
        <v>#N/A</v>
      </c>
      <c r="AH920" s="72" t="e">
        <f t="shared" ca="1" si="147"/>
        <v>#N/A</v>
      </c>
      <c r="AI920" s="3" t="e">
        <f t="shared" ca="1" si="148"/>
        <v>#N/A</v>
      </c>
    </row>
    <row r="921" spans="7:35" ht="15.75" thickBot="1" x14ac:dyDescent="0.3">
      <c r="G921" s="3">
        <f t="shared" si="140"/>
        <v>94</v>
      </c>
      <c r="H921" s="106">
        <f t="shared" si="149"/>
        <v>45019</v>
      </c>
      <c r="I921" s="133">
        <f>HLOOKUP($H$4,'Met Data'!$A$2:$F$368,G921,FALSE)</f>
        <v>16.693103448275799</v>
      </c>
      <c r="J921" s="131">
        <f ca="1">HLOOKUP($H$4,'Met Data'!$H$2:$M$368,G921,FALSE)*L921</f>
        <v>2.8064516129032202</v>
      </c>
      <c r="K921" s="107">
        <f>HLOOKUP($H$4,'Met Data'!$O$2:$T$368,G921,FALSE)</f>
        <v>2.8493466745517901</v>
      </c>
      <c r="L921">
        <f t="shared" ca="1" si="141"/>
        <v>1</v>
      </c>
      <c r="N921" t="e">
        <f t="shared" ca="1" si="142"/>
        <v>#N/A</v>
      </c>
      <c r="O921" t="e">
        <f t="shared" ca="1" si="143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4"/>
        <v>0</v>
      </c>
      <c r="AE921" s="46">
        <f t="shared" ca="1" si="145"/>
        <v>0</v>
      </c>
      <c r="AG921" s="72" t="e">
        <f t="shared" ca="1" si="146"/>
        <v>#N/A</v>
      </c>
      <c r="AH921" s="72" t="e">
        <f t="shared" ca="1" si="147"/>
        <v>#N/A</v>
      </c>
      <c r="AI921" s="3" t="e">
        <f t="shared" ca="1" si="148"/>
        <v>#N/A</v>
      </c>
    </row>
    <row r="922" spans="7:35" ht="15.75" thickBot="1" x14ac:dyDescent="0.3">
      <c r="G922" s="3">
        <f t="shared" si="140"/>
        <v>95</v>
      </c>
      <c r="H922" s="106">
        <f t="shared" si="149"/>
        <v>45020</v>
      </c>
      <c r="I922" s="133">
        <f>HLOOKUP($H$4,'Met Data'!$A$2:$F$368,G922,FALSE)</f>
        <v>16.29</v>
      </c>
      <c r="J922" s="131">
        <f ca="1">HLOOKUP($H$4,'Met Data'!$H$2:$M$368,G922,FALSE)*L922</f>
        <v>1.4483870967741901</v>
      </c>
      <c r="K922" s="107">
        <f>HLOOKUP($H$4,'Met Data'!$O$2:$T$368,G922,FALSE)</f>
        <v>3.04847392107171</v>
      </c>
      <c r="L922">
        <f t="shared" ca="1" si="141"/>
        <v>1</v>
      </c>
      <c r="N922" t="e">
        <f t="shared" ca="1" si="142"/>
        <v>#N/A</v>
      </c>
      <c r="O922" t="e">
        <f t="shared" ca="1" si="143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4"/>
        <v>0</v>
      </c>
      <c r="AE922" s="46">
        <f t="shared" ca="1" si="145"/>
        <v>0</v>
      </c>
      <c r="AG922" s="72" t="e">
        <f t="shared" ca="1" si="146"/>
        <v>#N/A</v>
      </c>
      <c r="AH922" s="72" t="e">
        <f t="shared" ca="1" si="147"/>
        <v>#N/A</v>
      </c>
      <c r="AI922" s="3" t="e">
        <f t="shared" ca="1" si="148"/>
        <v>#N/A</v>
      </c>
    </row>
    <row r="923" spans="7:35" ht="15.75" thickBot="1" x14ac:dyDescent="0.3">
      <c r="G923" s="3">
        <f t="shared" si="140"/>
        <v>96</v>
      </c>
      <c r="H923" s="106">
        <f t="shared" si="149"/>
        <v>45021</v>
      </c>
      <c r="I923" s="133">
        <f>HLOOKUP($H$4,'Met Data'!$A$2:$F$368,G923,FALSE)</f>
        <v>16.28</v>
      </c>
      <c r="J923" s="131">
        <f ca="1">HLOOKUP($H$4,'Met Data'!$H$2:$M$368,G923,FALSE)*L923</f>
        <v>1.6838709677419299</v>
      </c>
      <c r="K923" s="107">
        <f>HLOOKUP($H$4,'Met Data'!$O$2:$T$368,G923,FALSE)</f>
        <v>2.9631357104845102</v>
      </c>
      <c r="L923">
        <f t="shared" ca="1" si="141"/>
        <v>1</v>
      </c>
      <c r="N923" t="e">
        <f t="shared" ca="1" si="142"/>
        <v>#N/A</v>
      </c>
      <c r="O923" t="e">
        <f t="shared" ca="1" si="143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4"/>
        <v>0</v>
      </c>
      <c r="AE923" s="46">
        <f t="shared" ca="1" si="145"/>
        <v>0</v>
      </c>
      <c r="AG923" s="72" t="e">
        <f t="shared" ca="1" si="146"/>
        <v>#N/A</v>
      </c>
      <c r="AH923" s="72" t="e">
        <f t="shared" ca="1" si="147"/>
        <v>#N/A</v>
      </c>
      <c r="AI923" s="3" t="e">
        <f t="shared" ca="1" si="148"/>
        <v>#N/A</v>
      </c>
    </row>
    <row r="924" spans="7:35" ht="15.75" thickBot="1" x14ac:dyDescent="0.3">
      <c r="G924" s="3">
        <f t="shared" si="140"/>
        <v>97</v>
      </c>
      <c r="H924" s="106">
        <f t="shared" si="149"/>
        <v>45022</v>
      </c>
      <c r="I924" s="133">
        <f>HLOOKUP($H$4,'Met Data'!$A$2:$F$368,G924,FALSE)</f>
        <v>16.288333333333298</v>
      </c>
      <c r="J924" s="131">
        <f ca="1">HLOOKUP($H$4,'Met Data'!$H$2:$M$368,G924,FALSE)*L924</f>
        <v>3.1066666666666598</v>
      </c>
      <c r="K924" s="107">
        <f>HLOOKUP($H$4,'Met Data'!$O$2:$T$368,G924,FALSE)</f>
        <v>2.8364094228266699</v>
      </c>
      <c r="L924">
        <f t="shared" ca="1" si="141"/>
        <v>1</v>
      </c>
      <c r="N924" t="e">
        <f t="shared" ca="1" si="142"/>
        <v>#N/A</v>
      </c>
      <c r="O924" t="e">
        <f t="shared" ca="1" si="143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4"/>
        <v>0</v>
      </c>
      <c r="AE924" s="46">
        <f t="shared" ca="1" si="145"/>
        <v>0</v>
      </c>
      <c r="AG924" s="72" t="e">
        <f t="shared" ca="1" si="146"/>
        <v>#N/A</v>
      </c>
      <c r="AH924" s="72" t="e">
        <f t="shared" ca="1" si="147"/>
        <v>#N/A</v>
      </c>
      <c r="AI924" s="3" t="e">
        <f t="shared" ca="1" si="148"/>
        <v>#N/A</v>
      </c>
    </row>
    <row r="925" spans="7:35" ht="15.75" thickBot="1" x14ac:dyDescent="0.3">
      <c r="G925" s="3">
        <f t="shared" si="140"/>
        <v>98</v>
      </c>
      <c r="H925" s="106">
        <f t="shared" si="149"/>
        <v>45023</v>
      </c>
      <c r="I925" s="133">
        <f>HLOOKUP($H$4,'Met Data'!$A$2:$F$368,G925,FALSE)</f>
        <v>16.247502601456802</v>
      </c>
      <c r="J925" s="131">
        <f ca="1">HLOOKUP($H$4,'Met Data'!$H$2:$M$368,G925,FALSE)*L925</f>
        <v>2.3033333333333301</v>
      </c>
      <c r="K925" s="107">
        <f>HLOOKUP($H$4,'Met Data'!$O$2:$T$368,G925,FALSE)</f>
        <v>2.7733248568186499</v>
      </c>
      <c r="L925">
        <f t="shared" ca="1" si="141"/>
        <v>1</v>
      </c>
      <c r="N925" t="e">
        <f t="shared" ca="1" si="142"/>
        <v>#N/A</v>
      </c>
      <c r="O925" t="e">
        <f t="shared" ca="1" si="143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4"/>
        <v>0</v>
      </c>
      <c r="AE925" s="46">
        <f t="shared" ca="1" si="145"/>
        <v>0</v>
      </c>
      <c r="AG925" s="72" t="e">
        <f t="shared" ca="1" si="146"/>
        <v>#N/A</v>
      </c>
      <c r="AH925" s="72" t="e">
        <f t="shared" ca="1" si="147"/>
        <v>#N/A</v>
      </c>
      <c r="AI925" s="3" t="e">
        <f t="shared" ca="1" si="148"/>
        <v>#N/A</v>
      </c>
    </row>
    <row r="926" spans="7:35" ht="15.75" thickBot="1" x14ac:dyDescent="0.3">
      <c r="G926" s="3">
        <f t="shared" si="140"/>
        <v>99</v>
      </c>
      <c r="H926" s="106">
        <f t="shared" si="149"/>
        <v>45024</v>
      </c>
      <c r="I926" s="133">
        <f>HLOOKUP($H$4,'Met Data'!$A$2:$F$368,G926,FALSE)</f>
        <v>15.9919354838709</v>
      </c>
      <c r="J926" s="131">
        <f ca="1">HLOOKUP($H$4,'Met Data'!$H$2:$M$368,G926,FALSE)*L926</f>
        <v>3.04</v>
      </c>
      <c r="K926" s="107">
        <f>HLOOKUP($H$4,'Met Data'!$O$2:$T$368,G926,FALSE)</f>
        <v>2.4928303491288801</v>
      </c>
      <c r="L926">
        <f t="shared" ca="1" si="141"/>
        <v>1</v>
      </c>
      <c r="N926" t="e">
        <f t="shared" ca="1" si="142"/>
        <v>#N/A</v>
      </c>
      <c r="O926" t="e">
        <f t="shared" ca="1" si="143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4"/>
        <v>0</v>
      </c>
      <c r="AE926" s="46">
        <f t="shared" ca="1" si="145"/>
        <v>0</v>
      </c>
      <c r="AG926" s="72" t="e">
        <f t="shared" ca="1" si="146"/>
        <v>#N/A</v>
      </c>
      <c r="AH926" s="72" t="e">
        <f t="shared" ca="1" si="147"/>
        <v>#N/A</v>
      </c>
      <c r="AI926" s="3" t="e">
        <f t="shared" ca="1" si="148"/>
        <v>#N/A</v>
      </c>
    </row>
    <row r="927" spans="7:35" ht="15.75" thickBot="1" x14ac:dyDescent="0.3">
      <c r="G927" s="3">
        <f t="shared" si="140"/>
        <v>100</v>
      </c>
      <c r="H927" s="106">
        <f t="shared" si="149"/>
        <v>45025</v>
      </c>
      <c r="I927" s="133">
        <f>HLOOKUP($H$4,'Met Data'!$A$2:$F$368,G927,FALSE)</f>
        <v>15.7</v>
      </c>
      <c r="J927" s="131">
        <f ca="1">HLOOKUP($H$4,'Met Data'!$H$2:$M$368,G927,FALSE)*L927</f>
        <v>4.67</v>
      </c>
      <c r="K927" s="107">
        <f>HLOOKUP($H$4,'Met Data'!$O$2:$T$368,G927,FALSE)</f>
        <v>2.4645244256425198</v>
      </c>
      <c r="L927">
        <f t="shared" ca="1" si="141"/>
        <v>1</v>
      </c>
      <c r="N927" t="e">
        <f t="shared" ca="1" si="142"/>
        <v>#N/A</v>
      </c>
      <c r="O927" t="e">
        <f t="shared" ca="1" si="143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4"/>
        <v>0</v>
      </c>
      <c r="AE927" s="46">
        <f t="shared" ca="1" si="145"/>
        <v>0</v>
      </c>
      <c r="AG927" s="72" t="e">
        <f t="shared" ca="1" si="146"/>
        <v>#N/A</v>
      </c>
      <c r="AH927" s="72" t="e">
        <f t="shared" ca="1" si="147"/>
        <v>#N/A</v>
      </c>
      <c r="AI927" s="3" t="e">
        <f t="shared" ca="1" si="148"/>
        <v>#N/A</v>
      </c>
    </row>
    <row r="928" spans="7:35" ht="15.75" thickBot="1" x14ac:dyDescent="0.3">
      <c r="G928" s="3">
        <f t="shared" si="140"/>
        <v>101</v>
      </c>
      <c r="H928" s="106">
        <f t="shared" si="149"/>
        <v>45026</v>
      </c>
      <c r="I928" s="133">
        <f>HLOOKUP($H$4,'Met Data'!$A$2:$F$368,G928,FALSE)</f>
        <v>15.6066666666666</v>
      </c>
      <c r="J928" s="131">
        <f ca="1">HLOOKUP($H$4,'Met Data'!$H$2:$M$368,G928,FALSE)*L928</f>
        <v>2.9099999999999899</v>
      </c>
      <c r="K928" s="107">
        <f>HLOOKUP($H$4,'Met Data'!$O$2:$T$368,G928,FALSE)</f>
        <v>2.6085032852196299</v>
      </c>
      <c r="L928">
        <f t="shared" ca="1" si="141"/>
        <v>1</v>
      </c>
      <c r="N928" t="e">
        <f t="shared" ca="1" si="142"/>
        <v>#N/A</v>
      </c>
      <c r="O928" t="e">
        <f t="shared" ca="1" si="143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4"/>
        <v>0</v>
      </c>
      <c r="AE928" s="46">
        <f t="shared" ca="1" si="145"/>
        <v>0</v>
      </c>
      <c r="AG928" s="72" t="e">
        <f t="shared" ca="1" si="146"/>
        <v>#N/A</v>
      </c>
      <c r="AH928" s="72" t="e">
        <f t="shared" ca="1" si="147"/>
        <v>#N/A</v>
      </c>
      <c r="AI928" s="3" t="e">
        <f t="shared" ca="1" si="148"/>
        <v>#N/A</v>
      </c>
    </row>
    <row r="929" spans="7:35" ht="15.75" thickBot="1" x14ac:dyDescent="0.3">
      <c r="G929" s="3">
        <f t="shared" si="140"/>
        <v>102</v>
      </c>
      <c r="H929" s="106">
        <f t="shared" si="149"/>
        <v>45027</v>
      </c>
      <c r="I929" s="133">
        <f>HLOOKUP($H$4,'Met Data'!$A$2:$F$368,G929,FALSE)</f>
        <v>15.335000000000001</v>
      </c>
      <c r="J929" s="131">
        <f ca="1">HLOOKUP($H$4,'Met Data'!$H$2:$M$368,G929,FALSE)*L929</f>
        <v>2.68333333333333</v>
      </c>
      <c r="K929" s="107">
        <f>HLOOKUP($H$4,'Met Data'!$O$2:$T$368,G929,FALSE)</f>
        <v>2.45140037536581</v>
      </c>
      <c r="L929">
        <f t="shared" ca="1" si="141"/>
        <v>1</v>
      </c>
      <c r="N929" t="e">
        <f t="shared" ca="1" si="142"/>
        <v>#N/A</v>
      </c>
      <c r="O929" t="e">
        <f t="shared" ca="1" si="143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4"/>
        <v>0</v>
      </c>
      <c r="AE929" s="46">
        <f t="shared" ca="1" si="145"/>
        <v>0</v>
      </c>
      <c r="AG929" s="72" t="e">
        <f t="shared" ca="1" si="146"/>
        <v>#N/A</v>
      </c>
      <c r="AH929" s="72" t="e">
        <f t="shared" ca="1" si="147"/>
        <v>#N/A</v>
      </c>
      <c r="AI929" s="3" t="e">
        <f t="shared" ca="1" si="148"/>
        <v>#N/A</v>
      </c>
    </row>
    <row r="930" spans="7:35" ht="15.75" thickBot="1" x14ac:dyDescent="0.3">
      <c r="G930" s="3">
        <f t="shared" si="140"/>
        <v>103</v>
      </c>
      <c r="H930" s="106">
        <f t="shared" si="149"/>
        <v>45028</v>
      </c>
      <c r="I930" s="133">
        <f>HLOOKUP($H$4,'Met Data'!$A$2:$F$368,G930,FALSE)</f>
        <v>15.3916666666666</v>
      </c>
      <c r="J930" s="131">
        <f ca="1">HLOOKUP($H$4,'Met Data'!$H$2:$M$368,G930,FALSE)*L930</f>
        <v>4.07</v>
      </c>
      <c r="K930" s="107">
        <f>HLOOKUP($H$4,'Met Data'!$O$2:$T$368,G930,FALSE)</f>
        <v>2.54129590695179</v>
      </c>
      <c r="L930">
        <f t="shared" ca="1" si="141"/>
        <v>1</v>
      </c>
      <c r="N930" t="e">
        <f t="shared" ca="1" si="142"/>
        <v>#N/A</v>
      </c>
      <c r="O930" t="e">
        <f t="shared" ca="1" si="143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4"/>
        <v>0</v>
      </c>
      <c r="AE930" s="46">
        <f t="shared" ca="1" si="145"/>
        <v>0</v>
      </c>
      <c r="AG930" s="72" t="e">
        <f t="shared" ca="1" si="146"/>
        <v>#N/A</v>
      </c>
      <c r="AH930" s="72" t="e">
        <f t="shared" ca="1" si="147"/>
        <v>#N/A</v>
      </c>
      <c r="AI930" s="3" t="e">
        <f t="shared" ca="1" si="148"/>
        <v>#N/A</v>
      </c>
    </row>
    <row r="931" spans="7:35" ht="15.75" thickBot="1" x14ac:dyDescent="0.3">
      <c r="G931" s="3">
        <f t="shared" si="140"/>
        <v>104</v>
      </c>
      <c r="H931" s="106">
        <f t="shared" si="149"/>
        <v>45029</v>
      </c>
      <c r="I931" s="133">
        <f>HLOOKUP($H$4,'Met Data'!$A$2:$F$368,G931,FALSE)</f>
        <v>15.6451612903225</v>
      </c>
      <c r="J931" s="131">
        <f ca="1">HLOOKUP($H$4,'Met Data'!$H$2:$M$368,G931,FALSE)*L931</f>
        <v>2.43333333333333</v>
      </c>
      <c r="K931" s="107">
        <f>HLOOKUP($H$4,'Met Data'!$O$2:$T$368,G931,FALSE)</f>
        <v>2.5074868670786801</v>
      </c>
      <c r="L931">
        <f t="shared" ca="1" si="141"/>
        <v>1</v>
      </c>
      <c r="N931" t="e">
        <f t="shared" ca="1" si="142"/>
        <v>#N/A</v>
      </c>
      <c r="O931" t="e">
        <f t="shared" ca="1" si="143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4"/>
        <v>0</v>
      </c>
      <c r="AE931" s="46">
        <f t="shared" ca="1" si="145"/>
        <v>0</v>
      </c>
      <c r="AG931" s="72" t="e">
        <f t="shared" ca="1" si="146"/>
        <v>#N/A</v>
      </c>
      <c r="AH931" s="72" t="e">
        <f t="shared" ca="1" si="147"/>
        <v>#N/A</v>
      </c>
      <c r="AI931" s="3" t="e">
        <f t="shared" ca="1" si="148"/>
        <v>#N/A</v>
      </c>
    </row>
    <row r="932" spans="7:35" ht="15.75" thickBot="1" x14ac:dyDescent="0.3">
      <c r="G932" s="3">
        <f t="shared" si="140"/>
        <v>105</v>
      </c>
      <c r="H932" s="106">
        <f t="shared" si="149"/>
        <v>45030</v>
      </c>
      <c r="I932" s="133">
        <f>HLOOKUP($H$4,'Met Data'!$A$2:$F$368,G932,FALSE)</f>
        <v>15.3435483870967</v>
      </c>
      <c r="J932" s="131">
        <f ca="1">HLOOKUP($H$4,'Met Data'!$H$2:$M$368,G932,FALSE)*L932</f>
        <v>3.5533333333333301</v>
      </c>
      <c r="K932" s="107">
        <f>HLOOKUP($H$4,'Met Data'!$O$2:$T$368,G932,FALSE)</f>
        <v>2.53164431510397</v>
      </c>
      <c r="L932">
        <f t="shared" ca="1" si="141"/>
        <v>1</v>
      </c>
      <c r="N932" t="e">
        <f t="shared" ca="1" si="142"/>
        <v>#N/A</v>
      </c>
      <c r="O932" t="e">
        <f t="shared" ca="1" si="143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4"/>
        <v>0</v>
      </c>
      <c r="AE932" s="46">
        <f t="shared" ca="1" si="145"/>
        <v>0</v>
      </c>
      <c r="AG932" s="72" t="e">
        <f t="shared" ca="1" si="146"/>
        <v>#N/A</v>
      </c>
      <c r="AH932" s="72" t="e">
        <f t="shared" ca="1" si="147"/>
        <v>#N/A</v>
      </c>
      <c r="AI932" s="3" t="e">
        <f t="shared" ca="1" si="148"/>
        <v>#N/A</v>
      </c>
    </row>
    <row r="933" spans="7:35" ht="15.75" thickBot="1" x14ac:dyDescent="0.3">
      <c r="G933" s="3">
        <f t="shared" si="140"/>
        <v>106</v>
      </c>
      <c r="H933" s="106">
        <f t="shared" si="149"/>
        <v>45031</v>
      </c>
      <c r="I933" s="133">
        <f>HLOOKUP($H$4,'Met Data'!$A$2:$F$368,G933,FALSE)</f>
        <v>15.1612903225806</v>
      </c>
      <c r="J933" s="131">
        <f ca="1">HLOOKUP($H$4,'Met Data'!$H$2:$M$368,G933,FALSE)*L933</f>
        <v>2.7451612903225802</v>
      </c>
      <c r="K933" s="107">
        <f>HLOOKUP($H$4,'Met Data'!$O$2:$T$368,G933,FALSE)</f>
        <v>2.2462315590791202</v>
      </c>
      <c r="L933">
        <f t="shared" ca="1" si="141"/>
        <v>1</v>
      </c>
      <c r="N933" t="e">
        <f t="shared" ca="1" si="142"/>
        <v>#N/A</v>
      </c>
      <c r="O933" t="e">
        <f t="shared" ca="1" si="143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4"/>
        <v>0</v>
      </c>
      <c r="AE933" s="46">
        <f t="shared" ca="1" si="145"/>
        <v>0</v>
      </c>
      <c r="AG933" s="72" t="e">
        <f t="shared" ca="1" si="146"/>
        <v>#N/A</v>
      </c>
      <c r="AH933" s="72" t="e">
        <f t="shared" ca="1" si="147"/>
        <v>#N/A</v>
      </c>
      <c r="AI933" s="3" t="e">
        <f t="shared" ca="1" si="148"/>
        <v>#N/A</v>
      </c>
    </row>
    <row r="934" spans="7:35" ht="15.75" thickBot="1" x14ac:dyDescent="0.3">
      <c r="G934" s="3">
        <f t="shared" si="140"/>
        <v>107</v>
      </c>
      <c r="H934" s="106">
        <f t="shared" si="149"/>
        <v>45032</v>
      </c>
      <c r="I934" s="133">
        <f>HLOOKUP($H$4,'Met Data'!$A$2:$F$368,G934,FALSE)</f>
        <v>15.658064516129</v>
      </c>
      <c r="J934" s="131">
        <f ca="1">HLOOKUP($H$4,'Met Data'!$H$2:$M$368,G934,FALSE)*L934</f>
        <v>3.7677419354838699</v>
      </c>
      <c r="K934" s="107">
        <f>HLOOKUP($H$4,'Met Data'!$O$2:$T$368,G934,FALSE)</f>
        <v>2.3441419540899799</v>
      </c>
      <c r="L934">
        <f t="shared" ca="1" si="141"/>
        <v>1</v>
      </c>
      <c r="N934" t="e">
        <f t="shared" ca="1" si="142"/>
        <v>#N/A</v>
      </c>
      <c r="O934" t="e">
        <f t="shared" ca="1" si="143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4"/>
        <v>0</v>
      </c>
      <c r="AE934" s="46">
        <f t="shared" ca="1" si="145"/>
        <v>0</v>
      </c>
      <c r="AG934" s="72" t="e">
        <f t="shared" ca="1" si="146"/>
        <v>#N/A</v>
      </c>
      <c r="AH934" s="72" t="e">
        <f t="shared" ca="1" si="147"/>
        <v>#N/A</v>
      </c>
      <c r="AI934" s="3" t="e">
        <f t="shared" ca="1" si="148"/>
        <v>#N/A</v>
      </c>
    </row>
    <row r="935" spans="7:35" ht="15.75" thickBot="1" x14ac:dyDescent="0.3">
      <c r="G935" s="3">
        <f t="shared" si="140"/>
        <v>108</v>
      </c>
      <c r="H935" s="106">
        <f t="shared" si="149"/>
        <v>45033</v>
      </c>
      <c r="I935" s="133">
        <f>HLOOKUP($H$4,'Met Data'!$A$2:$F$368,G935,FALSE)</f>
        <v>15.408064516129</v>
      </c>
      <c r="J935" s="131">
        <f ca="1">HLOOKUP($H$4,'Met Data'!$H$2:$M$368,G935,FALSE)*L935</f>
        <v>2.6870967741935399</v>
      </c>
      <c r="K935" s="107">
        <f>HLOOKUP($H$4,'Met Data'!$O$2:$T$368,G935,FALSE)</f>
        <v>2.0871356285448601</v>
      </c>
      <c r="L935">
        <f t="shared" ca="1" si="141"/>
        <v>1</v>
      </c>
      <c r="N935" t="e">
        <f t="shared" ca="1" si="142"/>
        <v>#N/A</v>
      </c>
      <c r="O935" t="e">
        <f t="shared" ca="1" si="143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4"/>
        <v>0</v>
      </c>
      <c r="AE935" s="46">
        <f t="shared" ca="1" si="145"/>
        <v>0</v>
      </c>
      <c r="AG935" s="72" t="e">
        <f t="shared" ca="1" si="146"/>
        <v>#N/A</v>
      </c>
      <c r="AH935" s="72" t="e">
        <f t="shared" ca="1" si="147"/>
        <v>#N/A</v>
      </c>
      <c r="AI935" s="3" t="e">
        <f t="shared" ca="1" si="148"/>
        <v>#N/A</v>
      </c>
    </row>
    <row r="936" spans="7:35" ht="15.75" thickBot="1" x14ac:dyDescent="0.3">
      <c r="G936" s="3">
        <f t="shared" si="140"/>
        <v>109</v>
      </c>
      <c r="H936" s="106">
        <f t="shared" si="149"/>
        <v>45034</v>
      </c>
      <c r="I936" s="133">
        <f>HLOOKUP($H$4,'Met Data'!$A$2:$F$368,G936,FALSE)</f>
        <v>15.420967741935399</v>
      </c>
      <c r="J936" s="131">
        <f ca="1">HLOOKUP($H$4,'Met Data'!$H$2:$M$368,G936,FALSE)*L936</f>
        <v>2.8516129032258002</v>
      </c>
      <c r="K936" s="107">
        <f>HLOOKUP($H$4,'Met Data'!$O$2:$T$368,G936,FALSE)</f>
        <v>2.1715863377271001</v>
      </c>
      <c r="L936">
        <f t="shared" ca="1" si="141"/>
        <v>1</v>
      </c>
      <c r="N936" t="e">
        <f t="shared" ca="1" si="142"/>
        <v>#N/A</v>
      </c>
      <c r="O936" t="e">
        <f t="shared" ca="1" si="143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4"/>
        <v>0</v>
      </c>
      <c r="AE936" s="46">
        <f t="shared" ca="1" si="145"/>
        <v>0</v>
      </c>
      <c r="AG936" s="72" t="e">
        <f t="shared" ca="1" si="146"/>
        <v>#N/A</v>
      </c>
      <c r="AH936" s="72" t="e">
        <f t="shared" ca="1" si="147"/>
        <v>#N/A</v>
      </c>
      <c r="AI936" s="3" t="e">
        <f t="shared" ca="1" si="148"/>
        <v>#N/A</v>
      </c>
    </row>
    <row r="937" spans="7:35" ht="15.75" thickBot="1" x14ac:dyDescent="0.3">
      <c r="G937" s="3">
        <f t="shared" si="140"/>
        <v>110</v>
      </c>
      <c r="H937" s="106">
        <f t="shared" si="149"/>
        <v>45035</v>
      </c>
      <c r="I937" s="133">
        <f>HLOOKUP($H$4,'Met Data'!$A$2:$F$368,G937,FALSE)</f>
        <v>15.193548387096699</v>
      </c>
      <c r="J937" s="131">
        <f ca="1">HLOOKUP($H$4,'Met Data'!$H$2:$M$368,G937,FALSE)*L937</f>
        <v>2.4258064516129001</v>
      </c>
      <c r="K937" s="107">
        <f>HLOOKUP($H$4,'Met Data'!$O$2:$T$368,G937,FALSE)</f>
        <v>2.2979139363353802</v>
      </c>
      <c r="L937">
        <f t="shared" ca="1" si="141"/>
        <v>1</v>
      </c>
      <c r="N937" t="e">
        <f t="shared" ca="1" si="142"/>
        <v>#N/A</v>
      </c>
      <c r="O937" t="e">
        <f t="shared" ca="1" si="143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4"/>
        <v>0</v>
      </c>
      <c r="AE937" s="46">
        <f t="shared" ca="1" si="145"/>
        <v>0</v>
      </c>
      <c r="AG937" s="72" t="e">
        <f t="shared" ca="1" si="146"/>
        <v>#N/A</v>
      </c>
      <c r="AH937" s="72" t="e">
        <f t="shared" ca="1" si="147"/>
        <v>#N/A</v>
      </c>
      <c r="AI937" s="3" t="e">
        <f t="shared" ca="1" si="148"/>
        <v>#N/A</v>
      </c>
    </row>
    <row r="938" spans="7:35" ht="15.75" thickBot="1" x14ac:dyDescent="0.3">
      <c r="G938" s="3">
        <f t="shared" si="140"/>
        <v>111</v>
      </c>
      <c r="H938" s="106">
        <f t="shared" si="149"/>
        <v>45036</v>
      </c>
      <c r="I938" s="133">
        <f>HLOOKUP($H$4,'Met Data'!$A$2:$F$368,G938,FALSE)</f>
        <v>15.4096774193548</v>
      </c>
      <c r="J938" s="131">
        <f ca="1">HLOOKUP($H$4,'Met Data'!$H$2:$M$368,G938,FALSE)*L938</f>
        <v>1.7322580645161201</v>
      </c>
      <c r="K938" s="107">
        <f>HLOOKUP($H$4,'Met Data'!$O$2:$T$368,G938,FALSE)</f>
        <v>2.3194627801487999</v>
      </c>
      <c r="L938">
        <f t="shared" ca="1" si="141"/>
        <v>1</v>
      </c>
      <c r="N938" t="e">
        <f t="shared" ca="1" si="142"/>
        <v>#N/A</v>
      </c>
      <c r="O938" t="e">
        <f t="shared" ca="1" si="143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4"/>
        <v>0</v>
      </c>
      <c r="AE938" s="46">
        <f t="shared" ca="1" si="145"/>
        <v>0</v>
      </c>
      <c r="AG938" s="72" t="e">
        <f t="shared" ca="1" si="146"/>
        <v>#N/A</v>
      </c>
      <c r="AH938" s="72" t="e">
        <f t="shared" ca="1" si="147"/>
        <v>#N/A</v>
      </c>
      <c r="AI938" s="3" t="e">
        <f t="shared" ca="1" si="148"/>
        <v>#N/A</v>
      </c>
    </row>
    <row r="939" spans="7:35" ht="15.75" thickBot="1" x14ac:dyDescent="0.3">
      <c r="G939" s="3">
        <f t="shared" si="140"/>
        <v>112</v>
      </c>
      <c r="H939" s="106">
        <f t="shared" si="149"/>
        <v>45037</v>
      </c>
      <c r="I939" s="133">
        <f>HLOOKUP($H$4,'Met Data'!$A$2:$F$368,G939,FALSE)</f>
        <v>15.261666666666599</v>
      </c>
      <c r="J939" s="131">
        <f ca="1">HLOOKUP($H$4,'Met Data'!$H$2:$M$368,G939,FALSE)*L939</f>
        <v>4.0161290322580596</v>
      </c>
      <c r="K939" s="107">
        <f>HLOOKUP($H$4,'Met Data'!$O$2:$T$368,G939,FALSE)</f>
        <v>2.3321304827068001</v>
      </c>
      <c r="L939">
        <f t="shared" ca="1" si="141"/>
        <v>1</v>
      </c>
      <c r="N939" t="e">
        <f t="shared" ca="1" si="142"/>
        <v>#N/A</v>
      </c>
      <c r="O939" t="e">
        <f t="shared" ca="1" si="143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4"/>
        <v>0</v>
      </c>
      <c r="AE939" s="46">
        <f t="shared" ca="1" si="145"/>
        <v>0</v>
      </c>
      <c r="AG939" s="72" t="e">
        <f t="shared" ca="1" si="146"/>
        <v>#N/A</v>
      </c>
      <c r="AH939" s="72" t="e">
        <f t="shared" ca="1" si="147"/>
        <v>#N/A</v>
      </c>
      <c r="AI939" s="3" t="e">
        <f t="shared" ca="1" si="148"/>
        <v>#N/A</v>
      </c>
    </row>
    <row r="940" spans="7:35" ht="15.75" thickBot="1" x14ac:dyDescent="0.3">
      <c r="G940" s="3">
        <f t="shared" si="140"/>
        <v>113</v>
      </c>
      <c r="H940" s="106">
        <f t="shared" si="149"/>
        <v>45038</v>
      </c>
      <c r="I940" s="133">
        <f>HLOOKUP($H$4,'Met Data'!$A$2:$F$368,G940,FALSE)</f>
        <v>14.5283333333333</v>
      </c>
      <c r="J940" s="131">
        <f ca="1">HLOOKUP($H$4,'Met Data'!$H$2:$M$368,G940,FALSE)*L940</f>
        <v>3.5258064516129002</v>
      </c>
      <c r="K940" s="107">
        <f>HLOOKUP($H$4,'Met Data'!$O$2:$T$368,G940,FALSE)</f>
        <v>2.2184505421646001</v>
      </c>
      <c r="L940">
        <f t="shared" ca="1" si="141"/>
        <v>1</v>
      </c>
      <c r="N940" t="e">
        <f t="shared" ca="1" si="142"/>
        <v>#N/A</v>
      </c>
      <c r="O940" t="e">
        <f t="shared" ca="1" si="143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4"/>
        <v>0</v>
      </c>
      <c r="AE940" s="46">
        <f t="shared" ca="1" si="145"/>
        <v>0</v>
      </c>
      <c r="AG940" s="72" t="e">
        <f t="shared" ca="1" si="146"/>
        <v>#N/A</v>
      </c>
      <c r="AH940" s="72" t="e">
        <f t="shared" ca="1" si="147"/>
        <v>#N/A</v>
      </c>
      <c r="AI940" s="3" t="e">
        <f t="shared" ca="1" si="148"/>
        <v>#N/A</v>
      </c>
    </row>
    <row r="941" spans="7:35" ht="15.75" thickBot="1" x14ac:dyDescent="0.3">
      <c r="G941" s="3">
        <f t="shared" si="140"/>
        <v>114</v>
      </c>
      <c r="H941" s="106">
        <f t="shared" si="149"/>
        <v>45039</v>
      </c>
      <c r="I941" s="133">
        <f>HLOOKUP($H$4,'Met Data'!$A$2:$F$368,G941,FALSE)</f>
        <v>14.68</v>
      </c>
      <c r="J941" s="131">
        <f ca="1">HLOOKUP($H$4,'Met Data'!$H$2:$M$368,G941,FALSE)*L941</f>
        <v>2.28709677419354</v>
      </c>
      <c r="K941" s="107">
        <f>HLOOKUP($H$4,'Met Data'!$O$2:$T$368,G941,FALSE)</f>
        <v>2.2540363688604601</v>
      </c>
      <c r="L941">
        <f t="shared" ca="1" si="141"/>
        <v>1</v>
      </c>
      <c r="N941" t="e">
        <f t="shared" ca="1" si="142"/>
        <v>#N/A</v>
      </c>
      <c r="O941" t="e">
        <f t="shared" ca="1" si="143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4"/>
        <v>0</v>
      </c>
      <c r="AE941" s="46">
        <f t="shared" ca="1" si="145"/>
        <v>0</v>
      </c>
      <c r="AG941" s="72" t="e">
        <f t="shared" ca="1" si="146"/>
        <v>#N/A</v>
      </c>
      <c r="AH941" s="72" t="e">
        <f t="shared" ca="1" si="147"/>
        <v>#N/A</v>
      </c>
      <c r="AI941" s="3" t="e">
        <f t="shared" ca="1" si="148"/>
        <v>#N/A</v>
      </c>
    </row>
    <row r="942" spans="7:35" ht="15.75" thickBot="1" x14ac:dyDescent="0.3">
      <c r="G942" s="3">
        <f t="shared" si="140"/>
        <v>115</v>
      </c>
      <c r="H942" s="106">
        <f t="shared" si="149"/>
        <v>45040</v>
      </c>
      <c r="I942" s="133">
        <f>HLOOKUP($H$4,'Met Data'!$A$2:$F$368,G942,FALSE)</f>
        <v>14.4933333333333</v>
      </c>
      <c r="J942" s="131">
        <f ca="1">HLOOKUP($H$4,'Met Data'!$H$2:$M$368,G942,FALSE)*L942</f>
        <v>4.3387096774193497</v>
      </c>
      <c r="K942" s="107">
        <f>HLOOKUP($H$4,'Met Data'!$O$2:$T$368,G942,FALSE)</f>
        <v>2.2396347152399998</v>
      </c>
      <c r="L942">
        <f t="shared" ca="1" si="141"/>
        <v>1</v>
      </c>
      <c r="N942" t="e">
        <f t="shared" ca="1" si="142"/>
        <v>#N/A</v>
      </c>
      <c r="O942" t="e">
        <f t="shared" ca="1" si="143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4"/>
        <v>0</v>
      </c>
      <c r="AE942" s="46">
        <f t="shared" ca="1" si="145"/>
        <v>0</v>
      </c>
      <c r="AG942" s="72" t="e">
        <f t="shared" ca="1" si="146"/>
        <v>#N/A</v>
      </c>
      <c r="AH942" s="72" t="e">
        <f t="shared" ca="1" si="147"/>
        <v>#N/A</v>
      </c>
      <c r="AI942" s="3" t="e">
        <f t="shared" ca="1" si="148"/>
        <v>#N/A</v>
      </c>
    </row>
    <row r="943" spans="7:35" ht="15.75" thickBot="1" x14ac:dyDescent="0.3">
      <c r="G943" s="3">
        <f t="shared" si="140"/>
        <v>116</v>
      </c>
      <c r="H943" s="106">
        <f t="shared" si="149"/>
        <v>45041</v>
      </c>
      <c r="I943" s="133">
        <f>HLOOKUP($H$4,'Met Data'!$A$2:$F$368,G943,FALSE)</f>
        <v>14.7733333333333</v>
      </c>
      <c r="J943" s="131">
        <f ca="1">HLOOKUP($H$4,'Met Data'!$H$2:$M$368,G943,FALSE)*L943</f>
        <v>6.4580645161290304</v>
      </c>
      <c r="K943" s="107">
        <f>HLOOKUP($H$4,'Met Data'!$O$2:$T$368,G943,FALSE)</f>
        <v>2.0110185254269899</v>
      </c>
      <c r="L943">
        <f t="shared" ca="1" si="141"/>
        <v>1</v>
      </c>
      <c r="N943" t="e">
        <f t="shared" ca="1" si="142"/>
        <v>#N/A</v>
      </c>
      <c r="O943" t="e">
        <f t="shared" ca="1" si="143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4"/>
        <v>0</v>
      </c>
      <c r="AE943" s="46">
        <f t="shared" ca="1" si="145"/>
        <v>0</v>
      </c>
      <c r="AG943" s="72" t="e">
        <f t="shared" ca="1" si="146"/>
        <v>#N/A</v>
      </c>
      <c r="AH943" s="72" t="e">
        <f t="shared" ca="1" si="147"/>
        <v>#N/A</v>
      </c>
      <c r="AI943" s="3" t="e">
        <f t="shared" ca="1" si="148"/>
        <v>#N/A</v>
      </c>
    </row>
    <row r="944" spans="7:35" ht="15.75" thickBot="1" x14ac:dyDescent="0.3">
      <c r="G944" s="3">
        <f t="shared" ref="G944:G999" si="150">H944-DATE(YEAR(H944),1,0)+1</f>
        <v>117</v>
      </c>
      <c r="H944" s="106">
        <f t="shared" si="149"/>
        <v>45042</v>
      </c>
      <c r="I944" s="133">
        <f>HLOOKUP($H$4,'Met Data'!$A$2:$F$368,G944,FALSE)</f>
        <v>14.998333333333299</v>
      </c>
      <c r="J944" s="131">
        <f ca="1">HLOOKUP($H$4,'Met Data'!$H$2:$M$368,G944,FALSE)*L944</f>
        <v>3.1903225806451601</v>
      </c>
      <c r="K944" s="107">
        <f>HLOOKUP($H$4,'Met Data'!$O$2:$T$368,G944,FALSE)</f>
        <v>2.1294944258891699</v>
      </c>
      <c r="L944">
        <f t="shared" ref="L944:L999" ca="1" si="151">IF(H944&lt;$B$31,$J$3,$J$4)</f>
        <v>1</v>
      </c>
      <c r="N944" t="e">
        <f t="shared" ref="N944:N999" ca="1" si="152">IF(P944&lt;$P$3,TRUE,FALSE)</f>
        <v>#N/A</v>
      </c>
      <c r="O944" t="e">
        <f t="shared" ref="O944:O999" ca="1" si="153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4">IFERROR(P944,$AD$4)</f>
        <v>0</v>
      </c>
      <c r="AE944" s="46">
        <f t="shared" ref="AE944:AE999" ca="1" si="155">IFERROR(U944,0)</f>
        <v>0</v>
      </c>
      <c r="AG944" s="72" t="e">
        <f t="shared" ref="AG944:AG999" ca="1" si="156">Q943+S944+T944+U944</f>
        <v>#N/A</v>
      </c>
      <c r="AH944" s="72" t="e">
        <f t="shared" ref="AH944:AH999" ca="1" si="157">Q944+R944+X944</f>
        <v>#N/A</v>
      </c>
      <c r="AI944" s="3" t="e">
        <f t="shared" ref="AI944:AI999" ca="1" si="158">AH944-AG944</f>
        <v>#N/A</v>
      </c>
    </row>
    <row r="945" spans="7:35" ht="15.75" thickBot="1" x14ac:dyDescent="0.3">
      <c r="G945" s="3">
        <f t="shared" si="150"/>
        <v>118</v>
      </c>
      <c r="H945" s="106">
        <f t="shared" si="149"/>
        <v>45043</v>
      </c>
      <c r="I945" s="133">
        <f>HLOOKUP($H$4,'Met Data'!$A$2:$F$368,G945,FALSE)</f>
        <v>15.395</v>
      </c>
      <c r="J945" s="131">
        <f ca="1">HLOOKUP($H$4,'Met Data'!$H$2:$M$368,G945,FALSE)*L945</f>
        <v>2.8516129032258002</v>
      </c>
      <c r="K945" s="107">
        <f>HLOOKUP($H$4,'Met Data'!$O$2:$T$368,G945,FALSE)</f>
        <v>2.1336270025185899</v>
      </c>
      <c r="L945">
        <f t="shared" ca="1" si="151"/>
        <v>1</v>
      </c>
      <c r="N945" t="e">
        <f t="shared" ca="1" si="152"/>
        <v>#N/A</v>
      </c>
      <c r="O945" t="e">
        <f t="shared" ca="1" si="153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4"/>
        <v>0</v>
      </c>
      <c r="AE945" s="46">
        <f t="shared" ca="1" si="155"/>
        <v>0</v>
      </c>
      <c r="AG945" s="72" t="e">
        <f t="shared" ca="1" si="156"/>
        <v>#N/A</v>
      </c>
      <c r="AH945" s="72" t="e">
        <f t="shared" ca="1" si="157"/>
        <v>#N/A</v>
      </c>
      <c r="AI945" s="3" t="e">
        <f t="shared" ca="1" si="158"/>
        <v>#N/A</v>
      </c>
    </row>
    <row r="946" spans="7:35" ht="15.75" thickBot="1" x14ac:dyDescent="0.3">
      <c r="G946" s="3">
        <f t="shared" si="150"/>
        <v>119</v>
      </c>
      <c r="H946" s="106">
        <f t="shared" si="149"/>
        <v>45044</v>
      </c>
      <c r="I946" s="133">
        <f>HLOOKUP($H$4,'Met Data'!$A$2:$F$368,G946,FALSE)</f>
        <v>15.641379310344799</v>
      </c>
      <c r="J946" s="131">
        <f ca="1">HLOOKUP($H$4,'Met Data'!$H$2:$M$368,G946,FALSE)*L946</f>
        <v>3.74193548387096</v>
      </c>
      <c r="K946" s="107">
        <f>HLOOKUP($H$4,'Met Data'!$O$2:$T$368,G946,FALSE)</f>
        <v>2.0365768668725401</v>
      </c>
      <c r="L946">
        <f t="shared" ca="1" si="151"/>
        <v>1</v>
      </c>
      <c r="N946" t="e">
        <f t="shared" ca="1" si="152"/>
        <v>#N/A</v>
      </c>
      <c r="O946" t="e">
        <f t="shared" ca="1" si="153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4"/>
        <v>0</v>
      </c>
      <c r="AE946" s="46">
        <f t="shared" ca="1" si="155"/>
        <v>0</v>
      </c>
      <c r="AG946" s="72" t="e">
        <f t="shared" ca="1" si="156"/>
        <v>#N/A</v>
      </c>
      <c r="AH946" s="72" t="e">
        <f t="shared" ca="1" si="157"/>
        <v>#N/A</v>
      </c>
      <c r="AI946" s="3" t="e">
        <f t="shared" ca="1" si="158"/>
        <v>#N/A</v>
      </c>
    </row>
    <row r="947" spans="7:35" ht="15.75" thickBot="1" x14ac:dyDescent="0.3">
      <c r="G947" s="3">
        <f t="shared" si="150"/>
        <v>120</v>
      </c>
      <c r="H947" s="106">
        <f t="shared" si="149"/>
        <v>45045</v>
      </c>
      <c r="I947" s="133">
        <f>HLOOKUP($H$4,'Met Data'!$A$2:$F$368,G947,FALSE)</f>
        <v>14.7327586206896</v>
      </c>
      <c r="J947" s="131">
        <f ca="1">HLOOKUP($H$4,'Met Data'!$H$2:$M$368,G947,FALSE)*L947</f>
        <v>3.3129032258064499</v>
      </c>
      <c r="K947" s="107">
        <f>HLOOKUP($H$4,'Met Data'!$O$2:$T$368,G947,FALSE)</f>
        <v>2.1199579861729001</v>
      </c>
      <c r="L947">
        <f t="shared" ca="1" si="151"/>
        <v>1</v>
      </c>
      <c r="N947" t="e">
        <f t="shared" ca="1" si="152"/>
        <v>#N/A</v>
      </c>
      <c r="O947" t="e">
        <f t="shared" ca="1" si="153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4"/>
        <v>0</v>
      </c>
      <c r="AE947" s="46">
        <f t="shared" ca="1" si="155"/>
        <v>0</v>
      </c>
      <c r="AG947" s="72" t="e">
        <f t="shared" ca="1" si="156"/>
        <v>#N/A</v>
      </c>
      <c r="AH947" s="72" t="e">
        <f t="shared" ca="1" si="157"/>
        <v>#N/A</v>
      </c>
      <c r="AI947" s="3" t="e">
        <f t="shared" ca="1" si="158"/>
        <v>#N/A</v>
      </c>
    </row>
    <row r="948" spans="7:35" ht="15.75" thickBot="1" x14ac:dyDescent="0.3">
      <c r="G948" s="3">
        <f t="shared" si="150"/>
        <v>121</v>
      </c>
      <c r="H948" s="106">
        <f t="shared" si="149"/>
        <v>45046</v>
      </c>
      <c r="I948" s="133">
        <f>HLOOKUP($H$4,'Met Data'!$A$2:$F$368,G948,FALSE)</f>
        <v>14.332758620689599</v>
      </c>
      <c r="J948" s="131">
        <f ca="1">HLOOKUP($H$4,'Met Data'!$H$2:$M$368,G948,FALSE)*L948</f>
        <v>4.4322580645161196</v>
      </c>
      <c r="K948" s="107">
        <f>HLOOKUP($H$4,'Met Data'!$O$2:$T$368,G948,FALSE)</f>
        <v>1.7270113091402699</v>
      </c>
      <c r="L948">
        <f t="shared" ca="1" si="151"/>
        <v>1</v>
      </c>
      <c r="N948" t="e">
        <f t="shared" ca="1" si="152"/>
        <v>#N/A</v>
      </c>
      <c r="O948" t="e">
        <f t="shared" ca="1" si="153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4"/>
        <v>0</v>
      </c>
      <c r="AE948" s="46">
        <f t="shared" ca="1" si="155"/>
        <v>0</v>
      </c>
      <c r="AG948" s="72" t="e">
        <f t="shared" ca="1" si="156"/>
        <v>#N/A</v>
      </c>
      <c r="AH948" s="72" t="e">
        <f t="shared" ca="1" si="157"/>
        <v>#N/A</v>
      </c>
      <c r="AI948" s="3" t="e">
        <f t="shared" ca="1" si="158"/>
        <v>#N/A</v>
      </c>
    </row>
    <row r="949" spans="7:35" ht="15.75" thickBot="1" x14ac:dyDescent="0.3">
      <c r="G949" s="3">
        <f t="shared" si="150"/>
        <v>122</v>
      </c>
      <c r="H949" s="106">
        <f t="shared" si="149"/>
        <v>45047</v>
      </c>
      <c r="I949" s="133">
        <f>HLOOKUP($H$4,'Met Data'!$A$2:$F$368,G949,FALSE)</f>
        <v>14.3982758620689</v>
      </c>
      <c r="J949" s="131">
        <f ca="1">HLOOKUP($H$4,'Met Data'!$H$2:$M$368,G949,FALSE)*L949</f>
        <v>3.1838709677419299</v>
      </c>
      <c r="K949" s="107">
        <f>HLOOKUP($H$4,'Met Data'!$O$2:$T$368,G949,FALSE)</f>
        <v>1.93510583623638</v>
      </c>
      <c r="L949">
        <f t="shared" ca="1" si="151"/>
        <v>1</v>
      </c>
      <c r="N949" t="e">
        <f t="shared" ca="1" si="152"/>
        <v>#N/A</v>
      </c>
      <c r="O949" t="e">
        <f t="shared" ca="1" si="153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4"/>
        <v>0</v>
      </c>
      <c r="AE949" s="46">
        <f t="shared" ca="1" si="155"/>
        <v>0</v>
      </c>
      <c r="AG949" s="72" t="e">
        <f t="shared" ca="1" si="156"/>
        <v>#N/A</v>
      </c>
      <c r="AH949" s="72" t="e">
        <f t="shared" ca="1" si="157"/>
        <v>#N/A</v>
      </c>
      <c r="AI949" s="3" t="e">
        <f t="shared" ca="1" si="158"/>
        <v>#N/A</v>
      </c>
    </row>
    <row r="950" spans="7:35" ht="15.75" thickBot="1" x14ac:dyDescent="0.3">
      <c r="G950" s="3">
        <f t="shared" si="150"/>
        <v>123</v>
      </c>
      <c r="H950" s="106">
        <f t="shared" si="149"/>
        <v>45048</v>
      </c>
      <c r="I950" s="133">
        <f>HLOOKUP($H$4,'Met Data'!$A$2:$F$368,G950,FALSE)</f>
        <v>14.296666666666599</v>
      </c>
      <c r="J950" s="131">
        <f ca="1">HLOOKUP($H$4,'Met Data'!$H$2:$M$368,G950,FALSE)*L950</f>
        <v>6.4709677419354801</v>
      </c>
      <c r="K950" s="107">
        <f>HLOOKUP($H$4,'Met Data'!$O$2:$T$368,G950,FALSE)</f>
        <v>1.84994231207221</v>
      </c>
      <c r="L950">
        <f t="shared" ca="1" si="151"/>
        <v>1</v>
      </c>
      <c r="N950" t="e">
        <f t="shared" ca="1" si="152"/>
        <v>#N/A</v>
      </c>
      <c r="O950" t="e">
        <f t="shared" ca="1" si="153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4"/>
        <v>0</v>
      </c>
      <c r="AE950" s="46">
        <f t="shared" ca="1" si="155"/>
        <v>0</v>
      </c>
      <c r="AG950" s="72" t="e">
        <f t="shared" ca="1" si="156"/>
        <v>#N/A</v>
      </c>
      <c r="AH950" s="72" t="e">
        <f t="shared" ca="1" si="157"/>
        <v>#N/A</v>
      </c>
      <c r="AI950" s="3" t="e">
        <f t="shared" ca="1" si="158"/>
        <v>#N/A</v>
      </c>
    </row>
    <row r="951" spans="7:35" ht="15.75" thickBot="1" x14ac:dyDescent="0.3">
      <c r="G951" s="3">
        <f t="shared" si="150"/>
        <v>124</v>
      </c>
      <c r="H951" s="106">
        <f t="shared" si="149"/>
        <v>45049</v>
      </c>
      <c r="I951" s="133">
        <f>HLOOKUP($H$4,'Met Data'!$A$2:$F$368,G951,FALSE)</f>
        <v>14.1866666666666</v>
      </c>
      <c r="J951" s="131">
        <f ca="1">HLOOKUP($H$4,'Met Data'!$H$2:$M$368,G951,FALSE)*L951</f>
        <v>2.59032258064516</v>
      </c>
      <c r="K951" s="107">
        <f>HLOOKUP($H$4,'Met Data'!$O$2:$T$368,G951,FALSE)</f>
        <v>1.8652259443704999</v>
      </c>
      <c r="L951">
        <f t="shared" ca="1" si="151"/>
        <v>1</v>
      </c>
      <c r="N951" t="e">
        <f t="shared" ca="1" si="152"/>
        <v>#N/A</v>
      </c>
      <c r="O951" t="e">
        <f t="shared" ca="1" si="153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4"/>
        <v>0</v>
      </c>
      <c r="AE951" s="46">
        <f t="shared" ca="1" si="155"/>
        <v>0</v>
      </c>
      <c r="AG951" s="72" t="e">
        <f t="shared" ca="1" si="156"/>
        <v>#N/A</v>
      </c>
      <c r="AH951" s="72" t="e">
        <f t="shared" ca="1" si="157"/>
        <v>#N/A</v>
      </c>
      <c r="AI951" s="3" t="e">
        <f t="shared" ca="1" si="158"/>
        <v>#N/A</v>
      </c>
    </row>
    <row r="952" spans="7:35" ht="15.75" thickBot="1" x14ac:dyDescent="0.3">
      <c r="G952" s="3">
        <f t="shared" si="150"/>
        <v>125</v>
      </c>
      <c r="H952" s="106">
        <f t="shared" si="149"/>
        <v>45050</v>
      </c>
      <c r="I952" s="133">
        <f>HLOOKUP($H$4,'Met Data'!$A$2:$F$368,G952,FALSE)</f>
        <v>13.9112903225806</v>
      </c>
      <c r="J952" s="131">
        <f ca="1">HLOOKUP($H$4,'Met Data'!$H$2:$M$368,G952,FALSE)*L952</f>
        <v>2.2741935483870899</v>
      </c>
      <c r="K952" s="107">
        <f>HLOOKUP($H$4,'Met Data'!$O$2:$T$368,G952,FALSE)</f>
        <v>1.88347487361168</v>
      </c>
      <c r="L952">
        <f t="shared" ca="1" si="151"/>
        <v>1</v>
      </c>
      <c r="N952" t="e">
        <f t="shared" ca="1" si="152"/>
        <v>#N/A</v>
      </c>
      <c r="O952" t="e">
        <f t="shared" ca="1" si="153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4"/>
        <v>0</v>
      </c>
      <c r="AE952" s="46">
        <f t="shared" ca="1" si="155"/>
        <v>0</v>
      </c>
      <c r="AG952" s="72" t="e">
        <f t="shared" ca="1" si="156"/>
        <v>#N/A</v>
      </c>
      <c r="AH952" s="72" t="e">
        <f t="shared" ca="1" si="157"/>
        <v>#N/A</v>
      </c>
      <c r="AI952" s="3" t="e">
        <f t="shared" ca="1" si="158"/>
        <v>#N/A</v>
      </c>
    </row>
    <row r="953" spans="7:35" ht="15.75" thickBot="1" x14ac:dyDescent="0.3">
      <c r="G953" s="3">
        <f t="shared" si="150"/>
        <v>126</v>
      </c>
      <c r="H953" s="106">
        <f t="shared" si="149"/>
        <v>45051</v>
      </c>
      <c r="I953" s="133">
        <f>HLOOKUP($H$4,'Met Data'!$A$2:$F$368,G953,FALSE)</f>
        <v>13.9966666666666</v>
      </c>
      <c r="J953" s="131">
        <f ca="1">HLOOKUP($H$4,'Met Data'!$H$2:$M$368,G953,FALSE)*L953</f>
        <v>3.2548387096774101</v>
      </c>
      <c r="K953" s="107">
        <f>HLOOKUP($H$4,'Met Data'!$O$2:$T$368,G953,FALSE)</f>
        <v>1.9813737718090501</v>
      </c>
      <c r="L953">
        <f t="shared" ca="1" si="151"/>
        <v>1</v>
      </c>
      <c r="N953" t="e">
        <f t="shared" ca="1" si="152"/>
        <v>#N/A</v>
      </c>
      <c r="O953" t="e">
        <f t="shared" ca="1" si="153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4"/>
        <v>0</v>
      </c>
      <c r="AE953" s="46">
        <f t="shared" ca="1" si="155"/>
        <v>0</v>
      </c>
      <c r="AG953" s="72" t="e">
        <f t="shared" ca="1" si="156"/>
        <v>#N/A</v>
      </c>
      <c r="AH953" s="72" t="e">
        <f t="shared" ca="1" si="157"/>
        <v>#N/A</v>
      </c>
      <c r="AI953" s="3" t="e">
        <f t="shared" ca="1" si="158"/>
        <v>#N/A</v>
      </c>
    </row>
    <row r="954" spans="7:35" ht="15.75" thickBot="1" x14ac:dyDescent="0.3">
      <c r="G954" s="3">
        <f t="shared" si="150"/>
        <v>127</v>
      </c>
      <c r="H954" s="106">
        <f t="shared" si="149"/>
        <v>45052</v>
      </c>
      <c r="I954" s="133">
        <f>HLOOKUP($H$4,'Met Data'!$A$2:$F$368,G954,FALSE)</f>
        <v>14.1596774193548</v>
      </c>
      <c r="J954" s="131">
        <f ca="1">HLOOKUP($H$4,'Met Data'!$H$2:$M$368,G954,FALSE)*L954</f>
        <v>3.4483870967741899</v>
      </c>
      <c r="K954" s="107">
        <f>HLOOKUP($H$4,'Met Data'!$O$2:$T$368,G954,FALSE)</f>
        <v>1.78778032014411</v>
      </c>
      <c r="L954">
        <f t="shared" ca="1" si="151"/>
        <v>1</v>
      </c>
      <c r="N954" t="e">
        <f t="shared" ca="1" si="152"/>
        <v>#N/A</v>
      </c>
      <c r="O954" t="e">
        <f t="shared" ca="1" si="153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4"/>
        <v>0</v>
      </c>
      <c r="AE954" s="46">
        <f t="shared" ca="1" si="155"/>
        <v>0</v>
      </c>
      <c r="AG954" s="72" t="e">
        <f t="shared" ca="1" si="156"/>
        <v>#N/A</v>
      </c>
      <c r="AH954" s="72" t="e">
        <f t="shared" ca="1" si="157"/>
        <v>#N/A</v>
      </c>
      <c r="AI954" s="3" t="e">
        <f t="shared" ca="1" si="158"/>
        <v>#N/A</v>
      </c>
    </row>
    <row r="955" spans="7:35" ht="15.75" thickBot="1" x14ac:dyDescent="0.3">
      <c r="G955" s="3">
        <f t="shared" si="150"/>
        <v>128</v>
      </c>
      <c r="H955" s="106">
        <f t="shared" si="149"/>
        <v>45053</v>
      </c>
      <c r="I955" s="133">
        <f>HLOOKUP($H$4,'Met Data'!$A$2:$F$368,G955,FALSE)</f>
        <v>13.8403225806451</v>
      </c>
      <c r="J955" s="131">
        <f ca="1">HLOOKUP($H$4,'Met Data'!$H$2:$M$368,G955,FALSE)*L955</f>
        <v>1.8387096774193501</v>
      </c>
      <c r="K955" s="107">
        <f>HLOOKUP($H$4,'Met Data'!$O$2:$T$368,G955,FALSE)</f>
        <v>1.87782016455675</v>
      </c>
      <c r="L955">
        <f t="shared" ca="1" si="151"/>
        <v>1</v>
      </c>
      <c r="N955" t="e">
        <f t="shared" ca="1" si="152"/>
        <v>#N/A</v>
      </c>
      <c r="O955" t="e">
        <f t="shared" ca="1" si="153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4"/>
        <v>0</v>
      </c>
      <c r="AE955" s="46">
        <f t="shared" ca="1" si="155"/>
        <v>0</v>
      </c>
      <c r="AG955" s="72" t="e">
        <f t="shared" ca="1" si="156"/>
        <v>#N/A</v>
      </c>
      <c r="AH955" s="72" t="e">
        <f t="shared" ca="1" si="157"/>
        <v>#N/A</v>
      </c>
      <c r="AI955" s="3" t="e">
        <f t="shared" ca="1" si="158"/>
        <v>#N/A</v>
      </c>
    </row>
    <row r="956" spans="7:35" ht="15.75" thickBot="1" x14ac:dyDescent="0.3">
      <c r="G956" s="3">
        <f t="shared" si="150"/>
        <v>129</v>
      </c>
      <c r="H956" s="106">
        <f t="shared" si="149"/>
        <v>45054</v>
      </c>
      <c r="I956" s="133">
        <f>HLOOKUP($H$4,'Met Data'!$A$2:$F$368,G956,FALSE)</f>
        <v>13.5774193548387</v>
      </c>
      <c r="J956" s="131">
        <f ca="1">HLOOKUP($H$4,'Met Data'!$H$2:$M$368,G956,FALSE)*L956</f>
        <v>3.4064516129032198</v>
      </c>
      <c r="K956" s="107">
        <f>HLOOKUP($H$4,'Met Data'!$O$2:$T$368,G956,FALSE)</f>
        <v>1.84976774954056</v>
      </c>
      <c r="L956">
        <f t="shared" ca="1" si="151"/>
        <v>1</v>
      </c>
      <c r="N956" t="e">
        <f t="shared" ca="1" si="152"/>
        <v>#N/A</v>
      </c>
      <c r="O956" t="e">
        <f t="shared" ca="1" si="153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4"/>
        <v>0</v>
      </c>
      <c r="AE956" s="46">
        <f t="shared" ca="1" si="155"/>
        <v>0</v>
      </c>
      <c r="AG956" s="72" t="e">
        <f t="shared" ca="1" si="156"/>
        <v>#N/A</v>
      </c>
      <c r="AH956" s="72" t="e">
        <f t="shared" ca="1" si="157"/>
        <v>#N/A</v>
      </c>
      <c r="AI956" s="3" t="e">
        <f t="shared" ca="1" si="158"/>
        <v>#N/A</v>
      </c>
    </row>
    <row r="957" spans="7:35" ht="15.75" thickBot="1" x14ac:dyDescent="0.3">
      <c r="G957" s="3">
        <f t="shared" si="150"/>
        <v>130</v>
      </c>
      <c r="H957" s="106">
        <f t="shared" si="149"/>
        <v>45055</v>
      </c>
      <c r="I957" s="133">
        <f>HLOOKUP($H$4,'Met Data'!$A$2:$F$368,G957,FALSE)</f>
        <v>13.1612903225806</v>
      </c>
      <c r="J957" s="131">
        <f ca="1">HLOOKUP($H$4,'Met Data'!$H$2:$M$368,G957,FALSE)*L957</f>
        <v>2.3258064516129</v>
      </c>
      <c r="K957" s="107">
        <f>HLOOKUP($H$4,'Met Data'!$O$2:$T$368,G957,FALSE)</f>
        <v>1.7318330822852801</v>
      </c>
      <c r="L957">
        <f t="shared" ca="1" si="151"/>
        <v>1</v>
      </c>
      <c r="N957" t="e">
        <f t="shared" ca="1" si="152"/>
        <v>#N/A</v>
      </c>
      <c r="O957" t="e">
        <f t="shared" ca="1" si="153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4"/>
        <v>0</v>
      </c>
      <c r="AE957" s="46">
        <f t="shared" ca="1" si="155"/>
        <v>0</v>
      </c>
      <c r="AG957" s="72" t="e">
        <f t="shared" ca="1" si="156"/>
        <v>#N/A</v>
      </c>
      <c r="AH957" s="72" t="e">
        <f t="shared" ca="1" si="157"/>
        <v>#N/A</v>
      </c>
      <c r="AI957" s="3" t="e">
        <f t="shared" ca="1" si="158"/>
        <v>#N/A</v>
      </c>
    </row>
    <row r="958" spans="7:35" ht="15.75" thickBot="1" x14ac:dyDescent="0.3">
      <c r="G958" s="3">
        <f t="shared" si="150"/>
        <v>131</v>
      </c>
      <c r="H958" s="106">
        <f t="shared" si="149"/>
        <v>45056</v>
      </c>
      <c r="I958" s="133">
        <f>HLOOKUP($H$4,'Met Data'!$A$2:$F$368,G958,FALSE)</f>
        <v>13.291935483870899</v>
      </c>
      <c r="J958" s="131">
        <f ca="1">HLOOKUP($H$4,'Met Data'!$H$2:$M$368,G958,FALSE)*L958</f>
        <v>3.1733333333333298</v>
      </c>
      <c r="K958" s="107">
        <f>HLOOKUP($H$4,'Met Data'!$O$2:$T$368,G958,FALSE)</f>
        <v>1.6655372035048599</v>
      </c>
      <c r="L958">
        <f t="shared" ca="1" si="151"/>
        <v>1</v>
      </c>
      <c r="N958" t="e">
        <f t="shared" ca="1" si="152"/>
        <v>#N/A</v>
      </c>
      <c r="O958" t="e">
        <f t="shared" ca="1" si="153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4"/>
        <v>0</v>
      </c>
      <c r="AE958" s="46">
        <f t="shared" ca="1" si="155"/>
        <v>0</v>
      </c>
      <c r="AG958" s="72" t="e">
        <f t="shared" ca="1" si="156"/>
        <v>#N/A</v>
      </c>
      <c r="AH958" s="72" t="e">
        <f t="shared" ca="1" si="157"/>
        <v>#N/A</v>
      </c>
      <c r="AI958" s="3" t="e">
        <f t="shared" ca="1" si="158"/>
        <v>#N/A</v>
      </c>
    </row>
    <row r="959" spans="7:35" ht="15.75" thickBot="1" x14ac:dyDescent="0.3">
      <c r="G959" s="3">
        <f t="shared" si="150"/>
        <v>132</v>
      </c>
      <c r="H959" s="106">
        <f t="shared" si="149"/>
        <v>45057</v>
      </c>
      <c r="I959" s="133">
        <f>HLOOKUP($H$4,'Met Data'!$A$2:$F$368,G959,FALSE)</f>
        <v>13.5774193548387</v>
      </c>
      <c r="J959" s="131">
        <f ca="1">HLOOKUP($H$4,'Met Data'!$H$2:$M$368,G959,FALSE)*L959</f>
        <v>2.4225806451612901</v>
      </c>
      <c r="K959" s="107">
        <f>HLOOKUP($H$4,'Met Data'!$O$2:$T$368,G959,FALSE)</f>
        <v>1.82340706114468</v>
      </c>
      <c r="L959">
        <f t="shared" ca="1" si="151"/>
        <v>1</v>
      </c>
      <c r="N959" t="e">
        <f t="shared" ca="1" si="152"/>
        <v>#N/A</v>
      </c>
      <c r="O959" t="e">
        <f t="shared" ca="1" si="153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4"/>
        <v>0</v>
      </c>
      <c r="AE959" s="46">
        <f t="shared" ca="1" si="155"/>
        <v>0</v>
      </c>
      <c r="AG959" s="72" t="e">
        <f t="shared" ca="1" si="156"/>
        <v>#N/A</v>
      </c>
      <c r="AH959" s="72" t="e">
        <f t="shared" ca="1" si="157"/>
        <v>#N/A</v>
      </c>
      <c r="AI959" s="3" t="e">
        <f t="shared" ca="1" si="158"/>
        <v>#N/A</v>
      </c>
    </row>
    <row r="960" spans="7:35" ht="15.75" thickBot="1" x14ac:dyDescent="0.3">
      <c r="G960" s="3">
        <f t="shared" si="150"/>
        <v>133</v>
      </c>
      <c r="H960" s="106">
        <f t="shared" si="149"/>
        <v>45058</v>
      </c>
      <c r="I960" s="133">
        <f>HLOOKUP($H$4,'Met Data'!$A$2:$F$368,G960,FALSE)</f>
        <v>13.898387096774099</v>
      </c>
      <c r="J960" s="131">
        <f ca="1">HLOOKUP($H$4,'Met Data'!$H$2:$M$368,G960,FALSE)*L960</f>
        <v>3.56129032258064</v>
      </c>
      <c r="K960" s="107">
        <f>HLOOKUP($H$4,'Met Data'!$O$2:$T$368,G960,FALSE)</f>
        <v>1.58246048642455</v>
      </c>
      <c r="L960">
        <f t="shared" ca="1" si="151"/>
        <v>1</v>
      </c>
      <c r="N960" t="e">
        <f t="shared" ca="1" si="152"/>
        <v>#N/A</v>
      </c>
      <c r="O960" t="e">
        <f t="shared" ca="1" si="153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4"/>
        <v>0</v>
      </c>
      <c r="AE960" s="46">
        <f t="shared" ca="1" si="155"/>
        <v>0</v>
      </c>
      <c r="AG960" s="72" t="e">
        <f t="shared" ca="1" si="156"/>
        <v>#N/A</v>
      </c>
      <c r="AH960" s="72" t="e">
        <f t="shared" ca="1" si="157"/>
        <v>#N/A</v>
      </c>
      <c r="AI960" s="3" t="e">
        <f t="shared" ca="1" si="158"/>
        <v>#N/A</v>
      </c>
    </row>
    <row r="961" spans="7:35" ht="15.75" thickBot="1" x14ac:dyDescent="0.3">
      <c r="G961" s="3">
        <f t="shared" si="150"/>
        <v>134</v>
      </c>
      <c r="H961" s="106">
        <f t="shared" si="149"/>
        <v>45059</v>
      </c>
      <c r="I961" s="133">
        <f>HLOOKUP($H$4,'Met Data'!$A$2:$F$368,G961,FALSE)</f>
        <v>13.8193548387096</v>
      </c>
      <c r="J961" s="131">
        <f ca="1">HLOOKUP($H$4,'Met Data'!$H$2:$M$368,G961,FALSE)*L961</f>
        <v>3.2677419354838699</v>
      </c>
      <c r="K961" s="107">
        <f>HLOOKUP($H$4,'Met Data'!$O$2:$T$368,G961,FALSE)</f>
        <v>1.6419912913333301</v>
      </c>
      <c r="L961">
        <f t="shared" ca="1" si="151"/>
        <v>1</v>
      </c>
      <c r="N961" t="e">
        <f t="shared" ca="1" si="152"/>
        <v>#N/A</v>
      </c>
      <c r="O961" t="e">
        <f t="shared" ca="1" si="153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4"/>
        <v>0</v>
      </c>
      <c r="AE961" s="46">
        <f t="shared" ca="1" si="155"/>
        <v>0</v>
      </c>
      <c r="AG961" s="72" t="e">
        <f t="shared" ca="1" si="156"/>
        <v>#N/A</v>
      </c>
      <c r="AH961" s="72" t="e">
        <f t="shared" ca="1" si="157"/>
        <v>#N/A</v>
      </c>
      <c r="AI961" s="3" t="e">
        <f t="shared" ca="1" si="158"/>
        <v>#N/A</v>
      </c>
    </row>
    <row r="962" spans="7:35" ht="15.75" thickBot="1" x14ac:dyDescent="0.3">
      <c r="G962" s="3">
        <f t="shared" si="150"/>
        <v>135</v>
      </c>
      <c r="H962" s="106">
        <f t="shared" si="149"/>
        <v>45060</v>
      </c>
      <c r="I962" s="133">
        <f>HLOOKUP($H$4,'Met Data'!$A$2:$F$368,G962,FALSE)</f>
        <v>13.49</v>
      </c>
      <c r="J962" s="131">
        <f ca="1">HLOOKUP($H$4,'Met Data'!$H$2:$M$368,G962,FALSE)*L962</f>
        <v>2.96129032258064</v>
      </c>
      <c r="K962" s="107">
        <f>HLOOKUP($H$4,'Met Data'!$O$2:$T$368,G962,FALSE)</f>
        <v>1.7493116405284199</v>
      </c>
      <c r="L962">
        <f t="shared" ca="1" si="151"/>
        <v>1</v>
      </c>
      <c r="N962" t="e">
        <f t="shared" ca="1" si="152"/>
        <v>#N/A</v>
      </c>
      <c r="O962" t="e">
        <f t="shared" ca="1" si="153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4"/>
        <v>0</v>
      </c>
      <c r="AE962" s="46">
        <f t="shared" ca="1" si="155"/>
        <v>0</v>
      </c>
      <c r="AG962" s="72" t="e">
        <f t="shared" ca="1" si="156"/>
        <v>#N/A</v>
      </c>
      <c r="AH962" s="72" t="e">
        <f t="shared" ca="1" si="157"/>
        <v>#N/A</v>
      </c>
      <c r="AI962" s="3" t="e">
        <f t="shared" ca="1" si="158"/>
        <v>#N/A</v>
      </c>
    </row>
    <row r="963" spans="7:35" ht="15.75" thickBot="1" x14ac:dyDescent="0.3">
      <c r="G963" s="3">
        <f t="shared" si="150"/>
        <v>136</v>
      </c>
      <c r="H963" s="106">
        <f t="shared" si="149"/>
        <v>45061</v>
      </c>
      <c r="I963" s="133">
        <f>HLOOKUP($H$4,'Met Data'!$A$2:$F$368,G963,FALSE)</f>
        <v>13.408064516129</v>
      </c>
      <c r="J963" s="131">
        <f ca="1">HLOOKUP($H$4,'Met Data'!$H$2:$M$368,G963,FALSE)*L963</f>
        <v>3.9032258064516099</v>
      </c>
      <c r="K963" s="107">
        <f>HLOOKUP($H$4,'Met Data'!$O$2:$T$368,G963,FALSE)</f>
        <v>1.5662445189592999</v>
      </c>
      <c r="L963">
        <f t="shared" ca="1" si="151"/>
        <v>1</v>
      </c>
      <c r="N963" t="e">
        <f t="shared" ca="1" si="152"/>
        <v>#N/A</v>
      </c>
      <c r="O963" t="e">
        <f t="shared" ca="1" si="153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4"/>
        <v>0</v>
      </c>
      <c r="AE963" s="46">
        <f t="shared" ca="1" si="155"/>
        <v>0</v>
      </c>
      <c r="AG963" s="72" t="e">
        <f t="shared" ca="1" si="156"/>
        <v>#N/A</v>
      </c>
      <c r="AH963" s="72" t="e">
        <f t="shared" ca="1" si="157"/>
        <v>#N/A</v>
      </c>
      <c r="AI963" s="3" t="e">
        <f t="shared" ca="1" si="158"/>
        <v>#N/A</v>
      </c>
    </row>
    <row r="964" spans="7:35" ht="15.75" thickBot="1" x14ac:dyDescent="0.3">
      <c r="G964" s="3">
        <f t="shared" si="150"/>
        <v>137</v>
      </c>
      <c r="H964" s="106">
        <f t="shared" si="149"/>
        <v>45062</v>
      </c>
      <c r="I964" s="133">
        <f>HLOOKUP($H$4,'Met Data'!$A$2:$F$368,G964,FALSE)</f>
        <v>13.4193548387096</v>
      </c>
      <c r="J964" s="131">
        <f ca="1">HLOOKUP($H$4,'Met Data'!$H$2:$M$368,G964,FALSE)*L964</f>
        <v>4.1322580645161198</v>
      </c>
      <c r="K964" s="107">
        <f>HLOOKUP($H$4,'Met Data'!$O$2:$T$368,G964,FALSE)</f>
        <v>1.7909891224832299</v>
      </c>
      <c r="L964">
        <f t="shared" ca="1" si="151"/>
        <v>1</v>
      </c>
      <c r="N964" t="e">
        <f t="shared" ca="1" si="152"/>
        <v>#N/A</v>
      </c>
      <c r="O964" t="e">
        <f t="shared" ca="1" si="153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4"/>
        <v>0</v>
      </c>
      <c r="AE964" s="46">
        <f t="shared" ca="1" si="155"/>
        <v>0</v>
      </c>
      <c r="AG964" s="72" t="e">
        <f t="shared" ca="1" si="156"/>
        <v>#N/A</v>
      </c>
      <c r="AH964" s="72" t="e">
        <f t="shared" ca="1" si="157"/>
        <v>#N/A</v>
      </c>
      <c r="AI964" s="3" t="e">
        <f t="shared" ca="1" si="158"/>
        <v>#N/A</v>
      </c>
    </row>
    <row r="965" spans="7:35" ht="15.75" thickBot="1" x14ac:dyDescent="0.3">
      <c r="G965" s="3">
        <f t="shared" si="150"/>
        <v>138</v>
      </c>
      <c r="H965" s="106">
        <f t="shared" si="149"/>
        <v>45063</v>
      </c>
      <c r="I965" s="133">
        <f>HLOOKUP($H$4,'Met Data'!$A$2:$F$368,G965,FALSE)</f>
        <v>13.0177419354838</v>
      </c>
      <c r="J965" s="131">
        <f ca="1">HLOOKUP($H$4,'Met Data'!$H$2:$M$368,G965,FALSE)*L965</f>
        <v>3.8645161290322498</v>
      </c>
      <c r="K965" s="107">
        <f>HLOOKUP($H$4,'Met Data'!$O$2:$T$368,G965,FALSE)</f>
        <v>1.67932593217038</v>
      </c>
      <c r="L965">
        <f t="shared" ca="1" si="151"/>
        <v>1</v>
      </c>
      <c r="N965" t="e">
        <f t="shared" ca="1" si="152"/>
        <v>#N/A</v>
      </c>
      <c r="O965" t="e">
        <f t="shared" ca="1" si="153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4"/>
        <v>0</v>
      </c>
      <c r="AE965" s="46">
        <f t="shared" ca="1" si="155"/>
        <v>0</v>
      </c>
      <c r="AG965" s="72" t="e">
        <f t="shared" ca="1" si="156"/>
        <v>#N/A</v>
      </c>
      <c r="AH965" s="72" t="e">
        <f t="shared" ca="1" si="157"/>
        <v>#N/A</v>
      </c>
      <c r="AI965" s="3" t="e">
        <f t="shared" ca="1" si="158"/>
        <v>#N/A</v>
      </c>
    </row>
    <row r="966" spans="7:35" ht="15.75" thickBot="1" x14ac:dyDescent="0.3">
      <c r="G966" s="3">
        <f t="shared" si="150"/>
        <v>139</v>
      </c>
      <c r="H966" s="106">
        <f t="shared" si="149"/>
        <v>45064</v>
      </c>
      <c r="I966" s="133">
        <f>HLOOKUP($H$4,'Met Data'!$A$2:$F$368,G966,FALSE)</f>
        <v>12.8774193548387</v>
      </c>
      <c r="J966" s="131">
        <f ca="1">HLOOKUP($H$4,'Met Data'!$H$2:$M$368,G966,FALSE)*L966</f>
        <v>3.7967741935483801</v>
      </c>
      <c r="K966" s="107">
        <f>HLOOKUP($H$4,'Met Data'!$O$2:$T$368,G966,FALSE)</f>
        <v>1.7647102566828801</v>
      </c>
      <c r="L966">
        <f t="shared" ca="1" si="151"/>
        <v>1</v>
      </c>
      <c r="N966" t="e">
        <f t="shared" ca="1" si="152"/>
        <v>#N/A</v>
      </c>
      <c r="O966" t="e">
        <f t="shared" ca="1" si="153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4"/>
        <v>0</v>
      </c>
      <c r="AE966" s="46">
        <f t="shared" ca="1" si="155"/>
        <v>0</v>
      </c>
      <c r="AG966" s="72" t="e">
        <f t="shared" ca="1" si="156"/>
        <v>#N/A</v>
      </c>
      <c r="AH966" s="72" t="e">
        <f t="shared" ca="1" si="157"/>
        <v>#N/A</v>
      </c>
      <c r="AI966" s="3" t="e">
        <f t="shared" ca="1" si="158"/>
        <v>#N/A</v>
      </c>
    </row>
    <row r="967" spans="7:35" ht="15.75" thickBot="1" x14ac:dyDescent="0.3">
      <c r="G967" s="3">
        <f t="shared" si="150"/>
        <v>140</v>
      </c>
      <c r="H967" s="106">
        <f t="shared" si="149"/>
        <v>45065</v>
      </c>
      <c r="I967" s="133">
        <f>HLOOKUP($H$4,'Met Data'!$A$2:$F$368,G967,FALSE)</f>
        <v>13.3629032258064</v>
      </c>
      <c r="J967" s="131">
        <f ca="1">HLOOKUP($H$4,'Met Data'!$H$2:$M$368,G967,FALSE)*L967</f>
        <v>1.4774193548387</v>
      </c>
      <c r="K967" s="107">
        <f>HLOOKUP($H$4,'Met Data'!$O$2:$T$368,G967,FALSE)</f>
        <v>1.8502469543140301</v>
      </c>
      <c r="L967">
        <f t="shared" ca="1" si="151"/>
        <v>1</v>
      </c>
      <c r="N967" t="e">
        <f t="shared" ca="1" si="152"/>
        <v>#N/A</v>
      </c>
      <c r="O967" t="e">
        <f t="shared" ca="1" si="153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4"/>
        <v>0</v>
      </c>
      <c r="AE967" s="46">
        <f t="shared" ca="1" si="155"/>
        <v>0</v>
      </c>
      <c r="AG967" s="72" t="e">
        <f t="shared" ca="1" si="156"/>
        <v>#N/A</v>
      </c>
      <c r="AH967" s="72" t="e">
        <f t="shared" ca="1" si="157"/>
        <v>#N/A</v>
      </c>
      <c r="AI967" s="3" t="e">
        <f t="shared" ca="1" si="158"/>
        <v>#N/A</v>
      </c>
    </row>
    <row r="968" spans="7:35" ht="15.75" thickBot="1" x14ac:dyDescent="0.3">
      <c r="G968" s="3">
        <f t="shared" si="150"/>
        <v>141</v>
      </c>
      <c r="H968" s="106">
        <f t="shared" ref="H968:H999" si="159">H967+1</f>
        <v>45066</v>
      </c>
      <c r="I968" s="133">
        <f>HLOOKUP($H$4,'Met Data'!$A$2:$F$368,G968,FALSE)</f>
        <v>13.314516129032199</v>
      </c>
      <c r="J968" s="131">
        <f ca="1">HLOOKUP($H$4,'Met Data'!$H$2:$M$368,G968,FALSE)*L968</f>
        <v>5.2193548387096698</v>
      </c>
      <c r="K968" s="107">
        <f>HLOOKUP($H$4,'Met Data'!$O$2:$T$368,G968,FALSE)</f>
        <v>1.4599096570605601</v>
      </c>
      <c r="L968">
        <f t="shared" ca="1" si="151"/>
        <v>1</v>
      </c>
      <c r="N968" t="e">
        <f t="shared" ca="1" si="152"/>
        <v>#N/A</v>
      </c>
      <c r="O968" t="e">
        <f t="shared" ca="1" si="153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4"/>
        <v>0</v>
      </c>
      <c r="AE968" s="46">
        <f t="shared" ca="1" si="155"/>
        <v>0</v>
      </c>
      <c r="AG968" s="72" t="e">
        <f t="shared" ca="1" si="156"/>
        <v>#N/A</v>
      </c>
      <c r="AH968" s="72" t="e">
        <f t="shared" ca="1" si="157"/>
        <v>#N/A</v>
      </c>
      <c r="AI968" s="3" t="e">
        <f t="shared" ca="1" si="158"/>
        <v>#N/A</v>
      </c>
    </row>
    <row r="969" spans="7:35" ht="15.75" thickBot="1" x14ac:dyDescent="0.3">
      <c r="G969" s="3">
        <f t="shared" si="150"/>
        <v>142</v>
      </c>
      <c r="H969" s="106">
        <f t="shared" si="159"/>
        <v>45067</v>
      </c>
      <c r="I969" s="133">
        <f>HLOOKUP($H$4,'Met Data'!$A$2:$F$368,G969,FALSE)</f>
        <v>13.598387096774101</v>
      </c>
      <c r="J969" s="131">
        <f ca="1">HLOOKUP($H$4,'Met Data'!$H$2:$M$368,G969,FALSE)*L969</f>
        <v>5.1451612903225801</v>
      </c>
      <c r="K969" s="107">
        <f>HLOOKUP($H$4,'Met Data'!$O$2:$T$368,G969,FALSE)</f>
        <v>1.48780958137737</v>
      </c>
      <c r="L969">
        <f t="shared" ca="1" si="151"/>
        <v>1</v>
      </c>
      <c r="N969" t="e">
        <f t="shared" ca="1" si="152"/>
        <v>#N/A</v>
      </c>
      <c r="O969" t="e">
        <f t="shared" ca="1" si="153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4"/>
        <v>0</v>
      </c>
      <c r="AE969" s="46">
        <f t="shared" ca="1" si="155"/>
        <v>0</v>
      </c>
      <c r="AG969" s="72" t="e">
        <f t="shared" ca="1" si="156"/>
        <v>#N/A</v>
      </c>
      <c r="AH969" s="72" t="e">
        <f t="shared" ca="1" si="157"/>
        <v>#N/A</v>
      </c>
      <c r="AI969" s="3" t="e">
        <f t="shared" ca="1" si="158"/>
        <v>#N/A</v>
      </c>
    </row>
    <row r="970" spans="7:35" ht="15.75" thickBot="1" x14ac:dyDescent="0.3">
      <c r="G970" s="3">
        <f t="shared" si="150"/>
        <v>143</v>
      </c>
      <c r="H970" s="106">
        <f t="shared" si="159"/>
        <v>45068</v>
      </c>
      <c r="I970" s="133">
        <f>HLOOKUP($H$4,'Met Data'!$A$2:$F$368,G970,FALSE)</f>
        <v>13.074193548387001</v>
      </c>
      <c r="J970" s="131">
        <f ca="1">HLOOKUP($H$4,'Met Data'!$H$2:$M$368,G970,FALSE)*L970</f>
        <v>4.73548387096774</v>
      </c>
      <c r="K970" s="107">
        <f>HLOOKUP($H$4,'Met Data'!$O$2:$T$368,G970,FALSE)</f>
        <v>1.4103441752322401</v>
      </c>
      <c r="L970">
        <f t="shared" ca="1" si="151"/>
        <v>1</v>
      </c>
      <c r="N970" t="e">
        <f t="shared" ca="1" si="152"/>
        <v>#N/A</v>
      </c>
      <c r="O970" t="e">
        <f t="shared" ca="1" si="153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4"/>
        <v>0</v>
      </c>
      <c r="AE970" s="46">
        <f t="shared" ca="1" si="155"/>
        <v>0</v>
      </c>
      <c r="AG970" s="72" t="e">
        <f t="shared" ca="1" si="156"/>
        <v>#N/A</v>
      </c>
      <c r="AH970" s="72" t="e">
        <f t="shared" ca="1" si="157"/>
        <v>#N/A</v>
      </c>
      <c r="AI970" s="3" t="e">
        <f t="shared" ca="1" si="158"/>
        <v>#N/A</v>
      </c>
    </row>
    <row r="971" spans="7:35" ht="15.75" thickBot="1" x14ac:dyDescent="0.3">
      <c r="G971" s="3">
        <f t="shared" si="150"/>
        <v>144</v>
      </c>
      <c r="H971" s="106">
        <f t="shared" si="159"/>
        <v>45069</v>
      </c>
      <c r="I971" s="133">
        <f>HLOOKUP($H$4,'Met Data'!$A$2:$F$368,G971,FALSE)</f>
        <v>12.8338709677419</v>
      </c>
      <c r="J971" s="131">
        <f ca="1">HLOOKUP($H$4,'Met Data'!$H$2:$M$368,G971,FALSE)*L971</f>
        <v>7.7677419354838699</v>
      </c>
      <c r="K971" s="107">
        <f>HLOOKUP($H$4,'Met Data'!$O$2:$T$368,G971,FALSE)</f>
        <v>1.40773401519768</v>
      </c>
      <c r="L971">
        <f t="shared" ca="1" si="151"/>
        <v>1</v>
      </c>
      <c r="N971" t="e">
        <f t="shared" ca="1" si="152"/>
        <v>#N/A</v>
      </c>
      <c r="O971" t="e">
        <f t="shared" ca="1" si="153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4"/>
        <v>0</v>
      </c>
      <c r="AE971" s="46">
        <f t="shared" ca="1" si="155"/>
        <v>0</v>
      </c>
      <c r="AG971" s="72" t="e">
        <f t="shared" ca="1" si="156"/>
        <v>#N/A</v>
      </c>
      <c r="AH971" s="72" t="e">
        <f t="shared" ca="1" si="157"/>
        <v>#N/A</v>
      </c>
      <c r="AI971" s="3" t="e">
        <f t="shared" ca="1" si="158"/>
        <v>#N/A</v>
      </c>
    </row>
    <row r="972" spans="7:35" ht="15.75" thickBot="1" x14ac:dyDescent="0.3">
      <c r="G972" s="3">
        <f t="shared" si="150"/>
        <v>145</v>
      </c>
      <c r="H972" s="106">
        <f t="shared" si="159"/>
        <v>45070</v>
      </c>
      <c r="I972" s="133">
        <f>HLOOKUP($H$4,'Met Data'!$A$2:$F$368,G972,FALSE)</f>
        <v>12.761290322580599</v>
      </c>
      <c r="J972" s="131">
        <f ca="1">HLOOKUP($H$4,'Met Data'!$H$2:$M$368,G972,FALSE)*L972</f>
        <v>5.3612903225806399</v>
      </c>
      <c r="K972" s="107">
        <f>HLOOKUP($H$4,'Met Data'!$O$2:$T$368,G972,FALSE)</f>
        <v>1.5324788885576901</v>
      </c>
      <c r="L972">
        <f t="shared" ca="1" si="151"/>
        <v>1</v>
      </c>
      <c r="N972" t="e">
        <f t="shared" ca="1" si="152"/>
        <v>#N/A</v>
      </c>
      <c r="O972" t="e">
        <f t="shared" ca="1" si="153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4"/>
        <v>0</v>
      </c>
      <c r="AE972" s="46">
        <f t="shared" ca="1" si="155"/>
        <v>0</v>
      </c>
      <c r="AG972" s="72" t="e">
        <f t="shared" ca="1" si="156"/>
        <v>#N/A</v>
      </c>
      <c r="AH972" s="72" t="e">
        <f t="shared" ca="1" si="157"/>
        <v>#N/A</v>
      </c>
      <c r="AI972" s="3" t="e">
        <f t="shared" ca="1" si="158"/>
        <v>#N/A</v>
      </c>
    </row>
    <row r="973" spans="7:35" ht="15.75" thickBot="1" x14ac:dyDescent="0.3">
      <c r="G973" s="3">
        <f t="shared" si="150"/>
        <v>146</v>
      </c>
      <c r="H973" s="106">
        <f t="shared" si="159"/>
        <v>45071</v>
      </c>
      <c r="I973" s="133">
        <f>HLOOKUP($H$4,'Met Data'!$A$2:$F$368,G973,FALSE)</f>
        <v>13.04</v>
      </c>
      <c r="J973" s="131">
        <f ca="1">HLOOKUP($H$4,'Met Data'!$H$2:$M$368,G973,FALSE)*L973</f>
        <v>5.8233333333333297</v>
      </c>
      <c r="K973" s="107">
        <f>HLOOKUP($H$4,'Met Data'!$O$2:$T$368,G973,FALSE)</f>
        <v>1.3513771562845001</v>
      </c>
      <c r="L973">
        <f t="shared" ca="1" si="151"/>
        <v>1</v>
      </c>
      <c r="N973" t="e">
        <f t="shared" ca="1" si="152"/>
        <v>#N/A</v>
      </c>
      <c r="O973" t="e">
        <f t="shared" ca="1" si="153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4"/>
        <v>0</v>
      </c>
      <c r="AE973" s="46">
        <f t="shared" ca="1" si="155"/>
        <v>0</v>
      </c>
      <c r="AG973" s="72" t="e">
        <f t="shared" ca="1" si="156"/>
        <v>#N/A</v>
      </c>
      <c r="AH973" s="72" t="e">
        <f t="shared" ca="1" si="157"/>
        <v>#N/A</v>
      </c>
      <c r="AI973" s="3" t="e">
        <f t="shared" ca="1" si="158"/>
        <v>#N/A</v>
      </c>
    </row>
    <row r="974" spans="7:35" ht="15.75" thickBot="1" x14ac:dyDescent="0.3">
      <c r="G974" s="3">
        <f t="shared" si="150"/>
        <v>147</v>
      </c>
      <c r="H974" s="106">
        <f t="shared" si="159"/>
        <v>45072</v>
      </c>
      <c r="I974" s="133">
        <f>HLOOKUP($H$4,'Met Data'!$A$2:$F$368,G974,FALSE)</f>
        <v>13.44</v>
      </c>
      <c r="J974" s="131">
        <f ca="1">HLOOKUP($H$4,'Met Data'!$H$2:$M$368,G974,FALSE)*L974</f>
        <v>6.9099999999999904</v>
      </c>
      <c r="K974" s="107">
        <f>HLOOKUP($H$4,'Met Data'!$O$2:$T$368,G974,FALSE)</f>
        <v>1.45255211799902</v>
      </c>
      <c r="L974">
        <f t="shared" ca="1" si="151"/>
        <v>1</v>
      </c>
      <c r="N974" t="e">
        <f t="shared" ca="1" si="152"/>
        <v>#N/A</v>
      </c>
      <c r="O974" t="e">
        <f t="shared" ca="1" si="153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4"/>
        <v>0</v>
      </c>
      <c r="AE974" s="46">
        <f t="shared" ca="1" si="155"/>
        <v>0</v>
      </c>
      <c r="AG974" s="72" t="e">
        <f t="shared" ca="1" si="156"/>
        <v>#N/A</v>
      </c>
      <c r="AH974" s="72" t="e">
        <f t="shared" ca="1" si="157"/>
        <v>#N/A</v>
      </c>
      <c r="AI974" s="3" t="e">
        <f t="shared" ca="1" si="158"/>
        <v>#N/A</v>
      </c>
    </row>
    <row r="975" spans="7:35" ht="15.75" thickBot="1" x14ac:dyDescent="0.3">
      <c r="G975" s="3">
        <f t="shared" si="150"/>
        <v>148</v>
      </c>
      <c r="H975" s="106">
        <f t="shared" si="159"/>
        <v>45073</v>
      </c>
      <c r="I975" s="133">
        <f>HLOOKUP($H$4,'Met Data'!$A$2:$F$368,G975,FALSE)</f>
        <v>12.8183333333333</v>
      </c>
      <c r="J975" s="131">
        <f ca="1">HLOOKUP($H$4,'Met Data'!$H$2:$M$368,G975,FALSE)*L975</f>
        <v>4.4066666666666601</v>
      </c>
      <c r="K975" s="107">
        <f>HLOOKUP($H$4,'Met Data'!$O$2:$T$368,G975,FALSE)</f>
        <v>1.5797115913466899</v>
      </c>
      <c r="L975">
        <f t="shared" ca="1" si="151"/>
        <v>1</v>
      </c>
      <c r="N975" t="e">
        <f t="shared" ca="1" si="152"/>
        <v>#N/A</v>
      </c>
      <c r="O975" t="e">
        <f t="shared" ca="1" si="153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4"/>
        <v>0</v>
      </c>
      <c r="AE975" s="46">
        <f t="shared" ca="1" si="155"/>
        <v>0</v>
      </c>
      <c r="AG975" s="72" t="e">
        <f t="shared" ca="1" si="156"/>
        <v>#N/A</v>
      </c>
      <c r="AH975" s="72" t="e">
        <f t="shared" ca="1" si="157"/>
        <v>#N/A</v>
      </c>
      <c r="AI975" s="3" t="e">
        <f t="shared" ca="1" si="158"/>
        <v>#N/A</v>
      </c>
    </row>
    <row r="976" spans="7:35" ht="15.75" thickBot="1" x14ac:dyDescent="0.3">
      <c r="G976" s="3">
        <f t="shared" si="150"/>
        <v>149</v>
      </c>
      <c r="H976" s="106">
        <f t="shared" si="159"/>
        <v>45074</v>
      </c>
      <c r="I976" s="133">
        <f>HLOOKUP($H$4,'Met Data'!$A$2:$F$368,G976,FALSE)</f>
        <v>12.088333333333299</v>
      </c>
      <c r="J976" s="131">
        <f ca="1">HLOOKUP($H$4,'Met Data'!$H$2:$M$368,G976,FALSE)*L976</f>
        <v>3.84666666666666</v>
      </c>
      <c r="K976" s="107">
        <f>HLOOKUP($H$4,'Met Data'!$O$2:$T$368,G976,FALSE)</f>
        <v>1.52168431166894</v>
      </c>
      <c r="L976">
        <f t="shared" ca="1" si="151"/>
        <v>1</v>
      </c>
      <c r="N976" t="e">
        <f t="shared" ca="1" si="152"/>
        <v>#N/A</v>
      </c>
      <c r="O976" t="e">
        <f t="shared" ca="1" si="153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4"/>
        <v>0</v>
      </c>
      <c r="AE976" s="46">
        <f t="shared" ca="1" si="155"/>
        <v>0</v>
      </c>
      <c r="AG976" s="72" t="e">
        <f t="shared" ca="1" si="156"/>
        <v>#N/A</v>
      </c>
      <c r="AH976" s="72" t="e">
        <f t="shared" ca="1" si="157"/>
        <v>#N/A</v>
      </c>
      <c r="AI976" s="3" t="e">
        <f t="shared" ca="1" si="158"/>
        <v>#N/A</v>
      </c>
    </row>
    <row r="977" spans="7:35" ht="15.75" thickBot="1" x14ac:dyDescent="0.3">
      <c r="G977" s="3">
        <f t="shared" si="150"/>
        <v>150</v>
      </c>
      <c r="H977" s="106">
        <f t="shared" si="159"/>
        <v>45075</v>
      </c>
      <c r="I977" s="133">
        <f>HLOOKUP($H$4,'Met Data'!$A$2:$F$368,G977,FALSE)</f>
        <v>11.7193548387096</v>
      </c>
      <c r="J977" s="131">
        <f ca="1">HLOOKUP($H$4,'Met Data'!$H$2:$M$368,G977,FALSE)*L977</f>
        <v>4.8161290322580603</v>
      </c>
      <c r="K977" s="107">
        <f>HLOOKUP($H$4,'Met Data'!$O$2:$T$368,G977,FALSE)</f>
        <v>1.3043403353641301</v>
      </c>
      <c r="L977">
        <f t="shared" ca="1" si="151"/>
        <v>1</v>
      </c>
      <c r="N977" t="e">
        <f t="shared" ca="1" si="152"/>
        <v>#N/A</v>
      </c>
      <c r="O977" t="e">
        <f t="shared" ca="1" si="153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4"/>
        <v>0</v>
      </c>
      <c r="AE977" s="46">
        <f t="shared" ca="1" si="155"/>
        <v>0</v>
      </c>
      <c r="AG977" s="72" t="e">
        <f t="shared" ca="1" si="156"/>
        <v>#N/A</v>
      </c>
      <c r="AH977" s="72" t="e">
        <f t="shared" ca="1" si="157"/>
        <v>#N/A</v>
      </c>
      <c r="AI977" s="3" t="e">
        <f t="shared" ca="1" si="158"/>
        <v>#N/A</v>
      </c>
    </row>
    <row r="978" spans="7:35" ht="15.75" thickBot="1" x14ac:dyDescent="0.3">
      <c r="G978" s="3">
        <f t="shared" si="150"/>
        <v>151</v>
      </c>
      <c r="H978" s="106">
        <f t="shared" si="159"/>
        <v>45076</v>
      </c>
      <c r="I978" s="133">
        <f>HLOOKUP($H$4,'Met Data'!$A$2:$F$368,G978,FALSE)</f>
        <v>12.024193548387</v>
      </c>
      <c r="J978" s="131">
        <f ca="1">HLOOKUP($H$4,'Met Data'!$H$2:$M$368,G978,FALSE)*L978</f>
        <v>5.4032258064516103</v>
      </c>
      <c r="K978" s="107">
        <f>HLOOKUP($H$4,'Met Data'!$O$2:$T$368,G978,FALSE)</f>
        <v>1.3290261075951599</v>
      </c>
      <c r="L978">
        <f t="shared" ca="1" si="151"/>
        <v>1</v>
      </c>
      <c r="N978" t="e">
        <f t="shared" ca="1" si="152"/>
        <v>#N/A</v>
      </c>
      <c r="O978" t="e">
        <f t="shared" ca="1" si="153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4"/>
        <v>0</v>
      </c>
      <c r="AE978" s="46">
        <f t="shared" ca="1" si="155"/>
        <v>0</v>
      </c>
      <c r="AG978" s="72" t="e">
        <f t="shared" ca="1" si="156"/>
        <v>#N/A</v>
      </c>
      <c r="AH978" s="72" t="e">
        <f t="shared" ca="1" si="157"/>
        <v>#N/A</v>
      </c>
      <c r="AI978" s="3" t="e">
        <f t="shared" ca="1" si="158"/>
        <v>#N/A</v>
      </c>
    </row>
    <row r="979" spans="7:35" ht="15.75" thickBot="1" x14ac:dyDescent="0.3">
      <c r="G979" s="3">
        <f t="shared" si="150"/>
        <v>152</v>
      </c>
      <c r="H979" s="106">
        <f t="shared" si="159"/>
        <v>45077</v>
      </c>
      <c r="I979" s="133">
        <f>HLOOKUP($H$4,'Met Data'!$A$2:$F$368,G979,FALSE)</f>
        <v>11.7258064516129</v>
      </c>
      <c r="J979" s="131">
        <f ca="1">HLOOKUP($H$4,'Met Data'!$H$2:$M$368,G979,FALSE)*L979</f>
        <v>5.6354838709677404</v>
      </c>
      <c r="K979" s="107">
        <f>HLOOKUP($H$4,'Met Data'!$O$2:$T$368,G979,FALSE)</f>
        <v>1.39784343044145</v>
      </c>
      <c r="L979">
        <f t="shared" ca="1" si="151"/>
        <v>1</v>
      </c>
      <c r="N979" t="e">
        <f t="shared" ca="1" si="152"/>
        <v>#N/A</v>
      </c>
      <c r="O979" t="e">
        <f t="shared" ca="1" si="153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4"/>
        <v>0</v>
      </c>
      <c r="AE979" s="46">
        <f t="shared" ca="1" si="155"/>
        <v>0</v>
      </c>
      <c r="AG979" s="72" t="e">
        <f t="shared" ca="1" si="156"/>
        <v>#N/A</v>
      </c>
      <c r="AH979" s="72" t="e">
        <f t="shared" ca="1" si="157"/>
        <v>#N/A</v>
      </c>
      <c r="AI979" s="3" t="e">
        <f t="shared" ca="1" si="158"/>
        <v>#N/A</v>
      </c>
    </row>
    <row r="980" spans="7:35" ht="15.75" thickBot="1" x14ac:dyDescent="0.3">
      <c r="G980" s="3">
        <f t="shared" si="150"/>
        <v>153</v>
      </c>
      <c r="H980" s="106">
        <f t="shared" si="159"/>
        <v>45078</v>
      </c>
      <c r="I980" s="133">
        <f>HLOOKUP($H$4,'Met Data'!$A$2:$F$368,G980,FALSE)</f>
        <v>11.7564516129032</v>
      </c>
      <c r="J980" s="131">
        <f ca="1">HLOOKUP($H$4,'Met Data'!$H$2:$M$368,G980,FALSE)*L980</f>
        <v>4.3451612903225802</v>
      </c>
      <c r="K980" s="107">
        <f>HLOOKUP($H$4,'Met Data'!$O$2:$T$368,G980,FALSE)</f>
        <v>1.4712646827298701</v>
      </c>
      <c r="L980">
        <f t="shared" ca="1" si="151"/>
        <v>1</v>
      </c>
      <c r="N980" t="e">
        <f t="shared" ca="1" si="152"/>
        <v>#N/A</v>
      </c>
      <c r="O980" t="e">
        <f t="shared" ca="1" si="153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4"/>
        <v>0</v>
      </c>
      <c r="AE980" s="46">
        <f t="shared" ca="1" si="155"/>
        <v>0</v>
      </c>
      <c r="AG980" s="72" t="e">
        <f t="shared" ca="1" si="156"/>
        <v>#N/A</v>
      </c>
      <c r="AH980" s="72" t="e">
        <f t="shared" ca="1" si="157"/>
        <v>#N/A</v>
      </c>
      <c r="AI980" s="3" t="e">
        <f t="shared" ca="1" si="158"/>
        <v>#N/A</v>
      </c>
    </row>
    <row r="981" spans="7:35" ht="15.75" thickBot="1" x14ac:dyDescent="0.3">
      <c r="G981" s="3">
        <f t="shared" si="150"/>
        <v>154</v>
      </c>
      <c r="H981" s="106">
        <f t="shared" si="159"/>
        <v>45079</v>
      </c>
      <c r="I981" s="133">
        <f>HLOOKUP($H$4,'Met Data'!$A$2:$F$368,G981,FALSE)</f>
        <v>11.6033333333333</v>
      </c>
      <c r="J981" s="131">
        <f ca="1">HLOOKUP($H$4,'Met Data'!$H$2:$M$368,G981,FALSE)*L981</f>
        <v>5.12</v>
      </c>
      <c r="K981" s="107">
        <f>HLOOKUP($H$4,'Met Data'!$O$2:$T$368,G981,FALSE)</f>
        <v>1.30717057222476</v>
      </c>
      <c r="L981">
        <f t="shared" ca="1" si="151"/>
        <v>1</v>
      </c>
      <c r="N981" t="e">
        <f t="shared" ca="1" si="152"/>
        <v>#N/A</v>
      </c>
      <c r="O981" t="e">
        <f t="shared" ca="1" si="153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4"/>
        <v>0</v>
      </c>
      <c r="AE981" s="46">
        <f t="shared" ca="1" si="155"/>
        <v>0</v>
      </c>
      <c r="AG981" s="72" t="e">
        <f t="shared" ca="1" si="156"/>
        <v>#N/A</v>
      </c>
      <c r="AH981" s="72" t="e">
        <f t="shared" ca="1" si="157"/>
        <v>#N/A</v>
      </c>
      <c r="AI981" s="3" t="e">
        <f t="shared" ca="1" si="158"/>
        <v>#N/A</v>
      </c>
    </row>
    <row r="982" spans="7:35" ht="15.75" thickBot="1" x14ac:dyDescent="0.3">
      <c r="G982" s="3">
        <f t="shared" si="150"/>
        <v>155</v>
      </c>
      <c r="H982" s="106">
        <f t="shared" si="159"/>
        <v>45080</v>
      </c>
      <c r="I982" s="133">
        <f>HLOOKUP($H$4,'Met Data'!$A$2:$F$368,G982,FALSE)</f>
        <v>11.056666666666599</v>
      </c>
      <c r="J982" s="131">
        <f ca="1">HLOOKUP($H$4,'Met Data'!$H$2:$M$368,G982,FALSE)*L982</f>
        <v>2.78666666666666</v>
      </c>
      <c r="K982" s="107">
        <f>HLOOKUP($H$4,'Met Data'!$O$2:$T$368,G982,FALSE)</f>
        <v>1.4941006859236099</v>
      </c>
      <c r="L982">
        <f t="shared" ca="1" si="151"/>
        <v>1</v>
      </c>
      <c r="N982" t="e">
        <f t="shared" ca="1" si="152"/>
        <v>#N/A</v>
      </c>
      <c r="O982" t="e">
        <f t="shared" ca="1" si="153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4"/>
        <v>0</v>
      </c>
      <c r="AE982" s="46">
        <f t="shared" ca="1" si="155"/>
        <v>0</v>
      </c>
      <c r="AG982" s="72" t="e">
        <f t="shared" ca="1" si="156"/>
        <v>#N/A</v>
      </c>
      <c r="AH982" s="72" t="e">
        <f t="shared" ca="1" si="157"/>
        <v>#N/A</v>
      </c>
      <c r="AI982" s="3" t="e">
        <f t="shared" ca="1" si="158"/>
        <v>#N/A</v>
      </c>
    </row>
    <row r="983" spans="7:35" ht="15.75" thickBot="1" x14ac:dyDescent="0.3">
      <c r="G983" s="3">
        <f t="shared" si="150"/>
        <v>156</v>
      </c>
      <c r="H983" s="106">
        <f t="shared" si="159"/>
        <v>45081</v>
      </c>
      <c r="I983" s="133">
        <f>HLOOKUP($H$4,'Met Data'!$A$2:$F$368,G983,FALSE)</f>
        <v>11.1733333333333</v>
      </c>
      <c r="J983" s="131">
        <f ca="1">HLOOKUP($H$4,'Met Data'!$H$2:$M$368,G983,FALSE)*L983</f>
        <v>4.3899999999999997</v>
      </c>
      <c r="K983" s="107">
        <f>HLOOKUP($H$4,'Met Data'!$O$2:$T$368,G983,FALSE)</f>
        <v>1.35454855749501</v>
      </c>
      <c r="L983">
        <f t="shared" ca="1" si="151"/>
        <v>1</v>
      </c>
      <c r="N983" t="e">
        <f t="shared" ca="1" si="152"/>
        <v>#N/A</v>
      </c>
      <c r="O983" t="e">
        <f t="shared" ca="1" si="153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4"/>
        <v>0</v>
      </c>
      <c r="AE983" s="46">
        <f t="shared" ca="1" si="155"/>
        <v>0</v>
      </c>
      <c r="AG983" s="72" t="e">
        <f t="shared" ca="1" si="156"/>
        <v>#N/A</v>
      </c>
      <c r="AH983" s="72" t="e">
        <f t="shared" ca="1" si="157"/>
        <v>#N/A</v>
      </c>
      <c r="AI983" s="3" t="e">
        <f t="shared" ca="1" si="158"/>
        <v>#N/A</v>
      </c>
    </row>
    <row r="984" spans="7:35" ht="15.75" thickBot="1" x14ac:dyDescent="0.3">
      <c r="G984" s="3">
        <f t="shared" si="150"/>
        <v>157</v>
      </c>
      <c r="H984" s="106">
        <f t="shared" si="159"/>
        <v>45082</v>
      </c>
      <c r="I984" s="133">
        <f>HLOOKUP($H$4,'Met Data'!$A$2:$F$368,G984,FALSE)</f>
        <v>11.3016666666666</v>
      </c>
      <c r="J984" s="131">
        <f ca="1">HLOOKUP($H$4,'Met Data'!$H$2:$M$368,G984,FALSE)*L984</f>
        <v>3.3633333333333302</v>
      </c>
      <c r="K984" s="107">
        <f>HLOOKUP($H$4,'Met Data'!$O$2:$T$368,G984,FALSE)</f>
        <v>1.3233452483653401</v>
      </c>
      <c r="L984">
        <f t="shared" ca="1" si="151"/>
        <v>1</v>
      </c>
      <c r="N984" t="e">
        <f t="shared" ca="1" si="152"/>
        <v>#N/A</v>
      </c>
      <c r="O984" t="e">
        <f t="shared" ca="1" si="153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4"/>
        <v>0</v>
      </c>
      <c r="AE984" s="46">
        <f t="shared" ca="1" si="155"/>
        <v>0</v>
      </c>
      <c r="AG984" s="72" t="e">
        <f t="shared" ca="1" si="156"/>
        <v>#N/A</v>
      </c>
      <c r="AH984" s="72" t="e">
        <f t="shared" ca="1" si="157"/>
        <v>#N/A</v>
      </c>
      <c r="AI984" s="3" t="e">
        <f t="shared" ca="1" si="158"/>
        <v>#N/A</v>
      </c>
    </row>
    <row r="985" spans="7:35" ht="15.75" thickBot="1" x14ac:dyDescent="0.3">
      <c r="G985" s="3">
        <f t="shared" si="150"/>
        <v>158</v>
      </c>
      <c r="H985" s="106">
        <f t="shared" si="159"/>
        <v>45083</v>
      </c>
      <c r="I985" s="133">
        <f>HLOOKUP($H$4,'Met Data'!$A$2:$F$368,G985,FALSE)</f>
        <v>11.2416666666666</v>
      </c>
      <c r="J985" s="131">
        <f ca="1">HLOOKUP($H$4,'Met Data'!$H$2:$M$368,G985,FALSE)*L985</f>
        <v>3.4666666666666601</v>
      </c>
      <c r="K985" s="107">
        <f>HLOOKUP($H$4,'Met Data'!$O$2:$T$368,G985,FALSE)</f>
        <v>1.31169017597242</v>
      </c>
      <c r="L985">
        <f t="shared" ca="1" si="151"/>
        <v>1</v>
      </c>
      <c r="N985" t="e">
        <f t="shared" ca="1" si="152"/>
        <v>#N/A</v>
      </c>
      <c r="O985" t="e">
        <f t="shared" ca="1" si="153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4"/>
        <v>0</v>
      </c>
      <c r="AE985" s="46">
        <f t="shared" ca="1" si="155"/>
        <v>0</v>
      </c>
      <c r="AG985" s="72" t="e">
        <f t="shared" ca="1" si="156"/>
        <v>#N/A</v>
      </c>
      <c r="AH985" s="72" t="e">
        <f t="shared" ca="1" si="157"/>
        <v>#N/A</v>
      </c>
      <c r="AI985" s="3" t="e">
        <f t="shared" ca="1" si="158"/>
        <v>#N/A</v>
      </c>
    </row>
    <row r="986" spans="7:35" ht="15.75" thickBot="1" x14ac:dyDescent="0.3">
      <c r="G986" s="3">
        <f t="shared" si="150"/>
        <v>159</v>
      </c>
      <c r="H986" s="106">
        <f t="shared" si="159"/>
        <v>45084</v>
      </c>
      <c r="I986" s="133">
        <f>HLOOKUP($H$4,'Met Data'!$A$2:$F$368,G986,FALSE)</f>
        <v>11.3533333333333</v>
      </c>
      <c r="J986" s="131">
        <f ca="1">HLOOKUP($H$4,'Met Data'!$H$2:$M$368,G986,FALSE)*L986</f>
        <v>3.12333333333333</v>
      </c>
      <c r="K986" s="107">
        <f>HLOOKUP($H$4,'Met Data'!$O$2:$T$368,G986,FALSE)</f>
        <v>1.3774495437093499</v>
      </c>
      <c r="L986">
        <f t="shared" ca="1" si="151"/>
        <v>1</v>
      </c>
      <c r="N986" t="e">
        <f t="shared" ca="1" si="152"/>
        <v>#N/A</v>
      </c>
      <c r="O986" t="e">
        <f t="shared" ca="1" si="153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4"/>
        <v>0</v>
      </c>
      <c r="AE986" s="46">
        <f t="shared" ca="1" si="155"/>
        <v>0</v>
      </c>
      <c r="AG986" s="72" t="e">
        <f t="shared" ca="1" si="156"/>
        <v>#N/A</v>
      </c>
      <c r="AH986" s="72" t="e">
        <f t="shared" ca="1" si="157"/>
        <v>#N/A</v>
      </c>
      <c r="AI986" s="3" t="e">
        <f t="shared" ca="1" si="158"/>
        <v>#N/A</v>
      </c>
    </row>
    <row r="987" spans="7:35" ht="15.75" thickBot="1" x14ac:dyDescent="0.3">
      <c r="G987" s="3">
        <f t="shared" si="150"/>
        <v>160</v>
      </c>
      <c r="H987" s="106">
        <f t="shared" si="159"/>
        <v>45085</v>
      </c>
      <c r="I987" s="133">
        <f>HLOOKUP($H$4,'Met Data'!$A$2:$F$368,G987,FALSE)</f>
        <v>11.6383333333333</v>
      </c>
      <c r="J987" s="131">
        <f ca="1">HLOOKUP($H$4,'Met Data'!$H$2:$M$368,G987,FALSE)*L987</f>
        <v>2.8</v>
      </c>
      <c r="K987" s="107">
        <f>HLOOKUP($H$4,'Met Data'!$O$2:$T$368,G987,FALSE)</f>
        <v>1.37514607405536</v>
      </c>
      <c r="L987">
        <f t="shared" ca="1" si="151"/>
        <v>1</v>
      </c>
      <c r="N987" t="e">
        <f t="shared" ca="1" si="152"/>
        <v>#N/A</v>
      </c>
      <c r="O987" t="e">
        <f t="shared" ca="1" si="153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4"/>
        <v>0</v>
      </c>
      <c r="AE987" s="46">
        <f t="shared" ca="1" si="155"/>
        <v>0</v>
      </c>
      <c r="AG987" s="72" t="e">
        <f t="shared" ca="1" si="156"/>
        <v>#N/A</v>
      </c>
      <c r="AH987" s="72" t="e">
        <f t="shared" ca="1" si="157"/>
        <v>#N/A</v>
      </c>
      <c r="AI987" s="3" t="e">
        <f t="shared" ca="1" si="158"/>
        <v>#N/A</v>
      </c>
    </row>
    <row r="988" spans="7:35" ht="15.75" thickBot="1" x14ac:dyDescent="0.3">
      <c r="G988" s="3">
        <f t="shared" si="150"/>
        <v>161</v>
      </c>
      <c r="H988" s="106">
        <f t="shared" si="159"/>
        <v>45086</v>
      </c>
      <c r="I988" s="133">
        <f>HLOOKUP($H$4,'Met Data'!$A$2:$F$368,G988,FALSE)</f>
        <v>12.033333333333299</v>
      </c>
      <c r="J988" s="131">
        <f ca="1">HLOOKUP($H$4,'Met Data'!$H$2:$M$368,G988,FALSE)*L988</f>
        <v>5.1033333333333299</v>
      </c>
      <c r="K988" s="107">
        <f>HLOOKUP($H$4,'Met Data'!$O$2:$T$368,G988,FALSE)</f>
        <v>1.2907055368786999</v>
      </c>
      <c r="L988">
        <f t="shared" ca="1" si="151"/>
        <v>1</v>
      </c>
      <c r="N988" t="e">
        <f t="shared" ca="1" si="152"/>
        <v>#N/A</v>
      </c>
      <c r="O988" t="e">
        <f t="shared" ca="1" si="153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4"/>
        <v>0</v>
      </c>
      <c r="AE988" s="46">
        <f t="shared" ca="1" si="155"/>
        <v>0</v>
      </c>
      <c r="AG988" s="72" t="e">
        <f t="shared" ca="1" si="156"/>
        <v>#N/A</v>
      </c>
      <c r="AH988" s="72" t="e">
        <f t="shared" ca="1" si="157"/>
        <v>#N/A</v>
      </c>
      <c r="AI988" s="3" t="e">
        <f t="shared" ca="1" si="158"/>
        <v>#N/A</v>
      </c>
    </row>
    <row r="989" spans="7:35" ht="15.75" thickBot="1" x14ac:dyDescent="0.3">
      <c r="G989" s="3">
        <f t="shared" si="150"/>
        <v>162</v>
      </c>
      <c r="H989" s="106">
        <f t="shared" si="159"/>
        <v>45087</v>
      </c>
      <c r="I989" s="133">
        <f>HLOOKUP($H$4,'Met Data'!$A$2:$F$368,G989,FALSE)</f>
        <v>12.0483333333333</v>
      </c>
      <c r="J989" s="131">
        <f ca="1">HLOOKUP($H$4,'Met Data'!$H$2:$M$368,G989,FALSE)*L989</f>
        <v>7.0566666666666604</v>
      </c>
      <c r="K989" s="107">
        <f>HLOOKUP($H$4,'Met Data'!$O$2:$T$368,G989,FALSE)</f>
        <v>1.1704038738008</v>
      </c>
      <c r="L989">
        <f t="shared" ca="1" si="151"/>
        <v>1</v>
      </c>
      <c r="N989" t="e">
        <f t="shared" ca="1" si="152"/>
        <v>#N/A</v>
      </c>
      <c r="O989" t="e">
        <f t="shared" ca="1" si="153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4"/>
        <v>0</v>
      </c>
      <c r="AE989" s="46">
        <f t="shared" ca="1" si="155"/>
        <v>0</v>
      </c>
      <c r="AG989" s="72" t="e">
        <f t="shared" ca="1" si="156"/>
        <v>#N/A</v>
      </c>
      <c r="AH989" s="72" t="e">
        <f t="shared" ca="1" si="157"/>
        <v>#N/A</v>
      </c>
      <c r="AI989" s="3" t="e">
        <f t="shared" ca="1" si="158"/>
        <v>#N/A</v>
      </c>
    </row>
    <row r="990" spans="7:35" ht="15.75" thickBot="1" x14ac:dyDescent="0.3">
      <c r="G990" s="3">
        <f t="shared" si="150"/>
        <v>163</v>
      </c>
      <c r="H990" s="106">
        <f t="shared" si="159"/>
        <v>45088</v>
      </c>
      <c r="I990" s="133">
        <f>HLOOKUP($H$4,'Met Data'!$A$2:$F$368,G990,FALSE)</f>
        <v>12.105</v>
      </c>
      <c r="J990" s="131">
        <f ca="1">HLOOKUP($H$4,'Met Data'!$H$2:$M$368,G990,FALSE)*L990</f>
        <v>4.8199999999999896</v>
      </c>
      <c r="K990" s="107">
        <f>HLOOKUP($H$4,'Met Data'!$O$2:$T$368,G990,FALSE)</f>
        <v>1.2848931912011301</v>
      </c>
      <c r="L990">
        <f t="shared" ca="1" si="151"/>
        <v>1</v>
      </c>
      <c r="N990" t="e">
        <f t="shared" ca="1" si="152"/>
        <v>#N/A</v>
      </c>
      <c r="O990" t="e">
        <f t="shared" ca="1" si="153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4"/>
        <v>0</v>
      </c>
      <c r="AE990" s="46">
        <f t="shared" ca="1" si="155"/>
        <v>0</v>
      </c>
      <c r="AG990" s="72" t="e">
        <f t="shared" ca="1" si="156"/>
        <v>#N/A</v>
      </c>
      <c r="AH990" s="72" t="e">
        <f t="shared" ca="1" si="157"/>
        <v>#N/A</v>
      </c>
      <c r="AI990" s="3" t="e">
        <f t="shared" ca="1" si="158"/>
        <v>#N/A</v>
      </c>
    </row>
    <row r="991" spans="7:35" ht="15.75" thickBot="1" x14ac:dyDescent="0.3">
      <c r="G991" s="3">
        <f t="shared" si="150"/>
        <v>164</v>
      </c>
      <c r="H991" s="106">
        <f t="shared" si="159"/>
        <v>45089</v>
      </c>
      <c r="I991" s="133">
        <f>HLOOKUP($H$4,'Met Data'!$A$2:$F$368,G991,FALSE)</f>
        <v>11.93</v>
      </c>
      <c r="J991" s="131">
        <f ca="1">HLOOKUP($H$4,'Met Data'!$H$2:$M$368,G991,FALSE)*L991</f>
        <v>4.05</v>
      </c>
      <c r="K991" s="107">
        <f>HLOOKUP($H$4,'Met Data'!$O$2:$T$368,G991,FALSE)</f>
        <v>1.2113320799843399</v>
      </c>
      <c r="L991">
        <f t="shared" ca="1" si="151"/>
        <v>1</v>
      </c>
      <c r="N991" t="e">
        <f t="shared" ca="1" si="152"/>
        <v>#N/A</v>
      </c>
      <c r="O991" t="e">
        <f t="shared" ca="1" si="153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4"/>
        <v>0</v>
      </c>
      <c r="AE991" s="46">
        <f t="shared" ca="1" si="155"/>
        <v>0</v>
      </c>
      <c r="AG991" s="72" t="e">
        <f t="shared" ca="1" si="156"/>
        <v>#N/A</v>
      </c>
      <c r="AH991" s="72" t="e">
        <f t="shared" ca="1" si="157"/>
        <v>#N/A</v>
      </c>
      <c r="AI991" s="3" t="e">
        <f t="shared" ca="1" si="158"/>
        <v>#N/A</v>
      </c>
    </row>
    <row r="992" spans="7:35" ht="15.75" thickBot="1" x14ac:dyDescent="0.3">
      <c r="G992" s="3">
        <f t="shared" si="150"/>
        <v>165</v>
      </c>
      <c r="H992" s="106">
        <f t="shared" si="159"/>
        <v>45090</v>
      </c>
      <c r="I992" s="133">
        <f>HLOOKUP($H$4,'Met Data'!$A$2:$F$368,G992,FALSE)</f>
        <v>11.734999999999999</v>
      </c>
      <c r="J992" s="131">
        <f ca="1">HLOOKUP($H$4,'Met Data'!$H$2:$M$368,G992,FALSE)*L992</f>
        <v>3.5866666666666598</v>
      </c>
      <c r="K992" s="107">
        <f>HLOOKUP($H$4,'Met Data'!$O$2:$T$368,G992,FALSE)</f>
        <v>1.4600871377923801</v>
      </c>
      <c r="L992">
        <f t="shared" ca="1" si="151"/>
        <v>1</v>
      </c>
      <c r="N992" t="e">
        <f t="shared" ca="1" si="152"/>
        <v>#N/A</v>
      </c>
      <c r="O992" t="e">
        <f t="shared" ca="1" si="153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4"/>
        <v>0</v>
      </c>
      <c r="AE992" s="46">
        <f t="shared" ca="1" si="155"/>
        <v>0</v>
      </c>
      <c r="AG992" s="72" t="e">
        <f t="shared" ca="1" si="156"/>
        <v>#N/A</v>
      </c>
      <c r="AH992" s="72" t="e">
        <f t="shared" ca="1" si="157"/>
        <v>#N/A</v>
      </c>
      <c r="AI992" s="3" t="e">
        <f t="shared" ca="1" si="158"/>
        <v>#N/A</v>
      </c>
    </row>
    <row r="993" spans="7:35" ht="15.75" thickBot="1" x14ac:dyDescent="0.3">
      <c r="G993" s="3">
        <f t="shared" si="150"/>
        <v>166</v>
      </c>
      <c r="H993" s="106">
        <f t="shared" si="159"/>
        <v>45091</v>
      </c>
      <c r="I993" s="133">
        <f>HLOOKUP($H$4,'Met Data'!$A$2:$F$368,G993,FALSE)</f>
        <v>11.1666666666666</v>
      </c>
      <c r="J993" s="131">
        <f ca="1">HLOOKUP($H$4,'Met Data'!$H$2:$M$368,G993,FALSE)*L993</f>
        <v>3.2966666666666602</v>
      </c>
      <c r="K993" s="107">
        <f>HLOOKUP($H$4,'Met Data'!$O$2:$T$368,G993,FALSE)</f>
        <v>1.34458805503312</v>
      </c>
      <c r="L993">
        <f t="shared" ca="1" si="151"/>
        <v>1</v>
      </c>
      <c r="N993" t="e">
        <f t="shared" ca="1" si="152"/>
        <v>#N/A</v>
      </c>
      <c r="O993" t="e">
        <f t="shared" ca="1" si="153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4"/>
        <v>0</v>
      </c>
      <c r="AE993" s="46">
        <f t="shared" ca="1" si="155"/>
        <v>0</v>
      </c>
      <c r="AG993" s="72" t="e">
        <f t="shared" ca="1" si="156"/>
        <v>#N/A</v>
      </c>
      <c r="AH993" s="72" t="e">
        <f t="shared" ca="1" si="157"/>
        <v>#N/A</v>
      </c>
      <c r="AI993" s="3" t="e">
        <f t="shared" ca="1" si="158"/>
        <v>#N/A</v>
      </c>
    </row>
    <row r="994" spans="7:35" ht="15.75" thickBot="1" x14ac:dyDescent="0.3">
      <c r="G994" s="3">
        <f t="shared" si="150"/>
        <v>167</v>
      </c>
      <c r="H994" s="106">
        <f t="shared" si="159"/>
        <v>45092</v>
      </c>
      <c r="I994" s="133">
        <f>HLOOKUP($H$4,'Met Data'!$A$2:$F$368,G994,FALSE)</f>
        <v>11.2283333333333</v>
      </c>
      <c r="J994" s="131">
        <f ca="1">HLOOKUP($H$4,'Met Data'!$H$2:$M$368,G994,FALSE)*L994</f>
        <v>6.4733333333333301</v>
      </c>
      <c r="K994" s="107">
        <f>HLOOKUP($H$4,'Met Data'!$O$2:$T$368,G994,FALSE)</f>
        <v>1.38085812732775</v>
      </c>
      <c r="L994">
        <f t="shared" ca="1" si="151"/>
        <v>1</v>
      </c>
      <c r="N994" t="e">
        <f t="shared" ca="1" si="152"/>
        <v>#N/A</v>
      </c>
      <c r="O994" t="e">
        <f t="shared" ca="1" si="153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4"/>
        <v>0</v>
      </c>
      <c r="AE994" s="46">
        <f t="shared" ca="1" si="155"/>
        <v>0</v>
      </c>
      <c r="AG994" s="72" t="e">
        <f t="shared" ca="1" si="156"/>
        <v>#N/A</v>
      </c>
      <c r="AH994" s="72" t="e">
        <f t="shared" ca="1" si="157"/>
        <v>#N/A</v>
      </c>
      <c r="AI994" s="3" t="e">
        <f t="shared" ca="1" si="158"/>
        <v>#N/A</v>
      </c>
    </row>
    <row r="995" spans="7:35" ht="15.75" thickBot="1" x14ac:dyDescent="0.3">
      <c r="G995" s="3">
        <f t="shared" si="150"/>
        <v>168</v>
      </c>
      <c r="H995" s="106">
        <f t="shared" si="159"/>
        <v>45093</v>
      </c>
      <c r="I995" s="133">
        <f>HLOOKUP($H$4,'Met Data'!$A$2:$F$368,G995,FALSE)</f>
        <v>10.6586206896551</v>
      </c>
      <c r="J995" s="131">
        <f ca="1">HLOOKUP($H$4,'Met Data'!$H$2:$M$368,G995,FALSE)*L995</f>
        <v>4.2733333333333299</v>
      </c>
      <c r="K995" s="107">
        <f>HLOOKUP($H$4,'Met Data'!$O$2:$T$368,G995,FALSE)</f>
        <v>1.38162675040215</v>
      </c>
      <c r="L995">
        <f t="shared" ca="1" si="151"/>
        <v>1</v>
      </c>
      <c r="N995" t="e">
        <f t="shared" ca="1" si="152"/>
        <v>#N/A</v>
      </c>
      <c r="O995" t="e">
        <f t="shared" ca="1" si="153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4"/>
        <v>0</v>
      </c>
      <c r="AE995" s="46">
        <f t="shared" ca="1" si="155"/>
        <v>0</v>
      </c>
      <c r="AG995" s="72" t="e">
        <f t="shared" ca="1" si="156"/>
        <v>#N/A</v>
      </c>
      <c r="AH995" s="72" t="e">
        <f t="shared" ca="1" si="157"/>
        <v>#N/A</v>
      </c>
      <c r="AI995" s="3" t="e">
        <f t="shared" ca="1" si="158"/>
        <v>#N/A</v>
      </c>
    </row>
    <row r="996" spans="7:35" ht="15.75" thickBot="1" x14ac:dyDescent="0.3">
      <c r="G996" s="3">
        <f t="shared" si="150"/>
        <v>169</v>
      </c>
      <c r="H996" s="106">
        <f t="shared" si="159"/>
        <v>45094</v>
      </c>
      <c r="I996" s="133">
        <f>HLOOKUP($H$4,'Met Data'!$A$2:$F$368,G996,FALSE)</f>
        <v>10.7310344827586</v>
      </c>
      <c r="J996" s="131">
        <f ca="1">HLOOKUP($H$4,'Met Data'!$H$2:$M$368,G996,FALSE)*L996</f>
        <v>4.5699999999999896</v>
      </c>
      <c r="K996" s="107">
        <f>HLOOKUP($H$4,'Met Data'!$O$2:$T$368,G996,FALSE)</f>
        <v>1.17648432087559</v>
      </c>
      <c r="L996">
        <f t="shared" ca="1" si="151"/>
        <v>1</v>
      </c>
      <c r="N996" t="e">
        <f t="shared" ca="1" si="152"/>
        <v>#N/A</v>
      </c>
      <c r="O996" t="e">
        <f t="shared" ca="1" si="153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4"/>
        <v>0</v>
      </c>
      <c r="AE996" s="46">
        <f t="shared" ca="1" si="155"/>
        <v>0</v>
      </c>
      <c r="AG996" s="72" t="e">
        <f t="shared" ca="1" si="156"/>
        <v>#N/A</v>
      </c>
      <c r="AH996" s="72" t="e">
        <f t="shared" ca="1" si="157"/>
        <v>#N/A</v>
      </c>
      <c r="AI996" s="3" t="e">
        <f t="shared" ca="1" si="158"/>
        <v>#N/A</v>
      </c>
    </row>
    <row r="997" spans="7:35" ht="15.75" thickBot="1" x14ac:dyDescent="0.3">
      <c r="G997" s="3">
        <f t="shared" si="150"/>
        <v>170</v>
      </c>
      <c r="H997" s="106">
        <f t="shared" si="159"/>
        <v>45095</v>
      </c>
      <c r="I997" s="133">
        <f>HLOOKUP($H$4,'Met Data'!$A$2:$F$368,G997,FALSE)</f>
        <v>11.2603448275862</v>
      </c>
      <c r="J997" s="131">
        <f ca="1">HLOOKUP($H$4,'Met Data'!$H$2:$M$368,G997,FALSE)*L997</f>
        <v>4.72</v>
      </c>
      <c r="K997" s="107">
        <f>HLOOKUP($H$4,'Met Data'!$O$2:$T$368,G997,FALSE)</f>
        <v>1.1014836099696199</v>
      </c>
      <c r="L997">
        <f t="shared" ca="1" si="151"/>
        <v>1</v>
      </c>
      <c r="N997" t="e">
        <f t="shared" ca="1" si="152"/>
        <v>#N/A</v>
      </c>
      <c r="O997" t="e">
        <f t="shared" ca="1" si="153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4"/>
        <v>0</v>
      </c>
      <c r="AE997" s="46">
        <f t="shared" ca="1" si="155"/>
        <v>0</v>
      </c>
      <c r="AG997" s="72" t="e">
        <f t="shared" ca="1" si="156"/>
        <v>#N/A</v>
      </c>
      <c r="AH997" s="72" t="e">
        <f t="shared" ca="1" si="157"/>
        <v>#N/A</v>
      </c>
      <c r="AI997" s="3" t="e">
        <f t="shared" ca="1" si="158"/>
        <v>#N/A</v>
      </c>
    </row>
    <row r="998" spans="7:35" ht="15.75" thickBot="1" x14ac:dyDescent="0.3">
      <c r="G998" s="3">
        <f t="shared" si="150"/>
        <v>171</v>
      </c>
      <c r="H998" s="106">
        <f t="shared" si="159"/>
        <v>45096</v>
      </c>
      <c r="I998" s="133">
        <f>HLOOKUP($H$4,'Met Data'!$A$2:$F$368,G998,FALSE)</f>
        <v>10.906896551724101</v>
      </c>
      <c r="J998" s="131">
        <f ca="1">HLOOKUP($H$4,'Met Data'!$H$2:$M$368,G998,FALSE)*L998</f>
        <v>4.07</v>
      </c>
      <c r="K998" s="107">
        <f>HLOOKUP($H$4,'Met Data'!$O$2:$T$368,G998,FALSE)</f>
        <v>1.1347149368896201</v>
      </c>
      <c r="L998">
        <f t="shared" ca="1" si="151"/>
        <v>1</v>
      </c>
      <c r="N998" t="e">
        <f t="shared" ca="1" si="152"/>
        <v>#N/A</v>
      </c>
      <c r="O998" t="e">
        <f t="shared" ca="1" si="153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4"/>
        <v>0</v>
      </c>
      <c r="AE998" s="46">
        <f t="shared" ca="1" si="155"/>
        <v>0</v>
      </c>
      <c r="AG998" s="72" t="e">
        <f t="shared" ca="1" si="156"/>
        <v>#N/A</v>
      </c>
      <c r="AH998" s="72" t="e">
        <f t="shared" ca="1" si="157"/>
        <v>#N/A</v>
      </c>
      <c r="AI998" s="3" t="e">
        <f t="shared" ca="1" si="158"/>
        <v>#N/A</v>
      </c>
    </row>
    <row r="999" spans="7:35" ht="15.75" thickBot="1" x14ac:dyDescent="0.3">
      <c r="G999" s="3">
        <f t="shared" si="150"/>
        <v>172</v>
      </c>
      <c r="H999" s="106">
        <f t="shared" si="159"/>
        <v>45097</v>
      </c>
      <c r="I999" s="133">
        <f>HLOOKUP($H$4,'Met Data'!$A$2:$F$368,G999,FALSE)</f>
        <v>11.072413793103401</v>
      </c>
      <c r="J999" s="131">
        <f ca="1">HLOOKUP($H$4,'Met Data'!$H$2:$M$368,G999,FALSE)*L999</f>
        <v>5.89333333333333</v>
      </c>
      <c r="K999" s="107">
        <f>HLOOKUP($H$4,'Met Data'!$O$2:$T$368,G999,FALSE)</f>
        <v>1.25671546368113</v>
      </c>
      <c r="L999">
        <f t="shared" ca="1" si="151"/>
        <v>1</v>
      </c>
      <c r="N999" t="e">
        <f t="shared" ca="1" si="152"/>
        <v>#N/A</v>
      </c>
      <c r="O999" t="e">
        <f t="shared" ca="1" si="153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4"/>
        <v>0</v>
      </c>
      <c r="AE999" s="46">
        <f t="shared" ca="1" si="155"/>
        <v>0</v>
      </c>
      <c r="AG999" s="72" t="e">
        <f t="shared" ca="1" si="156"/>
        <v>#N/A</v>
      </c>
      <c r="AH999" s="72" t="e">
        <f t="shared" ca="1" si="157"/>
        <v>#N/A</v>
      </c>
      <c r="AI999" s="3" t="e">
        <f t="shared" ca="1" si="158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E8" sqref="E8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5" t="s">
        <v>45</v>
      </c>
      <c r="B1" s="58" t="s">
        <v>44</v>
      </c>
      <c r="C1" s="58" t="s">
        <v>56</v>
      </c>
      <c r="D1" s="58" t="s">
        <v>97</v>
      </c>
      <c r="E1" s="58" t="s">
        <v>80</v>
      </c>
      <c r="F1" s="58" t="s">
        <v>79</v>
      </c>
      <c r="G1" s="58" t="s">
        <v>78</v>
      </c>
      <c r="H1" s="58" t="s">
        <v>51</v>
      </c>
      <c r="I1" s="58" t="s">
        <v>64</v>
      </c>
      <c r="J1" s="58" t="s">
        <v>11</v>
      </c>
      <c r="K1" s="58" t="s">
        <v>76</v>
      </c>
      <c r="L1" s="58" t="s">
        <v>52</v>
      </c>
      <c r="M1" s="58" t="s">
        <v>83</v>
      </c>
      <c r="N1" s="58" t="s">
        <v>63</v>
      </c>
      <c r="O1" s="58" t="s">
        <v>85</v>
      </c>
      <c r="P1" s="58" t="s">
        <v>38</v>
      </c>
      <c r="Q1" s="58" t="s">
        <v>75</v>
      </c>
      <c r="R1" s="58" t="s">
        <v>35</v>
      </c>
      <c r="S1" s="58" t="s">
        <v>41</v>
      </c>
      <c r="T1" s="58" t="s">
        <v>91</v>
      </c>
      <c r="U1" s="58" t="s">
        <v>70</v>
      </c>
      <c r="V1" s="58" t="s">
        <v>54</v>
      </c>
      <c r="W1" s="58" t="s">
        <v>6</v>
      </c>
      <c r="X1" s="58" t="s">
        <v>55</v>
      </c>
      <c r="Y1" s="58" t="s">
        <v>58</v>
      </c>
      <c r="Z1" s="58" t="s">
        <v>49</v>
      </c>
      <c r="AA1" s="58" t="s">
        <v>60</v>
      </c>
      <c r="AB1" s="58" t="s">
        <v>37</v>
      </c>
      <c r="AC1" s="58" t="s">
        <v>7</v>
      </c>
      <c r="AD1" s="58" t="s">
        <v>62</v>
      </c>
      <c r="AE1" s="58" t="s">
        <v>94</v>
      </c>
      <c r="AF1" s="58" t="s">
        <v>57</v>
      </c>
      <c r="AG1" s="58" t="s">
        <v>59</v>
      </c>
      <c r="AH1" s="58" t="s">
        <v>8</v>
      </c>
      <c r="AI1" s="58" t="s">
        <v>89</v>
      </c>
      <c r="AJ1" s="58" t="s">
        <v>66</v>
      </c>
      <c r="AK1" s="58" t="s">
        <v>40</v>
      </c>
      <c r="AL1" s="58" t="s">
        <v>61</v>
      </c>
      <c r="AM1" s="58" t="s">
        <v>87</v>
      </c>
      <c r="AN1" s="58" t="s">
        <v>46</v>
      </c>
      <c r="AO1" s="58" t="s">
        <v>65</v>
      </c>
      <c r="AP1" s="58" t="s">
        <v>77</v>
      </c>
      <c r="AQ1" s="58" t="s">
        <v>96</v>
      </c>
      <c r="AR1" s="58" t="s">
        <v>74</v>
      </c>
      <c r="AS1" s="58" t="s">
        <v>88</v>
      </c>
      <c r="AT1" s="58" t="s">
        <v>53</v>
      </c>
      <c r="AU1" s="58" t="s">
        <v>39</v>
      </c>
      <c r="AV1" s="58" t="s">
        <v>98</v>
      </c>
      <c r="AW1" s="58" t="s">
        <v>95</v>
      </c>
      <c r="AX1" s="58" t="s">
        <v>48</v>
      </c>
      <c r="AY1" s="58" t="s">
        <v>32</v>
      </c>
      <c r="AZ1" s="59" t="s">
        <v>42</v>
      </c>
      <c r="BA1" s="1"/>
    </row>
    <row r="2" spans="1:53" x14ac:dyDescent="0.25">
      <c r="A2" s="14" t="s">
        <v>33</v>
      </c>
      <c r="B2" s="28" t="s">
        <v>33</v>
      </c>
      <c r="C2" s="28" t="s">
        <v>33</v>
      </c>
      <c r="D2" s="28" t="s">
        <v>33</v>
      </c>
      <c r="E2" s="28" t="s">
        <v>81</v>
      </c>
      <c r="F2" s="28" t="s">
        <v>33</v>
      </c>
      <c r="G2" s="28" t="s">
        <v>33</v>
      </c>
      <c r="H2" s="28" t="s">
        <v>33</v>
      </c>
      <c r="I2" s="28" t="s">
        <v>33</v>
      </c>
      <c r="J2" s="28" t="s">
        <v>33</v>
      </c>
      <c r="K2" s="28" t="s">
        <v>33</v>
      </c>
      <c r="L2" s="28" t="s">
        <v>33</v>
      </c>
      <c r="M2" s="28" t="s">
        <v>33</v>
      </c>
      <c r="N2" s="28" t="s">
        <v>33</v>
      </c>
      <c r="O2" s="28" t="s">
        <v>33</v>
      </c>
      <c r="P2" s="28" t="s">
        <v>33</v>
      </c>
      <c r="Q2" s="28" t="s">
        <v>33</v>
      </c>
      <c r="R2" s="28" t="s">
        <v>33</v>
      </c>
      <c r="S2" s="28" t="s">
        <v>33</v>
      </c>
      <c r="T2" s="28" t="s">
        <v>33</v>
      </c>
      <c r="U2" s="28" t="s">
        <v>33</v>
      </c>
      <c r="V2" s="28" t="s">
        <v>33</v>
      </c>
      <c r="W2" s="28" t="s">
        <v>92</v>
      </c>
      <c r="X2" s="28" t="s">
        <v>33</v>
      </c>
      <c r="Y2" s="28" t="s">
        <v>33</v>
      </c>
      <c r="Z2" s="28" t="s">
        <v>33</v>
      </c>
      <c r="AA2" s="28" t="s">
        <v>33</v>
      </c>
      <c r="AB2" s="28" t="s">
        <v>33</v>
      </c>
      <c r="AC2" s="28" t="s">
        <v>71</v>
      </c>
      <c r="AD2" s="28" t="s">
        <v>33</v>
      </c>
      <c r="AE2" s="28" t="s">
        <v>33</v>
      </c>
      <c r="AF2" s="28" t="s">
        <v>33</v>
      </c>
      <c r="AG2" s="28" t="s">
        <v>33</v>
      </c>
      <c r="AH2" s="28" t="s">
        <v>33</v>
      </c>
      <c r="AI2" s="28" t="s">
        <v>33</v>
      </c>
      <c r="AJ2" s="28" t="s">
        <v>67</v>
      </c>
      <c r="AK2" s="28" t="s">
        <v>33</v>
      </c>
      <c r="AL2" s="28" t="s">
        <v>33</v>
      </c>
      <c r="AM2" s="28" t="s">
        <v>33</v>
      </c>
      <c r="AN2" s="28" t="s">
        <v>33</v>
      </c>
      <c r="AO2" s="28" t="s">
        <v>33</v>
      </c>
      <c r="AP2" s="28" t="s">
        <v>33</v>
      </c>
      <c r="AQ2" s="28" t="s">
        <v>33</v>
      </c>
      <c r="AR2" s="28" t="s">
        <v>33</v>
      </c>
      <c r="AS2" s="28" t="s">
        <v>33</v>
      </c>
      <c r="AT2" s="28" t="s">
        <v>33</v>
      </c>
      <c r="AU2" s="28" t="s">
        <v>33</v>
      </c>
      <c r="AV2" s="28" t="s">
        <v>33</v>
      </c>
      <c r="AW2" s="28" t="s">
        <v>33</v>
      </c>
      <c r="AX2" s="28" t="s">
        <v>33</v>
      </c>
      <c r="AY2" s="28" t="s">
        <v>33</v>
      </c>
      <c r="AZ2" s="15" t="s">
        <v>31</v>
      </c>
    </row>
    <row r="3" spans="1:53" x14ac:dyDescent="0.25">
      <c r="A3" s="14"/>
      <c r="B3" s="28"/>
      <c r="C3" s="28"/>
      <c r="D3" s="28"/>
      <c r="E3" s="28" t="s">
        <v>82</v>
      </c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 t="s">
        <v>93</v>
      </c>
      <c r="X3" s="28"/>
      <c r="Y3" s="28"/>
      <c r="Z3" s="28"/>
      <c r="AA3" s="28"/>
      <c r="AB3" s="28"/>
      <c r="AC3" s="28" t="s">
        <v>72</v>
      </c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15" t="s">
        <v>43</v>
      </c>
    </row>
    <row r="4" spans="1:53" x14ac:dyDescent="0.25">
      <c r="A4" s="14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 t="s">
        <v>73</v>
      </c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15"/>
    </row>
    <row r="5" spans="1:53" ht="15.75" thickBot="1" x14ac:dyDescent="0.3">
      <c r="A5" s="16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17"/>
    </row>
    <row r="6" spans="1:53" ht="15.75" thickBot="1" x14ac:dyDescent="0.3">
      <c r="AI6" t="s">
        <v>236</v>
      </c>
      <c r="AJ6" t="s">
        <v>238</v>
      </c>
    </row>
    <row r="7" spans="1:53" x14ac:dyDescent="0.25">
      <c r="A7" s="51" t="s">
        <v>31</v>
      </c>
      <c r="B7" s="52" t="s">
        <v>34</v>
      </c>
      <c r="C7" s="52" t="s">
        <v>36</v>
      </c>
      <c r="D7" s="52" t="s">
        <v>50</v>
      </c>
      <c r="E7" s="52" t="s">
        <v>241</v>
      </c>
      <c r="F7" s="52" t="s">
        <v>20</v>
      </c>
      <c r="G7" s="53" t="s">
        <v>69</v>
      </c>
      <c r="J7" s="35" t="s">
        <v>106</v>
      </c>
      <c r="L7" s="50" t="s">
        <v>107</v>
      </c>
      <c r="N7" s="47" t="s">
        <v>171</v>
      </c>
      <c r="P7" s="47" t="s">
        <v>172</v>
      </c>
      <c r="R7" s="47" t="s">
        <v>1</v>
      </c>
      <c r="U7" s="47" t="s">
        <v>3</v>
      </c>
      <c r="X7" s="128" t="s">
        <v>198</v>
      </c>
      <c r="Z7" s="128" t="s">
        <v>217</v>
      </c>
      <c r="AA7">
        <v>1.7</v>
      </c>
      <c r="AC7" t="s">
        <v>220</v>
      </c>
      <c r="AE7" t="s">
        <v>229</v>
      </c>
      <c r="AF7">
        <v>2</v>
      </c>
      <c r="AH7" t="s">
        <v>231</v>
      </c>
      <c r="AI7">
        <v>0.7</v>
      </c>
      <c r="AJ7">
        <v>0.76</v>
      </c>
    </row>
    <row r="8" spans="1:53" x14ac:dyDescent="0.25">
      <c r="A8" s="54" t="s">
        <v>32</v>
      </c>
      <c r="B8" s="55" t="s">
        <v>35</v>
      </c>
      <c r="C8" s="55" t="s">
        <v>45</v>
      </c>
      <c r="D8" s="55" t="s">
        <v>44</v>
      </c>
      <c r="E8" s="55" t="s">
        <v>58</v>
      </c>
      <c r="F8" s="55" t="s">
        <v>64</v>
      </c>
      <c r="G8" s="56" t="s">
        <v>56</v>
      </c>
      <c r="J8" s="14" t="s">
        <v>20</v>
      </c>
      <c r="L8" s="48" t="s">
        <v>21</v>
      </c>
      <c r="N8" s="48" t="s">
        <v>170</v>
      </c>
      <c r="P8" s="48" t="s">
        <v>179</v>
      </c>
      <c r="R8" s="48" t="s">
        <v>2</v>
      </c>
      <c r="S8">
        <v>1000</v>
      </c>
      <c r="U8" s="48" t="s">
        <v>191</v>
      </c>
      <c r="V8">
        <v>1</v>
      </c>
      <c r="X8" s="48" t="s">
        <v>199</v>
      </c>
      <c r="Z8" s="48" t="s">
        <v>205</v>
      </c>
      <c r="AA8">
        <v>1.35</v>
      </c>
      <c r="AC8" t="s">
        <v>228</v>
      </c>
      <c r="AE8" t="s">
        <v>230</v>
      </c>
      <c r="AF8">
        <v>3</v>
      </c>
      <c r="AH8" t="s">
        <v>71</v>
      </c>
      <c r="AI8">
        <v>1.1499999999999999</v>
      </c>
      <c r="AJ8">
        <v>1.22</v>
      </c>
    </row>
    <row r="9" spans="1:53" ht="15.75" thickBot="1" x14ac:dyDescent="0.3">
      <c r="A9" s="14"/>
      <c r="B9" s="28"/>
      <c r="C9" s="55" t="s">
        <v>44</v>
      </c>
      <c r="D9" s="55" t="s">
        <v>56</v>
      </c>
      <c r="E9" s="55" t="s">
        <v>60</v>
      </c>
      <c r="F9" s="55" t="s">
        <v>63</v>
      </c>
      <c r="G9" s="56" t="s">
        <v>97</v>
      </c>
      <c r="J9" s="16" t="s">
        <v>22</v>
      </c>
      <c r="L9" s="48" t="s">
        <v>23</v>
      </c>
      <c r="N9" s="48" t="s">
        <v>108</v>
      </c>
      <c r="P9" s="48" t="s">
        <v>181</v>
      </c>
      <c r="R9" s="48" t="s">
        <v>109</v>
      </c>
      <c r="S9">
        <v>1</v>
      </c>
      <c r="U9" s="48" t="s">
        <v>192</v>
      </c>
      <c r="V9">
        <v>2</v>
      </c>
      <c r="X9" s="48" t="s">
        <v>201</v>
      </c>
      <c r="Z9" s="48" t="s">
        <v>204</v>
      </c>
      <c r="AA9">
        <v>1</v>
      </c>
      <c r="AH9" t="s">
        <v>232</v>
      </c>
      <c r="AI9">
        <v>1.1499999999999999</v>
      </c>
      <c r="AJ9">
        <v>1.2</v>
      </c>
    </row>
    <row r="10" spans="1:53" ht="15.75" thickBot="1" x14ac:dyDescent="0.3">
      <c r="A10" s="14"/>
      <c r="B10" s="28"/>
      <c r="C10" s="55" t="s">
        <v>38</v>
      </c>
      <c r="D10" s="55" t="s">
        <v>51</v>
      </c>
      <c r="E10" s="55" t="s">
        <v>59</v>
      </c>
      <c r="F10" s="55" t="s">
        <v>62</v>
      </c>
      <c r="G10" s="56" t="s">
        <v>80</v>
      </c>
      <c r="L10" s="48" t="s">
        <v>24</v>
      </c>
      <c r="N10" s="48" t="s">
        <v>110</v>
      </c>
      <c r="P10" s="49" t="s">
        <v>180</v>
      </c>
      <c r="R10" s="49" t="s">
        <v>16</v>
      </c>
      <c r="S10">
        <v>1</v>
      </c>
      <c r="U10" s="49" t="s">
        <v>193</v>
      </c>
      <c r="V10">
        <v>3</v>
      </c>
      <c r="X10" s="49" t="s">
        <v>200</v>
      </c>
      <c r="Z10" s="48" t="s">
        <v>206</v>
      </c>
      <c r="AA10">
        <v>0.65</v>
      </c>
      <c r="AH10" t="s">
        <v>233</v>
      </c>
      <c r="AI10">
        <v>0.8</v>
      </c>
      <c r="AJ10">
        <v>0.83</v>
      </c>
    </row>
    <row r="11" spans="1:53" ht="15.75" thickBot="1" x14ac:dyDescent="0.3">
      <c r="A11" s="14"/>
      <c r="B11" s="28"/>
      <c r="C11" s="55" t="s">
        <v>41</v>
      </c>
      <c r="D11" s="55" t="s">
        <v>52</v>
      </c>
      <c r="E11" s="55" t="s">
        <v>40</v>
      </c>
      <c r="F11" s="55" t="s">
        <v>66</v>
      </c>
      <c r="G11" s="56" t="s">
        <v>79</v>
      </c>
      <c r="L11" s="48" t="s">
        <v>25</v>
      </c>
      <c r="N11" s="48" t="s">
        <v>111</v>
      </c>
      <c r="Z11" s="49" t="s">
        <v>218</v>
      </c>
      <c r="AA11">
        <v>0.3</v>
      </c>
      <c r="AH11" t="s">
        <v>234</v>
      </c>
      <c r="AI11">
        <v>1.17</v>
      </c>
      <c r="AJ11">
        <v>1.24</v>
      </c>
    </row>
    <row r="12" spans="1:53" x14ac:dyDescent="0.25">
      <c r="A12" s="14"/>
      <c r="B12" s="28"/>
      <c r="C12" s="55" t="s">
        <v>49</v>
      </c>
      <c r="D12" s="55" t="s">
        <v>35</v>
      </c>
      <c r="E12" s="55" t="s">
        <v>42</v>
      </c>
      <c r="F12" s="55" t="s">
        <v>40</v>
      </c>
      <c r="G12" s="56" t="s">
        <v>78</v>
      </c>
      <c r="L12" s="48" t="s">
        <v>26</v>
      </c>
      <c r="N12" s="48" t="s">
        <v>155</v>
      </c>
      <c r="AH12" t="s">
        <v>235</v>
      </c>
      <c r="AI12">
        <v>1.1599999999999999</v>
      </c>
      <c r="AJ12">
        <v>1.19</v>
      </c>
    </row>
    <row r="13" spans="1:53" ht="15.75" thickBot="1" x14ac:dyDescent="0.3">
      <c r="A13" s="14"/>
      <c r="B13" s="28"/>
      <c r="C13" s="55" t="s">
        <v>37</v>
      </c>
      <c r="D13" s="55" t="s">
        <v>54</v>
      </c>
      <c r="E13" s="28"/>
      <c r="F13" s="55" t="s">
        <v>61</v>
      </c>
      <c r="G13" s="56" t="s">
        <v>64</v>
      </c>
      <c r="L13" s="49" t="s">
        <v>112</v>
      </c>
      <c r="N13" s="49"/>
      <c r="AH13" t="s">
        <v>239</v>
      </c>
    </row>
    <row r="14" spans="1:53" x14ac:dyDescent="0.25">
      <c r="A14" s="14"/>
      <c r="B14" s="28"/>
      <c r="C14" s="55" t="s">
        <v>40</v>
      </c>
      <c r="D14" s="55" t="s">
        <v>55</v>
      </c>
      <c r="E14" s="28"/>
      <c r="F14" s="55" t="s">
        <v>65</v>
      </c>
      <c r="G14" s="56" t="s">
        <v>11</v>
      </c>
    </row>
    <row r="15" spans="1:53" x14ac:dyDescent="0.25">
      <c r="A15" s="14"/>
      <c r="B15" s="28"/>
      <c r="C15" s="55" t="s">
        <v>46</v>
      </c>
      <c r="D15" s="55" t="s">
        <v>49</v>
      </c>
      <c r="E15" s="28"/>
      <c r="F15" s="55" t="s">
        <v>68</v>
      </c>
      <c r="G15" s="56" t="s">
        <v>76</v>
      </c>
    </row>
    <row r="16" spans="1:53" x14ac:dyDescent="0.25">
      <c r="A16" s="14"/>
      <c r="B16" s="28"/>
      <c r="C16" s="55" t="s">
        <v>39</v>
      </c>
      <c r="D16" s="55" t="s">
        <v>37</v>
      </c>
      <c r="E16" s="28"/>
      <c r="F16" s="28"/>
      <c r="G16" s="56" t="s">
        <v>83</v>
      </c>
    </row>
    <row r="17" spans="1:7" x14ac:dyDescent="0.25">
      <c r="A17" s="14"/>
      <c r="B17" s="28"/>
      <c r="C17" s="55" t="s">
        <v>48</v>
      </c>
      <c r="D17" s="55" t="s">
        <v>57</v>
      </c>
      <c r="E17" s="28"/>
      <c r="F17" s="28"/>
      <c r="G17" s="56" t="s">
        <v>85</v>
      </c>
    </row>
    <row r="18" spans="1:7" x14ac:dyDescent="0.25">
      <c r="A18" s="14"/>
      <c r="B18" s="28"/>
      <c r="C18" s="55" t="s">
        <v>42</v>
      </c>
      <c r="D18" s="55" t="s">
        <v>53</v>
      </c>
      <c r="E18" s="28"/>
      <c r="F18" s="28"/>
      <c r="G18" s="56" t="s">
        <v>75</v>
      </c>
    </row>
    <row r="19" spans="1:7" x14ac:dyDescent="0.25">
      <c r="A19" s="14"/>
      <c r="B19" s="28"/>
      <c r="C19" s="55" t="s">
        <v>47</v>
      </c>
      <c r="D19" s="55" t="s">
        <v>47</v>
      </c>
      <c r="E19" s="28"/>
      <c r="F19" s="28"/>
      <c r="G19" s="56" t="s">
        <v>91</v>
      </c>
    </row>
    <row r="20" spans="1:7" x14ac:dyDescent="0.25">
      <c r="A20" s="14"/>
      <c r="B20" s="28"/>
      <c r="C20" s="28"/>
      <c r="D20" s="28"/>
      <c r="E20" s="28"/>
      <c r="F20" s="28"/>
      <c r="G20" s="56" t="s">
        <v>70</v>
      </c>
    </row>
    <row r="21" spans="1:7" x14ac:dyDescent="0.25">
      <c r="A21" s="14"/>
      <c r="B21" s="28"/>
      <c r="C21" s="28"/>
      <c r="D21" s="28"/>
      <c r="E21" s="28"/>
      <c r="F21" s="28"/>
      <c r="G21" s="56" t="s">
        <v>6</v>
      </c>
    </row>
    <row r="22" spans="1:7" x14ac:dyDescent="0.25">
      <c r="A22" s="14"/>
      <c r="B22" s="28"/>
      <c r="C22" s="28"/>
      <c r="D22" s="28"/>
      <c r="E22" s="28"/>
      <c r="F22" s="28"/>
      <c r="G22" s="56" t="s">
        <v>7</v>
      </c>
    </row>
    <row r="23" spans="1:7" x14ac:dyDescent="0.25">
      <c r="A23" s="14"/>
      <c r="B23" s="28"/>
      <c r="C23" s="28"/>
      <c r="D23" s="28"/>
      <c r="E23" s="28"/>
      <c r="F23" s="28"/>
      <c r="G23" s="56" t="s">
        <v>62</v>
      </c>
    </row>
    <row r="24" spans="1:7" x14ac:dyDescent="0.25">
      <c r="A24" s="14"/>
      <c r="B24" s="28"/>
      <c r="C24" s="28"/>
      <c r="D24" s="28"/>
      <c r="E24" s="28"/>
      <c r="F24" s="28"/>
      <c r="G24" s="56" t="s">
        <v>94</v>
      </c>
    </row>
    <row r="25" spans="1:7" x14ac:dyDescent="0.25">
      <c r="A25" s="14"/>
      <c r="B25" s="28"/>
      <c r="C25" s="28"/>
      <c r="D25" s="28"/>
      <c r="E25" s="28"/>
      <c r="F25" s="28"/>
      <c r="G25" s="56" t="s">
        <v>57</v>
      </c>
    </row>
    <row r="26" spans="1:7" x14ac:dyDescent="0.25">
      <c r="A26" s="14"/>
      <c r="B26" s="28"/>
      <c r="C26" s="28"/>
      <c r="D26" s="28"/>
      <c r="E26" s="28"/>
      <c r="F26" s="28"/>
      <c r="G26" s="56" t="s">
        <v>8</v>
      </c>
    </row>
    <row r="27" spans="1:7" x14ac:dyDescent="0.25">
      <c r="A27" s="14"/>
      <c r="B27" s="28"/>
      <c r="C27" s="28"/>
      <c r="D27" s="28"/>
      <c r="E27" s="28"/>
      <c r="F27" s="28"/>
      <c r="G27" s="56" t="s">
        <v>89</v>
      </c>
    </row>
    <row r="28" spans="1:7" x14ac:dyDescent="0.25">
      <c r="A28" s="14"/>
      <c r="B28" s="28"/>
      <c r="C28" s="28"/>
      <c r="D28" s="28"/>
      <c r="E28" s="28"/>
      <c r="F28" s="28"/>
      <c r="G28" s="56" t="s">
        <v>61</v>
      </c>
    </row>
    <row r="29" spans="1:7" x14ac:dyDescent="0.25">
      <c r="A29" s="14"/>
      <c r="B29" s="28"/>
      <c r="C29" s="28"/>
      <c r="D29" s="28"/>
      <c r="E29" s="28"/>
      <c r="F29" s="28"/>
      <c r="G29" s="56" t="s">
        <v>87</v>
      </c>
    </row>
    <row r="30" spans="1:7" x14ac:dyDescent="0.25">
      <c r="A30" s="14"/>
      <c r="B30" s="28"/>
      <c r="C30" s="28"/>
      <c r="D30" s="28"/>
      <c r="E30" s="28"/>
      <c r="F30" s="28"/>
      <c r="G30" s="56" t="s">
        <v>77</v>
      </c>
    </row>
    <row r="31" spans="1:7" x14ac:dyDescent="0.25">
      <c r="A31" s="14"/>
      <c r="B31" s="28"/>
      <c r="C31" s="28"/>
      <c r="D31" s="28"/>
      <c r="E31" s="28"/>
      <c r="F31" s="28"/>
      <c r="G31" s="56" t="s">
        <v>96</v>
      </c>
    </row>
    <row r="32" spans="1:7" x14ac:dyDescent="0.25">
      <c r="A32" s="14"/>
      <c r="B32" s="28"/>
      <c r="C32" s="28"/>
      <c r="D32" s="28"/>
      <c r="E32" s="28"/>
      <c r="F32" s="28"/>
      <c r="G32" s="56" t="s">
        <v>74</v>
      </c>
    </row>
    <row r="33" spans="1:7" x14ac:dyDescent="0.25">
      <c r="A33" s="14"/>
      <c r="B33" s="28"/>
      <c r="C33" s="28"/>
      <c r="D33" s="28"/>
      <c r="E33" s="28"/>
      <c r="F33" s="28"/>
      <c r="G33" s="56" t="s">
        <v>88</v>
      </c>
    </row>
    <row r="34" spans="1:7" x14ac:dyDescent="0.25">
      <c r="A34" s="14"/>
      <c r="B34" s="28"/>
      <c r="C34" s="28"/>
      <c r="D34" s="28"/>
      <c r="E34" s="28"/>
      <c r="F34" s="28"/>
      <c r="G34" s="56" t="s">
        <v>98</v>
      </c>
    </row>
    <row r="35" spans="1:7" x14ac:dyDescent="0.25">
      <c r="A35" s="14"/>
      <c r="B35" s="28"/>
      <c r="C35" s="28"/>
      <c r="D35" s="28"/>
      <c r="E35" s="28"/>
      <c r="F35" s="28"/>
      <c r="G35" s="56" t="s">
        <v>95</v>
      </c>
    </row>
    <row r="36" spans="1:7" x14ac:dyDescent="0.25">
      <c r="A36" s="14"/>
      <c r="B36" s="28"/>
      <c r="C36" s="28"/>
      <c r="D36" s="28"/>
      <c r="E36" s="28"/>
      <c r="F36" s="28"/>
      <c r="G36" s="56" t="s">
        <v>86</v>
      </c>
    </row>
    <row r="37" spans="1:7" x14ac:dyDescent="0.25">
      <c r="A37" s="14"/>
      <c r="B37" s="28"/>
      <c r="C37" s="28"/>
      <c r="D37" s="28"/>
      <c r="E37" s="28"/>
      <c r="F37" s="28"/>
      <c r="G37" s="56" t="s">
        <v>84</v>
      </c>
    </row>
    <row r="38" spans="1:7" ht="15.75" thickBot="1" x14ac:dyDescent="0.3">
      <c r="A38" s="16"/>
      <c r="B38" s="30"/>
      <c r="C38" s="30"/>
      <c r="D38" s="30"/>
      <c r="E38" s="30"/>
      <c r="F38" s="30"/>
      <c r="G38" s="57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A75" sqref="A1:A75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 x14ac:dyDescent="0.25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 x14ac:dyDescent="0.25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 x14ac:dyDescent="0.25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 x14ac:dyDescent="0.25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 x14ac:dyDescent="0.25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 x14ac:dyDescent="0.25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58" t="s">
        <v>207</v>
      </c>
      <c r="B1" s="158"/>
      <c r="C1" s="158"/>
      <c r="D1" s="158"/>
      <c r="E1" s="158"/>
      <c r="F1" s="158"/>
      <c r="H1" s="158" t="s">
        <v>208</v>
      </c>
      <c r="I1" s="158"/>
      <c r="J1" s="158"/>
      <c r="K1" s="158"/>
      <c r="L1" s="158"/>
      <c r="M1" s="158"/>
      <c r="O1" s="158" t="s">
        <v>209</v>
      </c>
      <c r="P1" s="158"/>
      <c r="Q1" s="158"/>
      <c r="R1" s="158"/>
      <c r="S1" s="158"/>
      <c r="T1" s="158"/>
      <c r="V1" s="158"/>
      <c r="W1" s="158"/>
      <c r="X1" s="158"/>
      <c r="Y1" s="158"/>
      <c r="Z1" s="158"/>
      <c r="AA1" s="158"/>
    </row>
    <row r="2" spans="1:27" x14ac:dyDescent="0.25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2023-03-07T03:09:17Z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